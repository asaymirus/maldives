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IFERROR(IF(_xlfn.MAXIFS(Documents!$E$2:$E$1421,Documents!$A$2:$A$1421,$A2,Documents!$C$2:$C$1421,"factsheet")=0,"",_xlfn.MAXIFS(Documents!$E$2:$E$1421,Documents!$A$2:$A$1421,$A2,Documents!$C$2:$C$1421,"factsheet")),"")</f>
        <v/>
      </c>
      <c r="E2">
        <f>IFERROR(IF(_xlfn.MAXIFS(Documents!$E$2:$E$1421,Documents!$A$2:$A$1421,$A2,Documents!$C$2:$C$1421,"wedding")=0,"",_xlfn.MAXIFS(Documents!$E$2:$E$1421,Documents!$A$2:$A$1421,$A2,Documents!$C$2:$C$1421,"wedding")),"")</f>
        <v/>
      </c>
      <c r="F2">
        <f>IFERROR(IF(_xlfn.MAXIFS(Documents!$E$2:$E$1421,Documents!$A$2:$A$1421,$A2,Documents!$C$2:$C$1421,"events")=0,"",_xlfn.MAXIFS(Documents!$E$2:$E$1421,Documents!$A$2:$A$1421,$A2,Documents!$C$2:$C$1421,"events")),"")</f>
        <v/>
      </c>
      <c r="G2">
        <f>IFERROR(IF(_xlfn.MAXIFS(Documents!$E$2:$E$1421,Documents!$A$2:$A$1421,$A2,Documents!$C$2:$C$1421,"map")=0,"",_xlfn.MAXIFS(Documents!$E$2:$E$1421,Documents!$A$2:$A$1421,$A2,Documents!$C$2:$C$1421,"map")),"")</f>
        <v/>
      </c>
      <c r="H2">
        <f>IFERROR(IF(_xlfn.MAXIFS(Documents!$E$2:$E$1421,Documents!$A$2:$A$1421,$A2,Documents!$C$2:$C$1421,"dive_map")=0,"",_xlfn.MAXIFS(Documents!$E$2:$E$1421,Documents!$A$2:$A$1421,$A2,Documents!$C$2:$C$1421,"dive_map")),"")</f>
        <v/>
      </c>
      <c r="I2">
        <f>IFERROR(IF(_xlfn.MAXIFS(Documents!$E$2:$E$1421,Documents!$A$2:$A$1421,$A2,Documents!$C$2:$C$1421,"spa_menu")=0,"",_xlfn.MAXIFS(Documents!$E$2:$E$1421,Documents!$A$2:$A$1421,$A2,Documents!$C$2:$C$1421,"spa_menu")),"")</f>
        <v/>
      </c>
      <c r="J2">
        <f>IFERROR(IF(_xlfn.MAXIFS(Documents!$E$2:$E$1421,Documents!$A$2:$A$1421,$A2,Documents!$C$2:$C$1421,"dining_menu")=0,"",_xlfn.MAXIFS(Documents!$E$2:$E$1421,Documents!$A$2:$A$1421,$A2,Documents!$C$2:$C$1421,"dining_menu")),"")</f>
        <v/>
      </c>
      <c r="K2">
        <f>IFERROR(IF(_xlfn.MAXIFS(Documents!$E$2:$E$1421,Documents!$A$2:$A$1421,$A2,Documents!$C$2:$C$1421,"dive_prices")=0,"",_xlfn.MAXIFS(Documents!$E$2:$E$1421,Documents!$A$2:$A$1421,$A2,Documents!$C$2:$C$1421,"dive_prices")),"")</f>
        <v/>
      </c>
      <c r="L2">
        <f>IFERROR(IF(_xlfn.MAXIFS(Documents!$E$2:$E$1421,Documents!$A$2:$A$1421,$A2,Documents!$C$2:$C$1421,"excursions")=0,"",_xlfn.MAXIFS(Documents!$E$2:$E$1421,Documents!$A$2:$A$1421,$A2,Documents!$C$2:$C$1421,"excursions")),"")</f>
        <v/>
      </c>
      <c r="M2">
        <f>IFERROR(IF(_xlfn.MAXIFS(Documents!$E$2:$E$1421,Documents!$A$2:$A$1421,$A2,Documents!$C$2:$C$1421,"kids")=0,"",_xlfn.MAXIFS(Documents!$E$2:$E$1421,Documents!$A$2:$A$1421,$A2,Documents!$C$2:$C$1421,"kids")),"")</f>
        <v/>
      </c>
      <c r="N2">
        <f>IFERROR(IF(_xlfn.MAXIFS(Documents!$E$2:$E$1421,Documents!$A$2:$A$1421,$A2,Documents!$C$2:$C$1421,"villa_plans")=0,"",_xlfn.MAXIFS(Documents!$E$2:$E$1421,Documents!$A$2:$A$1421,$A2,Documents!$C$2:$C$1421,"villa_plans")),"")</f>
        <v/>
      </c>
      <c r="O2">
        <f>IFERROR(IF(_xlfn.MAXIFS(Documents!$E$2:$E$1421,Documents!$A$2:$A$1421,$A2,Documents!$C$2:$C$1421,"all_inclusive")=0,"",_xlfn.MAXIFS(Documents!$E$2:$E$1421,Documents!$A$2:$A$1421,$A2,Documents!$C$2:$C$1421,"all_inclusive")),"")</f>
        <v/>
      </c>
      <c r="P2">
        <f>IFERROR(IF(_xlfn.MAXIFS(Documents!$E$2:$E$1421,Documents!$A$2:$A$1421,$A2,Documents!$C$2:$C$1421,"sustainability")=0,"",_xlfn.MAXIFS(Documents!$E$2:$E$1421,Documents!$A$2:$A$1421,$A2,Documents!$C$2:$C$1421,"sustainability")),"")</f>
        <v/>
      </c>
      <c r="Q2">
        <f>IFERROR(IF(_xlfn.MAXIFS(Documents!$E$2:$E$1421,Documents!$A$2:$A$1421,$A2,Documents!$C$2:$C$1421,"calendar")=0,"",_xlfn.MAXIFS(Documents!$E$2:$E$1421,Documents!$A$2:$A$1421,$A2,Documents!$C$2:$C$1421,"calendar")),"")</f>
        <v/>
      </c>
      <c r="R2">
        <f>IFERROR(IF(_xlfn.MAXIFS(Documents!$E$2:$E$1421,Documents!$A$2:$A$1421,$A2,Documents!$C$2:$C$1421,"brochure")=0,"",_xlfn.MAXIFS(Documents!$E$2:$E$1421,Documents!$A$2:$A$1421,$A2,Documents!$C$2:$C$1421,"brochure")),"")</f>
        <v/>
      </c>
      <c r="S2">
        <f>IFERROR(IF(_xlfn.MAXIFS(Documents!$E$2:$E$1421,Documents!$A$2:$A$1421,$A2,Documents!$C$2:$C$1421,"press_kit")=0,"",_xlfn.MAXIFS(Documents!$E$2:$E$1421,Documents!$A$2:$A$1421,$A2,Documents!$C$2:$C$1421,"press_kit")),"")</f>
        <v/>
      </c>
      <c r="T2">
        <f>IFERROR(IF(_xlfn.MAXIFS(Documents!$E$2:$E$1421,Documents!$A$2:$A$1421,$A2,Documents!$C$2:$C$1421,"other")=0,"",_xlfn.MAXIFS(Documents!$E$2:$E$1421,Documents!$A$2:$A$1421,$A2,Documents!$C$2:$C$1421,"other")),"")</f>
        <v/>
      </c>
      <c r="U2">
        <f>IFERROR(IF(_xlfn.MAXIFS(Documents!$E$2:$E$1421,Documents!$A$2:$A$1421,$A2,Documents!$C$2:$C$1421,"obsolete")=0,"",_xlfn.MAXIFS(Documents!$E$2:$E$1421,Documents!$A$2:$A$1421,$A2,Documents!$C$2:$C$1421,"obsolete")),"")</f>
        <v/>
      </c>
      <c r="V2">
        <f>COUNTIFS(Documents!$A$2:$A$1421,$A2)</f>
        <v/>
      </c>
      <c r="W2">
        <f>COUNTIFS(Documents!$A$2:$A$1421,$A2,Documents!$R$2:$R$1421,"current")</f>
        <v/>
      </c>
      <c r="X2">
        <f>HYPERLINK("https://sales.crownandchamparesorts.com/wp-content/uploads/2026/04/NalaMaldivesFactsheet011125311026Ver030426.pdf","2025_NalaMaldivesFactsheet011125311026Ve")</f>
        <v/>
      </c>
      <c r="Y2" t="inlineStr">
        <is>
          <t>wedding, events</t>
        </is>
      </c>
      <c r="Z2" t="inlineStr"/>
    </row>
    <row r="3">
      <c r="A3" t="n">
        <v>2</v>
      </c>
      <c r="B3" t="inlineStr">
        <is>
          <t>Filitheyo Island Resort</t>
        </is>
      </c>
      <c r="C3" t="inlineStr">
        <is>
          <t>unverified</t>
        </is>
      </c>
      <c r="D3">
        <f>IFERROR(IF(_xlfn.MAXIFS(Documents!$E$2:$E$1421,Documents!$A$2:$A$1421,$A3,Documents!$C$2:$C$1421,"factsheet")=0,"",_xlfn.MAXIFS(Documents!$E$2:$E$1421,Documents!$A$2:$A$1421,$A3,Documents!$C$2:$C$1421,"factsheet")),"")</f>
        <v/>
      </c>
      <c r="E3">
        <f>IFERROR(IF(_xlfn.MAXIFS(Documents!$E$2:$E$1421,Documents!$A$2:$A$1421,$A3,Documents!$C$2:$C$1421,"wedding")=0,"",_xlfn.MAXIFS(Documents!$E$2:$E$1421,Documents!$A$2:$A$1421,$A3,Documents!$C$2:$C$1421,"wedding")),"")</f>
        <v/>
      </c>
      <c r="F3">
        <f>IFERROR(IF(_xlfn.MAXIFS(Documents!$E$2:$E$1421,Documents!$A$2:$A$1421,$A3,Documents!$C$2:$C$1421,"events")=0,"",_xlfn.MAXIFS(Documents!$E$2:$E$1421,Documents!$A$2:$A$1421,$A3,Documents!$C$2:$C$1421,"events")),"")</f>
        <v/>
      </c>
      <c r="G3">
        <f>IFERROR(IF(_xlfn.MAXIFS(Documents!$E$2:$E$1421,Documents!$A$2:$A$1421,$A3,Documents!$C$2:$C$1421,"map")=0,"",_xlfn.MAXIFS(Documents!$E$2:$E$1421,Documents!$A$2:$A$1421,$A3,Documents!$C$2:$C$1421,"map")),"")</f>
        <v/>
      </c>
      <c r="H3">
        <f>IFERROR(IF(_xlfn.MAXIFS(Documents!$E$2:$E$1421,Documents!$A$2:$A$1421,$A3,Documents!$C$2:$C$1421,"dive_map")=0,"",_xlfn.MAXIFS(Documents!$E$2:$E$1421,Documents!$A$2:$A$1421,$A3,Documents!$C$2:$C$1421,"dive_map")),"")</f>
        <v/>
      </c>
      <c r="I3">
        <f>IFERROR(IF(_xlfn.MAXIFS(Documents!$E$2:$E$1421,Documents!$A$2:$A$1421,$A3,Documents!$C$2:$C$1421,"spa_menu")=0,"",_xlfn.MAXIFS(Documents!$E$2:$E$1421,Documents!$A$2:$A$1421,$A3,Documents!$C$2:$C$1421,"spa_menu")),"")</f>
        <v/>
      </c>
      <c r="J3">
        <f>IFERROR(IF(_xlfn.MAXIFS(Documents!$E$2:$E$1421,Documents!$A$2:$A$1421,$A3,Documents!$C$2:$C$1421,"dining_menu")=0,"",_xlfn.MAXIFS(Documents!$E$2:$E$1421,Documents!$A$2:$A$1421,$A3,Documents!$C$2:$C$1421,"dining_menu")),"")</f>
        <v/>
      </c>
      <c r="K3">
        <f>IFERROR(IF(_xlfn.MAXIFS(Documents!$E$2:$E$1421,Documents!$A$2:$A$1421,$A3,Documents!$C$2:$C$1421,"dive_prices")=0,"",_xlfn.MAXIFS(Documents!$E$2:$E$1421,Documents!$A$2:$A$1421,$A3,Documents!$C$2:$C$1421,"dive_prices")),"")</f>
        <v/>
      </c>
      <c r="L3">
        <f>IFERROR(IF(_xlfn.MAXIFS(Documents!$E$2:$E$1421,Documents!$A$2:$A$1421,$A3,Documents!$C$2:$C$1421,"excursions")=0,"",_xlfn.MAXIFS(Documents!$E$2:$E$1421,Documents!$A$2:$A$1421,$A3,Documents!$C$2:$C$1421,"excursions")),"")</f>
        <v/>
      </c>
      <c r="M3">
        <f>IFERROR(IF(_xlfn.MAXIFS(Documents!$E$2:$E$1421,Documents!$A$2:$A$1421,$A3,Documents!$C$2:$C$1421,"kids")=0,"",_xlfn.MAXIFS(Documents!$E$2:$E$1421,Documents!$A$2:$A$1421,$A3,Documents!$C$2:$C$1421,"kids")),"")</f>
        <v/>
      </c>
      <c r="N3">
        <f>IFERROR(IF(_xlfn.MAXIFS(Documents!$E$2:$E$1421,Documents!$A$2:$A$1421,$A3,Documents!$C$2:$C$1421,"villa_plans")=0,"",_xlfn.MAXIFS(Documents!$E$2:$E$1421,Documents!$A$2:$A$1421,$A3,Documents!$C$2:$C$1421,"villa_plans")),"")</f>
        <v/>
      </c>
      <c r="O3">
        <f>IFERROR(IF(_xlfn.MAXIFS(Documents!$E$2:$E$1421,Documents!$A$2:$A$1421,$A3,Documents!$C$2:$C$1421,"all_inclusive")=0,"",_xlfn.MAXIFS(Documents!$E$2:$E$1421,Documents!$A$2:$A$1421,$A3,Documents!$C$2:$C$1421,"all_inclusive")),"")</f>
        <v/>
      </c>
      <c r="P3">
        <f>IFERROR(IF(_xlfn.MAXIFS(Documents!$E$2:$E$1421,Documents!$A$2:$A$1421,$A3,Documents!$C$2:$C$1421,"sustainability")=0,"",_xlfn.MAXIFS(Documents!$E$2:$E$1421,Documents!$A$2:$A$1421,$A3,Documents!$C$2:$C$1421,"sustainability")),"")</f>
        <v/>
      </c>
      <c r="Q3">
        <f>IFERROR(IF(_xlfn.MAXIFS(Documents!$E$2:$E$1421,Documents!$A$2:$A$1421,$A3,Documents!$C$2:$C$1421,"calendar")=0,"",_xlfn.MAXIFS(Documents!$E$2:$E$1421,Documents!$A$2:$A$1421,$A3,Documents!$C$2:$C$1421,"calendar")),"")</f>
        <v/>
      </c>
      <c r="R3">
        <f>IFERROR(IF(_xlfn.MAXIFS(Documents!$E$2:$E$1421,Documents!$A$2:$A$1421,$A3,Documents!$C$2:$C$1421,"brochure")=0,"",_xlfn.MAXIFS(Documents!$E$2:$E$1421,Documents!$A$2:$A$1421,$A3,Documents!$C$2:$C$1421,"brochure")),"")</f>
        <v/>
      </c>
      <c r="S3">
        <f>IFERROR(IF(_xlfn.MAXIFS(Documents!$E$2:$E$1421,Documents!$A$2:$A$1421,$A3,Documents!$C$2:$C$1421,"press_kit")=0,"",_xlfn.MAXIFS(Documents!$E$2:$E$1421,Documents!$A$2:$A$1421,$A3,Documents!$C$2:$C$1421,"press_kit")),"")</f>
        <v/>
      </c>
      <c r="T3">
        <f>IFERROR(IF(_xlfn.MAXIFS(Documents!$E$2:$E$1421,Documents!$A$2:$A$1421,$A3,Documents!$C$2:$C$1421,"other")=0,"",_xlfn.MAXIFS(Documents!$E$2:$E$1421,Documents!$A$2:$A$1421,$A3,Documents!$C$2:$C$1421,"other")),"")</f>
        <v/>
      </c>
      <c r="U3">
        <f>IFERROR(IF(_xlfn.MAXIFS(Documents!$E$2:$E$1421,Documents!$A$2:$A$1421,$A3,Documents!$C$2:$C$1421,"obsolete")=0,"",_xlfn.MAXIFS(Documents!$E$2:$E$1421,Documents!$A$2:$A$1421,$A3,Documents!$C$2:$C$1421,"obsolete")),"")</f>
        <v/>
      </c>
      <c r="V3">
        <f>COUNTIFS(Documents!$A$2:$A$1421,$A3)</f>
        <v/>
      </c>
      <c r="W3">
        <f>COUNTIFS(Documents!$A$2:$A$1421,$A3,Documents!$R$2:$R$1421,"current")</f>
        <v/>
      </c>
      <c r="X3" t="inlineStr"/>
      <c r="Y3" t="inlineStr">
        <is>
          <t>factsheet, wedding, events</t>
        </is>
      </c>
      <c r="Z3" t="inlineStr"/>
    </row>
    <row r="4">
      <c r="A4" t="n">
        <v>3</v>
      </c>
      <c r="B4" t="inlineStr">
        <is>
          <t>Adaaran Select Hudhuranfushi</t>
        </is>
      </c>
      <c r="C4" t="inlineStr">
        <is>
          <t>ok</t>
        </is>
      </c>
      <c r="D4">
        <f>IFERROR(IF(_xlfn.MAXIFS(Documents!$E$2:$E$1421,Documents!$A$2:$A$1421,$A4,Documents!$C$2:$C$1421,"factsheet")=0,"",_xlfn.MAXIFS(Documents!$E$2:$E$1421,Documents!$A$2:$A$1421,$A4,Documents!$C$2:$C$1421,"factsheet")),"")</f>
        <v/>
      </c>
      <c r="E4">
        <f>IFERROR(IF(_xlfn.MAXIFS(Documents!$E$2:$E$1421,Documents!$A$2:$A$1421,$A4,Documents!$C$2:$C$1421,"wedding")=0,"",_xlfn.MAXIFS(Documents!$E$2:$E$1421,Documents!$A$2:$A$1421,$A4,Documents!$C$2:$C$1421,"wedding")),"")</f>
        <v/>
      </c>
      <c r="F4">
        <f>IFERROR(IF(_xlfn.MAXIFS(Documents!$E$2:$E$1421,Documents!$A$2:$A$1421,$A4,Documents!$C$2:$C$1421,"events")=0,"",_xlfn.MAXIFS(Documents!$E$2:$E$1421,Documents!$A$2:$A$1421,$A4,Documents!$C$2:$C$1421,"events")),"")</f>
        <v/>
      </c>
      <c r="G4">
        <f>IFERROR(IF(_xlfn.MAXIFS(Documents!$E$2:$E$1421,Documents!$A$2:$A$1421,$A4,Documents!$C$2:$C$1421,"map")=0,"",_xlfn.MAXIFS(Documents!$E$2:$E$1421,Documents!$A$2:$A$1421,$A4,Documents!$C$2:$C$1421,"map")),"")</f>
        <v/>
      </c>
      <c r="H4">
        <f>IFERROR(IF(_xlfn.MAXIFS(Documents!$E$2:$E$1421,Documents!$A$2:$A$1421,$A4,Documents!$C$2:$C$1421,"dive_map")=0,"",_xlfn.MAXIFS(Documents!$E$2:$E$1421,Documents!$A$2:$A$1421,$A4,Documents!$C$2:$C$1421,"dive_map")),"")</f>
        <v/>
      </c>
      <c r="I4">
        <f>IFERROR(IF(_xlfn.MAXIFS(Documents!$E$2:$E$1421,Documents!$A$2:$A$1421,$A4,Documents!$C$2:$C$1421,"spa_menu")=0,"",_xlfn.MAXIFS(Documents!$E$2:$E$1421,Documents!$A$2:$A$1421,$A4,Documents!$C$2:$C$1421,"spa_menu")),"")</f>
        <v/>
      </c>
      <c r="J4">
        <f>IFERROR(IF(_xlfn.MAXIFS(Documents!$E$2:$E$1421,Documents!$A$2:$A$1421,$A4,Documents!$C$2:$C$1421,"dining_menu")=0,"",_xlfn.MAXIFS(Documents!$E$2:$E$1421,Documents!$A$2:$A$1421,$A4,Documents!$C$2:$C$1421,"dining_menu")),"")</f>
        <v/>
      </c>
      <c r="K4">
        <f>IFERROR(IF(_xlfn.MAXIFS(Documents!$E$2:$E$1421,Documents!$A$2:$A$1421,$A4,Documents!$C$2:$C$1421,"dive_prices")=0,"",_xlfn.MAXIFS(Documents!$E$2:$E$1421,Documents!$A$2:$A$1421,$A4,Documents!$C$2:$C$1421,"dive_prices")),"")</f>
        <v/>
      </c>
      <c r="L4">
        <f>IFERROR(IF(_xlfn.MAXIFS(Documents!$E$2:$E$1421,Documents!$A$2:$A$1421,$A4,Documents!$C$2:$C$1421,"excursions")=0,"",_xlfn.MAXIFS(Documents!$E$2:$E$1421,Documents!$A$2:$A$1421,$A4,Documents!$C$2:$C$1421,"excursions")),"")</f>
        <v/>
      </c>
      <c r="M4">
        <f>IFERROR(IF(_xlfn.MAXIFS(Documents!$E$2:$E$1421,Documents!$A$2:$A$1421,$A4,Documents!$C$2:$C$1421,"kids")=0,"",_xlfn.MAXIFS(Documents!$E$2:$E$1421,Documents!$A$2:$A$1421,$A4,Documents!$C$2:$C$1421,"kids")),"")</f>
        <v/>
      </c>
      <c r="N4">
        <f>IFERROR(IF(_xlfn.MAXIFS(Documents!$E$2:$E$1421,Documents!$A$2:$A$1421,$A4,Documents!$C$2:$C$1421,"villa_plans")=0,"",_xlfn.MAXIFS(Documents!$E$2:$E$1421,Documents!$A$2:$A$1421,$A4,Documents!$C$2:$C$1421,"villa_plans")),"")</f>
        <v/>
      </c>
      <c r="O4">
        <f>IFERROR(IF(_xlfn.MAXIFS(Documents!$E$2:$E$1421,Documents!$A$2:$A$1421,$A4,Documents!$C$2:$C$1421,"all_inclusive")=0,"",_xlfn.MAXIFS(Documents!$E$2:$E$1421,Documents!$A$2:$A$1421,$A4,Documents!$C$2:$C$1421,"all_inclusive")),"")</f>
        <v/>
      </c>
      <c r="P4">
        <f>IFERROR(IF(_xlfn.MAXIFS(Documents!$E$2:$E$1421,Documents!$A$2:$A$1421,$A4,Documents!$C$2:$C$1421,"sustainability")=0,"",_xlfn.MAXIFS(Documents!$E$2:$E$1421,Documents!$A$2:$A$1421,$A4,Documents!$C$2:$C$1421,"sustainability")),"")</f>
        <v/>
      </c>
      <c r="Q4">
        <f>IFERROR(IF(_xlfn.MAXIFS(Documents!$E$2:$E$1421,Documents!$A$2:$A$1421,$A4,Documents!$C$2:$C$1421,"calendar")=0,"",_xlfn.MAXIFS(Documents!$E$2:$E$1421,Documents!$A$2:$A$1421,$A4,Documents!$C$2:$C$1421,"calendar")),"")</f>
        <v/>
      </c>
      <c r="R4">
        <f>IFERROR(IF(_xlfn.MAXIFS(Documents!$E$2:$E$1421,Documents!$A$2:$A$1421,$A4,Documents!$C$2:$C$1421,"brochure")=0,"",_xlfn.MAXIFS(Documents!$E$2:$E$1421,Documents!$A$2:$A$1421,$A4,Documents!$C$2:$C$1421,"brochure")),"")</f>
        <v/>
      </c>
      <c r="S4">
        <f>IFERROR(IF(_xlfn.MAXIFS(Documents!$E$2:$E$1421,Documents!$A$2:$A$1421,$A4,Documents!$C$2:$C$1421,"press_kit")=0,"",_xlfn.MAXIFS(Documents!$E$2:$E$1421,Documents!$A$2:$A$1421,$A4,Documents!$C$2:$C$1421,"press_kit")),"")</f>
        <v/>
      </c>
      <c r="T4">
        <f>IFERROR(IF(_xlfn.MAXIFS(Documents!$E$2:$E$1421,Documents!$A$2:$A$1421,$A4,Documents!$C$2:$C$1421,"other")=0,"",_xlfn.MAXIFS(Documents!$E$2:$E$1421,Documents!$A$2:$A$1421,$A4,Documents!$C$2:$C$1421,"other")),"")</f>
        <v/>
      </c>
      <c r="U4">
        <f>IFERROR(IF(_xlfn.MAXIFS(Documents!$E$2:$E$1421,Documents!$A$2:$A$1421,$A4,Documents!$C$2:$C$1421,"obsolete")=0,"",_xlfn.MAXIFS(Documents!$E$2:$E$1421,Documents!$A$2:$A$1421,$A4,Documents!$C$2:$C$1421,"obsolete")),"")</f>
        <v/>
      </c>
      <c r="V4">
        <f>COUNTIFS(Documents!$A$2:$A$1421,$A4)</f>
        <v/>
      </c>
      <c r="W4">
        <f>COUNTIFS(Documents!$A$2:$A$1421,$A4,Documents!$R$2:$R$1421,"current")</f>
        <v/>
      </c>
      <c r="X4">
        <f>HYPERLINK("https://www.adaaran.com/selecthudhuranfushi/view-download/?id=menu-16","2026_document.pdf")</f>
        <v/>
      </c>
      <c r="Y4" t="inlineStr"/>
      <c r="Z4" t="inlineStr"/>
    </row>
    <row r="5">
      <c r="A5" t="n">
        <v>4</v>
      </c>
      <c r="B5" t="inlineStr">
        <is>
          <t>Ayada Maldives</t>
        </is>
      </c>
      <c r="C5" t="inlineStr">
        <is>
          <t>ok</t>
        </is>
      </c>
      <c r="D5">
        <f>IFERROR(IF(_xlfn.MAXIFS(Documents!$E$2:$E$1421,Documents!$A$2:$A$1421,$A5,Documents!$C$2:$C$1421,"factsheet")=0,"",_xlfn.MAXIFS(Documents!$E$2:$E$1421,Documents!$A$2:$A$1421,$A5,Documents!$C$2:$C$1421,"factsheet")),"")</f>
        <v/>
      </c>
      <c r="E5">
        <f>IFERROR(IF(_xlfn.MAXIFS(Documents!$E$2:$E$1421,Documents!$A$2:$A$1421,$A5,Documents!$C$2:$C$1421,"wedding")=0,"",_xlfn.MAXIFS(Documents!$E$2:$E$1421,Documents!$A$2:$A$1421,$A5,Documents!$C$2:$C$1421,"wedding")),"")</f>
        <v/>
      </c>
      <c r="F5">
        <f>IFERROR(IF(_xlfn.MAXIFS(Documents!$E$2:$E$1421,Documents!$A$2:$A$1421,$A5,Documents!$C$2:$C$1421,"events")=0,"",_xlfn.MAXIFS(Documents!$E$2:$E$1421,Documents!$A$2:$A$1421,$A5,Documents!$C$2:$C$1421,"events")),"")</f>
        <v/>
      </c>
      <c r="G5">
        <f>IFERROR(IF(_xlfn.MAXIFS(Documents!$E$2:$E$1421,Documents!$A$2:$A$1421,$A5,Documents!$C$2:$C$1421,"map")=0,"",_xlfn.MAXIFS(Documents!$E$2:$E$1421,Documents!$A$2:$A$1421,$A5,Documents!$C$2:$C$1421,"map")),"")</f>
        <v/>
      </c>
      <c r="H5">
        <f>IFERROR(IF(_xlfn.MAXIFS(Documents!$E$2:$E$1421,Documents!$A$2:$A$1421,$A5,Documents!$C$2:$C$1421,"dive_map")=0,"",_xlfn.MAXIFS(Documents!$E$2:$E$1421,Documents!$A$2:$A$1421,$A5,Documents!$C$2:$C$1421,"dive_map")),"")</f>
        <v/>
      </c>
      <c r="I5">
        <f>IFERROR(IF(_xlfn.MAXIFS(Documents!$E$2:$E$1421,Documents!$A$2:$A$1421,$A5,Documents!$C$2:$C$1421,"spa_menu")=0,"",_xlfn.MAXIFS(Documents!$E$2:$E$1421,Documents!$A$2:$A$1421,$A5,Documents!$C$2:$C$1421,"spa_menu")),"")</f>
        <v/>
      </c>
      <c r="J5">
        <f>IFERROR(IF(_xlfn.MAXIFS(Documents!$E$2:$E$1421,Documents!$A$2:$A$1421,$A5,Documents!$C$2:$C$1421,"dining_menu")=0,"",_xlfn.MAXIFS(Documents!$E$2:$E$1421,Documents!$A$2:$A$1421,$A5,Documents!$C$2:$C$1421,"dining_menu")),"")</f>
        <v/>
      </c>
      <c r="K5">
        <f>IFERROR(IF(_xlfn.MAXIFS(Documents!$E$2:$E$1421,Documents!$A$2:$A$1421,$A5,Documents!$C$2:$C$1421,"dive_prices")=0,"",_xlfn.MAXIFS(Documents!$E$2:$E$1421,Documents!$A$2:$A$1421,$A5,Documents!$C$2:$C$1421,"dive_prices")),"")</f>
        <v/>
      </c>
      <c r="L5">
        <f>IFERROR(IF(_xlfn.MAXIFS(Documents!$E$2:$E$1421,Documents!$A$2:$A$1421,$A5,Documents!$C$2:$C$1421,"excursions")=0,"",_xlfn.MAXIFS(Documents!$E$2:$E$1421,Documents!$A$2:$A$1421,$A5,Documents!$C$2:$C$1421,"excursions")),"")</f>
        <v/>
      </c>
      <c r="M5">
        <f>IFERROR(IF(_xlfn.MAXIFS(Documents!$E$2:$E$1421,Documents!$A$2:$A$1421,$A5,Documents!$C$2:$C$1421,"kids")=0,"",_xlfn.MAXIFS(Documents!$E$2:$E$1421,Documents!$A$2:$A$1421,$A5,Documents!$C$2:$C$1421,"kids")),"")</f>
        <v/>
      </c>
      <c r="N5">
        <f>IFERROR(IF(_xlfn.MAXIFS(Documents!$E$2:$E$1421,Documents!$A$2:$A$1421,$A5,Documents!$C$2:$C$1421,"villa_plans")=0,"",_xlfn.MAXIFS(Documents!$E$2:$E$1421,Documents!$A$2:$A$1421,$A5,Documents!$C$2:$C$1421,"villa_plans")),"")</f>
        <v/>
      </c>
      <c r="O5">
        <f>IFERROR(IF(_xlfn.MAXIFS(Documents!$E$2:$E$1421,Documents!$A$2:$A$1421,$A5,Documents!$C$2:$C$1421,"all_inclusive")=0,"",_xlfn.MAXIFS(Documents!$E$2:$E$1421,Documents!$A$2:$A$1421,$A5,Documents!$C$2:$C$1421,"all_inclusive")),"")</f>
        <v/>
      </c>
      <c r="P5">
        <f>IFERROR(IF(_xlfn.MAXIFS(Documents!$E$2:$E$1421,Documents!$A$2:$A$1421,$A5,Documents!$C$2:$C$1421,"sustainability")=0,"",_xlfn.MAXIFS(Documents!$E$2:$E$1421,Documents!$A$2:$A$1421,$A5,Documents!$C$2:$C$1421,"sustainability")),"")</f>
        <v/>
      </c>
      <c r="Q5">
        <f>IFERROR(IF(_xlfn.MAXIFS(Documents!$E$2:$E$1421,Documents!$A$2:$A$1421,$A5,Documents!$C$2:$C$1421,"calendar")=0,"",_xlfn.MAXIFS(Documents!$E$2:$E$1421,Documents!$A$2:$A$1421,$A5,Documents!$C$2:$C$1421,"calendar")),"")</f>
        <v/>
      </c>
      <c r="R5">
        <f>IFERROR(IF(_xlfn.MAXIFS(Documents!$E$2:$E$1421,Documents!$A$2:$A$1421,$A5,Documents!$C$2:$C$1421,"brochure")=0,"",_xlfn.MAXIFS(Documents!$E$2:$E$1421,Documents!$A$2:$A$1421,$A5,Documents!$C$2:$C$1421,"brochure")),"")</f>
        <v/>
      </c>
      <c r="S5">
        <f>IFERROR(IF(_xlfn.MAXIFS(Documents!$E$2:$E$1421,Documents!$A$2:$A$1421,$A5,Documents!$C$2:$C$1421,"press_kit")=0,"",_xlfn.MAXIFS(Documents!$E$2:$E$1421,Documents!$A$2:$A$1421,$A5,Documents!$C$2:$C$1421,"press_kit")),"")</f>
        <v/>
      </c>
      <c r="T5">
        <f>IFERROR(IF(_xlfn.MAXIFS(Documents!$E$2:$E$1421,Documents!$A$2:$A$1421,$A5,Documents!$C$2:$C$1421,"other")=0,"",_xlfn.MAXIFS(Documents!$E$2:$E$1421,Documents!$A$2:$A$1421,$A5,Documents!$C$2:$C$1421,"other")),"")</f>
        <v/>
      </c>
      <c r="U5">
        <f>IFERROR(IF(_xlfn.MAXIFS(Documents!$E$2:$E$1421,Documents!$A$2:$A$1421,$A5,Documents!$C$2:$C$1421,"obsolete")=0,"",_xlfn.MAXIFS(Documents!$E$2:$E$1421,Documents!$A$2:$A$1421,$A5,Documents!$C$2:$C$1421,"obsolete")),"")</f>
        <v/>
      </c>
      <c r="V5">
        <f>COUNTIFS(Documents!$A$2:$A$1421,$A5)</f>
        <v/>
      </c>
      <c r="W5">
        <f>COUNTIFS(Documents!$A$2:$A$1421,$A5,Documents!$R$2:$R$1421,"current")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IFERROR(IF(_xlfn.MAXIFS(Documents!$E$2:$E$1421,Documents!$A$2:$A$1421,$A6,Documents!$C$2:$C$1421,"factsheet")=0,"",_xlfn.MAXIFS(Documents!$E$2:$E$1421,Documents!$A$2:$A$1421,$A6,Documents!$C$2:$C$1421,"factsheet")),"")</f>
        <v/>
      </c>
      <c r="E6">
        <f>IFERROR(IF(_xlfn.MAXIFS(Documents!$E$2:$E$1421,Documents!$A$2:$A$1421,$A6,Documents!$C$2:$C$1421,"wedding")=0,"",_xlfn.MAXIFS(Documents!$E$2:$E$1421,Documents!$A$2:$A$1421,$A6,Documents!$C$2:$C$1421,"wedding")),"")</f>
        <v/>
      </c>
      <c r="F6">
        <f>IFERROR(IF(_xlfn.MAXIFS(Documents!$E$2:$E$1421,Documents!$A$2:$A$1421,$A6,Documents!$C$2:$C$1421,"events")=0,"",_xlfn.MAXIFS(Documents!$E$2:$E$1421,Documents!$A$2:$A$1421,$A6,Documents!$C$2:$C$1421,"events")),"")</f>
        <v/>
      </c>
      <c r="G6">
        <f>IFERROR(IF(_xlfn.MAXIFS(Documents!$E$2:$E$1421,Documents!$A$2:$A$1421,$A6,Documents!$C$2:$C$1421,"map")=0,"",_xlfn.MAXIFS(Documents!$E$2:$E$1421,Documents!$A$2:$A$1421,$A6,Documents!$C$2:$C$1421,"map")),"")</f>
        <v/>
      </c>
      <c r="H6">
        <f>IFERROR(IF(_xlfn.MAXIFS(Documents!$E$2:$E$1421,Documents!$A$2:$A$1421,$A6,Documents!$C$2:$C$1421,"dive_map")=0,"",_xlfn.MAXIFS(Documents!$E$2:$E$1421,Documents!$A$2:$A$1421,$A6,Documents!$C$2:$C$1421,"dive_map")),"")</f>
        <v/>
      </c>
      <c r="I6">
        <f>IFERROR(IF(_xlfn.MAXIFS(Documents!$E$2:$E$1421,Documents!$A$2:$A$1421,$A6,Documents!$C$2:$C$1421,"spa_menu")=0,"",_xlfn.MAXIFS(Documents!$E$2:$E$1421,Documents!$A$2:$A$1421,$A6,Documents!$C$2:$C$1421,"spa_menu")),"")</f>
        <v/>
      </c>
      <c r="J6">
        <f>IFERROR(IF(_xlfn.MAXIFS(Documents!$E$2:$E$1421,Documents!$A$2:$A$1421,$A6,Documents!$C$2:$C$1421,"dining_menu")=0,"",_xlfn.MAXIFS(Documents!$E$2:$E$1421,Documents!$A$2:$A$1421,$A6,Documents!$C$2:$C$1421,"dining_menu")),"")</f>
        <v/>
      </c>
      <c r="K6">
        <f>IFERROR(IF(_xlfn.MAXIFS(Documents!$E$2:$E$1421,Documents!$A$2:$A$1421,$A6,Documents!$C$2:$C$1421,"dive_prices")=0,"",_xlfn.MAXIFS(Documents!$E$2:$E$1421,Documents!$A$2:$A$1421,$A6,Documents!$C$2:$C$1421,"dive_prices")),"")</f>
        <v/>
      </c>
      <c r="L6">
        <f>IFERROR(IF(_xlfn.MAXIFS(Documents!$E$2:$E$1421,Documents!$A$2:$A$1421,$A6,Documents!$C$2:$C$1421,"excursions")=0,"",_xlfn.MAXIFS(Documents!$E$2:$E$1421,Documents!$A$2:$A$1421,$A6,Documents!$C$2:$C$1421,"excursions")),"")</f>
        <v/>
      </c>
      <c r="M6">
        <f>IFERROR(IF(_xlfn.MAXIFS(Documents!$E$2:$E$1421,Documents!$A$2:$A$1421,$A6,Documents!$C$2:$C$1421,"kids")=0,"",_xlfn.MAXIFS(Documents!$E$2:$E$1421,Documents!$A$2:$A$1421,$A6,Documents!$C$2:$C$1421,"kids")),"")</f>
        <v/>
      </c>
      <c r="N6">
        <f>IFERROR(IF(_xlfn.MAXIFS(Documents!$E$2:$E$1421,Documents!$A$2:$A$1421,$A6,Documents!$C$2:$C$1421,"villa_plans")=0,"",_xlfn.MAXIFS(Documents!$E$2:$E$1421,Documents!$A$2:$A$1421,$A6,Documents!$C$2:$C$1421,"villa_plans")),"")</f>
        <v/>
      </c>
      <c r="O6">
        <f>IFERROR(IF(_xlfn.MAXIFS(Documents!$E$2:$E$1421,Documents!$A$2:$A$1421,$A6,Documents!$C$2:$C$1421,"all_inclusive")=0,"",_xlfn.MAXIFS(Documents!$E$2:$E$1421,Documents!$A$2:$A$1421,$A6,Documents!$C$2:$C$1421,"all_inclusive")),"")</f>
        <v/>
      </c>
      <c r="P6">
        <f>IFERROR(IF(_xlfn.MAXIFS(Documents!$E$2:$E$1421,Documents!$A$2:$A$1421,$A6,Documents!$C$2:$C$1421,"sustainability")=0,"",_xlfn.MAXIFS(Documents!$E$2:$E$1421,Documents!$A$2:$A$1421,$A6,Documents!$C$2:$C$1421,"sustainability")),"")</f>
        <v/>
      </c>
      <c r="Q6">
        <f>IFERROR(IF(_xlfn.MAXIFS(Documents!$E$2:$E$1421,Documents!$A$2:$A$1421,$A6,Documents!$C$2:$C$1421,"calendar")=0,"",_xlfn.MAXIFS(Documents!$E$2:$E$1421,Documents!$A$2:$A$1421,$A6,Documents!$C$2:$C$1421,"calendar")),"")</f>
        <v/>
      </c>
      <c r="R6">
        <f>IFERROR(IF(_xlfn.MAXIFS(Documents!$E$2:$E$1421,Documents!$A$2:$A$1421,$A6,Documents!$C$2:$C$1421,"brochure")=0,"",_xlfn.MAXIFS(Documents!$E$2:$E$1421,Documents!$A$2:$A$1421,$A6,Documents!$C$2:$C$1421,"brochure")),"")</f>
        <v/>
      </c>
      <c r="S6">
        <f>IFERROR(IF(_xlfn.MAXIFS(Documents!$E$2:$E$1421,Documents!$A$2:$A$1421,$A6,Documents!$C$2:$C$1421,"press_kit")=0,"",_xlfn.MAXIFS(Documents!$E$2:$E$1421,Documents!$A$2:$A$1421,$A6,Documents!$C$2:$C$1421,"press_kit")),"")</f>
        <v/>
      </c>
      <c r="T6">
        <f>IFERROR(IF(_xlfn.MAXIFS(Documents!$E$2:$E$1421,Documents!$A$2:$A$1421,$A6,Documents!$C$2:$C$1421,"other")=0,"",_xlfn.MAXIFS(Documents!$E$2:$E$1421,Documents!$A$2:$A$1421,$A6,Documents!$C$2:$C$1421,"other")),"")</f>
        <v/>
      </c>
      <c r="U6">
        <f>IFERROR(IF(_xlfn.MAXIFS(Documents!$E$2:$E$1421,Documents!$A$2:$A$1421,$A6,Documents!$C$2:$C$1421,"obsolete")=0,"",_xlfn.MAXIFS(Documents!$E$2:$E$1421,Documents!$A$2:$A$1421,$A6,Documents!$C$2:$C$1421,"obsolete")),"")</f>
        <v/>
      </c>
      <c r="V6">
        <f>COUNTIFS(Documents!$A$2:$A$1421,$A6)</f>
        <v/>
      </c>
      <c r="W6">
        <f>COUNTIFS(Documents!$A$2:$A$1421,$A6,Documents!$R$2:$R$1421,"current")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IFERROR(IF(_xlfn.MAXIFS(Documents!$E$2:$E$1421,Documents!$A$2:$A$1421,$A7,Documents!$C$2:$C$1421,"factsheet")=0,"",_xlfn.MAXIFS(Documents!$E$2:$E$1421,Documents!$A$2:$A$1421,$A7,Documents!$C$2:$C$1421,"factsheet")),"")</f>
        <v/>
      </c>
      <c r="E7">
        <f>IFERROR(IF(_xlfn.MAXIFS(Documents!$E$2:$E$1421,Documents!$A$2:$A$1421,$A7,Documents!$C$2:$C$1421,"wedding")=0,"",_xlfn.MAXIFS(Documents!$E$2:$E$1421,Documents!$A$2:$A$1421,$A7,Documents!$C$2:$C$1421,"wedding")),"")</f>
        <v/>
      </c>
      <c r="F7">
        <f>IFERROR(IF(_xlfn.MAXIFS(Documents!$E$2:$E$1421,Documents!$A$2:$A$1421,$A7,Documents!$C$2:$C$1421,"events")=0,"",_xlfn.MAXIFS(Documents!$E$2:$E$1421,Documents!$A$2:$A$1421,$A7,Documents!$C$2:$C$1421,"events")),"")</f>
        <v/>
      </c>
      <c r="G7">
        <f>IFERROR(IF(_xlfn.MAXIFS(Documents!$E$2:$E$1421,Documents!$A$2:$A$1421,$A7,Documents!$C$2:$C$1421,"map")=0,"",_xlfn.MAXIFS(Documents!$E$2:$E$1421,Documents!$A$2:$A$1421,$A7,Documents!$C$2:$C$1421,"map")),"")</f>
        <v/>
      </c>
      <c r="H7">
        <f>IFERROR(IF(_xlfn.MAXIFS(Documents!$E$2:$E$1421,Documents!$A$2:$A$1421,$A7,Documents!$C$2:$C$1421,"dive_map")=0,"",_xlfn.MAXIFS(Documents!$E$2:$E$1421,Documents!$A$2:$A$1421,$A7,Documents!$C$2:$C$1421,"dive_map")),"")</f>
        <v/>
      </c>
      <c r="I7">
        <f>IFERROR(IF(_xlfn.MAXIFS(Documents!$E$2:$E$1421,Documents!$A$2:$A$1421,$A7,Documents!$C$2:$C$1421,"spa_menu")=0,"",_xlfn.MAXIFS(Documents!$E$2:$E$1421,Documents!$A$2:$A$1421,$A7,Documents!$C$2:$C$1421,"spa_menu")),"")</f>
        <v/>
      </c>
      <c r="J7">
        <f>IFERROR(IF(_xlfn.MAXIFS(Documents!$E$2:$E$1421,Documents!$A$2:$A$1421,$A7,Documents!$C$2:$C$1421,"dining_menu")=0,"",_xlfn.MAXIFS(Documents!$E$2:$E$1421,Documents!$A$2:$A$1421,$A7,Documents!$C$2:$C$1421,"dining_menu")),"")</f>
        <v/>
      </c>
      <c r="K7">
        <f>IFERROR(IF(_xlfn.MAXIFS(Documents!$E$2:$E$1421,Documents!$A$2:$A$1421,$A7,Documents!$C$2:$C$1421,"dive_prices")=0,"",_xlfn.MAXIFS(Documents!$E$2:$E$1421,Documents!$A$2:$A$1421,$A7,Documents!$C$2:$C$1421,"dive_prices")),"")</f>
        <v/>
      </c>
      <c r="L7">
        <f>IFERROR(IF(_xlfn.MAXIFS(Documents!$E$2:$E$1421,Documents!$A$2:$A$1421,$A7,Documents!$C$2:$C$1421,"excursions")=0,"",_xlfn.MAXIFS(Documents!$E$2:$E$1421,Documents!$A$2:$A$1421,$A7,Documents!$C$2:$C$1421,"excursions")),"")</f>
        <v/>
      </c>
      <c r="M7">
        <f>IFERROR(IF(_xlfn.MAXIFS(Documents!$E$2:$E$1421,Documents!$A$2:$A$1421,$A7,Documents!$C$2:$C$1421,"kids")=0,"",_xlfn.MAXIFS(Documents!$E$2:$E$1421,Documents!$A$2:$A$1421,$A7,Documents!$C$2:$C$1421,"kids")),"")</f>
        <v/>
      </c>
      <c r="N7">
        <f>IFERROR(IF(_xlfn.MAXIFS(Documents!$E$2:$E$1421,Documents!$A$2:$A$1421,$A7,Documents!$C$2:$C$1421,"villa_plans")=0,"",_xlfn.MAXIFS(Documents!$E$2:$E$1421,Documents!$A$2:$A$1421,$A7,Documents!$C$2:$C$1421,"villa_plans")),"")</f>
        <v/>
      </c>
      <c r="O7">
        <f>IFERROR(IF(_xlfn.MAXIFS(Documents!$E$2:$E$1421,Documents!$A$2:$A$1421,$A7,Documents!$C$2:$C$1421,"all_inclusive")=0,"",_xlfn.MAXIFS(Documents!$E$2:$E$1421,Documents!$A$2:$A$1421,$A7,Documents!$C$2:$C$1421,"all_inclusive")),"")</f>
        <v/>
      </c>
      <c r="P7">
        <f>IFERROR(IF(_xlfn.MAXIFS(Documents!$E$2:$E$1421,Documents!$A$2:$A$1421,$A7,Documents!$C$2:$C$1421,"sustainability")=0,"",_xlfn.MAXIFS(Documents!$E$2:$E$1421,Documents!$A$2:$A$1421,$A7,Documents!$C$2:$C$1421,"sustainability")),"")</f>
        <v/>
      </c>
      <c r="Q7">
        <f>IFERROR(IF(_xlfn.MAXIFS(Documents!$E$2:$E$1421,Documents!$A$2:$A$1421,$A7,Documents!$C$2:$C$1421,"calendar")=0,"",_xlfn.MAXIFS(Documents!$E$2:$E$1421,Documents!$A$2:$A$1421,$A7,Documents!$C$2:$C$1421,"calendar")),"")</f>
        <v/>
      </c>
      <c r="R7">
        <f>IFERROR(IF(_xlfn.MAXIFS(Documents!$E$2:$E$1421,Documents!$A$2:$A$1421,$A7,Documents!$C$2:$C$1421,"brochure")=0,"",_xlfn.MAXIFS(Documents!$E$2:$E$1421,Documents!$A$2:$A$1421,$A7,Documents!$C$2:$C$1421,"brochure")),"")</f>
        <v/>
      </c>
      <c r="S7">
        <f>IFERROR(IF(_xlfn.MAXIFS(Documents!$E$2:$E$1421,Documents!$A$2:$A$1421,$A7,Documents!$C$2:$C$1421,"press_kit")=0,"",_xlfn.MAXIFS(Documents!$E$2:$E$1421,Documents!$A$2:$A$1421,$A7,Documents!$C$2:$C$1421,"press_kit")),"")</f>
        <v/>
      </c>
      <c r="T7">
        <f>IFERROR(IF(_xlfn.MAXIFS(Documents!$E$2:$E$1421,Documents!$A$2:$A$1421,$A7,Documents!$C$2:$C$1421,"other")=0,"",_xlfn.MAXIFS(Documents!$E$2:$E$1421,Documents!$A$2:$A$1421,$A7,Documents!$C$2:$C$1421,"other")),"")</f>
        <v/>
      </c>
      <c r="U7">
        <f>IFERROR(IF(_xlfn.MAXIFS(Documents!$E$2:$E$1421,Documents!$A$2:$A$1421,$A7,Documents!$C$2:$C$1421,"obsolete")=0,"",_xlfn.MAXIFS(Documents!$E$2:$E$1421,Documents!$A$2:$A$1421,$A7,Documents!$C$2:$C$1421,"obsolete")),"")</f>
        <v/>
      </c>
      <c r="V7">
        <f>COUNTIFS(Documents!$A$2:$A$1421,$A7)</f>
        <v/>
      </c>
      <c r="W7">
        <f>COUNTIFS(Documents!$A$2:$A$1421,$A7,Documents!$R$2:$R$1421,"current")</f>
        <v/>
      </c>
      <c r="X7">
        <f>HYPERLINK("https://www.neoscapesmaldives.com/wp-content/uploads/JoaliBeing_Factsheet_V13.pdf","2025_JoaliBeing_Factsheet_V13.pdf")</f>
        <v/>
      </c>
      <c r="Y7" t="inlineStr">
        <is>
          <t>wedding, events</t>
        </is>
      </c>
      <c r="Z7" t="inlineStr"/>
    </row>
    <row r="8">
      <c r="A8" t="n">
        <v>7</v>
      </c>
      <c r="B8" t="inlineStr">
        <is>
          <t>Joali Muravandhoo</t>
        </is>
      </c>
      <c r="C8" t="inlineStr">
        <is>
          <t>unreachable</t>
        </is>
      </c>
      <c r="D8">
        <f>IFERROR(IF(_xlfn.MAXIFS(Documents!$E$2:$E$1421,Documents!$A$2:$A$1421,$A8,Documents!$C$2:$C$1421,"factsheet")=0,"",_xlfn.MAXIFS(Documents!$E$2:$E$1421,Documents!$A$2:$A$1421,$A8,Documents!$C$2:$C$1421,"factsheet")),"")</f>
        <v/>
      </c>
      <c r="E8">
        <f>IFERROR(IF(_xlfn.MAXIFS(Documents!$E$2:$E$1421,Documents!$A$2:$A$1421,$A8,Documents!$C$2:$C$1421,"wedding")=0,"",_xlfn.MAXIFS(Documents!$E$2:$E$1421,Documents!$A$2:$A$1421,$A8,Documents!$C$2:$C$1421,"wedding")),"")</f>
        <v/>
      </c>
      <c r="F8">
        <f>IFERROR(IF(_xlfn.MAXIFS(Documents!$E$2:$E$1421,Documents!$A$2:$A$1421,$A8,Documents!$C$2:$C$1421,"events")=0,"",_xlfn.MAXIFS(Documents!$E$2:$E$1421,Documents!$A$2:$A$1421,$A8,Documents!$C$2:$C$1421,"events")),"")</f>
        <v/>
      </c>
      <c r="G8">
        <f>IFERROR(IF(_xlfn.MAXIFS(Documents!$E$2:$E$1421,Documents!$A$2:$A$1421,$A8,Documents!$C$2:$C$1421,"map")=0,"",_xlfn.MAXIFS(Documents!$E$2:$E$1421,Documents!$A$2:$A$1421,$A8,Documents!$C$2:$C$1421,"map")),"")</f>
        <v/>
      </c>
      <c r="H8">
        <f>IFERROR(IF(_xlfn.MAXIFS(Documents!$E$2:$E$1421,Documents!$A$2:$A$1421,$A8,Documents!$C$2:$C$1421,"dive_map")=0,"",_xlfn.MAXIFS(Documents!$E$2:$E$1421,Documents!$A$2:$A$1421,$A8,Documents!$C$2:$C$1421,"dive_map")),"")</f>
        <v/>
      </c>
      <c r="I8">
        <f>IFERROR(IF(_xlfn.MAXIFS(Documents!$E$2:$E$1421,Documents!$A$2:$A$1421,$A8,Documents!$C$2:$C$1421,"spa_menu")=0,"",_xlfn.MAXIFS(Documents!$E$2:$E$1421,Documents!$A$2:$A$1421,$A8,Documents!$C$2:$C$1421,"spa_menu")),"")</f>
        <v/>
      </c>
      <c r="J8">
        <f>IFERROR(IF(_xlfn.MAXIFS(Documents!$E$2:$E$1421,Documents!$A$2:$A$1421,$A8,Documents!$C$2:$C$1421,"dining_menu")=0,"",_xlfn.MAXIFS(Documents!$E$2:$E$1421,Documents!$A$2:$A$1421,$A8,Documents!$C$2:$C$1421,"dining_menu")),"")</f>
        <v/>
      </c>
      <c r="K8">
        <f>IFERROR(IF(_xlfn.MAXIFS(Documents!$E$2:$E$1421,Documents!$A$2:$A$1421,$A8,Documents!$C$2:$C$1421,"dive_prices")=0,"",_xlfn.MAXIFS(Documents!$E$2:$E$1421,Documents!$A$2:$A$1421,$A8,Documents!$C$2:$C$1421,"dive_prices")),"")</f>
        <v/>
      </c>
      <c r="L8">
        <f>IFERROR(IF(_xlfn.MAXIFS(Documents!$E$2:$E$1421,Documents!$A$2:$A$1421,$A8,Documents!$C$2:$C$1421,"excursions")=0,"",_xlfn.MAXIFS(Documents!$E$2:$E$1421,Documents!$A$2:$A$1421,$A8,Documents!$C$2:$C$1421,"excursions")),"")</f>
        <v/>
      </c>
      <c r="M8">
        <f>IFERROR(IF(_xlfn.MAXIFS(Documents!$E$2:$E$1421,Documents!$A$2:$A$1421,$A8,Documents!$C$2:$C$1421,"kids")=0,"",_xlfn.MAXIFS(Documents!$E$2:$E$1421,Documents!$A$2:$A$1421,$A8,Documents!$C$2:$C$1421,"kids")),"")</f>
        <v/>
      </c>
      <c r="N8">
        <f>IFERROR(IF(_xlfn.MAXIFS(Documents!$E$2:$E$1421,Documents!$A$2:$A$1421,$A8,Documents!$C$2:$C$1421,"villa_plans")=0,"",_xlfn.MAXIFS(Documents!$E$2:$E$1421,Documents!$A$2:$A$1421,$A8,Documents!$C$2:$C$1421,"villa_plans")),"")</f>
        <v/>
      </c>
      <c r="O8">
        <f>IFERROR(IF(_xlfn.MAXIFS(Documents!$E$2:$E$1421,Documents!$A$2:$A$1421,$A8,Documents!$C$2:$C$1421,"all_inclusive")=0,"",_xlfn.MAXIFS(Documents!$E$2:$E$1421,Documents!$A$2:$A$1421,$A8,Documents!$C$2:$C$1421,"all_inclusive")),"")</f>
        <v/>
      </c>
      <c r="P8">
        <f>IFERROR(IF(_xlfn.MAXIFS(Documents!$E$2:$E$1421,Documents!$A$2:$A$1421,$A8,Documents!$C$2:$C$1421,"sustainability")=0,"",_xlfn.MAXIFS(Documents!$E$2:$E$1421,Documents!$A$2:$A$1421,$A8,Documents!$C$2:$C$1421,"sustainability")),"")</f>
        <v/>
      </c>
      <c r="Q8">
        <f>IFERROR(IF(_xlfn.MAXIFS(Documents!$E$2:$E$1421,Documents!$A$2:$A$1421,$A8,Documents!$C$2:$C$1421,"calendar")=0,"",_xlfn.MAXIFS(Documents!$E$2:$E$1421,Documents!$A$2:$A$1421,$A8,Documents!$C$2:$C$1421,"calendar")),"")</f>
        <v/>
      </c>
      <c r="R8">
        <f>IFERROR(IF(_xlfn.MAXIFS(Documents!$E$2:$E$1421,Documents!$A$2:$A$1421,$A8,Documents!$C$2:$C$1421,"brochure")=0,"",_xlfn.MAXIFS(Documents!$E$2:$E$1421,Documents!$A$2:$A$1421,$A8,Documents!$C$2:$C$1421,"brochure")),"")</f>
        <v/>
      </c>
      <c r="S8">
        <f>IFERROR(IF(_xlfn.MAXIFS(Documents!$E$2:$E$1421,Documents!$A$2:$A$1421,$A8,Documents!$C$2:$C$1421,"press_kit")=0,"",_xlfn.MAXIFS(Documents!$E$2:$E$1421,Documents!$A$2:$A$1421,$A8,Documents!$C$2:$C$1421,"press_kit")),"")</f>
        <v/>
      </c>
      <c r="T8">
        <f>IFERROR(IF(_xlfn.MAXIFS(Documents!$E$2:$E$1421,Documents!$A$2:$A$1421,$A8,Documents!$C$2:$C$1421,"other")=0,"",_xlfn.MAXIFS(Documents!$E$2:$E$1421,Documents!$A$2:$A$1421,$A8,Documents!$C$2:$C$1421,"other")),"")</f>
        <v/>
      </c>
      <c r="U8">
        <f>IFERROR(IF(_xlfn.MAXIFS(Documents!$E$2:$E$1421,Documents!$A$2:$A$1421,$A8,Documents!$C$2:$C$1421,"obsolete")=0,"",_xlfn.MAXIFS(Documents!$E$2:$E$1421,Documents!$A$2:$A$1421,$A8,Documents!$C$2:$C$1421,"obsolete")),"")</f>
        <v/>
      </c>
      <c r="V8">
        <f>COUNTIFS(Documents!$A$2:$A$1421,$A8)</f>
        <v/>
      </c>
      <c r="W8">
        <f>COUNTIFS(Documents!$A$2:$A$1421,$A8,Documents!$R$2:$R$1421,"current")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IFERROR(IF(_xlfn.MAXIFS(Documents!$E$2:$E$1421,Documents!$A$2:$A$1421,$A9,Documents!$C$2:$C$1421,"factsheet")=0,"",_xlfn.MAXIFS(Documents!$E$2:$E$1421,Documents!$A$2:$A$1421,$A9,Documents!$C$2:$C$1421,"factsheet")),"")</f>
        <v/>
      </c>
      <c r="E9">
        <f>IFERROR(IF(_xlfn.MAXIFS(Documents!$E$2:$E$1421,Documents!$A$2:$A$1421,$A9,Documents!$C$2:$C$1421,"wedding")=0,"",_xlfn.MAXIFS(Documents!$E$2:$E$1421,Documents!$A$2:$A$1421,$A9,Documents!$C$2:$C$1421,"wedding")),"")</f>
        <v/>
      </c>
      <c r="F9">
        <f>IFERROR(IF(_xlfn.MAXIFS(Documents!$E$2:$E$1421,Documents!$A$2:$A$1421,$A9,Documents!$C$2:$C$1421,"events")=0,"",_xlfn.MAXIFS(Documents!$E$2:$E$1421,Documents!$A$2:$A$1421,$A9,Documents!$C$2:$C$1421,"events")),"")</f>
        <v/>
      </c>
      <c r="G9">
        <f>IFERROR(IF(_xlfn.MAXIFS(Documents!$E$2:$E$1421,Documents!$A$2:$A$1421,$A9,Documents!$C$2:$C$1421,"map")=0,"",_xlfn.MAXIFS(Documents!$E$2:$E$1421,Documents!$A$2:$A$1421,$A9,Documents!$C$2:$C$1421,"map")),"")</f>
        <v/>
      </c>
      <c r="H9">
        <f>IFERROR(IF(_xlfn.MAXIFS(Documents!$E$2:$E$1421,Documents!$A$2:$A$1421,$A9,Documents!$C$2:$C$1421,"dive_map")=0,"",_xlfn.MAXIFS(Documents!$E$2:$E$1421,Documents!$A$2:$A$1421,$A9,Documents!$C$2:$C$1421,"dive_map")),"")</f>
        <v/>
      </c>
      <c r="I9">
        <f>IFERROR(IF(_xlfn.MAXIFS(Documents!$E$2:$E$1421,Documents!$A$2:$A$1421,$A9,Documents!$C$2:$C$1421,"spa_menu")=0,"",_xlfn.MAXIFS(Documents!$E$2:$E$1421,Documents!$A$2:$A$1421,$A9,Documents!$C$2:$C$1421,"spa_menu")),"")</f>
        <v/>
      </c>
      <c r="J9">
        <f>IFERROR(IF(_xlfn.MAXIFS(Documents!$E$2:$E$1421,Documents!$A$2:$A$1421,$A9,Documents!$C$2:$C$1421,"dining_menu")=0,"",_xlfn.MAXIFS(Documents!$E$2:$E$1421,Documents!$A$2:$A$1421,$A9,Documents!$C$2:$C$1421,"dining_menu")),"")</f>
        <v/>
      </c>
      <c r="K9">
        <f>IFERROR(IF(_xlfn.MAXIFS(Documents!$E$2:$E$1421,Documents!$A$2:$A$1421,$A9,Documents!$C$2:$C$1421,"dive_prices")=0,"",_xlfn.MAXIFS(Documents!$E$2:$E$1421,Documents!$A$2:$A$1421,$A9,Documents!$C$2:$C$1421,"dive_prices")),"")</f>
        <v/>
      </c>
      <c r="L9">
        <f>IFERROR(IF(_xlfn.MAXIFS(Documents!$E$2:$E$1421,Documents!$A$2:$A$1421,$A9,Documents!$C$2:$C$1421,"excursions")=0,"",_xlfn.MAXIFS(Documents!$E$2:$E$1421,Documents!$A$2:$A$1421,$A9,Documents!$C$2:$C$1421,"excursions")),"")</f>
        <v/>
      </c>
      <c r="M9">
        <f>IFERROR(IF(_xlfn.MAXIFS(Documents!$E$2:$E$1421,Documents!$A$2:$A$1421,$A9,Documents!$C$2:$C$1421,"kids")=0,"",_xlfn.MAXIFS(Documents!$E$2:$E$1421,Documents!$A$2:$A$1421,$A9,Documents!$C$2:$C$1421,"kids")),"")</f>
        <v/>
      </c>
      <c r="N9">
        <f>IFERROR(IF(_xlfn.MAXIFS(Documents!$E$2:$E$1421,Documents!$A$2:$A$1421,$A9,Documents!$C$2:$C$1421,"villa_plans")=0,"",_xlfn.MAXIFS(Documents!$E$2:$E$1421,Documents!$A$2:$A$1421,$A9,Documents!$C$2:$C$1421,"villa_plans")),"")</f>
        <v/>
      </c>
      <c r="O9">
        <f>IFERROR(IF(_xlfn.MAXIFS(Documents!$E$2:$E$1421,Documents!$A$2:$A$1421,$A9,Documents!$C$2:$C$1421,"all_inclusive")=0,"",_xlfn.MAXIFS(Documents!$E$2:$E$1421,Documents!$A$2:$A$1421,$A9,Documents!$C$2:$C$1421,"all_inclusive")),"")</f>
        <v/>
      </c>
      <c r="P9">
        <f>IFERROR(IF(_xlfn.MAXIFS(Documents!$E$2:$E$1421,Documents!$A$2:$A$1421,$A9,Documents!$C$2:$C$1421,"sustainability")=0,"",_xlfn.MAXIFS(Documents!$E$2:$E$1421,Documents!$A$2:$A$1421,$A9,Documents!$C$2:$C$1421,"sustainability")),"")</f>
        <v/>
      </c>
      <c r="Q9">
        <f>IFERROR(IF(_xlfn.MAXIFS(Documents!$E$2:$E$1421,Documents!$A$2:$A$1421,$A9,Documents!$C$2:$C$1421,"calendar")=0,"",_xlfn.MAXIFS(Documents!$E$2:$E$1421,Documents!$A$2:$A$1421,$A9,Documents!$C$2:$C$1421,"calendar")),"")</f>
        <v/>
      </c>
      <c r="R9">
        <f>IFERROR(IF(_xlfn.MAXIFS(Documents!$E$2:$E$1421,Documents!$A$2:$A$1421,$A9,Documents!$C$2:$C$1421,"brochure")=0,"",_xlfn.MAXIFS(Documents!$E$2:$E$1421,Documents!$A$2:$A$1421,$A9,Documents!$C$2:$C$1421,"brochure")),"")</f>
        <v/>
      </c>
      <c r="S9">
        <f>IFERROR(IF(_xlfn.MAXIFS(Documents!$E$2:$E$1421,Documents!$A$2:$A$1421,$A9,Documents!$C$2:$C$1421,"press_kit")=0,"",_xlfn.MAXIFS(Documents!$E$2:$E$1421,Documents!$A$2:$A$1421,$A9,Documents!$C$2:$C$1421,"press_kit")),"")</f>
        <v/>
      </c>
      <c r="T9">
        <f>IFERROR(IF(_xlfn.MAXIFS(Documents!$E$2:$E$1421,Documents!$A$2:$A$1421,$A9,Documents!$C$2:$C$1421,"other")=0,"",_xlfn.MAXIFS(Documents!$E$2:$E$1421,Documents!$A$2:$A$1421,$A9,Documents!$C$2:$C$1421,"other")),"")</f>
        <v/>
      </c>
      <c r="U9">
        <f>IFERROR(IF(_xlfn.MAXIFS(Documents!$E$2:$E$1421,Documents!$A$2:$A$1421,$A9,Documents!$C$2:$C$1421,"obsolete")=0,"",_xlfn.MAXIFS(Documents!$E$2:$E$1421,Documents!$A$2:$A$1421,$A9,Documents!$C$2:$C$1421,"obsolete")),"")</f>
        <v/>
      </c>
      <c r="V9">
        <f>COUNTIFS(Documents!$A$2:$A$1421,$A9)</f>
        <v/>
      </c>
      <c r="W9">
        <f>COUNTIFS(Documents!$A$2:$A$1421,$A9,Documents!$R$2:$R$1421,"current")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IFERROR(IF(_xlfn.MAXIFS(Documents!$E$2:$E$1421,Documents!$A$2:$A$1421,$A10,Documents!$C$2:$C$1421,"factsheet")=0,"",_xlfn.MAXIFS(Documents!$E$2:$E$1421,Documents!$A$2:$A$1421,$A10,Documents!$C$2:$C$1421,"factsheet")),"")</f>
        <v/>
      </c>
      <c r="E10">
        <f>IFERROR(IF(_xlfn.MAXIFS(Documents!$E$2:$E$1421,Documents!$A$2:$A$1421,$A10,Documents!$C$2:$C$1421,"wedding")=0,"",_xlfn.MAXIFS(Documents!$E$2:$E$1421,Documents!$A$2:$A$1421,$A10,Documents!$C$2:$C$1421,"wedding")),"")</f>
        <v/>
      </c>
      <c r="F10">
        <f>IFERROR(IF(_xlfn.MAXIFS(Documents!$E$2:$E$1421,Documents!$A$2:$A$1421,$A10,Documents!$C$2:$C$1421,"events")=0,"",_xlfn.MAXIFS(Documents!$E$2:$E$1421,Documents!$A$2:$A$1421,$A10,Documents!$C$2:$C$1421,"events")),"")</f>
        <v/>
      </c>
      <c r="G10">
        <f>IFERROR(IF(_xlfn.MAXIFS(Documents!$E$2:$E$1421,Documents!$A$2:$A$1421,$A10,Documents!$C$2:$C$1421,"map")=0,"",_xlfn.MAXIFS(Documents!$E$2:$E$1421,Documents!$A$2:$A$1421,$A10,Documents!$C$2:$C$1421,"map")),"")</f>
        <v/>
      </c>
      <c r="H10">
        <f>IFERROR(IF(_xlfn.MAXIFS(Documents!$E$2:$E$1421,Documents!$A$2:$A$1421,$A10,Documents!$C$2:$C$1421,"dive_map")=0,"",_xlfn.MAXIFS(Documents!$E$2:$E$1421,Documents!$A$2:$A$1421,$A10,Documents!$C$2:$C$1421,"dive_map")),"")</f>
        <v/>
      </c>
      <c r="I10">
        <f>IFERROR(IF(_xlfn.MAXIFS(Documents!$E$2:$E$1421,Documents!$A$2:$A$1421,$A10,Documents!$C$2:$C$1421,"spa_menu")=0,"",_xlfn.MAXIFS(Documents!$E$2:$E$1421,Documents!$A$2:$A$1421,$A10,Documents!$C$2:$C$1421,"spa_menu")),"")</f>
        <v/>
      </c>
      <c r="J10">
        <f>IFERROR(IF(_xlfn.MAXIFS(Documents!$E$2:$E$1421,Documents!$A$2:$A$1421,$A10,Documents!$C$2:$C$1421,"dining_menu")=0,"",_xlfn.MAXIFS(Documents!$E$2:$E$1421,Documents!$A$2:$A$1421,$A10,Documents!$C$2:$C$1421,"dining_menu")),"")</f>
        <v/>
      </c>
      <c r="K10">
        <f>IFERROR(IF(_xlfn.MAXIFS(Documents!$E$2:$E$1421,Documents!$A$2:$A$1421,$A10,Documents!$C$2:$C$1421,"dive_prices")=0,"",_xlfn.MAXIFS(Documents!$E$2:$E$1421,Documents!$A$2:$A$1421,$A10,Documents!$C$2:$C$1421,"dive_prices")),"")</f>
        <v/>
      </c>
      <c r="L10">
        <f>IFERROR(IF(_xlfn.MAXIFS(Documents!$E$2:$E$1421,Documents!$A$2:$A$1421,$A10,Documents!$C$2:$C$1421,"excursions")=0,"",_xlfn.MAXIFS(Documents!$E$2:$E$1421,Documents!$A$2:$A$1421,$A10,Documents!$C$2:$C$1421,"excursions")),"")</f>
        <v/>
      </c>
      <c r="M10">
        <f>IFERROR(IF(_xlfn.MAXIFS(Documents!$E$2:$E$1421,Documents!$A$2:$A$1421,$A10,Documents!$C$2:$C$1421,"kids")=0,"",_xlfn.MAXIFS(Documents!$E$2:$E$1421,Documents!$A$2:$A$1421,$A10,Documents!$C$2:$C$1421,"kids")),"")</f>
        <v/>
      </c>
      <c r="N10">
        <f>IFERROR(IF(_xlfn.MAXIFS(Documents!$E$2:$E$1421,Documents!$A$2:$A$1421,$A10,Documents!$C$2:$C$1421,"villa_plans")=0,"",_xlfn.MAXIFS(Documents!$E$2:$E$1421,Documents!$A$2:$A$1421,$A10,Documents!$C$2:$C$1421,"villa_plans")),"")</f>
        <v/>
      </c>
      <c r="O10">
        <f>IFERROR(IF(_xlfn.MAXIFS(Documents!$E$2:$E$1421,Documents!$A$2:$A$1421,$A10,Documents!$C$2:$C$1421,"all_inclusive")=0,"",_xlfn.MAXIFS(Documents!$E$2:$E$1421,Documents!$A$2:$A$1421,$A10,Documents!$C$2:$C$1421,"all_inclusive")),"")</f>
        <v/>
      </c>
      <c r="P10">
        <f>IFERROR(IF(_xlfn.MAXIFS(Documents!$E$2:$E$1421,Documents!$A$2:$A$1421,$A10,Documents!$C$2:$C$1421,"sustainability")=0,"",_xlfn.MAXIFS(Documents!$E$2:$E$1421,Documents!$A$2:$A$1421,$A10,Documents!$C$2:$C$1421,"sustainability")),"")</f>
        <v/>
      </c>
      <c r="Q10">
        <f>IFERROR(IF(_xlfn.MAXIFS(Documents!$E$2:$E$1421,Documents!$A$2:$A$1421,$A10,Documents!$C$2:$C$1421,"calendar")=0,"",_xlfn.MAXIFS(Documents!$E$2:$E$1421,Documents!$A$2:$A$1421,$A10,Documents!$C$2:$C$1421,"calendar")),"")</f>
        <v/>
      </c>
      <c r="R10">
        <f>IFERROR(IF(_xlfn.MAXIFS(Documents!$E$2:$E$1421,Documents!$A$2:$A$1421,$A10,Documents!$C$2:$C$1421,"brochure")=0,"",_xlfn.MAXIFS(Documents!$E$2:$E$1421,Documents!$A$2:$A$1421,$A10,Documents!$C$2:$C$1421,"brochure")),"")</f>
        <v/>
      </c>
      <c r="S10">
        <f>IFERROR(IF(_xlfn.MAXIFS(Documents!$E$2:$E$1421,Documents!$A$2:$A$1421,$A10,Documents!$C$2:$C$1421,"press_kit")=0,"",_xlfn.MAXIFS(Documents!$E$2:$E$1421,Documents!$A$2:$A$1421,$A10,Documents!$C$2:$C$1421,"press_kit")),"")</f>
        <v/>
      </c>
      <c r="T10">
        <f>IFERROR(IF(_xlfn.MAXIFS(Documents!$E$2:$E$1421,Documents!$A$2:$A$1421,$A10,Documents!$C$2:$C$1421,"other")=0,"",_xlfn.MAXIFS(Documents!$E$2:$E$1421,Documents!$A$2:$A$1421,$A10,Documents!$C$2:$C$1421,"other")),"")</f>
        <v/>
      </c>
      <c r="U10">
        <f>IFERROR(IF(_xlfn.MAXIFS(Documents!$E$2:$E$1421,Documents!$A$2:$A$1421,$A10,Documents!$C$2:$C$1421,"obsolete")=0,"",_xlfn.MAXIFS(Documents!$E$2:$E$1421,Documents!$A$2:$A$1421,$A10,Documents!$C$2:$C$1421,"obsolete")),"")</f>
        <v/>
      </c>
      <c r="V10">
        <f>COUNTIFS(Documents!$A$2:$A$1421,$A10)</f>
        <v/>
      </c>
      <c r="W10">
        <f>COUNTIFS(Documents!$A$2:$A$1421,$A10,Documents!$R$2:$R$1421,"current")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IFERROR(IF(_xlfn.MAXIFS(Documents!$E$2:$E$1421,Documents!$A$2:$A$1421,$A11,Documents!$C$2:$C$1421,"factsheet")=0,"",_xlfn.MAXIFS(Documents!$E$2:$E$1421,Documents!$A$2:$A$1421,$A11,Documents!$C$2:$C$1421,"factsheet")),"")</f>
        <v/>
      </c>
      <c r="E11">
        <f>IFERROR(IF(_xlfn.MAXIFS(Documents!$E$2:$E$1421,Documents!$A$2:$A$1421,$A11,Documents!$C$2:$C$1421,"wedding")=0,"",_xlfn.MAXIFS(Documents!$E$2:$E$1421,Documents!$A$2:$A$1421,$A11,Documents!$C$2:$C$1421,"wedding")),"")</f>
        <v/>
      </c>
      <c r="F11">
        <f>IFERROR(IF(_xlfn.MAXIFS(Documents!$E$2:$E$1421,Documents!$A$2:$A$1421,$A11,Documents!$C$2:$C$1421,"events")=0,"",_xlfn.MAXIFS(Documents!$E$2:$E$1421,Documents!$A$2:$A$1421,$A11,Documents!$C$2:$C$1421,"events")),"")</f>
        <v/>
      </c>
      <c r="G11">
        <f>IFERROR(IF(_xlfn.MAXIFS(Documents!$E$2:$E$1421,Documents!$A$2:$A$1421,$A11,Documents!$C$2:$C$1421,"map")=0,"",_xlfn.MAXIFS(Documents!$E$2:$E$1421,Documents!$A$2:$A$1421,$A11,Documents!$C$2:$C$1421,"map")),"")</f>
        <v/>
      </c>
      <c r="H11">
        <f>IFERROR(IF(_xlfn.MAXIFS(Documents!$E$2:$E$1421,Documents!$A$2:$A$1421,$A11,Documents!$C$2:$C$1421,"dive_map")=0,"",_xlfn.MAXIFS(Documents!$E$2:$E$1421,Documents!$A$2:$A$1421,$A11,Documents!$C$2:$C$1421,"dive_map")),"")</f>
        <v/>
      </c>
      <c r="I11">
        <f>IFERROR(IF(_xlfn.MAXIFS(Documents!$E$2:$E$1421,Documents!$A$2:$A$1421,$A11,Documents!$C$2:$C$1421,"spa_menu")=0,"",_xlfn.MAXIFS(Documents!$E$2:$E$1421,Documents!$A$2:$A$1421,$A11,Documents!$C$2:$C$1421,"spa_menu")),"")</f>
        <v/>
      </c>
      <c r="J11">
        <f>IFERROR(IF(_xlfn.MAXIFS(Documents!$E$2:$E$1421,Documents!$A$2:$A$1421,$A11,Documents!$C$2:$C$1421,"dining_menu")=0,"",_xlfn.MAXIFS(Documents!$E$2:$E$1421,Documents!$A$2:$A$1421,$A11,Documents!$C$2:$C$1421,"dining_menu")),"")</f>
        <v/>
      </c>
      <c r="K11">
        <f>IFERROR(IF(_xlfn.MAXIFS(Documents!$E$2:$E$1421,Documents!$A$2:$A$1421,$A11,Documents!$C$2:$C$1421,"dive_prices")=0,"",_xlfn.MAXIFS(Documents!$E$2:$E$1421,Documents!$A$2:$A$1421,$A11,Documents!$C$2:$C$1421,"dive_prices")),"")</f>
        <v/>
      </c>
      <c r="L11">
        <f>IFERROR(IF(_xlfn.MAXIFS(Documents!$E$2:$E$1421,Documents!$A$2:$A$1421,$A11,Documents!$C$2:$C$1421,"excursions")=0,"",_xlfn.MAXIFS(Documents!$E$2:$E$1421,Documents!$A$2:$A$1421,$A11,Documents!$C$2:$C$1421,"excursions")),"")</f>
        <v/>
      </c>
      <c r="M11">
        <f>IFERROR(IF(_xlfn.MAXIFS(Documents!$E$2:$E$1421,Documents!$A$2:$A$1421,$A11,Documents!$C$2:$C$1421,"kids")=0,"",_xlfn.MAXIFS(Documents!$E$2:$E$1421,Documents!$A$2:$A$1421,$A11,Documents!$C$2:$C$1421,"kids")),"")</f>
        <v/>
      </c>
      <c r="N11">
        <f>IFERROR(IF(_xlfn.MAXIFS(Documents!$E$2:$E$1421,Documents!$A$2:$A$1421,$A11,Documents!$C$2:$C$1421,"villa_plans")=0,"",_xlfn.MAXIFS(Documents!$E$2:$E$1421,Documents!$A$2:$A$1421,$A11,Documents!$C$2:$C$1421,"villa_plans")),"")</f>
        <v/>
      </c>
      <c r="O11">
        <f>IFERROR(IF(_xlfn.MAXIFS(Documents!$E$2:$E$1421,Documents!$A$2:$A$1421,$A11,Documents!$C$2:$C$1421,"all_inclusive")=0,"",_xlfn.MAXIFS(Documents!$E$2:$E$1421,Documents!$A$2:$A$1421,$A11,Documents!$C$2:$C$1421,"all_inclusive")),"")</f>
        <v/>
      </c>
      <c r="P11">
        <f>IFERROR(IF(_xlfn.MAXIFS(Documents!$E$2:$E$1421,Documents!$A$2:$A$1421,$A11,Documents!$C$2:$C$1421,"sustainability")=0,"",_xlfn.MAXIFS(Documents!$E$2:$E$1421,Documents!$A$2:$A$1421,$A11,Documents!$C$2:$C$1421,"sustainability")),"")</f>
        <v/>
      </c>
      <c r="Q11">
        <f>IFERROR(IF(_xlfn.MAXIFS(Documents!$E$2:$E$1421,Documents!$A$2:$A$1421,$A11,Documents!$C$2:$C$1421,"calendar")=0,"",_xlfn.MAXIFS(Documents!$E$2:$E$1421,Documents!$A$2:$A$1421,$A11,Documents!$C$2:$C$1421,"calendar")),"")</f>
        <v/>
      </c>
      <c r="R11">
        <f>IFERROR(IF(_xlfn.MAXIFS(Documents!$E$2:$E$1421,Documents!$A$2:$A$1421,$A11,Documents!$C$2:$C$1421,"brochure")=0,"",_xlfn.MAXIFS(Documents!$E$2:$E$1421,Documents!$A$2:$A$1421,$A11,Documents!$C$2:$C$1421,"brochure")),"")</f>
        <v/>
      </c>
      <c r="S11">
        <f>IFERROR(IF(_xlfn.MAXIFS(Documents!$E$2:$E$1421,Documents!$A$2:$A$1421,$A11,Documents!$C$2:$C$1421,"press_kit")=0,"",_xlfn.MAXIFS(Documents!$E$2:$E$1421,Documents!$A$2:$A$1421,$A11,Documents!$C$2:$C$1421,"press_kit")),"")</f>
        <v/>
      </c>
      <c r="T11">
        <f>IFERROR(IF(_xlfn.MAXIFS(Documents!$E$2:$E$1421,Documents!$A$2:$A$1421,$A11,Documents!$C$2:$C$1421,"other")=0,"",_xlfn.MAXIFS(Documents!$E$2:$E$1421,Documents!$A$2:$A$1421,$A11,Documents!$C$2:$C$1421,"other")),"")</f>
        <v/>
      </c>
      <c r="U11">
        <f>IFERROR(IF(_xlfn.MAXIFS(Documents!$E$2:$E$1421,Documents!$A$2:$A$1421,$A11,Documents!$C$2:$C$1421,"obsolete")=0,"",_xlfn.MAXIFS(Documents!$E$2:$E$1421,Documents!$A$2:$A$1421,$A11,Documents!$C$2:$C$1421,"obsolete")),"")</f>
        <v/>
      </c>
      <c r="V11">
        <f>COUNTIFS(Documents!$A$2:$A$1421,$A11)</f>
        <v/>
      </c>
      <c r="W11">
        <f>COUNTIFS(Documents!$A$2:$A$1421,$A11,Documents!$R$2:$R$1421,"current")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IFERROR(IF(_xlfn.MAXIFS(Documents!$E$2:$E$1421,Documents!$A$2:$A$1421,$A12,Documents!$C$2:$C$1421,"factsheet")=0,"",_xlfn.MAXIFS(Documents!$E$2:$E$1421,Documents!$A$2:$A$1421,$A12,Documents!$C$2:$C$1421,"factsheet")),"")</f>
        <v/>
      </c>
      <c r="E12">
        <f>IFERROR(IF(_xlfn.MAXIFS(Documents!$E$2:$E$1421,Documents!$A$2:$A$1421,$A12,Documents!$C$2:$C$1421,"wedding")=0,"",_xlfn.MAXIFS(Documents!$E$2:$E$1421,Documents!$A$2:$A$1421,$A12,Documents!$C$2:$C$1421,"wedding")),"")</f>
        <v/>
      </c>
      <c r="F12">
        <f>IFERROR(IF(_xlfn.MAXIFS(Documents!$E$2:$E$1421,Documents!$A$2:$A$1421,$A12,Documents!$C$2:$C$1421,"events")=0,"",_xlfn.MAXIFS(Documents!$E$2:$E$1421,Documents!$A$2:$A$1421,$A12,Documents!$C$2:$C$1421,"events")),"")</f>
        <v/>
      </c>
      <c r="G12">
        <f>IFERROR(IF(_xlfn.MAXIFS(Documents!$E$2:$E$1421,Documents!$A$2:$A$1421,$A12,Documents!$C$2:$C$1421,"map")=0,"",_xlfn.MAXIFS(Documents!$E$2:$E$1421,Documents!$A$2:$A$1421,$A12,Documents!$C$2:$C$1421,"map")),"")</f>
        <v/>
      </c>
      <c r="H12">
        <f>IFERROR(IF(_xlfn.MAXIFS(Documents!$E$2:$E$1421,Documents!$A$2:$A$1421,$A12,Documents!$C$2:$C$1421,"dive_map")=0,"",_xlfn.MAXIFS(Documents!$E$2:$E$1421,Documents!$A$2:$A$1421,$A12,Documents!$C$2:$C$1421,"dive_map")),"")</f>
        <v/>
      </c>
      <c r="I12">
        <f>IFERROR(IF(_xlfn.MAXIFS(Documents!$E$2:$E$1421,Documents!$A$2:$A$1421,$A12,Documents!$C$2:$C$1421,"spa_menu")=0,"",_xlfn.MAXIFS(Documents!$E$2:$E$1421,Documents!$A$2:$A$1421,$A12,Documents!$C$2:$C$1421,"spa_menu")),"")</f>
        <v/>
      </c>
      <c r="J12">
        <f>IFERROR(IF(_xlfn.MAXIFS(Documents!$E$2:$E$1421,Documents!$A$2:$A$1421,$A12,Documents!$C$2:$C$1421,"dining_menu")=0,"",_xlfn.MAXIFS(Documents!$E$2:$E$1421,Documents!$A$2:$A$1421,$A12,Documents!$C$2:$C$1421,"dining_menu")),"")</f>
        <v/>
      </c>
      <c r="K12">
        <f>IFERROR(IF(_xlfn.MAXIFS(Documents!$E$2:$E$1421,Documents!$A$2:$A$1421,$A12,Documents!$C$2:$C$1421,"dive_prices")=0,"",_xlfn.MAXIFS(Documents!$E$2:$E$1421,Documents!$A$2:$A$1421,$A12,Documents!$C$2:$C$1421,"dive_prices")),"")</f>
        <v/>
      </c>
      <c r="L12">
        <f>IFERROR(IF(_xlfn.MAXIFS(Documents!$E$2:$E$1421,Documents!$A$2:$A$1421,$A12,Documents!$C$2:$C$1421,"excursions")=0,"",_xlfn.MAXIFS(Documents!$E$2:$E$1421,Documents!$A$2:$A$1421,$A12,Documents!$C$2:$C$1421,"excursions")),"")</f>
        <v/>
      </c>
      <c r="M12">
        <f>IFERROR(IF(_xlfn.MAXIFS(Documents!$E$2:$E$1421,Documents!$A$2:$A$1421,$A12,Documents!$C$2:$C$1421,"kids")=0,"",_xlfn.MAXIFS(Documents!$E$2:$E$1421,Documents!$A$2:$A$1421,$A12,Documents!$C$2:$C$1421,"kids")),"")</f>
        <v/>
      </c>
      <c r="N12">
        <f>IFERROR(IF(_xlfn.MAXIFS(Documents!$E$2:$E$1421,Documents!$A$2:$A$1421,$A12,Documents!$C$2:$C$1421,"villa_plans")=0,"",_xlfn.MAXIFS(Documents!$E$2:$E$1421,Documents!$A$2:$A$1421,$A12,Documents!$C$2:$C$1421,"villa_plans")),"")</f>
        <v/>
      </c>
      <c r="O12">
        <f>IFERROR(IF(_xlfn.MAXIFS(Documents!$E$2:$E$1421,Documents!$A$2:$A$1421,$A12,Documents!$C$2:$C$1421,"all_inclusive")=0,"",_xlfn.MAXIFS(Documents!$E$2:$E$1421,Documents!$A$2:$A$1421,$A12,Documents!$C$2:$C$1421,"all_inclusive")),"")</f>
        <v/>
      </c>
      <c r="P12">
        <f>IFERROR(IF(_xlfn.MAXIFS(Documents!$E$2:$E$1421,Documents!$A$2:$A$1421,$A12,Documents!$C$2:$C$1421,"sustainability")=0,"",_xlfn.MAXIFS(Documents!$E$2:$E$1421,Documents!$A$2:$A$1421,$A12,Documents!$C$2:$C$1421,"sustainability")),"")</f>
        <v/>
      </c>
      <c r="Q12">
        <f>IFERROR(IF(_xlfn.MAXIFS(Documents!$E$2:$E$1421,Documents!$A$2:$A$1421,$A12,Documents!$C$2:$C$1421,"calendar")=0,"",_xlfn.MAXIFS(Documents!$E$2:$E$1421,Documents!$A$2:$A$1421,$A12,Documents!$C$2:$C$1421,"calendar")),"")</f>
        <v/>
      </c>
      <c r="R12">
        <f>IFERROR(IF(_xlfn.MAXIFS(Documents!$E$2:$E$1421,Documents!$A$2:$A$1421,$A12,Documents!$C$2:$C$1421,"brochure")=0,"",_xlfn.MAXIFS(Documents!$E$2:$E$1421,Documents!$A$2:$A$1421,$A12,Documents!$C$2:$C$1421,"brochure")),"")</f>
        <v/>
      </c>
      <c r="S12">
        <f>IFERROR(IF(_xlfn.MAXIFS(Documents!$E$2:$E$1421,Documents!$A$2:$A$1421,$A12,Documents!$C$2:$C$1421,"press_kit")=0,"",_xlfn.MAXIFS(Documents!$E$2:$E$1421,Documents!$A$2:$A$1421,$A12,Documents!$C$2:$C$1421,"press_kit")),"")</f>
        <v/>
      </c>
      <c r="T12">
        <f>IFERROR(IF(_xlfn.MAXIFS(Documents!$E$2:$E$1421,Documents!$A$2:$A$1421,$A12,Documents!$C$2:$C$1421,"other")=0,"",_xlfn.MAXIFS(Documents!$E$2:$E$1421,Documents!$A$2:$A$1421,$A12,Documents!$C$2:$C$1421,"other")),"")</f>
        <v/>
      </c>
      <c r="U12">
        <f>IFERROR(IF(_xlfn.MAXIFS(Documents!$E$2:$E$1421,Documents!$A$2:$A$1421,$A12,Documents!$C$2:$C$1421,"obsolete")=0,"",_xlfn.MAXIFS(Documents!$E$2:$E$1421,Documents!$A$2:$A$1421,$A12,Documents!$C$2:$C$1421,"obsolete")),"")</f>
        <v/>
      </c>
      <c r="V12">
        <f>COUNTIFS(Documents!$A$2:$A$1421,$A12)</f>
        <v/>
      </c>
      <c r="W12">
        <f>COUNTIFS(Documents!$A$2:$A$1421,$A12,Documents!$R$2:$R$1421,"current")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IFERROR(IF(_xlfn.MAXIFS(Documents!$E$2:$E$1421,Documents!$A$2:$A$1421,$A13,Documents!$C$2:$C$1421,"factsheet")=0,"",_xlfn.MAXIFS(Documents!$E$2:$E$1421,Documents!$A$2:$A$1421,$A13,Documents!$C$2:$C$1421,"factsheet")),"")</f>
        <v/>
      </c>
      <c r="E13">
        <f>IFERROR(IF(_xlfn.MAXIFS(Documents!$E$2:$E$1421,Documents!$A$2:$A$1421,$A13,Documents!$C$2:$C$1421,"wedding")=0,"",_xlfn.MAXIFS(Documents!$E$2:$E$1421,Documents!$A$2:$A$1421,$A13,Documents!$C$2:$C$1421,"wedding")),"")</f>
        <v/>
      </c>
      <c r="F13">
        <f>IFERROR(IF(_xlfn.MAXIFS(Documents!$E$2:$E$1421,Documents!$A$2:$A$1421,$A13,Documents!$C$2:$C$1421,"events")=0,"",_xlfn.MAXIFS(Documents!$E$2:$E$1421,Documents!$A$2:$A$1421,$A13,Documents!$C$2:$C$1421,"events")),"")</f>
        <v/>
      </c>
      <c r="G13">
        <f>IFERROR(IF(_xlfn.MAXIFS(Documents!$E$2:$E$1421,Documents!$A$2:$A$1421,$A13,Documents!$C$2:$C$1421,"map")=0,"",_xlfn.MAXIFS(Documents!$E$2:$E$1421,Documents!$A$2:$A$1421,$A13,Documents!$C$2:$C$1421,"map")),"")</f>
        <v/>
      </c>
      <c r="H13">
        <f>IFERROR(IF(_xlfn.MAXIFS(Documents!$E$2:$E$1421,Documents!$A$2:$A$1421,$A13,Documents!$C$2:$C$1421,"dive_map")=0,"",_xlfn.MAXIFS(Documents!$E$2:$E$1421,Documents!$A$2:$A$1421,$A13,Documents!$C$2:$C$1421,"dive_map")),"")</f>
        <v/>
      </c>
      <c r="I13">
        <f>IFERROR(IF(_xlfn.MAXIFS(Documents!$E$2:$E$1421,Documents!$A$2:$A$1421,$A13,Documents!$C$2:$C$1421,"spa_menu")=0,"",_xlfn.MAXIFS(Documents!$E$2:$E$1421,Documents!$A$2:$A$1421,$A13,Documents!$C$2:$C$1421,"spa_menu")),"")</f>
        <v/>
      </c>
      <c r="J13">
        <f>IFERROR(IF(_xlfn.MAXIFS(Documents!$E$2:$E$1421,Documents!$A$2:$A$1421,$A13,Documents!$C$2:$C$1421,"dining_menu")=0,"",_xlfn.MAXIFS(Documents!$E$2:$E$1421,Documents!$A$2:$A$1421,$A13,Documents!$C$2:$C$1421,"dining_menu")),"")</f>
        <v/>
      </c>
      <c r="K13">
        <f>IFERROR(IF(_xlfn.MAXIFS(Documents!$E$2:$E$1421,Documents!$A$2:$A$1421,$A13,Documents!$C$2:$C$1421,"dive_prices")=0,"",_xlfn.MAXIFS(Documents!$E$2:$E$1421,Documents!$A$2:$A$1421,$A13,Documents!$C$2:$C$1421,"dive_prices")),"")</f>
        <v/>
      </c>
      <c r="L13">
        <f>IFERROR(IF(_xlfn.MAXIFS(Documents!$E$2:$E$1421,Documents!$A$2:$A$1421,$A13,Documents!$C$2:$C$1421,"excursions")=0,"",_xlfn.MAXIFS(Documents!$E$2:$E$1421,Documents!$A$2:$A$1421,$A13,Documents!$C$2:$C$1421,"excursions")),"")</f>
        <v/>
      </c>
      <c r="M13">
        <f>IFERROR(IF(_xlfn.MAXIFS(Documents!$E$2:$E$1421,Documents!$A$2:$A$1421,$A13,Documents!$C$2:$C$1421,"kids")=0,"",_xlfn.MAXIFS(Documents!$E$2:$E$1421,Documents!$A$2:$A$1421,$A13,Documents!$C$2:$C$1421,"kids")),"")</f>
        <v/>
      </c>
      <c r="N13">
        <f>IFERROR(IF(_xlfn.MAXIFS(Documents!$E$2:$E$1421,Documents!$A$2:$A$1421,$A13,Documents!$C$2:$C$1421,"villa_plans")=0,"",_xlfn.MAXIFS(Documents!$E$2:$E$1421,Documents!$A$2:$A$1421,$A13,Documents!$C$2:$C$1421,"villa_plans")),"")</f>
        <v/>
      </c>
      <c r="O13">
        <f>IFERROR(IF(_xlfn.MAXIFS(Documents!$E$2:$E$1421,Documents!$A$2:$A$1421,$A13,Documents!$C$2:$C$1421,"all_inclusive")=0,"",_xlfn.MAXIFS(Documents!$E$2:$E$1421,Documents!$A$2:$A$1421,$A13,Documents!$C$2:$C$1421,"all_inclusive")),"")</f>
        <v/>
      </c>
      <c r="P13">
        <f>IFERROR(IF(_xlfn.MAXIFS(Documents!$E$2:$E$1421,Documents!$A$2:$A$1421,$A13,Documents!$C$2:$C$1421,"sustainability")=0,"",_xlfn.MAXIFS(Documents!$E$2:$E$1421,Documents!$A$2:$A$1421,$A13,Documents!$C$2:$C$1421,"sustainability")),"")</f>
        <v/>
      </c>
      <c r="Q13">
        <f>IFERROR(IF(_xlfn.MAXIFS(Documents!$E$2:$E$1421,Documents!$A$2:$A$1421,$A13,Documents!$C$2:$C$1421,"calendar")=0,"",_xlfn.MAXIFS(Documents!$E$2:$E$1421,Documents!$A$2:$A$1421,$A13,Documents!$C$2:$C$1421,"calendar")),"")</f>
        <v/>
      </c>
      <c r="R13">
        <f>IFERROR(IF(_xlfn.MAXIFS(Documents!$E$2:$E$1421,Documents!$A$2:$A$1421,$A13,Documents!$C$2:$C$1421,"brochure")=0,"",_xlfn.MAXIFS(Documents!$E$2:$E$1421,Documents!$A$2:$A$1421,$A13,Documents!$C$2:$C$1421,"brochure")),"")</f>
        <v/>
      </c>
      <c r="S13">
        <f>IFERROR(IF(_xlfn.MAXIFS(Documents!$E$2:$E$1421,Documents!$A$2:$A$1421,$A13,Documents!$C$2:$C$1421,"press_kit")=0,"",_xlfn.MAXIFS(Documents!$E$2:$E$1421,Documents!$A$2:$A$1421,$A13,Documents!$C$2:$C$1421,"press_kit")),"")</f>
        <v/>
      </c>
      <c r="T13">
        <f>IFERROR(IF(_xlfn.MAXIFS(Documents!$E$2:$E$1421,Documents!$A$2:$A$1421,$A13,Documents!$C$2:$C$1421,"other")=0,"",_xlfn.MAXIFS(Documents!$E$2:$E$1421,Documents!$A$2:$A$1421,$A13,Documents!$C$2:$C$1421,"other")),"")</f>
        <v/>
      </c>
      <c r="U13">
        <f>IFERROR(IF(_xlfn.MAXIFS(Documents!$E$2:$E$1421,Documents!$A$2:$A$1421,$A13,Documents!$C$2:$C$1421,"obsolete")=0,"",_xlfn.MAXIFS(Documents!$E$2:$E$1421,Documents!$A$2:$A$1421,$A13,Documents!$C$2:$C$1421,"obsolete")),"")</f>
        <v/>
      </c>
      <c r="V13">
        <f>COUNTIFS(Documents!$A$2:$A$1421,$A13)</f>
        <v/>
      </c>
      <c r="W13">
        <f>COUNTIFS(Documents!$A$2:$A$1421,$A13,Documents!$R$2:$R$1421,"current")</f>
        <v/>
      </c>
      <c r="X13" t="inlineStr"/>
      <c r="Y13" t="inlineStr">
        <is>
          <t>factsheet, events</t>
        </is>
      </c>
      <c r="Z13" t="inlineStr"/>
    </row>
    <row r="14">
      <c r="A14" t="n">
        <v>13</v>
      </c>
      <c r="B14" t="inlineStr">
        <is>
          <t>Sandies Bathala</t>
        </is>
      </c>
      <c r="C14" t="inlineStr">
        <is>
          <t>ok</t>
        </is>
      </c>
      <c r="D14">
        <f>IFERROR(IF(_xlfn.MAXIFS(Documents!$E$2:$E$1421,Documents!$A$2:$A$1421,$A14,Documents!$C$2:$C$1421,"factsheet")=0,"",_xlfn.MAXIFS(Documents!$E$2:$E$1421,Documents!$A$2:$A$1421,$A14,Documents!$C$2:$C$1421,"factsheet")),"")</f>
        <v/>
      </c>
      <c r="E14">
        <f>IFERROR(IF(_xlfn.MAXIFS(Documents!$E$2:$E$1421,Documents!$A$2:$A$1421,$A14,Documents!$C$2:$C$1421,"wedding")=0,"",_xlfn.MAXIFS(Documents!$E$2:$E$1421,Documents!$A$2:$A$1421,$A14,Documents!$C$2:$C$1421,"wedding")),"")</f>
        <v/>
      </c>
      <c r="F14">
        <f>IFERROR(IF(_xlfn.MAXIFS(Documents!$E$2:$E$1421,Documents!$A$2:$A$1421,$A14,Documents!$C$2:$C$1421,"events")=0,"",_xlfn.MAXIFS(Documents!$E$2:$E$1421,Documents!$A$2:$A$1421,$A14,Documents!$C$2:$C$1421,"events")),"")</f>
        <v/>
      </c>
      <c r="G14">
        <f>IFERROR(IF(_xlfn.MAXIFS(Documents!$E$2:$E$1421,Documents!$A$2:$A$1421,$A14,Documents!$C$2:$C$1421,"map")=0,"",_xlfn.MAXIFS(Documents!$E$2:$E$1421,Documents!$A$2:$A$1421,$A14,Documents!$C$2:$C$1421,"map")),"")</f>
        <v/>
      </c>
      <c r="H14">
        <f>IFERROR(IF(_xlfn.MAXIFS(Documents!$E$2:$E$1421,Documents!$A$2:$A$1421,$A14,Documents!$C$2:$C$1421,"dive_map")=0,"",_xlfn.MAXIFS(Documents!$E$2:$E$1421,Documents!$A$2:$A$1421,$A14,Documents!$C$2:$C$1421,"dive_map")),"")</f>
        <v/>
      </c>
      <c r="I14">
        <f>IFERROR(IF(_xlfn.MAXIFS(Documents!$E$2:$E$1421,Documents!$A$2:$A$1421,$A14,Documents!$C$2:$C$1421,"spa_menu")=0,"",_xlfn.MAXIFS(Documents!$E$2:$E$1421,Documents!$A$2:$A$1421,$A14,Documents!$C$2:$C$1421,"spa_menu")),"")</f>
        <v/>
      </c>
      <c r="J14">
        <f>IFERROR(IF(_xlfn.MAXIFS(Documents!$E$2:$E$1421,Documents!$A$2:$A$1421,$A14,Documents!$C$2:$C$1421,"dining_menu")=0,"",_xlfn.MAXIFS(Documents!$E$2:$E$1421,Documents!$A$2:$A$1421,$A14,Documents!$C$2:$C$1421,"dining_menu")),"")</f>
        <v/>
      </c>
      <c r="K14">
        <f>IFERROR(IF(_xlfn.MAXIFS(Documents!$E$2:$E$1421,Documents!$A$2:$A$1421,$A14,Documents!$C$2:$C$1421,"dive_prices")=0,"",_xlfn.MAXIFS(Documents!$E$2:$E$1421,Documents!$A$2:$A$1421,$A14,Documents!$C$2:$C$1421,"dive_prices")),"")</f>
        <v/>
      </c>
      <c r="L14">
        <f>IFERROR(IF(_xlfn.MAXIFS(Documents!$E$2:$E$1421,Documents!$A$2:$A$1421,$A14,Documents!$C$2:$C$1421,"excursions")=0,"",_xlfn.MAXIFS(Documents!$E$2:$E$1421,Documents!$A$2:$A$1421,$A14,Documents!$C$2:$C$1421,"excursions")),"")</f>
        <v/>
      </c>
      <c r="M14">
        <f>IFERROR(IF(_xlfn.MAXIFS(Documents!$E$2:$E$1421,Documents!$A$2:$A$1421,$A14,Documents!$C$2:$C$1421,"kids")=0,"",_xlfn.MAXIFS(Documents!$E$2:$E$1421,Documents!$A$2:$A$1421,$A14,Documents!$C$2:$C$1421,"kids")),"")</f>
        <v/>
      </c>
      <c r="N14">
        <f>IFERROR(IF(_xlfn.MAXIFS(Documents!$E$2:$E$1421,Documents!$A$2:$A$1421,$A14,Documents!$C$2:$C$1421,"villa_plans")=0,"",_xlfn.MAXIFS(Documents!$E$2:$E$1421,Documents!$A$2:$A$1421,$A14,Documents!$C$2:$C$1421,"villa_plans")),"")</f>
        <v/>
      </c>
      <c r="O14">
        <f>IFERROR(IF(_xlfn.MAXIFS(Documents!$E$2:$E$1421,Documents!$A$2:$A$1421,$A14,Documents!$C$2:$C$1421,"all_inclusive")=0,"",_xlfn.MAXIFS(Documents!$E$2:$E$1421,Documents!$A$2:$A$1421,$A14,Documents!$C$2:$C$1421,"all_inclusive")),"")</f>
        <v/>
      </c>
      <c r="P14">
        <f>IFERROR(IF(_xlfn.MAXIFS(Documents!$E$2:$E$1421,Documents!$A$2:$A$1421,$A14,Documents!$C$2:$C$1421,"sustainability")=0,"",_xlfn.MAXIFS(Documents!$E$2:$E$1421,Documents!$A$2:$A$1421,$A14,Documents!$C$2:$C$1421,"sustainability")),"")</f>
        <v/>
      </c>
      <c r="Q14">
        <f>IFERROR(IF(_xlfn.MAXIFS(Documents!$E$2:$E$1421,Documents!$A$2:$A$1421,$A14,Documents!$C$2:$C$1421,"calendar")=0,"",_xlfn.MAXIFS(Documents!$E$2:$E$1421,Documents!$A$2:$A$1421,$A14,Documents!$C$2:$C$1421,"calendar")),"")</f>
        <v/>
      </c>
      <c r="R14">
        <f>IFERROR(IF(_xlfn.MAXIFS(Documents!$E$2:$E$1421,Documents!$A$2:$A$1421,$A14,Documents!$C$2:$C$1421,"brochure")=0,"",_xlfn.MAXIFS(Documents!$E$2:$E$1421,Documents!$A$2:$A$1421,$A14,Documents!$C$2:$C$1421,"brochure")),"")</f>
        <v/>
      </c>
      <c r="S14">
        <f>IFERROR(IF(_xlfn.MAXIFS(Documents!$E$2:$E$1421,Documents!$A$2:$A$1421,$A14,Documents!$C$2:$C$1421,"press_kit")=0,"",_xlfn.MAXIFS(Documents!$E$2:$E$1421,Documents!$A$2:$A$1421,$A14,Documents!$C$2:$C$1421,"press_kit")),"")</f>
        <v/>
      </c>
      <c r="T14">
        <f>IFERROR(IF(_xlfn.MAXIFS(Documents!$E$2:$E$1421,Documents!$A$2:$A$1421,$A14,Documents!$C$2:$C$1421,"other")=0,"",_xlfn.MAXIFS(Documents!$E$2:$E$1421,Documents!$A$2:$A$1421,$A14,Documents!$C$2:$C$1421,"other")),"")</f>
        <v/>
      </c>
      <c r="U14">
        <f>IFERROR(IF(_xlfn.MAXIFS(Documents!$E$2:$E$1421,Documents!$A$2:$A$1421,$A14,Documents!$C$2:$C$1421,"obsolete")=0,"",_xlfn.MAXIFS(Documents!$E$2:$E$1421,Documents!$A$2:$A$1421,$A14,Documents!$C$2:$C$1421,"obsolete")),"")</f>
        <v/>
      </c>
      <c r="V14">
        <f>COUNTIFS(Documents!$A$2:$A$1421,$A14)</f>
        <v/>
      </c>
      <c r="W14">
        <f>COUNTIFS(Documents!$A$2:$A$1421,$A14,Documents!$R$2:$R$1421,"current")</f>
        <v/>
      </c>
      <c r="X14" t="inlineStr"/>
      <c r="Y14" t="inlineStr">
        <is>
          <t>factsheet, wedding</t>
        </is>
      </c>
      <c r="Z14" t="inlineStr"/>
    </row>
    <row r="15">
      <c r="A15" t="n">
        <v>14</v>
      </c>
      <c r="B15" t="inlineStr">
        <is>
          <t>Baglioni Resort Maldives</t>
        </is>
      </c>
      <c r="C15" t="inlineStr">
        <is>
          <t>blocked</t>
        </is>
      </c>
      <c r="D15">
        <f>IFERROR(IF(_xlfn.MAXIFS(Documents!$E$2:$E$1421,Documents!$A$2:$A$1421,$A15,Documents!$C$2:$C$1421,"factsheet")=0,"",_xlfn.MAXIFS(Documents!$E$2:$E$1421,Documents!$A$2:$A$1421,$A15,Documents!$C$2:$C$1421,"factsheet")),"")</f>
        <v/>
      </c>
      <c r="E15">
        <f>IFERROR(IF(_xlfn.MAXIFS(Documents!$E$2:$E$1421,Documents!$A$2:$A$1421,$A15,Documents!$C$2:$C$1421,"wedding")=0,"",_xlfn.MAXIFS(Documents!$E$2:$E$1421,Documents!$A$2:$A$1421,$A15,Documents!$C$2:$C$1421,"wedding")),"")</f>
        <v/>
      </c>
      <c r="F15">
        <f>IFERROR(IF(_xlfn.MAXIFS(Documents!$E$2:$E$1421,Documents!$A$2:$A$1421,$A15,Documents!$C$2:$C$1421,"events")=0,"",_xlfn.MAXIFS(Documents!$E$2:$E$1421,Documents!$A$2:$A$1421,$A15,Documents!$C$2:$C$1421,"events")),"")</f>
        <v/>
      </c>
      <c r="G15">
        <f>IFERROR(IF(_xlfn.MAXIFS(Documents!$E$2:$E$1421,Documents!$A$2:$A$1421,$A15,Documents!$C$2:$C$1421,"map")=0,"",_xlfn.MAXIFS(Documents!$E$2:$E$1421,Documents!$A$2:$A$1421,$A15,Documents!$C$2:$C$1421,"map")),"")</f>
        <v/>
      </c>
      <c r="H15">
        <f>IFERROR(IF(_xlfn.MAXIFS(Documents!$E$2:$E$1421,Documents!$A$2:$A$1421,$A15,Documents!$C$2:$C$1421,"dive_map")=0,"",_xlfn.MAXIFS(Documents!$E$2:$E$1421,Documents!$A$2:$A$1421,$A15,Documents!$C$2:$C$1421,"dive_map")),"")</f>
        <v/>
      </c>
      <c r="I15">
        <f>IFERROR(IF(_xlfn.MAXIFS(Documents!$E$2:$E$1421,Documents!$A$2:$A$1421,$A15,Documents!$C$2:$C$1421,"spa_menu")=0,"",_xlfn.MAXIFS(Documents!$E$2:$E$1421,Documents!$A$2:$A$1421,$A15,Documents!$C$2:$C$1421,"spa_menu")),"")</f>
        <v/>
      </c>
      <c r="J15">
        <f>IFERROR(IF(_xlfn.MAXIFS(Documents!$E$2:$E$1421,Documents!$A$2:$A$1421,$A15,Documents!$C$2:$C$1421,"dining_menu")=0,"",_xlfn.MAXIFS(Documents!$E$2:$E$1421,Documents!$A$2:$A$1421,$A15,Documents!$C$2:$C$1421,"dining_menu")),"")</f>
        <v/>
      </c>
      <c r="K15">
        <f>IFERROR(IF(_xlfn.MAXIFS(Documents!$E$2:$E$1421,Documents!$A$2:$A$1421,$A15,Documents!$C$2:$C$1421,"dive_prices")=0,"",_xlfn.MAXIFS(Documents!$E$2:$E$1421,Documents!$A$2:$A$1421,$A15,Documents!$C$2:$C$1421,"dive_prices")),"")</f>
        <v/>
      </c>
      <c r="L15">
        <f>IFERROR(IF(_xlfn.MAXIFS(Documents!$E$2:$E$1421,Documents!$A$2:$A$1421,$A15,Documents!$C$2:$C$1421,"excursions")=0,"",_xlfn.MAXIFS(Documents!$E$2:$E$1421,Documents!$A$2:$A$1421,$A15,Documents!$C$2:$C$1421,"excursions")),"")</f>
        <v/>
      </c>
      <c r="M15">
        <f>IFERROR(IF(_xlfn.MAXIFS(Documents!$E$2:$E$1421,Documents!$A$2:$A$1421,$A15,Documents!$C$2:$C$1421,"kids")=0,"",_xlfn.MAXIFS(Documents!$E$2:$E$1421,Documents!$A$2:$A$1421,$A15,Documents!$C$2:$C$1421,"kids")),"")</f>
        <v/>
      </c>
      <c r="N15">
        <f>IFERROR(IF(_xlfn.MAXIFS(Documents!$E$2:$E$1421,Documents!$A$2:$A$1421,$A15,Documents!$C$2:$C$1421,"villa_plans")=0,"",_xlfn.MAXIFS(Documents!$E$2:$E$1421,Documents!$A$2:$A$1421,$A15,Documents!$C$2:$C$1421,"villa_plans")),"")</f>
        <v/>
      </c>
      <c r="O15">
        <f>IFERROR(IF(_xlfn.MAXIFS(Documents!$E$2:$E$1421,Documents!$A$2:$A$1421,$A15,Documents!$C$2:$C$1421,"all_inclusive")=0,"",_xlfn.MAXIFS(Documents!$E$2:$E$1421,Documents!$A$2:$A$1421,$A15,Documents!$C$2:$C$1421,"all_inclusive")),"")</f>
        <v/>
      </c>
      <c r="P15">
        <f>IFERROR(IF(_xlfn.MAXIFS(Documents!$E$2:$E$1421,Documents!$A$2:$A$1421,$A15,Documents!$C$2:$C$1421,"sustainability")=0,"",_xlfn.MAXIFS(Documents!$E$2:$E$1421,Documents!$A$2:$A$1421,$A15,Documents!$C$2:$C$1421,"sustainability")),"")</f>
        <v/>
      </c>
      <c r="Q15">
        <f>IFERROR(IF(_xlfn.MAXIFS(Documents!$E$2:$E$1421,Documents!$A$2:$A$1421,$A15,Documents!$C$2:$C$1421,"calendar")=0,"",_xlfn.MAXIFS(Documents!$E$2:$E$1421,Documents!$A$2:$A$1421,$A15,Documents!$C$2:$C$1421,"calendar")),"")</f>
        <v/>
      </c>
      <c r="R15">
        <f>IFERROR(IF(_xlfn.MAXIFS(Documents!$E$2:$E$1421,Documents!$A$2:$A$1421,$A15,Documents!$C$2:$C$1421,"brochure")=0,"",_xlfn.MAXIFS(Documents!$E$2:$E$1421,Documents!$A$2:$A$1421,$A15,Documents!$C$2:$C$1421,"brochure")),"")</f>
        <v/>
      </c>
      <c r="S15">
        <f>IFERROR(IF(_xlfn.MAXIFS(Documents!$E$2:$E$1421,Documents!$A$2:$A$1421,$A15,Documents!$C$2:$C$1421,"press_kit")=0,"",_xlfn.MAXIFS(Documents!$E$2:$E$1421,Documents!$A$2:$A$1421,$A15,Documents!$C$2:$C$1421,"press_kit")),"")</f>
        <v/>
      </c>
      <c r="T15">
        <f>IFERROR(IF(_xlfn.MAXIFS(Documents!$E$2:$E$1421,Documents!$A$2:$A$1421,$A15,Documents!$C$2:$C$1421,"other")=0,"",_xlfn.MAXIFS(Documents!$E$2:$E$1421,Documents!$A$2:$A$1421,$A15,Documents!$C$2:$C$1421,"other")),"")</f>
        <v/>
      </c>
      <c r="U15">
        <f>IFERROR(IF(_xlfn.MAXIFS(Documents!$E$2:$E$1421,Documents!$A$2:$A$1421,$A15,Documents!$C$2:$C$1421,"obsolete")=0,"",_xlfn.MAXIFS(Documents!$E$2:$E$1421,Documents!$A$2:$A$1421,$A15,Documents!$C$2:$C$1421,"obsolete")),"")</f>
        <v/>
      </c>
      <c r="V15">
        <f>COUNTIFS(Documents!$A$2:$A$1421,$A15)</f>
        <v/>
      </c>
      <c r="W15">
        <f>COUNTIFS(Documents!$A$2:$A$1421,$A15,Documents!$R$2:$R$1421,"current")</f>
        <v/>
      </c>
      <c r="X15" t="inlineStr"/>
      <c r="Y15" t="inlineStr">
        <is>
          <t>factsheet, wedding, events</t>
        </is>
      </c>
      <c r="Z15" t="inlineStr"/>
    </row>
    <row r="16">
      <c r="A16" t="n">
        <v>15</v>
      </c>
      <c r="B16" t="inlineStr">
        <is>
          <t>Alila Kothaifaru Maldives</t>
        </is>
      </c>
      <c r="C16" t="inlineStr">
        <is>
          <t>blocked</t>
        </is>
      </c>
      <c r="D16">
        <f>IFERROR(IF(_xlfn.MAXIFS(Documents!$E$2:$E$1421,Documents!$A$2:$A$1421,$A16,Documents!$C$2:$C$1421,"factsheet")=0,"",_xlfn.MAXIFS(Documents!$E$2:$E$1421,Documents!$A$2:$A$1421,$A16,Documents!$C$2:$C$1421,"factsheet")),"")</f>
        <v/>
      </c>
      <c r="E16">
        <f>IFERROR(IF(_xlfn.MAXIFS(Documents!$E$2:$E$1421,Documents!$A$2:$A$1421,$A16,Documents!$C$2:$C$1421,"wedding")=0,"",_xlfn.MAXIFS(Documents!$E$2:$E$1421,Documents!$A$2:$A$1421,$A16,Documents!$C$2:$C$1421,"wedding")),"")</f>
        <v/>
      </c>
      <c r="F16">
        <f>IFERROR(IF(_xlfn.MAXIFS(Documents!$E$2:$E$1421,Documents!$A$2:$A$1421,$A16,Documents!$C$2:$C$1421,"events")=0,"",_xlfn.MAXIFS(Documents!$E$2:$E$1421,Documents!$A$2:$A$1421,$A16,Documents!$C$2:$C$1421,"events")),"")</f>
        <v/>
      </c>
      <c r="G16">
        <f>IFERROR(IF(_xlfn.MAXIFS(Documents!$E$2:$E$1421,Documents!$A$2:$A$1421,$A16,Documents!$C$2:$C$1421,"map")=0,"",_xlfn.MAXIFS(Documents!$E$2:$E$1421,Documents!$A$2:$A$1421,$A16,Documents!$C$2:$C$1421,"map")),"")</f>
        <v/>
      </c>
      <c r="H16">
        <f>IFERROR(IF(_xlfn.MAXIFS(Documents!$E$2:$E$1421,Documents!$A$2:$A$1421,$A16,Documents!$C$2:$C$1421,"dive_map")=0,"",_xlfn.MAXIFS(Documents!$E$2:$E$1421,Documents!$A$2:$A$1421,$A16,Documents!$C$2:$C$1421,"dive_map")),"")</f>
        <v/>
      </c>
      <c r="I16">
        <f>IFERROR(IF(_xlfn.MAXIFS(Documents!$E$2:$E$1421,Documents!$A$2:$A$1421,$A16,Documents!$C$2:$C$1421,"spa_menu")=0,"",_xlfn.MAXIFS(Documents!$E$2:$E$1421,Documents!$A$2:$A$1421,$A16,Documents!$C$2:$C$1421,"spa_menu")),"")</f>
        <v/>
      </c>
      <c r="J16">
        <f>IFERROR(IF(_xlfn.MAXIFS(Documents!$E$2:$E$1421,Documents!$A$2:$A$1421,$A16,Documents!$C$2:$C$1421,"dining_menu")=0,"",_xlfn.MAXIFS(Documents!$E$2:$E$1421,Documents!$A$2:$A$1421,$A16,Documents!$C$2:$C$1421,"dining_menu")),"")</f>
        <v/>
      </c>
      <c r="K16">
        <f>IFERROR(IF(_xlfn.MAXIFS(Documents!$E$2:$E$1421,Documents!$A$2:$A$1421,$A16,Documents!$C$2:$C$1421,"dive_prices")=0,"",_xlfn.MAXIFS(Documents!$E$2:$E$1421,Documents!$A$2:$A$1421,$A16,Documents!$C$2:$C$1421,"dive_prices")),"")</f>
        <v/>
      </c>
      <c r="L16">
        <f>IFERROR(IF(_xlfn.MAXIFS(Documents!$E$2:$E$1421,Documents!$A$2:$A$1421,$A16,Documents!$C$2:$C$1421,"excursions")=0,"",_xlfn.MAXIFS(Documents!$E$2:$E$1421,Documents!$A$2:$A$1421,$A16,Documents!$C$2:$C$1421,"excursions")),"")</f>
        <v/>
      </c>
      <c r="M16">
        <f>IFERROR(IF(_xlfn.MAXIFS(Documents!$E$2:$E$1421,Documents!$A$2:$A$1421,$A16,Documents!$C$2:$C$1421,"kids")=0,"",_xlfn.MAXIFS(Documents!$E$2:$E$1421,Documents!$A$2:$A$1421,$A16,Documents!$C$2:$C$1421,"kids")),"")</f>
        <v/>
      </c>
      <c r="N16">
        <f>IFERROR(IF(_xlfn.MAXIFS(Documents!$E$2:$E$1421,Documents!$A$2:$A$1421,$A16,Documents!$C$2:$C$1421,"villa_plans")=0,"",_xlfn.MAXIFS(Documents!$E$2:$E$1421,Documents!$A$2:$A$1421,$A16,Documents!$C$2:$C$1421,"villa_plans")),"")</f>
        <v/>
      </c>
      <c r="O16">
        <f>IFERROR(IF(_xlfn.MAXIFS(Documents!$E$2:$E$1421,Documents!$A$2:$A$1421,$A16,Documents!$C$2:$C$1421,"all_inclusive")=0,"",_xlfn.MAXIFS(Documents!$E$2:$E$1421,Documents!$A$2:$A$1421,$A16,Documents!$C$2:$C$1421,"all_inclusive")),"")</f>
        <v/>
      </c>
      <c r="P16">
        <f>IFERROR(IF(_xlfn.MAXIFS(Documents!$E$2:$E$1421,Documents!$A$2:$A$1421,$A16,Documents!$C$2:$C$1421,"sustainability")=0,"",_xlfn.MAXIFS(Documents!$E$2:$E$1421,Documents!$A$2:$A$1421,$A16,Documents!$C$2:$C$1421,"sustainability")),"")</f>
        <v/>
      </c>
      <c r="Q16">
        <f>IFERROR(IF(_xlfn.MAXIFS(Documents!$E$2:$E$1421,Documents!$A$2:$A$1421,$A16,Documents!$C$2:$C$1421,"calendar")=0,"",_xlfn.MAXIFS(Documents!$E$2:$E$1421,Documents!$A$2:$A$1421,$A16,Documents!$C$2:$C$1421,"calendar")),"")</f>
        <v/>
      </c>
      <c r="R16">
        <f>IFERROR(IF(_xlfn.MAXIFS(Documents!$E$2:$E$1421,Documents!$A$2:$A$1421,$A16,Documents!$C$2:$C$1421,"brochure")=0,"",_xlfn.MAXIFS(Documents!$E$2:$E$1421,Documents!$A$2:$A$1421,$A16,Documents!$C$2:$C$1421,"brochure")),"")</f>
        <v/>
      </c>
      <c r="S16">
        <f>IFERROR(IF(_xlfn.MAXIFS(Documents!$E$2:$E$1421,Documents!$A$2:$A$1421,$A16,Documents!$C$2:$C$1421,"press_kit")=0,"",_xlfn.MAXIFS(Documents!$E$2:$E$1421,Documents!$A$2:$A$1421,$A16,Documents!$C$2:$C$1421,"press_kit")),"")</f>
        <v/>
      </c>
      <c r="T16">
        <f>IFERROR(IF(_xlfn.MAXIFS(Documents!$E$2:$E$1421,Documents!$A$2:$A$1421,$A16,Documents!$C$2:$C$1421,"other")=0,"",_xlfn.MAXIFS(Documents!$E$2:$E$1421,Documents!$A$2:$A$1421,$A16,Documents!$C$2:$C$1421,"other")),"")</f>
        <v/>
      </c>
      <c r="U16">
        <f>IFERROR(IF(_xlfn.MAXIFS(Documents!$E$2:$E$1421,Documents!$A$2:$A$1421,$A16,Documents!$C$2:$C$1421,"obsolete")=0,"",_xlfn.MAXIFS(Documents!$E$2:$E$1421,Documents!$A$2:$A$1421,$A16,Documents!$C$2:$C$1421,"obsolete")),"")</f>
        <v/>
      </c>
      <c r="V16">
        <f>COUNTIFS(Documents!$A$2:$A$1421,$A16)</f>
        <v/>
      </c>
      <c r="W16">
        <f>COUNTIFS(Documents!$A$2:$A$1421,$A16,Documents!$R$2:$R$1421,"current")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IFERROR(IF(_xlfn.MAXIFS(Documents!$E$2:$E$1421,Documents!$A$2:$A$1421,$A17,Documents!$C$2:$C$1421,"factsheet")=0,"",_xlfn.MAXIFS(Documents!$E$2:$E$1421,Documents!$A$2:$A$1421,$A17,Documents!$C$2:$C$1421,"factsheet")),"")</f>
        <v/>
      </c>
      <c r="E17">
        <f>IFERROR(IF(_xlfn.MAXIFS(Documents!$E$2:$E$1421,Documents!$A$2:$A$1421,$A17,Documents!$C$2:$C$1421,"wedding")=0,"",_xlfn.MAXIFS(Documents!$E$2:$E$1421,Documents!$A$2:$A$1421,$A17,Documents!$C$2:$C$1421,"wedding")),"")</f>
        <v/>
      </c>
      <c r="F17">
        <f>IFERROR(IF(_xlfn.MAXIFS(Documents!$E$2:$E$1421,Documents!$A$2:$A$1421,$A17,Documents!$C$2:$C$1421,"events")=0,"",_xlfn.MAXIFS(Documents!$E$2:$E$1421,Documents!$A$2:$A$1421,$A17,Documents!$C$2:$C$1421,"events")),"")</f>
        <v/>
      </c>
      <c r="G17">
        <f>IFERROR(IF(_xlfn.MAXIFS(Documents!$E$2:$E$1421,Documents!$A$2:$A$1421,$A17,Documents!$C$2:$C$1421,"map")=0,"",_xlfn.MAXIFS(Documents!$E$2:$E$1421,Documents!$A$2:$A$1421,$A17,Documents!$C$2:$C$1421,"map")),"")</f>
        <v/>
      </c>
      <c r="H17">
        <f>IFERROR(IF(_xlfn.MAXIFS(Documents!$E$2:$E$1421,Documents!$A$2:$A$1421,$A17,Documents!$C$2:$C$1421,"dive_map")=0,"",_xlfn.MAXIFS(Documents!$E$2:$E$1421,Documents!$A$2:$A$1421,$A17,Documents!$C$2:$C$1421,"dive_map")),"")</f>
        <v/>
      </c>
      <c r="I17">
        <f>IFERROR(IF(_xlfn.MAXIFS(Documents!$E$2:$E$1421,Documents!$A$2:$A$1421,$A17,Documents!$C$2:$C$1421,"spa_menu")=0,"",_xlfn.MAXIFS(Documents!$E$2:$E$1421,Documents!$A$2:$A$1421,$A17,Documents!$C$2:$C$1421,"spa_menu")),"")</f>
        <v/>
      </c>
      <c r="J17">
        <f>IFERROR(IF(_xlfn.MAXIFS(Documents!$E$2:$E$1421,Documents!$A$2:$A$1421,$A17,Documents!$C$2:$C$1421,"dining_menu")=0,"",_xlfn.MAXIFS(Documents!$E$2:$E$1421,Documents!$A$2:$A$1421,$A17,Documents!$C$2:$C$1421,"dining_menu")),"")</f>
        <v/>
      </c>
      <c r="K17">
        <f>IFERROR(IF(_xlfn.MAXIFS(Documents!$E$2:$E$1421,Documents!$A$2:$A$1421,$A17,Documents!$C$2:$C$1421,"dive_prices")=0,"",_xlfn.MAXIFS(Documents!$E$2:$E$1421,Documents!$A$2:$A$1421,$A17,Documents!$C$2:$C$1421,"dive_prices")),"")</f>
        <v/>
      </c>
      <c r="L17">
        <f>IFERROR(IF(_xlfn.MAXIFS(Documents!$E$2:$E$1421,Documents!$A$2:$A$1421,$A17,Documents!$C$2:$C$1421,"excursions")=0,"",_xlfn.MAXIFS(Documents!$E$2:$E$1421,Documents!$A$2:$A$1421,$A17,Documents!$C$2:$C$1421,"excursions")),"")</f>
        <v/>
      </c>
      <c r="M17">
        <f>IFERROR(IF(_xlfn.MAXIFS(Documents!$E$2:$E$1421,Documents!$A$2:$A$1421,$A17,Documents!$C$2:$C$1421,"kids")=0,"",_xlfn.MAXIFS(Documents!$E$2:$E$1421,Documents!$A$2:$A$1421,$A17,Documents!$C$2:$C$1421,"kids")),"")</f>
        <v/>
      </c>
      <c r="N17">
        <f>IFERROR(IF(_xlfn.MAXIFS(Documents!$E$2:$E$1421,Documents!$A$2:$A$1421,$A17,Documents!$C$2:$C$1421,"villa_plans")=0,"",_xlfn.MAXIFS(Documents!$E$2:$E$1421,Documents!$A$2:$A$1421,$A17,Documents!$C$2:$C$1421,"villa_plans")),"")</f>
        <v/>
      </c>
      <c r="O17">
        <f>IFERROR(IF(_xlfn.MAXIFS(Documents!$E$2:$E$1421,Documents!$A$2:$A$1421,$A17,Documents!$C$2:$C$1421,"all_inclusive")=0,"",_xlfn.MAXIFS(Documents!$E$2:$E$1421,Documents!$A$2:$A$1421,$A17,Documents!$C$2:$C$1421,"all_inclusive")),"")</f>
        <v/>
      </c>
      <c r="P17">
        <f>IFERROR(IF(_xlfn.MAXIFS(Documents!$E$2:$E$1421,Documents!$A$2:$A$1421,$A17,Documents!$C$2:$C$1421,"sustainability")=0,"",_xlfn.MAXIFS(Documents!$E$2:$E$1421,Documents!$A$2:$A$1421,$A17,Documents!$C$2:$C$1421,"sustainability")),"")</f>
        <v/>
      </c>
      <c r="Q17">
        <f>IFERROR(IF(_xlfn.MAXIFS(Documents!$E$2:$E$1421,Documents!$A$2:$A$1421,$A17,Documents!$C$2:$C$1421,"calendar")=0,"",_xlfn.MAXIFS(Documents!$E$2:$E$1421,Documents!$A$2:$A$1421,$A17,Documents!$C$2:$C$1421,"calendar")),"")</f>
        <v/>
      </c>
      <c r="R17">
        <f>IFERROR(IF(_xlfn.MAXIFS(Documents!$E$2:$E$1421,Documents!$A$2:$A$1421,$A17,Documents!$C$2:$C$1421,"brochure")=0,"",_xlfn.MAXIFS(Documents!$E$2:$E$1421,Documents!$A$2:$A$1421,$A17,Documents!$C$2:$C$1421,"brochure")),"")</f>
        <v/>
      </c>
      <c r="S17">
        <f>IFERROR(IF(_xlfn.MAXIFS(Documents!$E$2:$E$1421,Documents!$A$2:$A$1421,$A17,Documents!$C$2:$C$1421,"press_kit")=0,"",_xlfn.MAXIFS(Documents!$E$2:$E$1421,Documents!$A$2:$A$1421,$A17,Documents!$C$2:$C$1421,"press_kit")),"")</f>
        <v/>
      </c>
      <c r="T17">
        <f>IFERROR(IF(_xlfn.MAXIFS(Documents!$E$2:$E$1421,Documents!$A$2:$A$1421,$A17,Documents!$C$2:$C$1421,"other")=0,"",_xlfn.MAXIFS(Documents!$E$2:$E$1421,Documents!$A$2:$A$1421,$A17,Documents!$C$2:$C$1421,"other")),"")</f>
        <v/>
      </c>
      <c r="U17">
        <f>IFERROR(IF(_xlfn.MAXIFS(Documents!$E$2:$E$1421,Documents!$A$2:$A$1421,$A17,Documents!$C$2:$C$1421,"obsolete")=0,"",_xlfn.MAXIFS(Documents!$E$2:$E$1421,Documents!$A$2:$A$1421,$A17,Documents!$C$2:$C$1421,"obsolete")),"")</f>
        <v/>
      </c>
      <c r="V17">
        <f>COUNTIFS(Documents!$A$2:$A$1421,$A17)</f>
        <v/>
      </c>
      <c r="W17">
        <f>COUNTIFS(Documents!$A$2:$A$1421,$A17,Documents!$R$2:$R$1421,"current")</f>
        <v/>
      </c>
      <c r="X17" t="inlineStr"/>
      <c r="Y17" t="inlineStr">
        <is>
          <t>factsheet, wedding, events</t>
        </is>
      </c>
      <c r="Z17" t="inlineStr"/>
    </row>
    <row r="18">
      <c r="A18" t="n">
        <v>17</v>
      </c>
      <c r="B18" t="inlineStr">
        <is>
          <t>Rihiveli Maldives Resort</t>
        </is>
      </c>
      <c r="C18" t="inlineStr">
        <is>
          <t>unverified</t>
        </is>
      </c>
      <c r="D18">
        <f>IFERROR(IF(_xlfn.MAXIFS(Documents!$E$2:$E$1421,Documents!$A$2:$A$1421,$A18,Documents!$C$2:$C$1421,"factsheet")=0,"",_xlfn.MAXIFS(Documents!$E$2:$E$1421,Documents!$A$2:$A$1421,$A18,Documents!$C$2:$C$1421,"factsheet")),"")</f>
        <v/>
      </c>
      <c r="E18">
        <f>IFERROR(IF(_xlfn.MAXIFS(Documents!$E$2:$E$1421,Documents!$A$2:$A$1421,$A18,Documents!$C$2:$C$1421,"wedding")=0,"",_xlfn.MAXIFS(Documents!$E$2:$E$1421,Documents!$A$2:$A$1421,$A18,Documents!$C$2:$C$1421,"wedding")),"")</f>
        <v/>
      </c>
      <c r="F18">
        <f>IFERROR(IF(_xlfn.MAXIFS(Documents!$E$2:$E$1421,Documents!$A$2:$A$1421,$A18,Documents!$C$2:$C$1421,"events")=0,"",_xlfn.MAXIFS(Documents!$E$2:$E$1421,Documents!$A$2:$A$1421,$A18,Documents!$C$2:$C$1421,"events")),"")</f>
        <v/>
      </c>
      <c r="G18">
        <f>IFERROR(IF(_xlfn.MAXIFS(Documents!$E$2:$E$1421,Documents!$A$2:$A$1421,$A18,Documents!$C$2:$C$1421,"map")=0,"",_xlfn.MAXIFS(Documents!$E$2:$E$1421,Documents!$A$2:$A$1421,$A18,Documents!$C$2:$C$1421,"map")),"")</f>
        <v/>
      </c>
      <c r="H18">
        <f>IFERROR(IF(_xlfn.MAXIFS(Documents!$E$2:$E$1421,Documents!$A$2:$A$1421,$A18,Documents!$C$2:$C$1421,"dive_map")=0,"",_xlfn.MAXIFS(Documents!$E$2:$E$1421,Documents!$A$2:$A$1421,$A18,Documents!$C$2:$C$1421,"dive_map")),"")</f>
        <v/>
      </c>
      <c r="I18">
        <f>IFERROR(IF(_xlfn.MAXIFS(Documents!$E$2:$E$1421,Documents!$A$2:$A$1421,$A18,Documents!$C$2:$C$1421,"spa_menu")=0,"",_xlfn.MAXIFS(Documents!$E$2:$E$1421,Documents!$A$2:$A$1421,$A18,Documents!$C$2:$C$1421,"spa_menu")),"")</f>
        <v/>
      </c>
      <c r="J18">
        <f>IFERROR(IF(_xlfn.MAXIFS(Documents!$E$2:$E$1421,Documents!$A$2:$A$1421,$A18,Documents!$C$2:$C$1421,"dining_menu")=0,"",_xlfn.MAXIFS(Documents!$E$2:$E$1421,Documents!$A$2:$A$1421,$A18,Documents!$C$2:$C$1421,"dining_menu")),"")</f>
        <v/>
      </c>
      <c r="K18">
        <f>IFERROR(IF(_xlfn.MAXIFS(Documents!$E$2:$E$1421,Documents!$A$2:$A$1421,$A18,Documents!$C$2:$C$1421,"dive_prices")=0,"",_xlfn.MAXIFS(Documents!$E$2:$E$1421,Documents!$A$2:$A$1421,$A18,Documents!$C$2:$C$1421,"dive_prices")),"")</f>
        <v/>
      </c>
      <c r="L18">
        <f>IFERROR(IF(_xlfn.MAXIFS(Documents!$E$2:$E$1421,Documents!$A$2:$A$1421,$A18,Documents!$C$2:$C$1421,"excursions")=0,"",_xlfn.MAXIFS(Documents!$E$2:$E$1421,Documents!$A$2:$A$1421,$A18,Documents!$C$2:$C$1421,"excursions")),"")</f>
        <v/>
      </c>
      <c r="M18">
        <f>IFERROR(IF(_xlfn.MAXIFS(Documents!$E$2:$E$1421,Documents!$A$2:$A$1421,$A18,Documents!$C$2:$C$1421,"kids")=0,"",_xlfn.MAXIFS(Documents!$E$2:$E$1421,Documents!$A$2:$A$1421,$A18,Documents!$C$2:$C$1421,"kids")),"")</f>
        <v/>
      </c>
      <c r="N18">
        <f>IFERROR(IF(_xlfn.MAXIFS(Documents!$E$2:$E$1421,Documents!$A$2:$A$1421,$A18,Documents!$C$2:$C$1421,"villa_plans")=0,"",_xlfn.MAXIFS(Documents!$E$2:$E$1421,Documents!$A$2:$A$1421,$A18,Documents!$C$2:$C$1421,"villa_plans")),"")</f>
        <v/>
      </c>
      <c r="O18">
        <f>IFERROR(IF(_xlfn.MAXIFS(Documents!$E$2:$E$1421,Documents!$A$2:$A$1421,$A18,Documents!$C$2:$C$1421,"all_inclusive")=0,"",_xlfn.MAXIFS(Documents!$E$2:$E$1421,Documents!$A$2:$A$1421,$A18,Documents!$C$2:$C$1421,"all_inclusive")),"")</f>
        <v/>
      </c>
      <c r="P18">
        <f>IFERROR(IF(_xlfn.MAXIFS(Documents!$E$2:$E$1421,Documents!$A$2:$A$1421,$A18,Documents!$C$2:$C$1421,"sustainability")=0,"",_xlfn.MAXIFS(Documents!$E$2:$E$1421,Documents!$A$2:$A$1421,$A18,Documents!$C$2:$C$1421,"sustainability")),"")</f>
        <v/>
      </c>
      <c r="Q18">
        <f>IFERROR(IF(_xlfn.MAXIFS(Documents!$E$2:$E$1421,Documents!$A$2:$A$1421,$A18,Documents!$C$2:$C$1421,"calendar")=0,"",_xlfn.MAXIFS(Documents!$E$2:$E$1421,Documents!$A$2:$A$1421,$A18,Documents!$C$2:$C$1421,"calendar")),"")</f>
        <v/>
      </c>
      <c r="R18">
        <f>IFERROR(IF(_xlfn.MAXIFS(Documents!$E$2:$E$1421,Documents!$A$2:$A$1421,$A18,Documents!$C$2:$C$1421,"brochure")=0,"",_xlfn.MAXIFS(Documents!$E$2:$E$1421,Documents!$A$2:$A$1421,$A18,Documents!$C$2:$C$1421,"brochure")),"")</f>
        <v/>
      </c>
      <c r="S18">
        <f>IFERROR(IF(_xlfn.MAXIFS(Documents!$E$2:$E$1421,Documents!$A$2:$A$1421,$A18,Documents!$C$2:$C$1421,"press_kit")=0,"",_xlfn.MAXIFS(Documents!$E$2:$E$1421,Documents!$A$2:$A$1421,$A18,Documents!$C$2:$C$1421,"press_kit")),"")</f>
        <v/>
      </c>
      <c r="T18">
        <f>IFERROR(IF(_xlfn.MAXIFS(Documents!$E$2:$E$1421,Documents!$A$2:$A$1421,$A18,Documents!$C$2:$C$1421,"other")=0,"",_xlfn.MAXIFS(Documents!$E$2:$E$1421,Documents!$A$2:$A$1421,$A18,Documents!$C$2:$C$1421,"other")),"")</f>
        <v/>
      </c>
      <c r="U18">
        <f>IFERROR(IF(_xlfn.MAXIFS(Documents!$E$2:$E$1421,Documents!$A$2:$A$1421,$A18,Documents!$C$2:$C$1421,"obsolete")=0,"",_xlfn.MAXIFS(Documents!$E$2:$E$1421,Documents!$A$2:$A$1421,$A18,Documents!$C$2:$C$1421,"obsolete")),"")</f>
        <v/>
      </c>
      <c r="V18">
        <f>COUNTIFS(Documents!$A$2:$A$1421,$A18)</f>
        <v/>
      </c>
      <c r="W18">
        <f>COUNTIFS(Documents!$A$2:$A$1421,$A18,Documents!$R$2:$R$1421,"current")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IFERROR(IF(_xlfn.MAXIFS(Documents!$E$2:$E$1421,Documents!$A$2:$A$1421,$A19,Documents!$C$2:$C$1421,"factsheet")=0,"",_xlfn.MAXIFS(Documents!$E$2:$E$1421,Documents!$A$2:$A$1421,$A19,Documents!$C$2:$C$1421,"factsheet")),"")</f>
        <v/>
      </c>
      <c r="E19">
        <f>IFERROR(IF(_xlfn.MAXIFS(Documents!$E$2:$E$1421,Documents!$A$2:$A$1421,$A19,Documents!$C$2:$C$1421,"wedding")=0,"",_xlfn.MAXIFS(Documents!$E$2:$E$1421,Documents!$A$2:$A$1421,$A19,Documents!$C$2:$C$1421,"wedding")),"")</f>
        <v/>
      </c>
      <c r="F19">
        <f>IFERROR(IF(_xlfn.MAXIFS(Documents!$E$2:$E$1421,Documents!$A$2:$A$1421,$A19,Documents!$C$2:$C$1421,"events")=0,"",_xlfn.MAXIFS(Documents!$E$2:$E$1421,Documents!$A$2:$A$1421,$A19,Documents!$C$2:$C$1421,"events")),"")</f>
        <v/>
      </c>
      <c r="G19">
        <f>IFERROR(IF(_xlfn.MAXIFS(Documents!$E$2:$E$1421,Documents!$A$2:$A$1421,$A19,Documents!$C$2:$C$1421,"map")=0,"",_xlfn.MAXIFS(Documents!$E$2:$E$1421,Documents!$A$2:$A$1421,$A19,Documents!$C$2:$C$1421,"map")),"")</f>
        <v/>
      </c>
      <c r="H19">
        <f>IFERROR(IF(_xlfn.MAXIFS(Documents!$E$2:$E$1421,Documents!$A$2:$A$1421,$A19,Documents!$C$2:$C$1421,"dive_map")=0,"",_xlfn.MAXIFS(Documents!$E$2:$E$1421,Documents!$A$2:$A$1421,$A19,Documents!$C$2:$C$1421,"dive_map")),"")</f>
        <v/>
      </c>
      <c r="I19">
        <f>IFERROR(IF(_xlfn.MAXIFS(Documents!$E$2:$E$1421,Documents!$A$2:$A$1421,$A19,Documents!$C$2:$C$1421,"spa_menu")=0,"",_xlfn.MAXIFS(Documents!$E$2:$E$1421,Documents!$A$2:$A$1421,$A19,Documents!$C$2:$C$1421,"spa_menu")),"")</f>
        <v/>
      </c>
      <c r="J19">
        <f>IFERROR(IF(_xlfn.MAXIFS(Documents!$E$2:$E$1421,Documents!$A$2:$A$1421,$A19,Documents!$C$2:$C$1421,"dining_menu")=0,"",_xlfn.MAXIFS(Documents!$E$2:$E$1421,Documents!$A$2:$A$1421,$A19,Documents!$C$2:$C$1421,"dining_menu")),"")</f>
        <v/>
      </c>
      <c r="K19">
        <f>IFERROR(IF(_xlfn.MAXIFS(Documents!$E$2:$E$1421,Documents!$A$2:$A$1421,$A19,Documents!$C$2:$C$1421,"dive_prices")=0,"",_xlfn.MAXIFS(Documents!$E$2:$E$1421,Documents!$A$2:$A$1421,$A19,Documents!$C$2:$C$1421,"dive_prices")),"")</f>
        <v/>
      </c>
      <c r="L19">
        <f>IFERROR(IF(_xlfn.MAXIFS(Documents!$E$2:$E$1421,Documents!$A$2:$A$1421,$A19,Documents!$C$2:$C$1421,"excursions")=0,"",_xlfn.MAXIFS(Documents!$E$2:$E$1421,Documents!$A$2:$A$1421,$A19,Documents!$C$2:$C$1421,"excursions")),"")</f>
        <v/>
      </c>
      <c r="M19">
        <f>IFERROR(IF(_xlfn.MAXIFS(Documents!$E$2:$E$1421,Documents!$A$2:$A$1421,$A19,Documents!$C$2:$C$1421,"kids")=0,"",_xlfn.MAXIFS(Documents!$E$2:$E$1421,Documents!$A$2:$A$1421,$A19,Documents!$C$2:$C$1421,"kids")),"")</f>
        <v/>
      </c>
      <c r="N19">
        <f>IFERROR(IF(_xlfn.MAXIFS(Documents!$E$2:$E$1421,Documents!$A$2:$A$1421,$A19,Documents!$C$2:$C$1421,"villa_plans")=0,"",_xlfn.MAXIFS(Documents!$E$2:$E$1421,Documents!$A$2:$A$1421,$A19,Documents!$C$2:$C$1421,"villa_plans")),"")</f>
        <v/>
      </c>
      <c r="O19">
        <f>IFERROR(IF(_xlfn.MAXIFS(Documents!$E$2:$E$1421,Documents!$A$2:$A$1421,$A19,Documents!$C$2:$C$1421,"all_inclusive")=0,"",_xlfn.MAXIFS(Documents!$E$2:$E$1421,Documents!$A$2:$A$1421,$A19,Documents!$C$2:$C$1421,"all_inclusive")),"")</f>
        <v/>
      </c>
      <c r="P19">
        <f>IFERROR(IF(_xlfn.MAXIFS(Documents!$E$2:$E$1421,Documents!$A$2:$A$1421,$A19,Documents!$C$2:$C$1421,"sustainability")=0,"",_xlfn.MAXIFS(Documents!$E$2:$E$1421,Documents!$A$2:$A$1421,$A19,Documents!$C$2:$C$1421,"sustainability")),"")</f>
        <v/>
      </c>
      <c r="Q19">
        <f>IFERROR(IF(_xlfn.MAXIFS(Documents!$E$2:$E$1421,Documents!$A$2:$A$1421,$A19,Documents!$C$2:$C$1421,"calendar")=0,"",_xlfn.MAXIFS(Documents!$E$2:$E$1421,Documents!$A$2:$A$1421,$A19,Documents!$C$2:$C$1421,"calendar")),"")</f>
        <v/>
      </c>
      <c r="R19">
        <f>IFERROR(IF(_xlfn.MAXIFS(Documents!$E$2:$E$1421,Documents!$A$2:$A$1421,$A19,Documents!$C$2:$C$1421,"brochure")=0,"",_xlfn.MAXIFS(Documents!$E$2:$E$1421,Documents!$A$2:$A$1421,$A19,Documents!$C$2:$C$1421,"brochure")),"")</f>
        <v/>
      </c>
      <c r="S19">
        <f>IFERROR(IF(_xlfn.MAXIFS(Documents!$E$2:$E$1421,Documents!$A$2:$A$1421,$A19,Documents!$C$2:$C$1421,"press_kit")=0,"",_xlfn.MAXIFS(Documents!$E$2:$E$1421,Documents!$A$2:$A$1421,$A19,Documents!$C$2:$C$1421,"press_kit")),"")</f>
        <v/>
      </c>
      <c r="T19">
        <f>IFERROR(IF(_xlfn.MAXIFS(Documents!$E$2:$E$1421,Documents!$A$2:$A$1421,$A19,Documents!$C$2:$C$1421,"other")=0,"",_xlfn.MAXIFS(Documents!$E$2:$E$1421,Documents!$A$2:$A$1421,$A19,Documents!$C$2:$C$1421,"other")),"")</f>
        <v/>
      </c>
      <c r="U19">
        <f>IFERROR(IF(_xlfn.MAXIFS(Documents!$E$2:$E$1421,Documents!$A$2:$A$1421,$A19,Documents!$C$2:$C$1421,"obsolete")=0,"",_xlfn.MAXIFS(Documents!$E$2:$E$1421,Documents!$A$2:$A$1421,$A19,Documents!$C$2:$C$1421,"obsolete")),"")</f>
        <v/>
      </c>
      <c r="V19">
        <f>COUNTIFS(Documents!$A$2:$A$1421,$A19)</f>
        <v/>
      </c>
      <c r="W19">
        <f>COUNTIFS(Documents!$A$2:$A$1421,$A19,Documents!$R$2:$R$1421,"current")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IFERROR(IF(_xlfn.MAXIFS(Documents!$E$2:$E$1421,Documents!$A$2:$A$1421,$A20,Documents!$C$2:$C$1421,"factsheet")=0,"",_xlfn.MAXIFS(Documents!$E$2:$E$1421,Documents!$A$2:$A$1421,$A20,Documents!$C$2:$C$1421,"factsheet")),"")</f>
        <v/>
      </c>
      <c r="E20">
        <f>IFERROR(IF(_xlfn.MAXIFS(Documents!$E$2:$E$1421,Documents!$A$2:$A$1421,$A20,Documents!$C$2:$C$1421,"wedding")=0,"",_xlfn.MAXIFS(Documents!$E$2:$E$1421,Documents!$A$2:$A$1421,$A20,Documents!$C$2:$C$1421,"wedding")),"")</f>
        <v/>
      </c>
      <c r="F20">
        <f>IFERROR(IF(_xlfn.MAXIFS(Documents!$E$2:$E$1421,Documents!$A$2:$A$1421,$A20,Documents!$C$2:$C$1421,"events")=0,"",_xlfn.MAXIFS(Documents!$E$2:$E$1421,Documents!$A$2:$A$1421,$A20,Documents!$C$2:$C$1421,"events")),"")</f>
        <v/>
      </c>
      <c r="G20">
        <f>IFERROR(IF(_xlfn.MAXIFS(Documents!$E$2:$E$1421,Documents!$A$2:$A$1421,$A20,Documents!$C$2:$C$1421,"map")=0,"",_xlfn.MAXIFS(Documents!$E$2:$E$1421,Documents!$A$2:$A$1421,$A20,Documents!$C$2:$C$1421,"map")),"")</f>
        <v/>
      </c>
      <c r="H20">
        <f>IFERROR(IF(_xlfn.MAXIFS(Documents!$E$2:$E$1421,Documents!$A$2:$A$1421,$A20,Documents!$C$2:$C$1421,"dive_map")=0,"",_xlfn.MAXIFS(Documents!$E$2:$E$1421,Documents!$A$2:$A$1421,$A20,Documents!$C$2:$C$1421,"dive_map")),"")</f>
        <v/>
      </c>
      <c r="I20">
        <f>IFERROR(IF(_xlfn.MAXIFS(Documents!$E$2:$E$1421,Documents!$A$2:$A$1421,$A20,Documents!$C$2:$C$1421,"spa_menu")=0,"",_xlfn.MAXIFS(Documents!$E$2:$E$1421,Documents!$A$2:$A$1421,$A20,Documents!$C$2:$C$1421,"spa_menu")),"")</f>
        <v/>
      </c>
      <c r="J20">
        <f>IFERROR(IF(_xlfn.MAXIFS(Documents!$E$2:$E$1421,Documents!$A$2:$A$1421,$A20,Documents!$C$2:$C$1421,"dining_menu")=0,"",_xlfn.MAXIFS(Documents!$E$2:$E$1421,Documents!$A$2:$A$1421,$A20,Documents!$C$2:$C$1421,"dining_menu")),"")</f>
        <v/>
      </c>
      <c r="K20">
        <f>IFERROR(IF(_xlfn.MAXIFS(Documents!$E$2:$E$1421,Documents!$A$2:$A$1421,$A20,Documents!$C$2:$C$1421,"dive_prices")=0,"",_xlfn.MAXIFS(Documents!$E$2:$E$1421,Documents!$A$2:$A$1421,$A20,Documents!$C$2:$C$1421,"dive_prices")),"")</f>
        <v/>
      </c>
      <c r="L20">
        <f>IFERROR(IF(_xlfn.MAXIFS(Documents!$E$2:$E$1421,Documents!$A$2:$A$1421,$A20,Documents!$C$2:$C$1421,"excursions")=0,"",_xlfn.MAXIFS(Documents!$E$2:$E$1421,Documents!$A$2:$A$1421,$A20,Documents!$C$2:$C$1421,"excursions")),"")</f>
        <v/>
      </c>
      <c r="M20">
        <f>IFERROR(IF(_xlfn.MAXIFS(Documents!$E$2:$E$1421,Documents!$A$2:$A$1421,$A20,Documents!$C$2:$C$1421,"kids")=0,"",_xlfn.MAXIFS(Documents!$E$2:$E$1421,Documents!$A$2:$A$1421,$A20,Documents!$C$2:$C$1421,"kids")),"")</f>
        <v/>
      </c>
      <c r="N20">
        <f>IFERROR(IF(_xlfn.MAXIFS(Documents!$E$2:$E$1421,Documents!$A$2:$A$1421,$A20,Documents!$C$2:$C$1421,"villa_plans")=0,"",_xlfn.MAXIFS(Documents!$E$2:$E$1421,Documents!$A$2:$A$1421,$A20,Documents!$C$2:$C$1421,"villa_plans")),"")</f>
        <v/>
      </c>
      <c r="O20">
        <f>IFERROR(IF(_xlfn.MAXIFS(Documents!$E$2:$E$1421,Documents!$A$2:$A$1421,$A20,Documents!$C$2:$C$1421,"all_inclusive")=0,"",_xlfn.MAXIFS(Documents!$E$2:$E$1421,Documents!$A$2:$A$1421,$A20,Documents!$C$2:$C$1421,"all_inclusive")),"")</f>
        <v/>
      </c>
      <c r="P20">
        <f>IFERROR(IF(_xlfn.MAXIFS(Documents!$E$2:$E$1421,Documents!$A$2:$A$1421,$A20,Documents!$C$2:$C$1421,"sustainability")=0,"",_xlfn.MAXIFS(Documents!$E$2:$E$1421,Documents!$A$2:$A$1421,$A20,Documents!$C$2:$C$1421,"sustainability")),"")</f>
        <v/>
      </c>
      <c r="Q20">
        <f>IFERROR(IF(_xlfn.MAXIFS(Documents!$E$2:$E$1421,Documents!$A$2:$A$1421,$A20,Documents!$C$2:$C$1421,"calendar")=0,"",_xlfn.MAXIFS(Documents!$E$2:$E$1421,Documents!$A$2:$A$1421,$A20,Documents!$C$2:$C$1421,"calendar")),"")</f>
        <v/>
      </c>
      <c r="R20">
        <f>IFERROR(IF(_xlfn.MAXIFS(Documents!$E$2:$E$1421,Documents!$A$2:$A$1421,$A20,Documents!$C$2:$C$1421,"brochure")=0,"",_xlfn.MAXIFS(Documents!$E$2:$E$1421,Documents!$A$2:$A$1421,$A20,Documents!$C$2:$C$1421,"brochure")),"")</f>
        <v/>
      </c>
      <c r="S20">
        <f>IFERROR(IF(_xlfn.MAXIFS(Documents!$E$2:$E$1421,Documents!$A$2:$A$1421,$A20,Documents!$C$2:$C$1421,"press_kit")=0,"",_xlfn.MAXIFS(Documents!$E$2:$E$1421,Documents!$A$2:$A$1421,$A20,Documents!$C$2:$C$1421,"press_kit")),"")</f>
        <v/>
      </c>
      <c r="T20">
        <f>IFERROR(IF(_xlfn.MAXIFS(Documents!$E$2:$E$1421,Documents!$A$2:$A$1421,$A20,Documents!$C$2:$C$1421,"other")=0,"",_xlfn.MAXIFS(Documents!$E$2:$E$1421,Documents!$A$2:$A$1421,$A20,Documents!$C$2:$C$1421,"other")),"")</f>
        <v/>
      </c>
      <c r="U20">
        <f>IFERROR(IF(_xlfn.MAXIFS(Documents!$E$2:$E$1421,Documents!$A$2:$A$1421,$A20,Documents!$C$2:$C$1421,"obsolete")=0,"",_xlfn.MAXIFS(Documents!$E$2:$E$1421,Documents!$A$2:$A$1421,$A20,Documents!$C$2:$C$1421,"obsolete")),"")</f>
        <v/>
      </c>
      <c r="V20">
        <f>COUNTIFS(Documents!$A$2:$A$1421,$A20)</f>
        <v/>
      </c>
      <c r="W20">
        <f>COUNTIFS(Documents!$A$2:$A$1421,$A20,Documents!$R$2:$R$1421,"current")</f>
        <v/>
      </c>
      <c r="X20" t="inlineStr"/>
      <c r="Y20" t="inlineStr">
        <is>
          <t>factsheet</t>
        </is>
      </c>
      <c r="Z20" t="inlineStr"/>
    </row>
    <row r="21">
      <c r="A21" t="n">
        <v>20</v>
      </c>
      <c r="B21" t="inlineStr">
        <is>
          <t>The Residence Maldives At Dhigurah</t>
        </is>
      </c>
      <c r="C21" t="inlineStr">
        <is>
          <t>ok</t>
        </is>
      </c>
      <c r="D21">
        <f>IFERROR(IF(_xlfn.MAXIFS(Documents!$E$2:$E$1421,Documents!$A$2:$A$1421,$A21,Documents!$C$2:$C$1421,"factsheet")=0,"",_xlfn.MAXIFS(Documents!$E$2:$E$1421,Documents!$A$2:$A$1421,$A21,Documents!$C$2:$C$1421,"factsheet")),"")</f>
        <v/>
      </c>
      <c r="E21">
        <f>IFERROR(IF(_xlfn.MAXIFS(Documents!$E$2:$E$1421,Documents!$A$2:$A$1421,$A21,Documents!$C$2:$C$1421,"wedding")=0,"",_xlfn.MAXIFS(Documents!$E$2:$E$1421,Documents!$A$2:$A$1421,$A21,Documents!$C$2:$C$1421,"wedding")),"")</f>
        <v/>
      </c>
      <c r="F21">
        <f>IFERROR(IF(_xlfn.MAXIFS(Documents!$E$2:$E$1421,Documents!$A$2:$A$1421,$A21,Documents!$C$2:$C$1421,"events")=0,"",_xlfn.MAXIFS(Documents!$E$2:$E$1421,Documents!$A$2:$A$1421,$A21,Documents!$C$2:$C$1421,"events")),"")</f>
        <v/>
      </c>
      <c r="G21">
        <f>IFERROR(IF(_xlfn.MAXIFS(Documents!$E$2:$E$1421,Documents!$A$2:$A$1421,$A21,Documents!$C$2:$C$1421,"map")=0,"",_xlfn.MAXIFS(Documents!$E$2:$E$1421,Documents!$A$2:$A$1421,$A21,Documents!$C$2:$C$1421,"map")),"")</f>
        <v/>
      </c>
      <c r="H21">
        <f>IFERROR(IF(_xlfn.MAXIFS(Documents!$E$2:$E$1421,Documents!$A$2:$A$1421,$A21,Documents!$C$2:$C$1421,"dive_map")=0,"",_xlfn.MAXIFS(Documents!$E$2:$E$1421,Documents!$A$2:$A$1421,$A21,Documents!$C$2:$C$1421,"dive_map")),"")</f>
        <v/>
      </c>
      <c r="I21">
        <f>IFERROR(IF(_xlfn.MAXIFS(Documents!$E$2:$E$1421,Documents!$A$2:$A$1421,$A21,Documents!$C$2:$C$1421,"spa_menu")=0,"",_xlfn.MAXIFS(Documents!$E$2:$E$1421,Documents!$A$2:$A$1421,$A21,Documents!$C$2:$C$1421,"spa_menu")),"")</f>
        <v/>
      </c>
      <c r="J21">
        <f>IFERROR(IF(_xlfn.MAXIFS(Documents!$E$2:$E$1421,Documents!$A$2:$A$1421,$A21,Documents!$C$2:$C$1421,"dining_menu")=0,"",_xlfn.MAXIFS(Documents!$E$2:$E$1421,Documents!$A$2:$A$1421,$A21,Documents!$C$2:$C$1421,"dining_menu")),"")</f>
        <v/>
      </c>
      <c r="K21">
        <f>IFERROR(IF(_xlfn.MAXIFS(Documents!$E$2:$E$1421,Documents!$A$2:$A$1421,$A21,Documents!$C$2:$C$1421,"dive_prices")=0,"",_xlfn.MAXIFS(Documents!$E$2:$E$1421,Documents!$A$2:$A$1421,$A21,Documents!$C$2:$C$1421,"dive_prices")),"")</f>
        <v/>
      </c>
      <c r="L21">
        <f>IFERROR(IF(_xlfn.MAXIFS(Documents!$E$2:$E$1421,Documents!$A$2:$A$1421,$A21,Documents!$C$2:$C$1421,"excursions")=0,"",_xlfn.MAXIFS(Documents!$E$2:$E$1421,Documents!$A$2:$A$1421,$A21,Documents!$C$2:$C$1421,"excursions")),"")</f>
        <v/>
      </c>
      <c r="M21">
        <f>IFERROR(IF(_xlfn.MAXIFS(Documents!$E$2:$E$1421,Documents!$A$2:$A$1421,$A21,Documents!$C$2:$C$1421,"kids")=0,"",_xlfn.MAXIFS(Documents!$E$2:$E$1421,Documents!$A$2:$A$1421,$A21,Documents!$C$2:$C$1421,"kids")),"")</f>
        <v/>
      </c>
      <c r="N21">
        <f>IFERROR(IF(_xlfn.MAXIFS(Documents!$E$2:$E$1421,Documents!$A$2:$A$1421,$A21,Documents!$C$2:$C$1421,"villa_plans")=0,"",_xlfn.MAXIFS(Documents!$E$2:$E$1421,Documents!$A$2:$A$1421,$A21,Documents!$C$2:$C$1421,"villa_plans")),"")</f>
        <v/>
      </c>
      <c r="O21">
        <f>IFERROR(IF(_xlfn.MAXIFS(Documents!$E$2:$E$1421,Documents!$A$2:$A$1421,$A21,Documents!$C$2:$C$1421,"all_inclusive")=0,"",_xlfn.MAXIFS(Documents!$E$2:$E$1421,Documents!$A$2:$A$1421,$A21,Documents!$C$2:$C$1421,"all_inclusive")),"")</f>
        <v/>
      </c>
      <c r="P21">
        <f>IFERROR(IF(_xlfn.MAXIFS(Documents!$E$2:$E$1421,Documents!$A$2:$A$1421,$A21,Documents!$C$2:$C$1421,"sustainability")=0,"",_xlfn.MAXIFS(Documents!$E$2:$E$1421,Documents!$A$2:$A$1421,$A21,Documents!$C$2:$C$1421,"sustainability")),"")</f>
        <v/>
      </c>
      <c r="Q21">
        <f>IFERROR(IF(_xlfn.MAXIFS(Documents!$E$2:$E$1421,Documents!$A$2:$A$1421,$A21,Documents!$C$2:$C$1421,"calendar")=0,"",_xlfn.MAXIFS(Documents!$E$2:$E$1421,Documents!$A$2:$A$1421,$A21,Documents!$C$2:$C$1421,"calendar")),"")</f>
        <v/>
      </c>
      <c r="R21">
        <f>IFERROR(IF(_xlfn.MAXIFS(Documents!$E$2:$E$1421,Documents!$A$2:$A$1421,$A21,Documents!$C$2:$C$1421,"brochure")=0,"",_xlfn.MAXIFS(Documents!$E$2:$E$1421,Documents!$A$2:$A$1421,$A21,Documents!$C$2:$C$1421,"brochure")),"")</f>
        <v/>
      </c>
      <c r="S21">
        <f>IFERROR(IF(_xlfn.MAXIFS(Documents!$E$2:$E$1421,Documents!$A$2:$A$1421,$A21,Documents!$C$2:$C$1421,"press_kit")=0,"",_xlfn.MAXIFS(Documents!$E$2:$E$1421,Documents!$A$2:$A$1421,$A21,Documents!$C$2:$C$1421,"press_kit")),"")</f>
        <v/>
      </c>
      <c r="T21">
        <f>IFERROR(IF(_xlfn.MAXIFS(Documents!$E$2:$E$1421,Documents!$A$2:$A$1421,$A21,Documents!$C$2:$C$1421,"other")=0,"",_xlfn.MAXIFS(Documents!$E$2:$E$1421,Documents!$A$2:$A$1421,$A21,Documents!$C$2:$C$1421,"other")),"")</f>
        <v/>
      </c>
      <c r="U21">
        <f>IFERROR(IF(_xlfn.MAXIFS(Documents!$E$2:$E$1421,Documents!$A$2:$A$1421,$A21,Documents!$C$2:$C$1421,"obsolete")=0,"",_xlfn.MAXIFS(Documents!$E$2:$E$1421,Documents!$A$2:$A$1421,$A21,Documents!$C$2:$C$1421,"obsolete")),"")</f>
        <v/>
      </c>
      <c r="V21">
        <f>COUNTIFS(Documents!$A$2:$A$1421,$A21)</f>
        <v/>
      </c>
      <c r="W21">
        <f>COUNTIFS(Documents!$A$2:$A$1421,$A21,Documents!$R$2:$R$1421,"current")</f>
        <v/>
      </c>
      <c r="X21" t="inlineStr"/>
      <c r="Y21" t="inlineStr">
        <is>
          <t>factsheet, events</t>
        </is>
      </c>
      <c r="Z21" t="inlineStr"/>
    </row>
    <row r="22">
      <c r="A22" t="n">
        <v>21</v>
      </c>
      <c r="B22" t="inlineStr">
        <is>
          <t>Brennia Kottefaru</t>
        </is>
      </c>
      <c r="C22" t="inlineStr">
        <is>
          <t>ok</t>
        </is>
      </c>
      <c r="D22">
        <f>IFERROR(IF(_xlfn.MAXIFS(Documents!$E$2:$E$1421,Documents!$A$2:$A$1421,$A22,Documents!$C$2:$C$1421,"factsheet")=0,"",_xlfn.MAXIFS(Documents!$E$2:$E$1421,Documents!$A$2:$A$1421,$A22,Documents!$C$2:$C$1421,"factsheet")),"")</f>
        <v/>
      </c>
      <c r="E22">
        <f>IFERROR(IF(_xlfn.MAXIFS(Documents!$E$2:$E$1421,Documents!$A$2:$A$1421,$A22,Documents!$C$2:$C$1421,"wedding")=0,"",_xlfn.MAXIFS(Documents!$E$2:$E$1421,Documents!$A$2:$A$1421,$A22,Documents!$C$2:$C$1421,"wedding")),"")</f>
        <v/>
      </c>
      <c r="F22">
        <f>IFERROR(IF(_xlfn.MAXIFS(Documents!$E$2:$E$1421,Documents!$A$2:$A$1421,$A22,Documents!$C$2:$C$1421,"events")=0,"",_xlfn.MAXIFS(Documents!$E$2:$E$1421,Documents!$A$2:$A$1421,$A22,Documents!$C$2:$C$1421,"events")),"")</f>
        <v/>
      </c>
      <c r="G22">
        <f>IFERROR(IF(_xlfn.MAXIFS(Documents!$E$2:$E$1421,Documents!$A$2:$A$1421,$A22,Documents!$C$2:$C$1421,"map")=0,"",_xlfn.MAXIFS(Documents!$E$2:$E$1421,Documents!$A$2:$A$1421,$A22,Documents!$C$2:$C$1421,"map")),"")</f>
        <v/>
      </c>
      <c r="H22">
        <f>IFERROR(IF(_xlfn.MAXIFS(Documents!$E$2:$E$1421,Documents!$A$2:$A$1421,$A22,Documents!$C$2:$C$1421,"dive_map")=0,"",_xlfn.MAXIFS(Documents!$E$2:$E$1421,Documents!$A$2:$A$1421,$A22,Documents!$C$2:$C$1421,"dive_map")),"")</f>
        <v/>
      </c>
      <c r="I22">
        <f>IFERROR(IF(_xlfn.MAXIFS(Documents!$E$2:$E$1421,Documents!$A$2:$A$1421,$A22,Documents!$C$2:$C$1421,"spa_menu")=0,"",_xlfn.MAXIFS(Documents!$E$2:$E$1421,Documents!$A$2:$A$1421,$A22,Documents!$C$2:$C$1421,"spa_menu")),"")</f>
        <v/>
      </c>
      <c r="J22">
        <f>IFERROR(IF(_xlfn.MAXIFS(Documents!$E$2:$E$1421,Documents!$A$2:$A$1421,$A22,Documents!$C$2:$C$1421,"dining_menu")=0,"",_xlfn.MAXIFS(Documents!$E$2:$E$1421,Documents!$A$2:$A$1421,$A22,Documents!$C$2:$C$1421,"dining_menu")),"")</f>
        <v/>
      </c>
      <c r="K22">
        <f>IFERROR(IF(_xlfn.MAXIFS(Documents!$E$2:$E$1421,Documents!$A$2:$A$1421,$A22,Documents!$C$2:$C$1421,"dive_prices")=0,"",_xlfn.MAXIFS(Documents!$E$2:$E$1421,Documents!$A$2:$A$1421,$A22,Documents!$C$2:$C$1421,"dive_prices")),"")</f>
        <v/>
      </c>
      <c r="L22">
        <f>IFERROR(IF(_xlfn.MAXIFS(Documents!$E$2:$E$1421,Documents!$A$2:$A$1421,$A22,Documents!$C$2:$C$1421,"excursions")=0,"",_xlfn.MAXIFS(Documents!$E$2:$E$1421,Documents!$A$2:$A$1421,$A22,Documents!$C$2:$C$1421,"excursions")),"")</f>
        <v/>
      </c>
      <c r="M22">
        <f>IFERROR(IF(_xlfn.MAXIFS(Documents!$E$2:$E$1421,Documents!$A$2:$A$1421,$A22,Documents!$C$2:$C$1421,"kids")=0,"",_xlfn.MAXIFS(Documents!$E$2:$E$1421,Documents!$A$2:$A$1421,$A22,Documents!$C$2:$C$1421,"kids")),"")</f>
        <v/>
      </c>
      <c r="N22">
        <f>IFERROR(IF(_xlfn.MAXIFS(Documents!$E$2:$E$1421,Documents!$A$2:$A$1421,$A22,Documents!$C$2:$C$1421,"villa_plans")=0,"",_xlfn.MAXIFS(Documents!$E$2:$E$1421,Documents!$A$2:$A$1421,$A22,Documents!$C$2:$C$1421,"villa_plans")),"")</f>
        <v/>
      </c>
      <c r="O22">
        <f>IFERROR(IF(_xlfn.MAXIFS(Documents!$E$2:$E$1421,Documents!$A$2:$A$1421,$A22,Documents!$C$2:$C$1421,"all_inclusive")=0,"",_xlfn.MAXIFS(Documents!$E$2:$E$1421,Documents!$A$2:$A$1421,$A22,Documents!$C$2:$C$1421,"all_inclusive")),"")</f>
        <v/>
      </c>
      <c r="P22">
        <f>IFERROR(IF(_xlfn.MAXIFS(Documents!$E$2:$E$1421,Documents!$A$2:$A$1421,$A22,Documents!$C$2:$C$1421,"sustainability")=0,"",_xlfn.MAXIFS(Documents!$E$2:$E$1421,Documents!$A$2:$A$1421,$A22,Documents!$C$2:$C$1421,"sustainability")),"")</f>
        <v/>
      </c>
      <c r="Q22">
        <f>IFERROR(IF(_xlfn.MAXIFS(Documents!$E$2:$E$1421,Documents!$A$2:$A$1421,$A22,Documents!$C$2:$C$1421,"calendar")=0,"",_xlfn.MAXIFS(Documents!$E$2:$E$1421,Documents!$A$2:$A$1421,$A22,Documents!$C$2:$C$1421,"calendar")),"")</f>
        <v/>
      </c>
      <c r="R22">
        <f>IFERROR(IF(_xlfn.MAXIFS(Documents!$E$2:$E$1421,Documents!$A$2:$A$1421,$A22,Documents!$C$2:$C$1421,"brochure")=0,"",_xlfn.MAXIFS(Documents!$E$2:$E$1421,Documents!$A$2:$A$1421,$A22,Documents!$C$2:$C$1421,"brochure")),"")</f>
        <v/>
      </c>
      <c r="S22">
        <f>IFERROR(IF(_xlfn.MAXIFS(Documents!$E$2:$E$1421,Documents!$A$2:$A$1421,$A22,Documents!$C$2:$C$1421,"press_kit")=0,"",_xlfn.MAXIFS(Documents!$E$2:$E$1421,Documents!$A$2:$A$1421,$A22,Documents!$C$2:$C$1421,"press_kit")),"")</f>
        <v/>
      </c>
      <c r="T22">
        <f>IFERROR(IF(_xlfn.MAXIFS(Documents!$E$2:$E$1421,Documents!$A$2:$A$1421,$A22,Documents!$C$2:$C$1421,"other")=0,"",_xlfn.MAXIFS(Documents!$E$2:$E$1421,Documents!$A$2:$A$1421,$A22,Documents!$C$2:$C$1421,"other")),"")</f>
        <v/>
      </c>
      <c r="U22">
        <f>IFERROR(IF(_xlfn.MAXIFS(Documents!$E$2:$E$1421,Documents!$A$2:$A$1421,$A22,Documents!$C$2:$C$1421,"obsolete")=0,"",_xlfn.MAXIFS(Documents!$E$2:$E$1421,Documents!$A$2:$A$1421,$A22,Documents!$C$2:$C$1421,"obsolete")),"")</f>
        <v/>
      </c>
      <c r="V22">
        <f>COUNTIFS(Documents!$A$2:$A$1421,$A22)</f>
        <v/>
      </c>
      <c r="W22">
        <f>COUNTIFS(Documents!$A$2:$A$1421,$A22,Documents!$R$2:$R$1421,"current")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IFERROR(IF(_xlfn.MAXIFS(Documents!$E$2:$E$1421,Documents!$A$2:$A$1421,$A23,Documents!$C$2:$C$1421,"factsheet")=0,"",_xlfn.MAXIFS(Documents!$E$2:$E$1421,Documents!$A$2:$A$1421,$A23,Documents!$C$2:$C$1421,"factsheet")),"")</f>
        <v/>
      </c>
      <c r="E23">
        <f>IFERROR(IF(_xlfn.MAXIFS(Documents!$E$2:$E$1421,Documents!$A$2:$A$1421,$A23,Documents!$C$2:$C$1421,"wedding")=0,"",_xlfn.MAXIFS(Documents!$E$2:$E$1421,Documents!$A$2:$A$1421,$A23,Documents!$C$2:$C$1421,"wedding")),"")</f>
        <v/>
      </c>
      <c r="F23">
        <f>IFERROR(IF(_xlfn.MAXIFS(Documents!$E$2:$E$1421,Documents!$A$2:$A$1421,$A23,Documents!$C$2:$C$1421,"events")=0,"",_xlfn.MAXIFS(Documents!$E$2:$E$1421,Documents!$A$2:$A$1421,$A23,Documents!$C$2:$C$1421,"events")),"")</f>
        <v/>
      </c>
      <c r="G23">
        <f>IFERROR(IF(_xlfn.MAXIFS(Documents!$E$2:$E$1421,Documents!$A$2:$A$1421,$A23,Documents!$C$2:$C$1421,"map")=0,"",_xlfn.MAXIFS(Documents!$E$2:$E$1421,Documents!$A$2:$A$1421,$A23,Documents!$C$2:$C$1421,"map")),"")</f>
        <v/>
      </c>
      <c r="H23">
        <f>IFERROR(IF(_xlfn.MAXIFS(Documents!$E$2:$E$1421,Documents!$A$2:$A$1421,$A23,Documents!$C$2:$C$1421,"dive_map")=0,"",_xlfn.MAXIFS(Documents!$E$2:$E$1421,Documents!$A$2:$A$1421,$A23,Documents!$C$2:$C$1421,"dive_map")),"")</f>
        <v/>
      </c>
      <c r="I23">
        <f>IFERROR(IF(_xlfn.MAXIFS(Documents!$E$2:$E$1421,Documents!$A$2:$A$1421,$A23,Documents!$C$2:$C$1421,"spa_menu")=0,"",_xlfn.MAXIFS(Documents!$E$2:$E$1421,Documents!$A$2:$A$1421,$A23,Documents!$C$2:$C$1421,"spa_menu")),"")</f>
        <v/>
      </c>
      <c r="J23">
        <f>IFERROR(IF(_xlfn.MAXIFS(Documents!$E$2:$E$1421,Documents!$A$2:$A$1421,$A23,Documents!$C$2:$C$1421,"dining_menu")=0,"",_xlfn.MAXIFS(Documents!$E$2:$E$1421,Documents!$A$2:$A$1421,$A23,Documents!$C$2:$C$1421,"dining_menu")),"")</f>
        <v/>
      </c>
      <c r="K23">
        <f>IFERROR(IF(_xlfn.MAXIFS(Documents!$E$2:$E$1421,Documents!$A$2:$A$1421,$A23,Documents!$C$2:$C$1421,"dive_prices")=0,"",_xlfn.MAXIFS(Documents!$E$2:$E$1421,Documents!$A$2:$A$1421,$A23,Documents!$C$2:$C$1421,"dive_prices")),"")</f>
        <v/>
      </c>
      <c r="L23">
        <f>IFERROR(IF(_xlfn.MAXIFS(Documents!$E$2:$E$1421,Documents!$A$2:$A$1421,$A23,Documents!$C$2:$C$1421,"excursions")=0,"",_xlfn.MAXIFS(Documents!$E$2:$E$1421,Documents!$A$2:$A$1421,$A23,Documents!$C$2:$C$1421,"excursions")),"")</f>
        <v/>
      </c>
      <c r="M23">
        <f>IFERROR(IF(_xlfn.MAXIFS(Documents!$E$2:$E$1421,Documents!$A$2:$A$1421,$A23,Documents!$C$2:$C$1421,"kids")=0,"",_xlfn.MAXIFS(Documents!$E$2:$E$1421,Documents!$A$2:$A$1421,$A23,Documents!$C$2:$C$1421,"kids")),"")</f>
        <v/>
      </c>
      <c r="N23">
        <f>IFERROR(IF(_xlfn.MAXIFS(Documents!$E$2:$E$1421,Documents!$A$2:$A$1421,$A23,Documents!$C$2:$C$1421,"villa_plans")=0,"",_xlfn.MAXIFS(Documents!$E$2:$E$1421,Documents!$A$2:$A$1421,$A23,Documents!$C$2:$C$1421,"villa_plans")),"")</f>
        <v/>
      </c>
      <c r="O23">
        <f>IFERROR(IF(_xlfn.MAXIFS(Documents!$E$2:$E$1421,Documents!$A$2:$A$1421,$A23,Documents!$C$2:$C$1421,"all_inclusive")=0,"",_xlfn.MAXIFS(Documents!$E$2:$E$1421,Documents!$A$2:$A$1421,$A23,Documents!$C$2:$C$1421,"all_inclusive")),"")</f>
        <v/>
      </c>
      <c r="P23">
        <f>IFERROR(IF(_xlfn.MAXIFS(Documents!$E$2:$E$1421,Documents!$A$2:$A$1421,$A23,Documents!$C$2:$C$1421,"sustainability")=0,"",_xlfn.MAXIFS(Documents!$E$2:$E$1421,Documents!$A$2:$A$1421,$A23,Documents!$C$2:$C$1421,"sustainability")),"")</f>
        <v/>
      </c>
      <c r="Q23">
        <f>IFERROR(IF(_xlfn.MAXIFS(Documents!$E$2:$E$1421,Documents!$A$2:$A$1421,$A23,Documents!$C$2:$C$1421,"calendar")=0,"",_xlfn.MAXIFS(Documents!$E$2:$E$1421,Documents!$A$2:$A$1421,$A23,Documents!$C$2:$C$1421,"calendar")),"")</f>
        <v/>
      </c>
      <c r="R23">
        <f>IFERROR(IF(_xlfn.MAXIFS(Documents!$E$2:$E$1421,Documents!$A$2:$A$1421,$A23,Documents!$C$2:$C$1421,"brochure")=0,"",_xlfn.MAXIFS(Documents!$E$2:$E$1421,Documents!$A$2:$A$1421,$A23,Documents!$C$2:$C$1421,"brochure")),"")</f>
        <v/>
      </c>
      <c r="S23">
        <f>IFERROR(IF(_xlfn.MAXIFS(Documents!$E$2:$E$1421,Documents!$A$2:$A$1421,$A23,Documents!$C$2:$C$1421,"press_kit")=0,"",_xlfn.MAXIFS(Documents!$E$2:$E$1421,Documents!$A$2:$A$1421,$A23,Documents!$C$2:$C$1421,"press_kit")),"")</f>
        <v/>
      </c>
      <c r="T23">
        <f>IFERROR(IF(_xlfn.MAXIFS(Documents!$E$2:$E$1421,Documents!$A$2:$A$1421,$A23,Documents!$C$2:$C$1421,"other")=0,"",_xlfn.MAXIFS(Documents!$E$2:$E$1421,Documents!$A$2:$A$1421,$A23,Documents!$C$2:$C$1421,"other")),"")</f>
        <v/>
      </c>
      <c r="U23">
        <f>IFERROR(IF(_xlfn.MAXIFS(Documents!$E$2:$E$1421,Documents!$A$2:$A$1421,$A23,Documents!$C$2:$C$1421,"obsolete")=0,"",_xlfn.MAXIFS(Documents!$E$2:$E$1421,Documents!$A$2:$A$1421,$A23,Documents!$C$2:$C$1421,"obsolete")),"")</f>
        <v/>
      </c>
      <c r="V23">
        <f>COUNTIFS(Documents!$A$2:$A$1421,$A23)</f>
        <v/>
      </c>
      <c r="W23">
        <f>COUNTIFS(Documents!$A$2:$A$1421,$A23,Documents!$R$2:$R$1421,"current")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unreachable</t>
        </is>
      </c>
      <c r="D24">
        <f>IFERROR(IF(_xlfn.MAXIFS(Documents!$E$2:$E$1421,Documents!$A$2:$A$1421,$A24,Documents!$C$2:$C$1421,"factsheet")=0,"",_xlfn.MAXIFS(Documents!$E$2:$E$1421,Documents!$A$2:$A$1421,$A24,Documents!$C$2:$C$1421,"factsheet")),"")</f>
        <v/>
      </c>
      <c r="E24">
        <f>IFERROR(IF(_xlfn.MAXIFS(Documents!$E$2:$E$1421,Documents!$A$2:$A$1421,$A24,Documents!$C$2:$C$1421,"wedding")=0,"",_xlfn.MAXIFS(Documents!$E$2:$E$1421,Documents!$A$2:$A$1421,$A24,Documents!$C$2:$C$1421,"wedding")),"")</f>
        <v/>
      </c>
      <c r="F24">
        <f>IFERROR(IF(_xlfn.MAXIFS(Documents!$E$2:$E$1421,Documents!$A$2:$A$1421,$A24,Documents!$C$2:$C$1421,"events")=0,"",_xlfn.MAXIFS(Documents!$E$2:$E$1421,Documents!$A$2:$A$1421,$A24,Documents!$C$2:$C$1421,"events")),"")</f>
        <v/>
      </c>
      <c r="G24">
        <f>IFERROR(IF(_xlfn.MAXIFS(Documents!$E$2:$E$1421,Documents!$A$2:$A$1421,$A24,Documents!$C$2:$C$1421,"map")=0,"",_xlfn.MAXIFS(Documents!$E$2:$E$1421,Documents!$A$2:$A$1421,$A24,Documents!$C$2:$C$1421,"map")),"")</f>
        <v/>
      </c>
      <c r="H24">
        <f>IFERROR(IF(_xlfn.MAXIFS(Documents!$E$2:$E$1421,Documents!$A$2:$A$1421,$A24,Documents!$C$2:$C$1421,"dive_map")=0,"",_xlfn.MAXIFS(Documents!$E$2:$E$1421,Documents!$A$2:$A$1421,$A24,Documents!$C$2:$C$1421,"dive_map")),"")</f>
        <v/>
      </c>
      <c r="I24">
        <f>IFERROR(IF(_xlfn.MAXIFS(Documents!$E$2:$E$1421,Documents!$A$2:$A$1421,$A24,Documents!$C$2:$C$1421,"spa_menu")=0,"",_xlfn.MAXIFS(Documents!$E$2:$E$1421,Documents!$A$2:$A$1421,$A24,Documents!$C$2:$C$1421,"spa_menu")),"")</f>
        <v/>
      </c>
      <c r="J24">
        <f>IFERROR(IF(_xlfn.MAXIFS(Documents!$E$2:$E$1421,Documents!$A$2:$A$1421,$A24,Documents!$C$2:$C$1421,"dining_menu")=0,"",_xlfn.MAXIFS(Documents!$E$2:$E$1421,Documents!$A$2:$A$1421,$A24,Documents!$C$2:$C$1421,"dining_menu")),"")</f>
        <v/>
      </c>
      <c r="K24">
        <f>IFERROR(IF(_xlfn.MAXIFS(Documents!$E$2:$E$1421,Documents!$A$2:$A$1421,$A24,Documents!$C$2:$C$1421,"dive_prices")=0,"",_xlfn.MAXIFS(Documents!$E$2:$E$1421,Documents!$A$2:$A$1421,$A24,Documents!$C$2:$C$1421,"dive_prices")),"")</f>
        <v/>
      </c>
      <c r="L24">
        <f>IFERROR(IF(_xlfn.MAXIFS(Documents!$E$2:$E$1421,Documents!$A$2:$A$1421,$A24,Documents!$C$2:$C$1421,"excursions")=0,"",_xlfn.MAXIFS(Documents!$E$2:$E$1421,Documents!$A$2:$A$1421,$A24,Documents!$C$2:$C$1421,"excursions")),"")</f>
        <v/>
      </c>
      <c r="M24">
        <f>IFERROR(IF(_xlfn.MAXIFS(Documents!$E$2:$E$1421,Documents!$A$2:$A$1421,$A24,Documents!$C$2:$C$1421,"kids")=0,"",_xlfn.MAXIFS(Documents!$E$2:$E$1421,Documents!$A$2:$A$1421,$A24,Documents!$C$2:$C$1421,"kids")),"")</f>
        <v/>
      </c>
      <c r="N24">
        <f>IFERROR(IF(_xlfn.MAXIFS(Documents!$E$2:$E$1421,Documents!$A$2:$A$1421,$A24,Documents!$C$2:$C$1421,"villa_plans")=0,"",_xlfn.MAXIFS(Documents!$E$2:$E$1421,Documents!$A$2:$A$1421,$A24,Documents!$C$2:$C$1421,"villa_plans")),"")</f>
        <v/>
      </c>
      <c r="O24">
        <f>IFERROR(IF(_xlfn.MAXIFS(Documents!$E$2:$E$1421,Documents!$A$2:$A$1421,$A24,Documents!$C$2:$C$1421,"all_inclusive")=0,"",_xlfn.MAXIFS(Documents!$E$2:$E$1421,Documents!$A$2:$A$1421,$A24,Documents!$C$2:$C$1421,"all_inclusive")),"")</f>
        <v/>
      </c>
      <c r="P24">
        <f>IFERROR(IF(_xlfn.MAXIFS(Documents!$E$2:$E$1421,Documents!$A$2:$A$1421,$A24,Documents!$C$2:$C$1421,"sustainability")=0,"",_xlfn.MAXIFS(Documents!$E$2:$E$1421,Documents!$A$2:$A$1421,$A24,Documents!$C$2:$C$1421,"sustainability")),"")</f>
        <v/>
      </c>
      <c r="Q24">
        <f>IFERROR(IF(_xlfn.MAXIFS(Documents!$E$2:$E$1421,Documents!$A$2:$A$1421,$A24,Documents!$C$2:$C$1421,"calendar")=0,"",_xlfn.MAXIFS(Documents!$E$2:$E$1421,Documents!$A$2:$A$1421,$A24,Documents!$C$2:$C$1421,"calendar")),"")</f>
        <v/>
      </c>
      <c r="R24">
        <f>IFERROR(IF(_xlfn.MAXIFS(Documents!$E$2:$E$1421,Documents!$A$2:$A$1421,$A24,Documents!$C$2:$C$1421,"brochure")=0,"",_xlfn.MAXIFS(Documents!$E$2:$E$1421,Documents!$A$2:$A$1421,$A24,Documents!$C$2:$C$1421,"brochure")),"")</f>
        <v/>
      </c>
      <c r="S24">
        <f>IFERROR(IF(_xlfn.MAXIFS(Documents!$E$2:$E$1421,Documents!$A$2:$A$1421,$A24,Documents!$C$2:$C$1421,"press_kit")=0,"",_xlfn.MAXIFS(Documents!$E$2:$E$1421,Documents!$A$2:$A$1421,$A24,Documents!$C$2:$C$1421,"press_kit")),"")</f>
        <v/>
      </c>
      <c r="T24">
        <f>IFERROR(IF(_xlfn.MAXIFS(Documents!$E$2:$E$1421,Documents!$A$2:$A$1421,$A24,Documents!$C$2:$C$1421,"other")=0,"",_xlfn.MAXIFS(Documents!$E$2:$E$1421,Documents!$A$2:$A$1421,$A24,Documents!$C$2:$C$1421,"other")),"")</f>
        <v/>
      </c>
      <c r="U24">
        <f>IFERROR(IF(_xlfn.MAXIFS(Documents!$E$2:$E$1421,Documents!$A$2:$A$1421,$A24,Documents!$C$2:$C$1421,"obsolete")=0,"",_xlfn.MAXIFS(Documents!$E$2:$E$1421,Documents!$A$2:$A$1421,$A24,Documents!$C$2:$C$1421,"obsolete")),"")</f>
        <v/>
      </c>
      <c r="V24">
        <f>COUNTIFS(Documents!$A$2:$A$1421,$A24)</f>
        <v/>
      </c>
      <c r="W24">
        <f>COUNTIFS(Documents!$A$2:$A$1421,$A24,Documents!$R$2:$R$1421,"current")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IFERROR(IF(_xlfn.MAXIFS(Documents!$E$2:$E$1421,Documents!$A$2:$A$1421,$A25,Documents!$C$2:$C$1421,"factsheet")=0,"",_xlfn.MAXIFS(Documents!$E$2:$E$1421,Documents!$A$2:$A$1421,$A25,Documents!$C$2:$C$1421,"factsheet")),"")</f>
        <v/>
      </c>
      <c r="E25">
        <f>IFERROR(IF(_xlfn.MAXIFS(Documents!$E$2:$E$1421,Documents!$A$2:$A$1421,$A25,Documents!$C$2:$C$1421,"wedding")=0,"",_xlfn.MAXIFS(Documents!$E$2:$E$1421,Documents!$A$2:$A$1421,$A25,Documents!$C$2:$C$1421,"wedding")),"")</f>
        <v/>
      </c>
      <c r="F25">
        <f>IFERROR(IF(_xlfn.MAXIFS(Documents!$E$2:$E$1421,Documents!$A$2:$A$1421,$A25,Documents!$C$2:$C$1421,"events")=0,"",_xlfn.MAXIFS(Documents!$E$2:$E$1421,Documents!$A$2:$A$1421,$A25,Documents!$C$2:$C$1421,"events")),"")</f>
        <v/>
      </c>
      <c r="G25">
        <f>IFERROR(IF(_xlfn.MAXIFS(Documents!$E$2:$E$1421,Documents!$A$2:$A$1421,$A25,Documents!$C$2:$C$1421,"map")=0,"",_xlfn.MAXIFS(Documents!$E$2:$E$1421,Documents!$A$2:$A$1421,$A25,Documents!$C$2:$C$1421,"map")),"")</f>
        <v/>
      </c>
      <c r="H25">
        <f>IFERROR(IF(_xlfn.MAXIFS(Documents!$E$2:$E$1421,Documents!$A$2:$A$1421,$A25,Documents!$C$2:$C$1421,"dive_map")=0,"",_xlfn.MAXIFS(Documents!$E$2:$E$1421,Documents!$A$2:$A$1421,$A25,Documents!$C$2:$C$1421,"dive_map")),"")</f>
        <v/>
      </c>
      <c r="I25">
        <f>IFERROR(IF(_xlfn.MAXIFS(Documents!$E$2:$E$1421,Documents!$A$2:$A$1421,$A25,Documents!$C$2:$C$1421,"spa_menu")=0,"",_xlfn.MAXIFS(Documents!$E$2:$E$1421,Documents!$A$2:$A$1421,$A25,Documents!$C$2:$C$1421,"spa_menu")),"")</f>
        <v/>
      </c>
      <c r="J25">
        <f>IFERROR(IF(_xlfn.MAXIFS(Documents!$E$2:$E$1421,Documents!$A$2:$A$1421,$A25,Documents!$C$2:$C$1421,"dining_menu")=0,"",_xlfn.MAXIFS(Documents!$E$2:$E$1421,Documents!$A$2:$A$1421,$A25,Documents!$C$2:$C$1421,"dining_menu")),"")</f>
        <v/>
      </c>
      <c r="K25">
        <f>IFERROR(IF(_xlfn.MAXIFS(Documents!$E$2:$E$1421,Documents!$A$2:$A$1421,$A25,Documents!$C$2:$C$1421,"dive_prices")=0,"",_xlfn.MAXIFS(Documents!$E$2:$E$1421,Documents!$A$2:$A$1421,$A25,Documents!$C$2:$C$1421,"dive_prices")),"")</f>
        <v/>
      </c>
      <c r="L25">
        <f>IFERROR(IF(_xlfn.MAXIFS(Documents!$E$2:$E$1421,Documents!$A$2:$A$1421,$A25,Documents!$C$2:$C$1421,"excursions")=0,"",_xlfn.MAXIFS(Documents!$E$2:$E$1421,Documents!$A$2:$A$1421,$A25,Documents!$C$2:$C$1421,"excursions")),"")</f>
        <v/>
      </c>
      <c r="M25">
        <f>IFERROR(IF(_xlfn.MAXIFS(Documents!$E$2:$E$1421,Documents!$A$2:$A$1421,$A25,Documents!$C$2:$C$1421,"kids")=0,"",_xlfn.MAXIFS(Documents!$E$2:$E$1421,Documents!$A$2:$A$1421,$A25,Documents!$C$2:$C$1421,"kids")),"")</f>
        <v/>
      </c>
      <c r="N25">
        <f>IFERROR(IF(_xlfn.MAXIFS(Documents!$E$2:$E$1421,Documents!$A$2:$A$1421,$A25,Documents!$C$2:$C$1421,"villa_plans")=0,"",_xlfn.MAXIFS(Documents!$E$2:$E$1421,Documents!$A$2:$A$1421,$A25,Documents!$C$2:$C$1421,"villa_plans")),"")</f>
        <v/>
      </c>
      <c r="O25">
        <f>IFERROR(IF(_xlfn.MAXIFS(Documents!$E$2:$E$1421,Documents!$A$2:$A$1421,$A25,Documents!$C$2:$C$1421,"all_inclusive")=0,"",_xlfn.MAXIFS(Documents!$E$2:$E$1421,Documents!$A$2:$A$1421,$A25,Documents!$C$2:$C$1421,"all_inclusive")),"")</f>
        <v/>
      </c>
      <c r="P25">
        <f>IFERROR(IF(_xlfn.MAXIFS(Documents!$E$2:$E$1421,Documents!$A$2:$A$1421,$A25,Documents!$C$2:$C$1421,"sustainability")=0,"",_xlfn.MAXIFS(Documents!$E$2:$E$1421,Documents!$A$2:$A$1421,$A25,Documents!$C$2:$C$1421,"sustainability")),"")</f>
        <v/>
      </c>
      <c r="Q25">
        <f>IFERROR(IF(_xlfn.MAXIFS(Documents!$E$2:$E$1421,Documents!$A$2:$A$1421,$A25,Documents!$C$2:$C$1421,"calendar")=0,"",_xlfn.MAXIFS(Documents!$E$2:$E$1421,Documents!$A$2:$A$1421,$A25,Documents!$C$2:$C$1421,"calendar")),"")</f>
        <v/>
      </c>
      <c r="R25">
        <f>IFERROR(IF(_xlfn.MAXIFS(Documents!$E$2:$E$1421,Documents!$A$2:$A$1421,$A25,Documents!$C$2:$C$1421,"brochure")=0,"",_xlfn.MAXIFS(Documents!$E$2:$E$1421,Documents!$A$2:$A$1421,$A25,Documents!$C$2:$C$1421,"brochure")),"")</f>
        <v/>
      </c>
      <c r="S25">
        <f>IFERROR(IF(_xlfn.MAXIFS(Documents!$E$2:$E$1421,Documents!$A$2:$A$1421,$A25,Documents!$C$2:$C$1421,"press_kit")=0,"",_xlfn.MAXIFS(Documents!$E$2:$E$1421,Documents!$A$2:$A$1421,$A25,Documents!$C$2:$C$1421,"press_kit")),"")</f>
        <v/>
      </c>
      <c r="T25">
        <f>IFERROR(IF(_xlfn.MAXIFS(Documents!$E$2:$E$1421,Documents!$A$2:$A$1421,$A25,Documents!$C$2:$C$1421,"other")=0,"",_xlfn.MAXIFS(Documents!$E$2:$E$1421,Documents!$A$2:$A$1421,$A25,Documents!$C$2:$C$1421,"other")),"")</f>
        <v/>
      </c>
      <c r="U25">
        <f>IFERROR(IF(_xlfn.MAXIFS(Documents!$E$2:$E$1421,Documents!$A$2:$A$1421,$A25,Documents!$C$2:$C$1421,"obsolete")=0,"",_xlfn.MAXIFS(Documents!$E$2:$E$1421,Documents!$A$2:$A$1421,$A25,Documents!$C$2:$C$1421,"obsolete")),"")</f>
        <v/>
      </c>
      <c r="V25">
        <f>COUNTIFS(Documents!$A$2:$A$1421,$A25)</f>
        <v/>
      </c>
      <c r="W25">
        <f>COUNTIFS(Documents!$A$2:$A$1421,$A25,Documents!$R$2:$R$1421,"current")</f>
        <v/>
      </c>
      <c r="X25" t="inlineStr"/>
      <c r="Y25" t="inlineStr">
        <is>
          <t>factsheet, wedding, events</t>
        </is>
      </c>
      <c r="Z25" t="inlineStr"/>
    </row>
    <row r="26">
      <c r="A26" t="n">
        <v>25</v>
      </c>
      <c r="B26" t="inlineStr">
        <is>
          <t>Raffles Maldives Meradhoo Resort</t>
        </is>
      </c>
      <c r="C26" t="inlineStr">
        <is>
          <t>blocked</t>
        </is>
      </c>
      <c r="D26">
        <f>IFERROR(IF(_xlfn.MAXIFS(Documents!$E$2:$E$1421,Documents!$A$2:$A$1421,$A26,Documents!$C$2:$C$1421,"factsheet")=0,"",_xlfn.MAXIFS(Documents!$E$2:$E$1421,Documents!$A$2:$A$1421,$A26,Documents!$C$2:$C$1421,"factsheet")),"")</f>
        <v/>
      </c>
      <c r="E26">
        <f>IFERROR(IF(_xlfn.MAXIFS(Documents!$E$2:$E$1421,Documents!$A$2:$A$1421,$A26,Documents!$C$2:$C$1421,"wedding")=0,"",_xlfn.MAXIFS(Documents!$E$2:$E$1421,Documents!$A$2:$A$1421,$A26,Documents!$C$2:$C$1421,"wedding")),"")</f>
        <v/>
      </c>
      <c r="F26">
        <f>IFERROR(IF(_xlfn.MAXIFS(Documents!$E$2:$E$1421,Documents!$A$2:$A$1421,$A26,Documents!$C$2:$C$1421,"events")=0,"",_xlfn.MAXIFS(Documents!$E$2:$E$1421,Documents!$A$2:$A$1421,$A26,Documents!$C$2:$C$1421,"events")),"")</f>
        <v/>
      </c>
      <c r="G26">
        <f>IFERROR(IF(_xlfn.MAXIFS(Documents!$E$2:$E$1421,Documents!$A$2:$A$1421,$A26,Documents!$C$2:$C$1421,"map")=0,"",_xlfn.MAXIFS(Documents!$E$2:$E$1421,Documents!$A$2:$A$1421,$A26,Documents!$C$2:$C$1421,"map")),"")</f>
        <v/>
      </c>
      <c r="H26">
        <f>IFERROR(IF(_xlfn.MAXIFS(Documents!$E$2:$E$1421,Documents!$A$2:$A$1421,$A26,Documents!$C$2:$C$1421,"dive_map")=0,"",_xlfn.MAXIFS(Documents!$E$2:$E$1421,Documents!$A$2:$A$1421,$A26,Documents!$C$2:$C$1421,"dive_map")),"")</f>
        <v/>
      </c>
      <c r="I26">
        <f>IFERROR(IF(_xlfn.MAXIFS(Documents!$E$2:$E$1421,Documents!$A$2:$A$1421,$A26,Documents!$C$2:$C$1421,"spa_menu")=0,"",_xlfn.MAXIFS(Documents!$E$2:$E$1421,Documents!$A$2:$A$1421,$A26,Documents!$C$2:$C$1421,"spa_menu")),"")</f>
        <v/>
      </c>
      <c r="J26">
        <f>IFERROR(IF(_xlfn.MAXIFS(Documents!$E$2:$E$1421,Documents!$A$2:$A$1421,$A26,Documents!$C$2:$C$1421,"dining_menu")=0,"",_xlfn.MAXIFS(Documents!$E$2:$E$1421,Documents!$A$2:$A$1421,$A26,Documents!$C$2:$C$1421,"dining_menu")),"")</f>
        <v/>
      </c>
      <c r="K26">
        <f>IFERROR(IF(_xlfn.MAXIFS(Documents!$E$2:$E$1421,Documents!$A$2:$A$1421,$A26,Documents!$C$2:$C$1421,"dive_prices")=0,"",_xlfn.MAXIFS(Documents!$E$2:$E$1421,Documents!$A$2:$A$1421,$A26,Documents!$C$2:$C$1421,"dive_prices")),"")</f>
        <v/>
      </c>
      <c r="L26">
        <f>IFERROR(IF(_xlfn.MAXIFS(Documents!$E$2:$E$1421,Documents!$A$2:$A$1421,$A26,Documents!$C$2:$C$1421,"excursions")=0,"",_xlfn.MAXIFS(Documents!$E$2:$E$1421,Documents!$A$2:$A$1421,$A26,Documents!$C$2:$C$1421,"excursions")),"")</f>
        <v/>
      </c>
      <c r="M26">
        <f>IFERROR(IF(_xlfn.MAXIFS(Documents!$E$2:$E$1421,Documents!$A$2:$A$1421,$A26,Documents!$C$2:$C$1421,"kids")=0,"",_xlfn.MAXIFS(Documents!$E$2:$E$1421,Documents!$A$2:$A$1421,$A26,Documents!$C$2:$C$1421,"kids")),"")</f>
        <v/>
      </c>
      <c r="N26">
        <f>IFERROR(IF(_xlfn.MAXIFS(Documents!$E$2:$E$1421,Documents!$A$2:$A$1421,$A26,Documents!$C$2:$C$1421,"villa_plans")=0,"",_xlfn.MAXIFS(Documents!$E$2:$E$1421,Documents!$A$2:$A$1421,$A26,Documents!$C$2:$C$1421,"villa_plans")),"")</f>
        <v/>
      </c>
      <c r="O26">
        <f>IFERROR(IF(_xlfn.MAXIFS(Documents!$E$2:$E$1421,Documents!$A$2:$A$1421,$A26,Documents!$C$2:$C$1421,"all_inclusive")=0,"",_xlfn.MAXIFS(Documents!$E$2:$E$1421,Documents!$A$2:$A$1421,$A26,Documents!$C$2:$C$1421,"all_inclusive")),"")</f>
        <v/>
      </c>
      <c r="P26">
        <f>IFERROR(IF(_xlfn.MAXIFS(Documents!$E$2:$E$1421,Documents!$A$2:$A$1421,$A26,Documents!$C$2:$C$1421,"sustainability")=0,"",_xlfn.MAXIFS(Documents!$E$2:$E$1421,Documents!$A$2:$A$1421,$A26,Documents!$C$2:$C$1421,"sustainability")),"")</f>
        <v/>
      </c>
      <c r="Q26">
        <f>IFERROR(IF(_xlfn.MAXIFS(Documents!$E$2:$E$1421,Documents!$A$2:$A$1421,$A26,Documents!$C$2:$C$1421,"calendar")=0,"",_xlfn.MAXIFS(Documents!$E$2:$E$1421,Documents!$A$2:$A$1421,$A26,Documents!$C$2:$C$1421,"calendar")),"")</f>
        <v/>
      </c>
      <c r="R26">
        <f>IFERROR(IF(_xlfn.MAXIFS(Documents!$E$2:$E$1421,Documents!$A$2:$A$1421,$A26,Documents!$C$2:$C$1421,"brochure")=0,"",_xlfn.MAXIFS(Documents!$E$2:$E$1421,Documents!$A$2:$A$1421,$A26,Documents!$C$2:$C$1421,"brochure")),"")</f>
        <v/>
      </c>
      <c r="S26">
        <f>IFERROR(IF(_xlfn.MAXIFS(Documents!$E$2:$E$1421,Documents!$A$2:$A$1421,$A26,Documents!$C$2:$C$1421,"press_kit")=0,"",_xlfn.MAXIFS(Documents!$E$2:$E$1421,Documents!$A$2:$A$1421,$A26,Documents!$C$2:$C$1421,"press_kit")),"")</f>
        <v/>
      </c>
      <c r="T26">
        <f>IFERROR(IF(_xlfn.MAXIFS(Documents!$E$2:$E$1421,Documents!$A$2:$A$1421,$A26,Documents!$C$2:$C$1421,"other")=0,"",_xlfn.MAXIFS(Documents!$E$2:$E$1421,Documents!$A$2:$A$1421,$A26,Documents!$C$2:$C$1421,"other")),"")</f>
        <v/>
      </c>
      <c r="U26">
        <f>IFERROR(IF(_xlfn.MAXIFS(Documents!$E$2:$E$1421,Documents!$A$2:$A$1421,$A26,Documents!$C$2:$C$1421,"obsolete")=0,"",_xlfn.MAXIFS(Documents!$E$2:$E$1421,Documents!$A$2:$A$1421,$A26,Documents!$C$2:$C$1421,"obsolete")),"")</f>
        <v/>
      </c>
      <c r="V26">
        <f>COUNTIFS(Documents!$A$2:$A$1421,$A26)</f>
        <v/>
      </c>
      <c r="W26">
        <f>COUNTIFS(Documents!$A$2:$A$1421,$A26,Documents!$R$2:$R$1421,"current")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IFERROR(IF(_xlfn.MAXIFS(Documents!$E$2:$E$1421,Documents!$A$2:$A$1421,$A27,Documents!$C$2:$C$1421,"factsheet")=0,"",_xlfn.MAXIFS(Documents!$E$2:$E$1421,Documents!$A$2:$A$1421,$A27,Documents!$C$2:$C$1421,"factsheet")),"")</f>
        <v/>
      </c>
      <c r="E27">
        <f>IFERROR(IF(_xlfn.MAXIFS(Documents!$E$2:$E$1421,Documents!$A$2:$A$1421,$A27,Documents!$C$2:$C$1421,"wedding")=0,"",_xlfn.MAXIFS(Documents!$E$2:$E$1421,Documents!$A$2:$A$1421,$A27,Documents!$C$2:$C$1421,"wedding")),"")</f>
        <v/>
      </c>
      <c r="F27">
        <f>IFERROR(IF(_xlfn.MAXIFS(Documents!$E$2:$E$1421,Documents!$A$2:$A$1421,$A27,Documents!$C$2:$C$1421,"events")=0,"",_xlfn.MAXIFS(Documents!$E$2:$E$1421,Documents!$A$2:$A$1421,$A27,Documents!$C$2:$C$1421,"events")),"")</f>
        <v/>
      </c>
      <c r="G27">
        <f>IFERROR(IF(_xlfn.MAXIFS(Documents!$E$2:$E$1421,Documents!$A$2:$A$1421,$A27,Documents!$C$2:$C$1421,"map")=0,"",_xlfn.MAXIFS(Documents!$E$2:$E$1421,Documents!$A$2:$A$1421,$A27,Documents!$C$2:$C$1421,"map")),"")</f>
        <v/>
      </c>
      <c r="H27">
        <f>IFERROR(IF(_xlfn.MAXIFS(Documents!$E$2:$E$1421,Documents!$A$2:$A$1421,$A27,Documents!$C$2:$C$1421,"dive_map")=0,"",_xlfn.MAXIFS(Documents!$E$2:$E$1421,Documents!$A$2:$A$1421,$A27,Documents!$C$2:$C$1421,"dive_map")),"")</f>
        <v/>
      </c>
      <c r="I27">
        <f>IFERROR(IF(_xlfn.MAXIFS(Documents!$E$2:$E$1421,Documents!$A$2:$A$1421,$A27,Documents!$C$2:$C$1421,"spa_menu")=0,"",_xlfn.MAXIFS(Documents!$E$2:$E$1421,Documents!$A$2:$A$1421,$A27,Documents!$C$2:$C$1421,"spa_menu")),"")</f>
        <v/>
      </c>
      <c r="J27">
        <f>IFERROR(IF(_xlfn.MAXIFS(Documents!$E$2:$E$1421,Documents!$A$2:$A$1421,$A27,Documents!$C$2:$C$1421,"dining_menu")=0,"",_xlfn.MAXIFS(Documents!$E$2:$E$1421,Documents!$A$2:$A$1421,$A27,Documents!$C$2:$C$1421,"dining_menu")),"")</f>
        <v/>
      </c>
      <c r="K27">
        <f>IFERROR(IF(_xlfn.MAXIFS(Documents!$E$2:$E$1421,Documents!$A$2:$A$1421,$A27,Documents!$C$2:$C$1421,"dive_prices")=0,"",_xlfn.MAXIFS(Documents!$E$2:$E$1421,Documents!$A$2:$A$1421,$A27,Documents!$C$2:$C$1421,"dive_prices")),"")</f>
        <v/>
      </c>
      <c r="L27">
        <f>IFERROR(IF(_xlfn.MAXIFS(Documents!$E$2:$E$1421,Documents!$A$2:$A$1421,$A27,Documents!$C$2:$C$1421,"excursions")=0,"",_xlfn.MAXIFS(Documents!$E$2:$E$1421,Documents!$A$2:$A$1421,$A27,Documents!$C$2:$C$1421,"excursions")),"")</f>
        <v/>
      </c>
      <c r="M27">
        <f>IFERROR(IF(_xlfn.MAXIFS(Documents!$E$2:$E$1421,Documents!$A$2:$A$1421,$A27,Documents!$C$2:$C$1421,"kids")=0,"",_xlfn.MAXIFS(Documents!$E$2:$E$1421,Documents!$A$2:$A$1421,$A27,Documents!$C$2:$C$1421,"kids")),"")</f>
        <v/>
      </c>
      <c r="N27">
        <f>IFERROR(IF(_xlfn.MAXIFS(Documents!$E$2:$E$1421,Documents!$A$2:$A$1421,$A27,Documents!$C$2:$C$1421,"villa_plans")=0,"",_xlfn.MAXIFS(Documents!$E$2:$E$1421,Documents!$A$2:$A$1421,$A27,Documents!$C$2:$C$1421,"villa_plans")),"")</f>
        <v/>
      </c>
      <c r="O27">
        <f>IFERROR(IF(_xlfn.MAXIFS(Documents!$E$2:$E$1421,Documents!$A$2:$A$1421,$A27,Documents!$C$2:$C$1421,"all_inclusive")=0,"",_xlfn.MAXIFS(Documents!$E$2:$E$1421,Documents!$A$2:$A$1421,$A27,Documents!$C$2:$C$1421,"all_inclusive")),"")</f>
        <v/>
      </c>
      <c r="P27">
        <f>IFERROR(IF(_xlfn.MAXIFS(Documents!$E$2:$E$1421,Documents!$A$2:$A$1421,$A27,Documents!$C$2:$C$1421,"sustainability")=0,"",_xlfn.MAXIFS(Documents!$E$2:$E$1421,Documents!$A$2:$A$1421,$A27,Documents!$C$2:$C$1421,"sustainability")),"")</f>
        <v/>
      </c>
      <c r="Q27">
        <f>IFERROR(IF(_xlfn.MAXIFS(Documents!$E$2:$E$1421,Documents!$A$2:$A$1421,$A27,Documents!$C$2:$C$1421,"calendar")=0,"",_xlfn.MAXIFS(Documents!$E$2:$E$1421,Documents!$A$2:$A$1421,$A27,Documents!$C$2:$C$1421,"calendar")),"")</f>
        <v/>
      </c>
      <c r="R27">
        <f>IFERROR(IF(_xlfn.MAXIFS(Documents!$E$2:$E$1421,Documents!$A$2:$A$1421,$A27,Documents!$C$2:$C$1421,"brochure")=0,"",_xlfn.MAXIFS(Documents!$E$2:$E$1421,Documents!$A$2:$A$1421,$A27,Documents!$C$2:$C$1421,"brochure")),"")</f>
        <v/>
      </c>
      <c r="S27">
        <f>IFERROR(IF(_xlfn.MAXIFS(Documents!$E$2:$E$1421,Documents!$A$2:$A$1421,$A27,Documents!$C$2:$C$1421,"press_kit")=0,"",_xlfn.MAXIFS(Documents!$E$2:$E$1421,Documents!$A$2:$A$1421,$A27,Documents!$C$2:$C$1421,"press_kit")),"")</f>
        <v/>
      </c>
      <c r="T27">
        <f>IFERROR(IF(_xlfn.MAXIFS(Documents!$E$2:$E$1421,Documents!$A$2:$A$1421,$A27,Documents!$C$2:$C$1421,"other")=0,"",_xlfn.MAXIFS(Documents!$E$2:$E$1421,Documents!$A$2:$A$1421,$A27,Documents!$C$2:$C$1421,"other")),"")</f>
        <v/>
      </c>
      <c r="U27">
        <f>IFERROR(IF(_xlfn.MAXIFS(Documents!$E$2:$E$1421,Documents!$A$2:$A$1421,$A27,Documents!$C$2:$C$1421,"obsolete")=0,"",_xlfn.MAXIFS(Documents!$E$2:$E$1421,Documents!$A$2:$A$1421,$A27,Documents!$C$2:$C$1421,"obsolete")),"")</f>
        <v/>
      </c>
      <c r="V27">
        <f>COUNTIFS(Documents!$A$2:$A$1421,$A27)</f>
        <v/>
      </c>
      <c r="W27">
        <f>COUNTIFS(Documents!$A$2:$A$1421,$A27,Documents!$R$2:$R$1421,"current")</f>
        <v/>
      </c>
      <c r="X27">
        <f>HYPERLINK("https://www.centarahotelsresorts.com/centara/sites/centara-centara/files/2025-12/609_CRF_Factsheet_Y251203.pdf","2025_609_CRF_Factsheet_Y251203.pdf")</f>
        <v/>
      </c>
      <c r="Y27" t="inlineStr">
        <is>
          <t>events</t>
        </is>
      </c>
      <c r="Z27" t="inlineStr"/>
    </row>
    <row r="28">
      <c r="A28" t="n">
        <v>27</v>
      </c>
      <c r="B28" t="inlineStr">
        <is>
          <t>Grand Park Kodhipparu Maldives</t>
        </is>
      </c>
      <c r="C28" t="inlineStr">
        <is>
          <t>ok</t>
        </is>
      </c>
      <c r="D28">
        <f>IFERROR(IF(_xlfn.MAXIFS(Documents!$E$2:$E$1421,Documents!$A$2:$A$1421,$A28,Documents!$C$2:$C$1421,"factsheet")=0,"",_xlfn.MAXIFS(Documents!$E$2:$E$1421,Documents!$A$2:$A$1421,$A28,Documents!$C$2:$C$1421,"factsheet")),"")</f>
        <v/>
      </c>
      <c r="E28">
        <f>IFERROR(IF(_xlfn.MAXIFS(Documents!$E$2:$E$1421,Documents!$A$2:$A$1421,$A28,Documents!$C$2:$C$1421,"wedding")=0,"",_xlfn.MAXIFS(Documents!$E$2:$E$1421,Documents!$A$2:$A$1421,$A28,Documents!$C$2:$C$1421,"wedding")),"")</f>
        <v/>
      </c>
      <c r="F28">
        <f>IFERROR(IF(_xlfn.MAXIFS(Documents!$E$2:$E$1421,Documents!$A$2:$A$1421,$A28,Documents!$C$2:$C$1421,"events")=0,"",_xlfn.MAXIFS(Documents!$E$2:$E$1421,Documents!$A$2:$A$1421,$A28,Documents!$C$2:$C$1421,"events")),"")</f>
        <v/>
      </c>
      <c r="G28">
        <f>IFERROR(IF(_xlfn.MAXIFS(Documents!$E$2:$E$1421,Documents!$A$2:$A$1421,$A28,Documents!$C$2:$C$1421,"map")=0,"",_xlfn.MAXIFS(Documents!$E$2:$E$1421,Documents!$A$2:$A$1421,$A28,Documents!$C$2:$C$1421,"map")),"")</f>
        <v/>
      </c>
      <c r="H28">
        <f>IFERROR(IF(_xlfn.MAXIFS(Documents!$E$2:$E$1421,Documents!$A$2:$A$1421,$A28,Documents!$C$2:$C$1421,"dive_map")=0,"",_xlfn.MAXIFS(Documents!$E$2:$E$1421,Documents!$A$2:$A$1421,$A28,Documents!$C$2:$C$1421,"dive_map")),"")</f>
        <v/>
      </c>
      <c r="I28">
        <f>IFERROR(IF(_xlfn.MAXIFS(Documents!$E$2:$E$1421,Documents!$A$2:$A$1421,$A28,Documents!$C$2:$C$1421,"spa_menu")=0,"",_xlfn.MAXIFS(Documents!$E$2:$E$1421,Documents!$A$2:$A$1421,$A28,Documents!$C$2:$C$1421,"spa_menu")),"")</f>
        <v/>
      </c>
      <c r="J28">
        <f>IFERROR(IF(_xlfn.MAXIFS(Documents!$E$2:$E$1421,Documents!$A$2:$A$1421,$A28,Documents!$C$2:$C$1421,"dining_menu")=0,"",_xlfn.MAXIFS(Documents!$E$2:$E$1421,Documents!$A$2:$A$1421,$A28,Documents!$C$2:$C$1421,"dining_menu")),"")</f>
        <v/>
      </c>
      <c r="K28">
        <f>IFERROR(IF(_xlfn.MAXIFS(Documents!$E$2:$E$1421,Documents!$A$2:$A$1421,$A28,Documents!$C$2:$C$1421,"dive_prices")=0,"",_xlfn.MAXIFS(Documents!$E$2:$E$1421,Documents!$A$2:$A$1421,$A28,Documents!$C$2:$C$1421,"dive_prices")),"")</f>
        <v/>
      </c>
      <c r="L28">
        <f>IFERROR(IF(_xlfn.MAXIFS(Documents!$E$2:$E$1421,Documents!$A$2:$A$1421,$A28,Documents!$C$2:$C$1421,"excursions")=0,"",_xlfn.MAXIFS(Documents!$E$2:$E$1421,Documents!$A$2:$A$1421,$A28,Documents!$C$2:$C$1421,"excursions")),"")</f>
        <v/>
      </c>
      <c r="M28">
        <f>IFERROR(IF(_xlfn.MAXIFS(Documents!$E$2:$E$1421,Documents!$A$2:$A$1421,$A28,Documents!$C$2:$C$1421,"kids")=0,"",_xlfn.MAXIFS(Documents!$E$2:$E$1421,Documents!$A$2:$A$1421,$A28,Documents!$C$2:$C$1421,"kids")),"")</f>
        <v/>
      </c>
      <c r="N28">
        <f>IFERROR(IF(_xlfn.MAXIFS(Documents!$E$2:$E$1421,Documents!$A$2:$A$1421,$A28,Documents!$C$2:$C$1421,"villa_plans")=0,"",_xlfn.MAXIFS(Documents!$E$2:$E$1421,Documents!$A$2:$A$1421,$A28,Documents!$C$2:$C$1421,"villa_plans")),"")</f>
        <v/>
      </c>
      <c r="O28">
        <f>IFERROR(IF(_xlfn.MAXIFS(Documents!$E$2:$E$1421,Documents!$A$2:$A$1421,$A28,Documents!$C$2:$C$1421,"all_inclusive")=0,"",_xlfn.MAXIFS(Documents!$E$2:$E$1421,Documents!$A$2:$A$1421,$A28,Documents!$C$2:$C$1421,"all_inclusive")),"")</f>
        <v/>
      </c>
      <c r="P28">
        <f>IFERROR(IF(_xlfn.MAXIFS(Documents!$E$2:$E$1421,Documents!$A$2:$A$1421,$A28,Documents!$C$2:$C$1421,"sustainability")=0,"",_xlfn.MAXIFS(Documents!$E$2:$E$1421,Documents!$A$2:$A$1421,$A28,Documents!$C$2:$C$1421,"sustainability")),"")</f>
        <v/>
      </c>
      <c r="Q28">
        <f>IFERROR(IF(_xlfn.MAXIFS(Documents!$E$2:$E$1421,Documents!$A$2:$A$1421,$A28,Documents!$C$2:$C$1421,"calendar")=0,"",_xlfn.MAXIFS(Documents!$E$2:$E$1421,Documents!$A$2:$A$1421,$A28,Documents!$C$2:$C$1421,"calendar")),"")</f>
        <v/>
      </c>
      <c r="R28">
        <f>IFERROR(IF(_xlfn.MAXIFS(Documents!$E$2:$E$1421,Documents!$A$2:$A$1421,$A28,Documents!$C$2:$C$1421,"brochure")=0,"",_xlfn.MAXIFS(Documents!$E$2:$E$1421,Documents!$A$2:$A$1421,$A28,Documents!$C$2:$C$1421,"brochure")),"")</f>
        <v/>
      </c>
      <c r="S28">
        <f>IFERROR(IF(_xlfn.MAXIFS(Documents!$E$2:$E$1421,Documents!$A$2:$A$1421,$A28,Documents!$C$2:$C$1421,"press_kit")=0,"",_xlfn.MAXIFS(Documents!$E$2:$E$1421,Documents!$A$2:$A$1421,$A28,Documents!$C$2:$C$1421,"press_kit")),"")</f>
        <v/>
      </c>
      <c r="T28">
        <f>IFERROR(IF(_xlfn.MAXIFS(Documents!$E$2:$E$1421,Documents!$A$2:$A$1421,$A28,Documents!$C$2:$C$1421,"other")=0,"",_xlfn.MAXIFS(Documents!$E$2:$E$1421,Documents!$A$2:$A$1421,$A28,Documents!$C$2:$C$1421,"other")),"")</f>
        <v/>
      </c>
      <c r="U28">
        <f>IFERROR(IF(_xlfn.MAXIFS(Documents!$E$2:$E$1421,Documents!$A$2:$A$1421,$A28,Documents!$C$2:$C$1421,"obsolete")=0,"",_xlfn.MAXIFS(Documents!$E$2:$E$1421,Documents!$A$2:$A$1421,$A28,Documents!$C$2:$C$1421,"obsolete")),"")</f>
        <v/>
      </c>
      <c r="V28">
        <f>COUNTIFS(Documents!$A$2:$A$1421,$A28)</f>
        <v/>
      </c>
      <c r="W28">
        <f>COUNTIFS(Documents!$A$2:$A$1421,$A28,Documents!$R$2:$R$1421,"current")</f>
        <v/>
      </c>
      <c r="X28">
        <f>HYPERLINK("https://www.neoscapesmaldives.com/wp-content/uploads/GPKD-Resort-Factsheet-2022.pdf","2022_GPKD-Resort-Factsheet-2022.pdf")</f>
        <v/>
      </c>
      <c r="Y28" t="inlineStr">
        <is>
          <t>wedding, events</t>
        </is>
      </c>
      <c r="Z28" t="inlineStr"/>
    </row>
    <row r="29">
      <c r="A29" t="n">
        <v>28</v>
      </c>
      <c r="B29" t="inlineStr">
        <is>
          <t>Kudadoo Maldives Private island</t>
        </is>
      </c>
      <c r="C29" t="inlineStr">
        <is>
          <t>ok</t>
        </is>
      </c>
      <c r="D29">
        <f>IFERROR(IF(_xlfn.MAXIFS(Documents!$E$2:$E$1421,Documents!$A$2:$A$1421,$A29,Documents!$C$2:$C$1421,"factsheet")=0,"",_xlfn.MAXIFS(Documents!$E$2:$E$1421,Documents!$A$2:$A$1421,$A29,Documents!$C$2:$C$1421,"factsheet")),"")</f>
        <v/>
      </c>
      <c r="E29">
        <f>IFERROR(IF(_xlfn.MAXIFS(Documents!$E$2:$E$1421,Documents!$A$2:$A$1421,$A29,Documents!$C$2:$C$1421,"wedding")=0,"",_xlfn.MAXIFS(Documents!$E$2:$E$1421,Documents!$A$2:$A$1421,$A29,Documents!$C$2:$C$1421,"wedding")),"")</f>
        <v/>
      </c>
      <c r="F29">
        <f>IFERROR(IF(_xlfn.MAXIFS(Documents!$E$2:$E$1421,Documents!$A$2:$A$1421,$A29,Documents!$C$2:$C$1421,"events")=0,"",_xlfn.MAXIFS(Documents!$E$2:$E$1421,Documents!$A$2:$A$1421,$A29,Documents!$C$2:$C$1421,"events")),"")</f>
        <v/>
      </c>
      <c r="G29">
        <f>IFERROR(IF(_xlfn.MAXIFS(Documents!$E$2:$E$1421,Documents!$A$2:$A$1421,$A29,Documents!$C$2:$C$1421,"map")=0,"",_xlfn.MAXIFS(Documents!$E$2:$E$1421,Documents!$A$2:$A$1421,$A29,Documents!$C$2:$C$1421,"map")),"")</f>
        <v/>
      </c>
      <c r="H29">
        <f>IFERROR(IF(_xlfn.MAXIFS(Documents!$E$2:$E$1421,Documents!$A$2:$A$1421,$A29,Documents!$C$2:$C$1421,"dive_map")=0,"",_xlfn.MAXIFS(Documents!$E$2:$E$1421,Documents!$A$2:$A$1421,$A29,Documents!$C$2:$C$1421,"dive_map")),"")</f>
        <v/>
      </c>
      <c r="I29">
        <f>IFERROR(IF(_xlfn.MAXIFS(Documents!$E$2:$E$1421,Documents!$A$2:$A$1421,$A29,Documents!$C$2:$C$1421,"spa_menu")=0,"",_xlfn.MAXIFS(Documents!$E$2:$E$1421,Documents!$A$2:$A$1421,$A29,Documents!$C$2:$C$1421,"spa_menu")),"")</f>
        <v/>
      </c>
      <c r="J29">
        <f>IFERROR(IF(_xlfn.MAXIFS(Documents!$E$2:$E$1421,Documents!$A$2:$A$1421,$A29,Documents!$C$2:$C$1421,"dining_menu")=0,"",_xlfn.MAXIFS(Documents!$E$2:$E$1421,Documents!$A$2:$A$1421,$A29,Documents!$C$2:$C$1421,"dining_menu")),"")</f>
        <v/>
      </c>
      <c r="K29">
        <f>IFERROR(IF(_xlfn.MAXIFS(Documents!$E$2:$E$1421,Documents!$A$2:$A$1421,$A29,Documents!$C$2:$C$1421,"dive_prices")=0,"",_xlfn.MAXIFS(Documents!$E$2:$E$1421,Documents!$A$2:$A$1421,$A29,Documents!$C$2:$C$1421,"dive_prices")),"")</f>
        <v/>
      </c>
      <c r="L29">
        <f>IFERROR(IF(_xlfn.MAXIFS(Documents!$E$2:$E$1421,Documents!$A$2:$A$1421,$A29,Documents!$C$2:$C$1421,"excursions")=0,"",_xlfn.MAXIFS(Documents!$E$2:$E$1421,Documents!$A$2:$A$1421,$A29,Documents!$C$2:$C$1421,"excursions")),"")</f>
        <v/>
      </c>
      <c r="M29">
        <f>IFERROR(IF(_xlfn.MAXIFS(Documents!$E$2:$E$1421,Documents!$A$2:$A$1421,$A29,Documents!$C$2:$C$1421,"kids")=0,"",_xlfn.MAXIFS(Documents!$E$2:$E$1421,Documents!$A$2:$A$1421,$A29,Documents!$C$2:$C$1421,"kids")),"")</f>
        <v/>
      </c>
      <c r="N29">
        <f>IFERROR(IF(_xlfn.MAXIFS(Documents!$E$2:$E$1421,Documents!$A$2:$A$1421,$A29,Documents!$C$2:$C$1421,"villa_plans")=0,"",_xlfn.MAXIFS(Documents!$E$2:$E$1421,Documents!$A$2:$A$1421,$A29,Documents!$C$2:$C$1421,"villa_plans")),"")</f>
        <v/>
      </c>
      <c r="O29">
        <f>IFERROR(IF(_xlfn.MAXIFS(Documents!$E$2:$E$1421,Documents!$A$2:$A$1421,$A29,Documents!$C$2:$C$1421,"all_inclusive")=0,"",_xlfn.MAXIFS(Documents!$E$2:$E$1421,Documents!$A$2:$A$1421,$A29,Documents!$C$2:$C$1421,"all_inclusive")),"")</f>
        <v/>
      </c>
      <c r="P29">
        <f>IFERROR(IF(_xlfn.MAXIFS(Documents!$E$2:$E$1421,Documents!$A$2:$A$1421,$A29,Documents!$C$2:$C$1421,"sustainability")=0,"",_xlfn.MAXIFS(Documents!$E$2:$E$1421,Documents!$A$2:$A$1421,$A29,Documents!$C$2:$C$1421,"sustainability")),"")</f>
        <v/>
      </c>
      <c r="Q29">
        <f>IFERROR(IF(_xlfn.MAXIFS(Documents!$E$2:$E$1421,Documents!$A$2:$A$1421,$A29,Documents!$C$2:$C$1421,"calendar")=0,"",_xlfn.MAXIFS(Documents!$E$2:$E$1421,Documents!$A$2:$A$1421,$A29,Documents!$C$2:$C$1421,"calendar")),"")</f>
        <v/>
      </c>
      <c r="R29">
        <f>IFERROR(IF(_xlfn.MAXIFS(Documents!$E$2:$E$1421,Documents!$A$2:$A$1421,$A29,Documents!$C$2:$C$1421,"brochure")=0,"",_xlfn.MAXIFS(Documents!$E$2:$E$1421,Documents!$A$2:$A$1421,$A29,Documents!$C$2:$C$1421,"brochure")),"")</f>
        <v/>
      </c>
      <c r="S29">
        <f>IFERROR(IF(_xlfn.MAXIFS(Documents!$E$2:$E$1421,Documents!$A$2:$A$1421,$A29,Documents!$C$2:$C$1421,"press_kit")=0,"",_xlfn.MAXIFS(Documents!$E$2:$E$1421,Documents!$A$2:$A$1421,$A29,Documents!$C$2:$C$1421,"press_kit")),"")</f>
        <v/>
      </c>
      <c r="T29">
        <f>IFERROR(IF(_xlfn.MAXIFS(Documents!$E$2:$E$1421,Documents!$A$2:$A$1421,$A29,Documents!$C$2:$C$1421,"other")=0,"",_xlfn.MAXIFS(Documents!$E$2:$E$1421,Documents!$A$2:$A$1421,$A29,Documents!$C$2:$C$1421,"other")),"")</f>
        <v/>
      </c>
      <c r="U29">
        <f>IFERROR(IF(_xlfn.MAXIFS(Documents!$E$2:$E$1421,Documents!$A$2:$A$1421,$A29,Documents!$C$2:$C$1421,"obsolete")=0,"",_xlfn.MAXIFS(Documents!$E$2:$E$1421,Documents!$A$2:$A$1421,$A29,Documents!$C$2:$C$1421,"obsolete")),"")</f>
        <v/>
      </c>
      <c r="V29">
        <f>COUNTIFS(Documents!$A$2:$A$1421,$A29)</f>
        <v/>
      </c>
      <c r="W29">
        <f>COUNTIFS(Documents!$A$2:$A$1421,$A29,Documents!$R$2:$R$1421,"current")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IFERROR(IF(_xlfn.MAXIFS(Documents!$E$2:$E$1421,Documents!$A$2:$A$1421,$A30,Documents!$C$2:$C$1421,"factsheet")=0,"",_xlfn.MAXIFS(Documents!$E$2:$E$1421,Documents!$A$2:$A$1421,$A30,Documents!$C$2:$C$1421,"factsheet")),"")</f>
        <v/>
      </c>
      <c r="E30">
        <f>IFERROR(IF(_xlfn.MAXIFS(Documents!$E$2:$E$1421,Documents!$A$2:$A$1421,$A30,Documents!$C$2:$C$1421,"wedding")=0,"",_xlfn.MAXIFS(Documents!$E$2:$E$1421,Documents!$A$2:$A$1421,$A30,Documents!$C$2:$C$1421,"wedding")),"")</f>
        <v/>
      </c>
      <c r="F30">
        <f>IFERROR(IF(_xlfn.MAXIFS(Documents!$E$2:$E$1421,Documents!$A$2:$A$1421,$A30,Documents!$C$2:$C$1421,"events")=0,"",_xlfn.MAXIFS(Documents!$E$2:$E$1421,Documents!$A$2:$A$1421,$A30,Documents!$C$2:$C$1421,"events")),"")</f>
        <v/>
      </c>
      <c r="G30">
        <f>IFERROR(IF(_xlfn.MAXIFS(Documents!$E$2:$E$1421,Documents!$A$2:$A$1421,$A30,Documents!$C$2:$C$1421,"map")=0,"",_xlfn.MAXIFS(Documents!$E$2:$E$1421,Documents!$A$2:$A$1421,$A30,Documents!$C$2:$C$1421,"map")),"")</f>
        <v/>
      </c>
      <c r="H30">
        <f>IFERROR(IF(_xlfn.MAXIFS(Documents!$E$2:$E$1421,Documents!$A$2:$A$1421,$A30,Documents!$C$2:$C$1421,"dive_map")=0,"",_xlfn.MAXIFS(Documents!$E$2:$E$1421,Documents!$A$2:$A$1421,$A30,Documents!$C$2:$C$1421,"dive_map")),"")</f>
        <v/>
      </c>
      <c r="I30">
        <f>IFERROR(IF(_xlfn.MAXIFS(Documents!$E$2:$E$1421,Documents!$A$2:$A$1421,$A30,Documents!$C$2:$C$1421,"spa_menu")=0,"",_xlfn.MAXIFS(Documents!$E$2:$E$1421,Documents!$A$2:$A$1421,$A30,Documents!$C$2:$C$1421,"spa_menu")),"")</f>
        <v/>
      </c>
      <c r="J30">
        <f>IFERROR(IF(_xlfn.MAXIFS(Documents!$E$2:$E$1421,Documents!$A$2:$A$1421,$A30,Documents!$C$2:$C$1421,"dining_menu")=0,"",_xlfn.MAXIFS(Documents!$E$2:$E$1421,Documents!$A$2:$A$1421,$A30,Documents!$C$2:$C$1421,"dining_menu")),"")</f>
        <v/>
      </c>
      <c r="K30">
        <f>IFERROR(IF(_xlfn.MAXIFS(Documents!$E$2:$E$1421,Documents!$A$2:$A$1421,$A30,Documents!$C$2:$C$1421,"dive_prices")=0,"",_xlfn.MAXIFS(Documents!$E$2:$E$1421,Documents!$A$2:$A$1421,$A30,Documents!$C$2:$C$1421,"dive_prices")),"")</f>
        <v/>
      </c>
      <c r="L30">
        <f>IFERROR(IF(_xlfn.MAXIFS(Documents!$E$2:$E$1421,Documents!$A$2:$A$1421,$A30,Documents!$C$2:$C$1421,"excursions")=0,"",_xlfn.MAXIFS(Documents!$E$2:$E$1421,Documents!$A$2:$A$1421,$A30,Documents!$C$2:$C$1421,"excursions")),"")</f>
        <v/>
      </c>
      <c r="M30">
        <f>IFERROR(IF(_xlfn.MAXIFS(Documents!$E$2:$E$1421,Documents!$A$2:$A$1421,$A30,Documents!$C$2:$C$1421,"kids")=0,"",_xlfn.MAXIFS(Documents!$E$2:$E$1421,Documents!$A$2:$A$1421,$A30,Documents!$C$2:$C$1421,"kids")),"")</f>
        <v/>
      </c>
      <c r="N30">
        <f>IFERROR(IF(_xlfn.MAXIFS(Documents!$E$2:$E$1421,Documents!$A$2:$A$1421,$A30,Documents!$C$2:$C$1421,"villa_plans")=0,"",_xlfn.MAXIFS(Documents!$E$2:$E$1421,Documents!$A$2:$A$1421,$A30,Documents!$C$2:$C$1421,"villa_plans")),"")</f>
        <v/>
      </c>
      <c r="O30">
        <f>IFERROR(IF(_xlfn.MAXIFS(Documents!$E$2:$E$1421,Documents!$A$2:$A$1421,$A30,Documents!$C$2:$C$1421,"all_inclusive")=0,"",_xlfn.MAXIFS(Documents!$E$2:$E$1421,Documents!$A$2:$A$1421,$A30,Documents!$C$2:$C$1421,"all_inclusive")),"")</f>
        <v/>
      </c>
      <c r="P30">
        <f>IFERROR(IF(_xlfn.MAXIFS(Documents!$E$2:$E$1421,Documents!$A$2:$A$1421,$A30,Documents!$C$2:$C$1421,"sustainability")=0,"",_xlfn.MAXIFS(Documents!$E$2:$E$1421,Documents!$A$2:$A$1421,$A30,Documents!$C$2:$C$1421,"sustainability")),"")</f>
        <v/>
      </c>
      <c r="Q30">
        <f>IFERROR(IF(_xlfn.MAXIFS(Documents!$E$2:$E$1421,Documents!$A$2:$A$1421,$A30,Documents!$C$2:$C$1421,"calendar")=0,"",_xlfn.MAXIFS(Documents!$E$2:$E$1421,Documents!$A$2:$A$1421,$A30,Documents!$C$2:$C$1421,"calendar")),"")</f>
        <v/>
      </c>
      <c r="R30">
        <f>IFERROR(IF(_xlfn.MAXIFS(Documents!$E$2:$E$1421,Documents!$A$2:$A$1421,$A30,Documents!$C$2:$C$1421,"brochure")=0,"",_xlfn.MAXIFS(Documents!$E$2:$E$1421,Documents!$A$2:$A$1421,$A30,Documents!$C$2:$C$1421,"brochure")),"")</f>
        <v/>
      </c>
      <c r="S30">
        <f>IFERROR(IF(_xlfn.MAXIFS(Documents!$E$2:$E$1421,Documents!$A$2:$A$1421,$A30,Documents!$C$2:$C$1421,"press_kit")=0,"",_xlfn.MAXIFS(Documents!$E$2:$E$1421,Documents!$A$2:$A$1421,$A30,Documents!$C$2:$C$1421,"press_kit")),"")</f>
        <v/>
      </c>
      <c r="T30">
        <f>IFERROR(IF(_xlfn.MAXIFS(Documents!$E$2:$E$1421,Documents!$A$2:$A$1421,$A30,Documents!$C$2:$C$1421,"other")=0,"",_xlfn.MAXIFS(Documents!$E$2:$E$1421,Documents!$A$2:$A$1421,$A30,Documents!$C$2:$C$1421,"other")),"")</f>
        <v/>
      </c>
      <c r="U30">
        <f>IFERROR(IF(_xlfn.MAXIFS(Documents!$E$2:$E$1421,Documents!$A$2:$A$1421,$A30,Documents!$C$2:$C$1421,"obsolete")=0,"",_xlfn.MAXIFS(Documents!$E$2:$E$1421,Documents!$A$2:$A$1421,$A30,Documents!$C$2:$C$1421,"obsolete")),"")</f>
        <v/>
      </c>
      <c r="V30">
        <f>COUNTIFS(Documents!$A$2:$A$1421,$A30)</f>
        <v/>
      </c>
      <c r="W30">
        <f>COUNTIFS(Documents!$A$2:$A$1421,$A30,Documents!$R$2:$R$1421,"current")</f>
        <v/>
      </c>
      <c r="X30">
        <f>HYPERLINK("https://sales.crownandchamparesorts.com/wp-content/uploads/2026/04/NalaMaldivesFactsheet011125311026Ver030426.pdf","2025_NalaMaldivesFactsheet011125311026Ve")</f>
        <v/>
      </c>
      <c r="Y30" t="inlineStr">
        <is>
          <t>wedding, events</t>
        </is>
      </c>
      <c r="Z30" t="inlineStr">
        <is>
          <t>Jawakara Islands (shared documents)</t>
        </is>
      </c>
    </row>
    <row r="31">
      <c r="A31" t="n">
        <v>30</v>
      </c>
      <c r="B31" t="inlineStr">
        <is>
          <t>Hurawalhi Island Resort</t>
        </is>
      </c>
      <c r="C31" t="inlineStr">
        <is>
          <t>ok</t>
        </is>
      </c>
      <c r="D31">
        <f>IFERROR(IF(_xlfn.MAXIFS(Documents!$E$2:$E$1421,Documents!$A$2:$A$1421,$A31,Documents!$C$2:$C$1421,"factsheet")=0,"",_xlfn.MAXIFS(Documents!$E$2:$E$1421,Documents!$A$2:$A$1421,$A31,Documents!$C$2:$C$1421,"factsheet")),"")</f>
        <v/>
      </c>
      <c r="E31">
        <f>IFERROR(IF(_xlfn.MAXIFS(Documents!$E$2:$E$1421,Documents!$A$2:$A$1421,$A31,Documents!$C$2:$C$1421,"wedding")=0,"",_xlfn.MAXIFS(Documents!$E$2:$E$1421,Documents!$A$2:$A$1421,$A31,Documents!$C$2:$C$1421,"wedding")),"")</f>
        <v/>
      </c>
      <c r="F31">
        <f>IFERROR(IF(_xlfn.MAXIFS(Documents!$E$2:$E$1421,Documents!$A$2:$A$1421,$A31,Documents!$C$2:$C$1421,"events")=0,"",_xlfn.MAXIFS(Documents!$E$2:$E$1421,Documents!$A$2:$A$1421,$A31,Documents!$C$2:$C$1421,"events")),"")</f>
        <v/>
      </c>
      <c r="G31">
        <f>IFERROR(IF(_xlfn.MAXIFS(Documents!$E$2:$E$1421,Documents!$A$2:$A$1421,$A31,Documents!$C$2:$C$1421,"map")=0,"",_xlfn.MAXIFS(Documents!$E$2:$E$1421,Documents!$A$2:$A$1421,$A31,Documents!$C$2:$C$1421,"map")),"")</f>
        <v/>
      </c>
      <c r="H31">
        <f>IFERROR(IF(_xlfn.MAXIFS(Documents!$E$2:$E$1421,Documents!$A$2:$A$1421,$A31,Documents!$C$2:$C$1421,"dive_map")=0,"",_xlfn.MAXIFS(Documents!$E$2:$E$1421,Documents!$A$2:$A$1421,$A31,Documents!$C$2:$C$1421,"dive_map")),"")</f>
        <v/>
      </c>
      <c r="I31">
        <f>IFERROR(IF(_xlfn.MAXIFS(Documents!$E$2:$E$1421,Documents!$A$2:$A$1421,$A31,Documents!$C$2:$C$1421,"spa_menu")=0,"",_xlfn.MAXIFS(Documents!$E$2:$E$1421,Documents!$A$2:$A$1421,$A31,Documents!$C$2:$C$1421,"spa_menu")),"")</f>
        <v/>
      </c>
      <c r="J31">
        <f>IFERROR(IF(_xlfn.MAXIFS(Documents!$E$2:$E$1421,Documents!$A$2:$A$1421,$A31,Documents!$C$2:$C$1421,"dining_menu")=0,"",_xlfn.MAXIFS(Documents!$E$2:$E$1421,Documents!$A$2:$A$1421,$A31,Documents!$C$2:$C$1421,"dining_menu")),"")</f>
        <v/>
      </c>
      <c r="K31">
        <f>IFERROR(IF(_xlfn.MAXIFS(Documents!$E$2:$E$1421,Documents!$A$2:$A$1421,$A31,Documents!$C$2:$C$1421,"dive_prices")=0,"",_xlfn.MAXIFS(Documents!$E$2:$E$1421,Documents!$A$2:$A$1421,$A31,Documents!$C$2:$C$1421,"dive_prices")),"")</f>
        <v/>
      </c>
      <c r="L31">
        <f>IFERROR(IF(_xlfn.MAXIFS(Documents!$E$2:$E$1421,Documents!$A$2:$A$1421,$A31,Documents!$C$2:$C$1421,"excursions")=0,"",_xlfn.MAXIFS(Documents!$E$2:$E$1421,Documents!$A$2:$A$1421,$A31,Documents!$C$2:$C$1421,"excursions")),"")</f>
        <v/>
      </c>
      <c r="M31">
        <f>IFERROR(IF(_xlfn.MAXIFS(Documents!$E$2:$E$1421,Documents!$A$2:$A$1421,$A31,Documents!$C$2:$C$1421,"kids")=0,"",_xlfn.MAXIFS(Documents!$E$2:$E$1421,Documents!$A$2:$A$1421,$A31,Documents!$C$2:$C$1421,"kids")),"")</f>
        <v/>
      </c>
      <c r="N31">
        <f>IFERROR(IF(_xlfn.MAXIFS(Documents!$E$2:$E$1421,Documents!$A$2:$A$1421,$A31,Documents!$C$2:$C$1421,"villa_plans")=0,"",_xlfn.MAXIFS(Documents!$E$2:$E$1421,Documents!$A$2:$A$1421,$A31,Documents!$C$2:$C$1421,"villa_plans")),"")</f>
        <v/>
      </c>
      <c r="O31">
        <f>IFERROR(IF(_xlfn.MAXIFS(Documents!$E$2:$E$1421,Documents!$A$2:$A$1421,$A31,Documents!$C$2:$C$1421,"all_inclusive")=0,"",_xlfn.MAXIFS(Documents!$E$2:$E$1421,Documents!$A$2:$A$1421,$A31,Documents!$C$2:$C$1421,"all_inclusive")),"")</f>
        <v/>
      </c>
      <c r="P31">
        <f>IFERROR(IF(_xlfn.MAXIFS(Documents!$E$2:$E$1421,Documents!$A$2:$A$1421,$A31,Documents!$C$2:$C$1421,"sustainability")=0,"",_xlfn.MAXIFS(Documents!$E$2:$E$1421,Documents!$A$2:$A$1421,$A31,Documents!$C$2:$C$1421,"sustainability")),"")</f>
        <v/>
      </c>
      <c r="Q31">
        <f>IFERROR(IF(_xlfn.MAXIFS(Documents!$E$2:$E$1421,Documents!$A$2:$A$1421,$A31,Documents!$C$2:$C$1421,"calendar")=0,"",_xlfn.MAXIFS(Documents!$E$2:$E$1421,Documents!$A$2:$A$1421,$A31,Documents!$C$2:$C$1421,"calendar")),"")</f>
        <v/>
      </c>
      <c r="R31">
        <f>IFERROR(IF(_xlfn.MAXIFS(Documents!$E$2:$E$1421,Documents!$A$2:$A$1421,$A31,Documents!$C$2:$C$1421,"brochure")=0,"",_xlfn.MAXIFS(Documents!$E$2:$E$1421,Documents!$A$2:$A$1421,$A31,Documents!$C$2:$C$1421,"brochure")),"")</f>
        <v/>
      </c>
      <c r="S31">
        <f>IFERROR(IF(_xlfn.MAXIFS(Documents!$E$2:$E$1421,Documents!$A$2:$A$1421,$A31,Documents!$C$2:$C$1421,"press_kit")=0,"",_xlfn.MAXIFS(Documents!$E$2:$E$1421,Documents!$A$2:$A$1421,$A31,Documents!$C$2:$C$1421,"press_kit")),"")</f>
        <v/>
      </c>
      <c r="T31">
        <f>IFERROR(IF(_xlfn.MAXIFS(Documents!$E$2:$E$1421,Documents!$A$2:$A$1421,$A31,Documents!$C$2:$C$1421,"other")=0,"",_xlfn.MAXIFS(Documents!$E$2:$E$1421,Documents!$A$2:$A$1421,$A31,Documents!$C$2:$C$1421,"other")),"")</f>
        <v/>
      </c>
      <c r="U31">
        <f>IFERROR(IF(_xlfn.MAXIFS(Documents!$E$2:$E$1421,Documents!$A$2:$A$1421,$A31,Documents!$C$2:$C$1421,"obsolete")=0,"",_xlfn.MAXIFS(Documents!$E$2:$E$1421,Documents!$A$2:$A$1421,$A31,Documents!$C$2:$C$1421,"obsolete")),"")</f>
        <v/>
      </c>
      <c r="V31">
        <f>COUNTIFS(Documents!$A$2:$A$1421,$A31)</f>
        <v/>
      </c>
      <c r="W31">
        <f>COUNTIFS(Documents!$A$2:$A$1421,$A31,Documents!$R$2:$R$1421,"current")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unverified</t>
        </is>
      </c>
      <c r="D32">
        <f>IFERROR(IF(_xlfn.MAXIFS(Documents!$E$2:$E$1421,Documents!$A$2:$A$1421,$A32,Documents!$C$2:$C$1421,"factsheet")=0,"",_xlfn.MAXIFS(Documents!$E$2:$E$1421,Documents!$A$2:$A$1421,$A32,Documents!$C$2:$C$1421,"factsheet")),"")</f>
        <v/>
      </c>
      <c r="E32">
        <f>IFERROR(IF(_xlfn.MAXIFS(Documents!$E$2:$E$1421,Documents!$A$2:$A$1421,$A32,Documents!$C$2:$C$1421,"wedding")=0,"",_xlfn.MAXIFS(Documents!$E$2:$E$1421,Documents!$A$2:$A$1421,$A32,Documents!$C$2:$C$1421,"wedding")),"")</f>
        <v/>
      </c>
      <c r="F32">
        <f>IFERROR(IF(_xlfn.MAXIFS(Documents!$E$2:$E$1421,Documents!$A$2:$A$1421,$A32,Documents!$C$2:$C$1421,"events")=0,"",_xlfn.MAXIFS(Documents!$E$2:$E$1421,Documents!$A$2:$A$1421,$A32,Documents!$C$2:$C$1421,"events")),"")</f>
        <v/>
      </c>
      <c r="G32">
        <f>IFERROR(IF(_xlfn.MAXIFS(Documents!$E$2:$E$1421,Documents!$A$2:$A$1421,$A32,Documents!$C$2:$C$1421,"map")=0,"",_xlfn.MAXIFS(Documents!$E$2:$E$1421,Documents!$A$2:$A$1421,$A32,Documents!$C$2:$C$1421,"map")),"")</f>
        <v/>
      </c>
      <c r="H32">
        <f>IFERROR(IF(_xlfn.MAXIFS(Documents!$E$2:$E$1421,Documents!$A$2:$A$1421,$A32,Documents!$C$2:$C$1421,"dive_map")=0,"",_xlfn.MAXIFS(Documents!$E$2:$E$1421,Documents!$A$2:$A$1421,$A32,Documents!$C$2:$C$1421,"dive_map")),"")</f>
        <v/>
      </c>
      <c r="I32">
        <f>IFERROR(IF(_xlfn.MAXIFS(Documents!$E$2:$E$1421,Documents!$A$2:$A$1421,$A32,Documents!$C$2:$C$1421,"spa_menu")=0,"",_xlfn.MAXIFS(Documents!$E$2:$E$1421,Documents!$A$2:$A$1421,$A32,Documents!$C$2:$C$1421,"spa_menu")),"")</f>
        <v/>
      </c>
      <c r="J32">
        <f>IFERROR(IF(_xlfn.MAXIFS(Documents!$E$2:$E$1421,Documents!$A$2:$A$1421,$A32,Documents!$C$2:$C$1421,"dining_menu")=0,"",_xlfn.MAXIFS(Documents!$E$2:$E$1421,Documents!$A$2:$A$1421,$A32,Documents!$C$2:$C$1421,"dining_menu")),"")</f>
        <v/>
      </c>
      <c r="K32">
        <f>IFERROR(IF(_xlfn.MAXIFS(Documents!$E$2:$E$1421,Documents!$A$2:$A$1421,$A32,Documents!$C$2:$C$1421,"dive_prices")=0,"",_xlfn.MAXIFS(Documents!$E$2:$E$1421,Documents!$A$2:$A$1421,$A32,Documents!$C$2:$C$1421,"dive_prices")),"")</f>
        <v/>
      </c>
      <c r="L32">
        <f>IFERROR(IF(_xlfn.MAXIFS(Documents!$E$2:$E$1421,Documents!$A$2:$A$1421,$A32,Documents!$C$2:$C$1421,"excursions")=0,"",_xlfn.MAXIFS(Documents!$E$2:$E$1421,Documents!$A$2:$A$1421,$A32,Documents!$C$2:$C$1421,"excursions")),"")</f>
        <v/>
      </c>
      <c r="M32">
        <f>IFERROR(IF(_xlfn.MAXIFS(Documents!$E$2:$E$1421,Documents!$A$2:$A$1421,$A32,Documents!$C$2:$C$1421,"kids")=0,"",_xlfn.MAXIFS(Documents!$E$2:$E$1421,Documents!$A$2:$A$1421,$A32,Documents!$C$2:$C$1421,"kids")),"")</f>
        <v/>
      </c>
      <c r="N32">
        <f>IFERROR(IF(_xlfn.MAXIFS(Documents!$E$2:$E$1421,Documents!$A$2:$A$1421,$A32,Documents!$C$2:$C$1421,"villa_plans")=0,"",_xlfn.MAXIFS(Documents!$E$2:$E$1421,Documents!$A$2:$A$1421,$A32,Documents!$C$2:$C$1421,"villa_plans")),"")</f>
        <v/>
      </c>
      <c r="O32">
        <f>IFERROR(IF(_xlfn.MAXIFS(Documents!$E$2:$E$1421,Documents!$A$2:$A$1421,$A32,Documents!$C$2:$C$1421,"all_inclusive")=0,"",_xlfn.MAXIFS(Documents!$E$2:$E$1421,Documents!$A$2:$A$1421,$A32,Documents!$C$2:$C$1421,"all_inclusive")),"")</f>
        <v/>
      </c>
      <c r="P32">
        <f>IFERROR(IF(_xlfn.MAXIFS(Documents!$E$2:$E$1421,Documents!$A$2:$A$1421,$A32,Documents!$C$2:$C$1421,"sustainability")=0,"",_xlfn.MAXIFS(Documents!$E$2:$E$1421,Documents!$A$2:$A$1421,$A32,Documents!$C$2:$C$1421,"sustainability")),"")</f>
        <v/>
      </c>
      <c r="Q32">
        <f>IFERROR(IF(_xlfn.MAXIFS(Documents!$E$2:$E$1421,Documents!$A$2:$A$1421,$A32,Documents!$C$2:$C$1421,"calendar")=0,"",_xlfn.MAXIFS(Documents!$E$2:$E$1421,Documents!$A$2:$A$1421,$A32,Documents!$C$2:$C$1421,"calendar")),"")</f>
        <v/>
      </c>
      <c r="R32">
        <f>IFERROR(IF(_xlfn.MAXIFS(Documents!$E$2:$E$1421,Documents!$A$2:$A$1421,$A32,Documents!$C$2:$C$1421,"brochure")=0,"",_xlfn.MAXIFS(Documents!$E$2:$E$1421,Documents!$A$2:$A$1421,$A32,Documents!$C$2:$C$1421,"brochure")),"")</f>
        <v/>
      </c>
      <c r="S32">
        <f>IFERROR(IF(_xlfn.MAXIFS(Documents!$E$2:$E$1421,Documents!$A$2:$A$1421,$A32,Documents!$C$2:$C$1421,"press_kit")=0,"",_xlfn.MAXIFS(Documents!$E$2:$E$1421,Documents!$A$2:$A$1421,$A32,Documents!$C$2:$C$1421,"press_kit")),"")</f>
        <v/>
      </c>
      <c r="T32">
        <f>IFERROR(IF(_xlfn.MAXIFS(Documents!$E$2:$E$1421,Documents!$A$2:$A$1421,$A32,Documents!$C$2:$C$1421,"other")=0,"",_xlfn.MAXIFS(Documents!$E$2:$E$1421,Documents!$A$2:$A$1421,$A32,Documents!$C$2:$C$1421,"other")),"")</f>
        <v/>
      </c>
      <c r="U32">
        <f>IFERROR(IF(_xlfn.MAXIFS(Documents!$E$2:$E$1421,Documents!$A$2:$A$1421,$A32,Documents!$C$2:$C$1421,"obsolete")=0,"",_xlfn.MAXIFS(Documents!$E$2:$E$1421,Documents!$A$2:$A$1421,$A32,Documents!$C$2:$C$1421,"obsolete")),"")</f>
        <v/>
      </c>
      <c r="V32">
        <f>COUNTIFS(Documents!$A$2:$A$1421,$A32)</f>
        <v/>
      </c>
      <c r="W32">
        <f>COUNTIFS(Documents!$A$2:$A$1421,$A32,Documents!$R$2:$R$1421,"current")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IFERROR(IF(_xlfn.MAXIFS(Documents!$E$2:$E$1421,Documents!$A$2:$A$1421,$A33,Documents!$C$2:$C$1421,"factsheet")=0,"",_xlfn.MAXIFS(Documents!$E$2:$E$1421,Documents!$A$2:$A$1421,$A33,Documents!$C$2:$C$1421,"factsheet")),"")</f>
        <v/>
      </c>
      <c r="E33">
        <f>IFERROR(IF(_xlfn.MAXIFS(Documents!$E$2:$E$1421,Documents!$A$2:$A$1421,$A33,Documents!$C$2:$C$1421,"wedding")=0,"",_xlfn.MAXIFS(Documents!$E$2:$E$1421,Documents!$A$2:$A$1421,$A33,Documents!$C$2:$C$1421,"wedding")),"")</f>
        <v/>
      </c>
      <c r="F33">
        <f>IFERROR(IF(_xlfn.MAXIFS(Documents!$E$2:$E$1421,Documents!$A$2:$A$1421,$A33,Documents!$C$2:$C$1421,"events")=0,"",_xlfn.MAXIFS(Documents!$E$2:$E$1421,Documents!$A$2:$A$1421,$A33,Documents!$C$2:$C$1421,"events")),"")</f>
        <v/>
      </c>
      <c r="G33">
        <f>IFERROR(IF(_xlfn.MAXIFS(Documents!$E$2:$E$1421,Documents!$A$2:$A$1421,$A33,Documents!$C$2:$C$1421,"map")=0,"",_xlfn.MAXIFS(Documents!$E$2:$E$1421,Documents!$A$2:$A$1421,$A33,Documents!$C$2:$C$1421,"map")),"")</f>
        <v/>
      </c>
      <c r="H33">
        <f>IFERROR(IF(_xlfn.MAXIFS(Documents!$E$2:$E$1421,Documents!$A$2:$A$1421,$A33,Documents!$C$2:$C$1421,"dive_map")=0,"",_xlfn.MAXIFS(Documents!$E$2:$E$1421,Documents!$A$2:$A$1421,$A33,Documents!$C$2:$C$1421,"dive_map")),"")</f>
        <v/>
      </c>
      <c r="I33">
        <f>IFERROR(IF(_xlfn.MAXIFS(Documents!$E$2:$E$1421,Documents!$A$2:$A$1421,$A33,Documents!$C$2:$C$1421,"spa_menu")=0,"",_xlfn.MAXIFS(Documents!$E$2:$E$1421,Documents!$A$2:$A$1421,$A33,Documents!$C$2:$C$1421,"spa_menu")),"")</f>
        <v/>
      </c>
      <c r="J33">
        <f>IFERROR(IF(_xlfn.MAXIFS(Documents!$E$2:$E$1421,Documents!$A$2:$A$1421,$A33,Documents!$C$2:$C$1421,"dining_menu")=0,"",_xlfn.MAXIFS(Documents!$E$2:$E$1421,Documents!$A$2:$A$1421,$A33,Documents!$C$2:$C$1421,"dining_menu")),"")</f>
        <v/>
      </c>
      <c r="K33">
        <f>IFERROR(IF(_xlfn.MAXIFS(Documents!$E$2:$E$1421,Documents!$A$2:$A$1421,$A33,Documents!$C$2:$C$1421,"dive_prices")=0,"",_xlfn.MAXIFS(Documents!$E$2:$E$1421,Documents!$A$2:$A$1421,$A33,Documents!$C$2:$C$1421,"dive_prices")),"")</f>
        <v/>
      </c>
      <c r="L33">
        <f>IFERROR(IF(_xlfn.MAXIFS(Documents!$E$2:$E$1421,Documents!$A$2:$A$1421,$A33,Documents!$C$2:$C$1421,"excursions")=0,"",_xlfn.MAXIFS(Documents!$E$2:$E$1421,Documents!$A$2:$A$1421,$A33,Documents!$C$2:$C$1421,"excursions")),"")</f>
        <v/>
      </c>
      <c r="M33">
        <f>IFERROR(IF(_xlfn.MAXIFS(Documents!$E$2:$E$1421,Documents!$A$2:$A$1421,$A33,Documents!$C$2:$C$1421,"kids")=0,"",_xlfn.MAXIFS(Documents!$E$2:$E$1421,Documents!$A$2:$A$1421,$A33,Documents!$C$2:$C$1421,"kids")),"")</f>
        <v/>
      </c>
      <c r="N33">
        <f>IFERROR(IF(_xlfn.MAXIFS(Documents!$E$2:$E$1421,Documents!$A$2:$A$1421,$A33,Documents!$C$2:$C$1421,"villa_plans")=0,"",_xlfn.MAXIFS(Documents!$E$2:$E$1421,Documents!$A$2:$A$1421,$A33,Documents!$C$2:$C$1421,"villa_plans")),"")</f>
        <v/>
      </c>
      <c r="O33">
        <f>IFERROR(IF(_xlfn.MAXIFS(Documents!$E$2:$E$1421,Documents!$A$2:$A$1421,$A33,Documents!$C$2:$C$1421,"all_inclusive")=0,"",_xlfn.MAXIFS(Documents!$E$2:$E$1421,Documents!$A$2:$A$1421,$A33,Documents!$C$2:$C$1421,"all_inclusive")),"")</f>
        <v/>
      </c>
      <c r="P33">
        <f>IFERROR(IF(_xlfn.MAXIFS(Documents!$E$2:$E$1421,Documents!$A$2:$A$1421,$A33,Documents!$C$2:$C$1421,"sustainability")=0,"",_xlfn.MAXIFS(Documents!$E$2:$E$1421,Documents!$A$2:$A$1421,$A33,Documents!$C$2:$C$1421,"sustainability")),"")</f>
        <v/>
      </c>
      <c r="Q33">
        <f>IFERROR(IF(_xlfn.MAXIFS(Documents!$E$2:$E$1421,Documents!$A$2:$A$1421,$A33,Documents!$C$2:$C$1421,"calendar")=0,"",_xlfn.MAXIFS(Documents!$E$2:$E$1421,Documents!$A$2:$A$1421,$A33,Documents!$C$2:$C$1421,"calendar")),"")</f>
        <v/>
      </c>
      <c r="R33">
        <f>IFERROR(IF(_xlfn.MAXIFS(Documents!$E$2:$E$1421,Documents!$A$2:$A$1421,$A33,Documents!$C$2:$C$1421,"brochure")=0,"",_xlfn.MAXIFS(Documents!$E$2:$E$1421,Documents!$A$2:$A$1421,$A33,Documents!$C$2:$C$1421,"brochure")),"")</f>
        <v/>
      </c>
      <c r="S33">
        <f>IFERROR(IF(_xlfn.MAXIFS(Documents!$E$2:$E$1421,Documents!$A$2:$A$1421,$A33,Documents!$C$2:$C$1421,"press_kit")=0,"",_xlfn.MAXIFS(Documents!$E$2:$E$1421,Documents!$A$2:$A$1421,$A33,Documents!$C$2:$C$1421,"press_kit")),"")</f>
        <v/>
      </c>
      <c r="T33">
        <f>IFERROR(IF(_xlfn.MAXIFS(Documents!$E$2:$E$1421,Documents!$A$2:$A$1421,$A33,Documents!$C$2:$C$1421,"other")=0,"",_xlfn.MAXIFS(Documents!$E$2:$E$1421,Documents!$A$2:$A$1421,$A33,Documents!$C$2:$C$1421,"other")),"")</f>
        <v/>
      </c>
      <c r="U33">
        <f>IFERROR(IF(_xlfn.MAXIFS(Documents!$E$2:$E$1421,Documents!$A$2:$A$1421,$A33,Documents!$C$2:$C$1421,"obsolete")=0,"",_xlfn.MAXIFS(Documents!$E$2:$E$1421,Documents!$A$2:$A$1421,$A33,Documents!$C$2:$C$1421,"obsolete")),"")</f>
        <v/>
      </c>
      <c r="V33">
        <f>COUNTIFS(Documents!$A$2:$A$1421,$A33)</f>
        <v/>
      </c>
      <c r="W33">
        <f>COUNTIFS(Documents!$A$2:$A$1421,$A33,Documents!$R$2:$R$1421,"current")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IFERROR(IF(_xlfn.MAXIFS(Documents!$E$2:$E$1421,Documents!$A$2:$A$1421,$A34,Documents!$C$2:$C$1421,"factsheet")=0,"",_xlfn.MAXIFS(Documents!$E$2:$E$1421,Documents!$A$2:$A$1421,$A34,Documents!$C$2:$C$1421,"factsheet")),"")</f>
        <v/>
      </c>
      <c r="E34">
        <f>IFERROR(IF(_xlfn.MAXIFS(Documents!$E$2:$E$1421,Documents!$A$2:$A$1421,$A34,Documents!$C$2:$C$1421,"wedding")=0,"",_xlfn.MAXIFS(Documents!$E$2:$E$1421,Documents!$A$2:$A$1421,$A34,Documents!$C$2:$C$1421,"wedding")),"")</f>
        <v/>
      </c>
      <c r="F34">
        <f>IFERROR(IF(_xlfn.MAXIFS(Documents!$E$2:$E$1421,Documents!$A$2:$A$1421,$A34,Documents!$C$2:$C$1421,"events")=0,"",_xlfn.MAXIFS(Documents!$E$2:$E$1421,Documents!$A$2:$A$1421,$A34,Documents!$C$2:$C$1421,"events")),"")</f>
        <v/>
      </c>
      <c r="G34">
        <f>IFERROR(IF(_xlfn.MAXIFS(Documents!$E$2:$E$1421,Documents!$A$2:$A$1421,$A34,Documents!$C$2:$C$1421,"map")=0,"",_xlfn.MAXIFS(Documents!$E$2:$E$1421,Documents!$A$2:$A$1421,$A34,Documents!$C$2:$C$1421,"map")),"")</f>
        <v/>
      </c>
      <c r="H34">
        <f>IFERROR(IF(_xlfn.MAXIFS(Documents!$E$2:$E$1421,Documents!$A$2:$A$1421,$A34,Documents!$C$2:$C$1421,"dive_map")=0,"",_xlfn.MAXIFS(Documents!$E$2:$E$1421,Documents!$A$2:$A$1421,$A34,Documents!$C$2:$C$1421,"dive_map")),"")</f>
        <v/>
      </c>
      <c r="I34">
        <f>IFERROR(IF(_xlfn.MAXIFS(Documents!$E$2:$E$1421,Documents!$A$2:$A$1421,$A34,Documents!$C$2:$C$1421,"spa_menu")=0,"",_xlfn.MAXIFS(Documents!$E$2:$E$1421,Documents!$A$2:$A$1421,$A34,Documents!$C$2:$C$1421,"spa_menu")),"")</f>
        <v/>
      </c>
      <c r="J34">
        <f>IFERROR(IF(_xlfn.MAXIFS(Documents!$E$2:$E$1421,Documents!$A$2:$A$1421,$A34,Documents!$C$2:$C$1421,"dining_menu")=0,"",_xlfn.MAXIFS(Documents!$E$2:$E$1421,Documents!$A$2:$A$1421,$A34,Documents!$C$2:$C$1421,"dining_menu")),"")</f>
        <v/>
      </c>
      <c r="K34">
        <f>IFERROR(IF(_xlfn.MAXIFS(Documents!$E$2:$E$1421,Documents!$A$2:$A$1421,$A34,Documents!$C$2:$C$1421,"dive_prices")=0,"",_xlfn.MAXIFS(Documents!$E$2:$E$1421,Documents!$A$2:$A$1421,$A34,Documents!$C$2:$C$1421,"dive_prices")),"")</f>
        <v/>
      </c>
      <c r="L34">
        <f>IFERROR(IF(_xlfn.MAXIFS(Documents!$E$2:$E$1421,Documents!$A$2:$A$1421,$A34,Documents!$C$2:$C$1421,"excursions")=0,"",_xlfn.MAXIFS(Documents!$E$2:$E$1421,Documents!$A$2:$A$1421,$A34,Documents!$C$2:$C$1421,"excursions")),"")</f>
        <v/>
      </c>
      <c r="M34">
        <f>IFERROR(IF(_xlfn.MAXIFS(Documents!$E$2:$E$1421,Documents!$A$2:$A$1421,$A34,Documents!$C$2:$C$1421,"kids")=0,"",_xlfn.MAXIFS(Documents!$E$2:$E$1421,Documents!$A$2:$A$1421,$A34,Documents!$C$2:$C$1421,"kids")),"")</f>
        <v/>
      </c>
      <c r="N34">
        <f>IFERROR(IF(_xlfn.MAXIFS(Documents!$E$2:$E$1421,Documents!$A$2:$A$1421,$A34,Documents!$C$2:$C$1421,"villa_plans")=0,"",_xlfn.MAXIFS(Documents!$E$2:$E$1421,Documents!$A$2:$A$1421,$A34,Documents!$C$2:$C$1421,"villa_plans")),"")</f>
        <v/>
      </c>
      <c r="O34">
        <f>IFERROR(IF(_xlfn.MAXIFS(Documents!$E$2:$E$1421,Documents!$A$2:$A$1421,$A34,Documents!$C$2:$C$1421,"all_inclusive")=0,"",_xlfn.MAXIFS(Documents!$E$2:$E$1421,Documents!$A$2:$A$1421,$A34,Documents!$C$2:$C$1421,"all_inclusive")),"")</f>
        <v/>
      </c>
      <c r="P34">
        <f>IFERROR(IF(_xlfn.MAXIFS(Documents!$E$2:$E$1421,Documents!$A$2:$A$1421,$A34,Documents!$C$2:$C$1421,"sustainability")=0,"",_xlfn.MAXIFS(Documents!$E$2:$E$1421,Documents!$A$2:$A$1421,$A34,Documents!$C$2:$C$1421,"sustainability")),"")</f>
        <v/>
      </c>
      <c r="Q34">
        <f>IFERROR(IF(_xlfn.MAXIFS(Documents!$E$2:$E$1421,Documents!$A$2:$A$1421,$A34,Documents!$C$2:$C$1421,"calendar")=0,"",_xlfn.MAXIFS(Documents!$E$2:$E$1421,Documents!$A$2:$A$1421,$A34,Documents!$C$2:$C$1421,"calendar")),"")</f>
        <v/>
      </c>
      <c r="R34">
        <f>IFERROR(IF(_xlfn.MAXIFS(Documents!$E$2:$E$1421,Documents!$A$2:$A$1421,$A34,Documents!$C$2:$C$1421,"brochure")=0,"",_xlfn.MAXIFS(Documents!$E$2:$E$1421,Documents!$A$2:$A$1421,$A34,Documents!$C$2:$C$1421,"brochure")),"")</f>
        <v/>
      </c>
      <c r="S34">
        <f>IFERROR(IF(_xlfn.MAXIFS(Documents!$E$2:$E$1421,Documents!$A$2:$A$1421,$A34,Documents!$C$2:$C$1421,"press_kit")=0,"",_xlfn.MAXIFS(Documents!$E$2:$E$1421,Documents!$A$2:$A$1421,$A34,Documents!$C$2:$C$1421,"press_kit")),"")</f>
        <v/>
      </c>
      <c r="T34">
        <f>IFERROR(IF(_xlfn.MAXIFS(Documents!$E$2:$E$1421,Documents!$A$2:$A$1421,$A34,Documents!$C$2:$C$1421,"other")=0,"",_xlfn.MAXIFS(Documents!$E$2:$E$1421,Documents!$A$2:$A$1421,$A34,Documents!$C$2:$C$1421,"other")),"")</f>
        <v/>
      </c>
      <c r="U34">
        <f>IFERROR(IF(_xlfn.MAXIFS(Documents!$E$2:$E$1421,Documents!$A$2:$A$1421,$A34,Documents!$C$2:$C$1421,"obsolete")=0,"",_xlfn.MAXIFS(Documents!$E$2:$E$1421,Documents!$A$2:$A$1421,$A34,Documents!$C$2:$C$1421,"obsolete")),"")</f>
        <v/>
      </c>
      <c r="V34">
        <f>COUNTIFS(Documents!$A$2:$A$1421,$A34)</f>
        <v/>
      </c>
      <c r="W34">
        <f>COUNTIFS(Documents!$A$2:$A$1421,$A34,Documents!$R$2:$R$1421,"current")</f>
        <v/>
      </c>
      <c r="X34">
        <f>HYPERLINK("https://www.nivadhigali.com/wp-content/uploads/2026/01/DHIGALI_Factsheet.pdf","2026_DHIGALI_Factsheet.pdf")</f>
        <v/>
      </c>
      <c r="Y34" t="inlineStr">
        <is>
          <t>wedding, events</t>
        </is>
      </c>
      <c r="Z34" t="inlineStr">
        <is>
          <t>NIVA Dhigali; site redirects to www.nivadhigali.com</t>
        </is>
      </c>
    </row>
    <row r="35">
      <c r="A35" t="n">
        <v>34</v>
      </c>
      <c r="B35" t="inlineStr">
        <is>
          <t>Adaaran Select Meedhupparu</t>
        </is>
      </c>
      <c r="C35" t="inlineStr">
        <is>
          <t>ok</t>
        </is>
      </c>
      <c r="D35">
        <f>IFERROR(IF(_xlfn.MAXIFS(Documents!$E$2:$E$1421,Documents!$A$2:$A$1421,$A35,Documents!$C$2:$C$1421,"factsheet")=0,"",_xlfn.MAXIFS(Documents!$E$2:$E$1421,Documents!$A$2:$A$1421,$A35,Documents!$C$2:$C$1421,"factsheet")),"")</f>
        <v/>
      </c>
      <c r="E35">
        <f>IFERROR(IF(_xlfn.MAXIFS(Documents!$E$2:$E$1421,Documents!$A$2:$A$1421,$A35,Documents!$C$2:$C$1421,"wedding")=0,"",_xlfn.MAXIFS(Documents!$E$2:$E$1421,Documents!$A$2:$A$1421,$A35,Documents!$C$2:$C$1421,"wedding")),"")</f>
        <v/>
      </c>
      <c r="F35">
        <f>IFERROR(IF(_xlfn.MAXIFS(Documents!$E$2:$E$1421,Documents!$A$2:$A$1421,$A35,Documents!$C$2:$C$1421,"events")=0,"",_xlfn.MAXIFS(Documents!$E$2:$E$1421,Documents!$A$2:$A$1421,$A35,Documents!$C$2:$C$1421,"events")),"")</f>
        <v/>
      </c>
      <c r="G35">
        <f>IFERROR(IF(_xlfn.MAXIFS(Documents!$E$2:$E$1421,Documents!$A$2:$A$1421,$A35,Documents!$C$2:$C$1421,"map")=0,"",_xlfn.MAXIFS(Documents!$E$2:$E$1421,Documents!$A$2:$A$1421,$A35,Documents!$C$2:$C$1421,"map")),"")</f>
        <v/>
      </c>
      <c r="H35">
        <f>IFERROR(IF(_xlfn.MAXIFS(Documents!$E$2:$E$1421,Documents!$A$2:$A$1421,$A35,Documents!$C$2:$C$1421,"dive_map")=0,"",_xlfn.MAXIFS(Documents!$E$2:$E$1421,Documents!$A$2:$A$1421,$A35,Documents!$C$2:$C$1421,"dive_map")),"")</f>
        <v/>
      </c>
      <c r="I35">
        <f>IFERROR(IF(_xlfn.MAXIFS(Documents!$E$2:$E$1421,Documents!$A$2:$A$1421,$A35,Documents!$C$2:$C$1421,"spa_menu")=0,"",_xlfn.MAXIFS(Documents!$E$2:$E$1421,Documents!$A$2:$A$1421,$A35,Documents!$C$2:$C$1421,"spa_menu")),"")</f>
        <v/>
      </c>
      <c r="J35">
        <f>IFERROR(IF(_xlfn.MAXIFS(Documents!$E$2:$E$1421,Documents!$A$2:$A$1421,$A35,Documents!$C$2:$C$1421,"dining_menu")=0,"",_xlfn.MAXIFS(Documents!$E$2:$E$1421,Documents!$A$2:$A$1421,$A35,Documents!$C$2:$C$1421,"dining_menu")),"")</f>
        <v/>
      </c>
      <c r="K35">
        <f>IFERROR(IF(_xlfn.MAXIFS(Documents!$E$2:$E$1421,Documents!$A$2:$A$1421,$A35,Documents!$C$2:$C$1421,"dive_prices")=0,"",_xlfn.MAXIFS(Documents!$E$2:$E$1421,Documents!$A$2:$A$1421,$A35,Documents!$C$2:$C$1421,"dive_prices")),"")</f>
        <v/>
      </c>
      <c r="L35">
        <f>IFERROR(IF(_xlfn.MAXIFS(Documents!$E$2:$E$1421,Documents!$A$2:$A$1421,$A35,Documents!$C$2:$C$1421,"excursions")=0,"",_xlfn.MAXIFS(Documents!$E$2:$E$1421,Documents!$A$2:$A$1421,$A35,Documents!$C$2:$C$1421,"excursions")),"")</f>
        <v/>
      </c>
      <c r="M35">
        <f>IFERROR(IF(_xlfn.MAXIFS(Documents!$E$2:$E$1421,Documents!$A$2:$A$1421,$A35,Documents!$C$2:$C$1421,"kids")=0,"",_xlfn.MAXIFS(Documents!$E$2:$E$1421,Documents!$A$2:$A$1421,$A35,Documents!$C$2:$C$1421,"kids")),"")</f>
        <v/>
      </c>
      <c r="N35">
        <f>IFERROR(IF(_xlfn.MAXIFS(Documents!$E$2:$E$1421,Documents!$A$2:$A$1421,$A35,Documents!$C$2:$C$1421,"villa_plans")=0,"",_xlfn.MAXIFS(Documents!$E$2:$E$1421,Documents!$A$2:$A$1421,$A35,Documents!$C$2:$C$1421,"villa_plans")),"")</f>
        <v/>
      </c>
      <c r="O35">
        <f>IFERROR(IF(_xlfn.MAXIFS(Documents!$E$2:$E$1421,Documents!$A$2:$A$1421,$A35,Documents!$C$2:$C$1421,"all_inclusive")=0,"",_xlfn.MAXIFS(Documents!$E$2:$E$1421,Documents!$A$2:$A$1421,$A35,Documents!$C$2:$C$1421,"all_inclusive")),"")</f>
        <v/>
      </c>
      <c r="P35">
        <f>IFERROR(IF(_xlfn.MAXIFS(Documents!$E$2:$E$1421,Documents!$A$2:$A$1421,$A35,Documents!$C$2:$C$1421,"sustainability")=0,"",_xlfn.MAXIFS(Documents!$E$2:$E$1421,Documents!$A$2:$A$1421,$A35,Documents!$C$2:$C$1421,"sustainability")),"")</f>
        <v/>
      </c>
      <c r="Q35">
        <f>IFERROR(IF(_xlfn.MAXIFS(Documents!$E$2:$E$1421,Documents!$A$2:$A$1421,$A35,Documents!$C$2:$C$1421,"calendar")=0,"",_xlfn.MAXIFS(Documents!$E$2:$E$1421,Documents!$A$2:$A$1421,$A35,Documents!$C$2:$C$1421,"calendar")),"")</f>
        <v/>
      </c>
      <c r="R35">
        <f>IFERROR(IF(_xlfn.MAXIFS(Documents!$E$2:$E$1421,Documents!$A$2:$A$1421,$A35,Documents!$C$2:$C$1421,"brochure")=0,"",_xlfn.MAXIFS(Documents!$E$2:$E$1421,Documents!$A$2:$A$1421,$A35,Documents!$C$2:$C$1421,"brochure")),"")</f>
        <v/>
      </c>
      <c r="S35">
        <f>IFERROR(IF(_xlfn.MAXIFS(Documents!$E$2:$E$1421,Documents!$A$2:$A$1421,$A35,Documents!$C$2:$C$1421,"press_kit")=0,"",_xlfn.MAXIFS(Documents!$E$2:$E$1421,Documents!$A$2:$A$1421,$A35,Documents!$C$2:$C$1421,"press_kit")),"")</f>
        <v/>
      </c>
      <c r="T35">
        <f>IFERROR(IF(_xlfn.MAXIFS(Documents!$E$2:$E$1421,Documents!$A$2:$A$1421,$A35,Documents!$C$2:$C$1421,"other")=0,"",_xlfn.MAXIFS(Documents!$E$2:$E$1421,Documents!$A$2:$A$1421,$A35,Documents!$C$2:$C$1421,"other")),"")</f>
        <v/>
      </c>
      <c r="U35">
        <f>IFERROR(IF(_xlfn.MAXIFS(Documents!$E$2:$E$1421,Documents!$A$2:$A$1421,$A35,Documents!$C$2:$C$1421,"obsolete")=0,"",_xlfn.MAXIFS(Documents!$E$2:$E$1421,Documents!$A$2:$A$1421,$A35,Documents!$C$2:$C$1421,"obsolete")),"")</f>
        <v/>
      </c>
      <c r="V35">
        <f>COUNTIFS(Documents!$A$2:$A$1421,$A35)</f>
        <v/>
      </c>
      <c r="W35">
        <f>COUNTIFS(Documents!$A$2:$A$1421,$A35,Documents!$R$2:$R$1421,"current")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IFERROR(IF(_xlfn.MAXIFS(Documents!$E$2:$E$1421,Documents!$A$2:$A$1421,$A36,Documents!$C$2:$C$1421,"factsheet")=0,"",_xlfn.MAXIFS(Documents!$E$2:$E$1421,Documents!$A$2:$A$1421,$A36,Documents!$C$2:$C$1421,"factsheet")),"")</f>
        <v/>
      </c>
      <c r="E36">
        <f>IFERROR(IF(_xlfn.MAXIFS(Documents!$E$2:$E$1421,Documents!$A$2:$A$1421,$A36,Documents!$C$2:$C$1421,"wedding")=0,"",_xlfn.MAXIFS(Documents!$E$2:$E$1421,Documents!$A$2:$A$1421,$A36,Documents!$C$2:$C$1421,"wedding")),"")</f>
        <v/>
      </c>
      <c r="F36">
        <f>IFERROR(IF(_xlfn.MAXIFS(Documents!$E$2:$E$1421,Documents!$A$2:$A$1421,$A36,Documents!$C$2:$C$1421,"events")=0,"",_xlfn.MAXIFS(Documents!$E$2:$E$1421,Documents!$A$2:$A$1421,$A36,Documents!$C$2:$C$1421,"events")),"")</f>
        <v/>
      </c>
      <c r="G36">
        <f>IFERROR(IF(_xlfn.MAXIFS(Documents!$E$2:$E$1421,Documents!$A$2:$A$1421,$A36,Documents!$C$2:$C$1421,"map")=0,"",_xlfn.MAXIFS(Documents!$E$2:$E$1421,Documents!$A$2:$A$1421,$A36,Documents!$C$2:$C$1421,"map")),"")</f>
        <v/>
      </c>
      <c r="H36">
        <f>IFERROR(IF(_xlfn.MAXIFS(Documents!$E$2:$E$1421,Documents!$A$2:$A$1421,$A36,Documents!$C$2:$C$1421,"dive_map")=0,"",_xlfn.MAXIFS(Documents!$E$2:$E$1421,Documents!$A$2:$A$1421,$A36,Documents!$C$2:$C$1421,"dive_map")),"")</f>
        <v/>
      </c>
      <c r="I36">
        <f>IFERROR(IF(_xlfn.MAXIFS(Documents!$E$2:$E$1421,Documents!$A$2:$A$1421,$A36,Documents!$C$2:$C$1421,"spa_menu")=0,"",_xlfn.MAXIFS(Documents!$E$2:$E$1421,Documents!$A$2:$A$1421,$A36,Documents!$C$2:$C$1421,"spa_menu")),"")</f>
        <v/>
      </c>
      <c r="J36">
        <f>IFERROR(IF(_xlfn.MAXIFS(Documents!$E$2:$E$1421,Documents!$A$2:$A$1421,$A36,Documents!$C$2:$C$1421,"dining_menu")=0,"",_xlfn.MAXIFS(Documents!$E$2:$E$1421,Documents!$A$2:$A$1421,$A36,Documents!$C$2:$C$1421,"dining_menu")),"")</f>
        <v/>
      </c>
      <c r="K36">
        <f>IFERROR(IF(_xlfn.MAXIFS(Documents!$E$2:$E$1421,Documents!$A$2:$A$1421,$A36,Documents!$C$2:$C$1421,"dive_prices")=0,"",_xlfn.MAXIFS(Documents!$E$2:$E$1421,Documents!$A$2:$A$1421,$A36,Documents!$C$2:$C$1421,"dive_prices")),"")</f>
        <v/>
      </c>
      <c r="L36">
        <f>IFERROR(IF(_xlfn.MAXIFS(Documents!$E$2:$E$1421,Documents!$A$2:$A$1421,$A36,Documents!$C$2:$C$1421,"excursions")=0,"",_xlfn.MAXIFS(Documents!$E$2:$E$1421,Documents!$A$2:$A$1421,$A36,Documents!$C$2:$C$1421,"excursions")),"")</f>
        <v/>
      </c>
      <c r="M36">
        <f>IFERROR(IF(_xlfn.MAXIFS(Documents!$E$2:$E$1421,Documents!$A$2:$A$1421,$A36,Documents!$C$2:$C$1421,"kids")=0,"",_xlfn.MAXIFS(Documents!$E$2:$E$1421,Documents!$A$2:$A$1421,$A36,Documents!$C$2:$C$1421,"kids")),"")</f>
        <v/>
      </c>
      <c r="N36">
        <f>IFERROR(IF(_xlfn.MAXIFS(Documents!$E$2:$E$1421,Documents!$A$2:$A$1421,$A36,Documents!$C$2:$C$1421,"villa_plans")=0,"",_xlfn.MAXIFS(Documents!$E$2:$E$1421,Documents!$A$2:$A$1421,$A36,Documents!$C$2:$C$1421,"villa_plans")),"")</f>
        <v/>
      </c>
      <c r="O36">
        <f>IFERROR(IF(_xlfn.MAXIFS(Documents!$E$2:$E$1421,Documents!$A$2:$A$1421,$A36,Documents!$C$2:$C$1421,"all_inclusive")=0,"",_xlfn.MAXIFS(Documents!$E$2:$E$1421,Documents!$A$2:$A$1421,$A36,Documents!$C$2:$C$1421,"all_inclusive")),"")</f>
        <v/>
      </c>
      <c r="P36">
        <f>IFERROR(IF(_xlfn.MAXIFS(Documents!$E$2:$E$1421,Documents!$A$2:$A$1421,$A36,Documents!$C$2:$C$1421,"sustainability")=0,"",_xlfn.MAXIFS(Documents!$E$2:$E$1421,Documents!$A$2:$A$1421,$A36,Documents!$C$2:$C$1421,"sustainability")),"")</f>
        <v/>
      </c>
      <c r="Q36">
        <f>IFERROR(IF(_xlfn.MAXIFS(Documents!$E$2:$E$1421,Documents!$A$2:$A$1421,$A36,Documents!$C$2:$C$1421,"calendar")=0,"",_xlfn.MAXIFS(Documents!$E$2:$E$1421,Documents!$A$2:$A$1421,$A36,Documents!$C$2:$C$1421,"calendar")),"")</f>
        <v/>
      </c>
      <c r="R36">
        <f>IFERROR(IF(_xlfn.MAXIFS(Documents!$E$2:$E$1421,Documents!$A$2:$A$1421,$A36,Documents!$C$2:$C$1421,"brochure")=0,"",_xlfn.MAXIFS(Documents!$E$2:$E$1421,Documents!$A$2:$A$1421,$A36,Documents!$C$2:$C$1421,"brochure")),"")</f>
        <v/>
      </c>
      <c r="S36">
        <f>IFERROR(IF(_xlfn.MAXIFS(Documents!$E$2:$E$1421,Documents!$A$2:$A$1421,$A36,Documents!$C$2:$C$1421,"press_kit")=0,"",_xlfn.MAXIFS(Documents!$E$2:$E$1421,Documents!$A$2:$A$1421,$A36,Documents!$C$2:$C$1421,"press_kit")),"")</f>
        <v/>
      </c>
      <c r="T36">
        <f>IFERROR(IF(_xlfn.MAXIFS(Documents!$E$2:$E$1421,Documents!$A$2:$A$1421,$A36,Documents!$C$2:$C$1421,"other")=0,"",_xlfn.MAXIFS(Documents!$E$2:$E$1421,Documents!$A$2:$A$1421,$A36,Documents!$C$2:$C$1421,"other")),"")</f>
        <v/>
      </c>
      <c r="U36">
        <f>IFERROR(IF(_xlfn.MAXIFS(Documents!$E$2:$E$1421,Documents!$A$2:$A$1421,$A36,Documents!$C$2:$C$1421,"obsolete")=0,"",_xlfn.MAXIFS(Documents!$E$2:$E$1421,Documents!$A$2:$A$1421,$A36,Documents!$C$2:$C$1421,"obsolete")),"")</f>
        <v/>
      </c>
      <c r="V36">
        <f>COUNTIFS(Documents!$A$2:$A$1421,$A36)</f>
        <v/>
      </c>
      <c r="W36">
        <f>COUNTIFS(Documents!$A$2:$A$1421,$A36,Documents!$R$2:$R$1421,"current")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unreachable</t>
        </is>
      </c>
      <c r="D37">
        <f>IFERROR(IF(_xlfn.MAXIFS(Documents!$E$2:$E$1421,Documents!$A$2:$A$1421,$A37,Documents!$C$2:$C$1421,"factsheet")=0,"",_xlfn.MAXIFS(Documents!$E$2:$E$1421,Documents!$A$2:$A$1421,$A37,Documents!$C$2:$C$1421,"factsheet")),"")</f>
        <v/>
      </c>
      <c r="E37">
        <f>IFERROR(IF(_xlfn.MAXIFS(Documents!$E$2:$E$1421,Documents!$A$2:$A$1421,$A37,Documents!$C$2:$C$1421,"wedding")=0,"",_xlfn.MAXIFS(Documents!$E$2:$E$1421,Documents!$A$2:$A$1421,$A37,Documents!$C$2:$C$1421,"wedding")),"")</f>
        <v/>
      </c>
      <c r="F37">
        <f>IFERROR(IF(_xlfn.MAXIFS(Documents!$E$2:$E$1421,Documents!$A$2:$A$1421,$A37,Documents!$C$2:$C$1421,"events")=0,"",_xlfn.MAXIFS(Documents!$E$2:$E$1421,Documents!$A$2:$A$1421,$A37,Documents!$C$2:$C$1421,"events")),"")</f>
        <v/>
      </c>
      <c r="G37">
        <f>IFERROR(IF(_xlfn.MAXIFS(Documents!$E$2:$E$1421,Documents!$A$2:$A$1421,$A37,Documents!$C$2:$C$1421,"map")=0,"",_xlfn.MAXIFS(Documents!$E$2:$E$1421,Documents!$A$2:$A$1421,$A37,Documents!$C$2:$C$1421,"map")),"")</f>
        <v/>
      </c>
      <c r="H37">
        <f>IFERROR(IF(_xlfn.MAXIFS(Documents!$E$2:$E$1421,Documents!$A$2:$A$1421,$A37,Documents!$C$2:$C$1421,"dive_map")=0,"",_xlfn.MAXIFS(Documents!$E$2:$E$1421,Documents!$A$2:$A$1421,$A37,Documents!$C$2:$C$1421,"dive_map")),"")</f>
        <v/>
      </c>
      <c r="I37">
        <f>IFERROR(IF(_xlfn.MAXIFS(Documents!$E$2:$E$1421,Documents!$A$2:$A$1421,$A37,Documents!$C$2:$C$1421,"spa_menu")=0,"",_xlfn.MAXIFS(Documents!$E$2:$E$1421,Documents!$A$2:$A$1421,$A37,Documents!$C$2:$C$1421,"spa_menu")),"")</f>
        <v/>
      </c>
      <c r="J37">
        <f>IFERROR(IF(_xlfn.MAXIFS(Documents!$E$2:$E$1421,Documents!$A$2:$A$1421,$A37,Documents!$C$2:$C$1421,"dining_menu")=0,"",_xlfn.MAXIFS(Documents!$E$2:$E$1421,Documents!$A$2:$A$1421,$A37,Documents!$C$2:$C$1421,"dining_menu")),"")</f>
        <v/>
      </c>
      <c r="K37">
        <f>IFERROR(IF(_xlfn.MAXIFS(Documents!$E$2:$E$1421,Documents!$A$2:$A$1421,$A37,Documents!$C$2:$C$1421,"dive_prices")=0,"",_xlfn.MAXIFS(Documents!$E$2:$E$1421,Documents!$A$2:$A$1421,$A37,Documents!$C$2:$C$1421,"dive_prices")),"")</f>
        <v/>
      </c>
      <c r="L37">
        <f>IFERROR(IF(_xlfn.MAXIFS(Documents!$E$2:$E$1421,Documents!$A$2:$A$1421,$A37,Documents!$C$2:$C$1421,"excursions")=0,"",_xlfn.MAXIFS(Documents!$E$2:$E$1421,Documents!$A$2:$A$1421,$A37,Documents!$C$2:$C$1421,"excursions")),"")</f>
        <v/>
      </c>
      <c r="M37">
        <f>IFERROR(IF(_xlfn.MAXIFS(Documents!$E$2:$E$1421,Documents!$A$2:$A$1421,$A37,Documents!$C$2:$C$1421,"kids")=0,"",_xlfn.MAXIFS(Documents!$E$2:$E$1421,Documents!$A$2:$A$1421,$A37,Documents!$C$2:$C$1421,"kids")),"")</f>
        <v/>
      </c>
      <c r="N37">
        <f>IFERROR(IF(_xlfn.MAXIFS(Documents!$E$2:$E$1421,Documents!$A$2:$A$1421,$A37,Documents!$C$2:$C$1421,"villa_plans")=0,"",_xlfn.MAXIFS(Documents!$E$2:$E$1421,Documents!$A$2:$A$1421,$A37,Documents!$C$2:$C$1421,"villa_plans")),"")</f>
        <v/>
      </c>
      <c r="O37">
        <f>IFERROR(IF(_xlfn.MAXIFS(Documents!$E$2:$E$1421,Documents!$A$2:$A$1421,$A37,Documents!$C$2:$C$1421,"all_inclusive")=0,"",_xlfn.MAXIFS(Documents!$E$2:$E$1421,Documents!$A$2:$A$1421,$A37,Documents!$C$2:$C$1421,"all_inclusive")),"")</f>
        <v/>
      </c>
      <c r="P37">
        <f>IFERROR(IF(_xlfn.MAXIFS(Documents!$E$2:$E$1421,Documents!$A$2:$A$1421,$A37,Documents!$C$2:$C$1421,"sustainability")=0,"",_xlfn.MAXIFS(Documents!$E$2:$E$1421,Documents!$A$2:$A$1421,$A37,Documents!$C$2:$C$1421,"sustainability")),"")</f>
        <v/>
      </c>
      <c r="Q37">
        <f>IFERROR(IF(_xlfn.MAXIFS(Documents!$E$2:$E$1421,Documents!$A$2:$A$1421,$A37,Documents!$C$2:$C$1421,"calendar")=0,"",_xlfn.MAXIFS(Documents!$E$2:$E$1421,Documents!$A$2:$A$1421,$A37,Documents!$C$2:$C$1421,"calendar")),"")</f>
        <v/>
      </c>
      <c r="R37">
        <f>IFERROR(IF(_xlfn.MAXIFS(Documents!$E$2:$E$1421,Documents!$A$2:$A$1421,$A37,Documents!$C$2:$C$1421,"brochure")=0,"",_xlfn.MAXIFS(Documents!$E$2:$E$1421,Documents!$A$2:$A$1421,$A37,Documents!$C$2:$C$1421,"brochure")),"")</f>
        <v/>
      </c>
      <c r="S37">
        <f>IFERROR(IF(_xlfn.MAXIFS(Documents!$E$2:$E$1421,Documents!$A$2:$A$1421,$A37,Documents!$C$2:$C$1421,"press_kit")=0,"",_xlfn.MAXIFS(Documents!$E$2:$E$1421,Documents!$A$2:$A$1421,$A37,Documents!$C$2:$C$1421,"press_kit")),"")</f>
        <v/>
      </c>
      <c r="T37">
        <f>IFERROR(IF(_xlfn.MAXIFS(Documents!$E$2:$E$1421,Documents!$A$2:$A$1421,$A37,Documents!$C$2:$C$1421,"other")=0,"",_xlfn.MAXIFS(Documents!$E$2:$E$1421,Documents!$A$2:$A$1421,$A37,Documents!$C$2:$C$1421,"other")),"")</f>
        <v/>
      </c>
      <c r="U37">
        <f>IFERROR(IF(_xlfn.MAXIFS(Documents!$E$2:$E$1421,Documents!$A$2:$A$1421,$A37,Documents!$C$2:$C$1421,"obsolete")=0,"",_xlfn.MAXIFS(Documents!$E$2:$E$1421,Documents!$A$2:$A$1421,$A37,Documents!$C$2:$C$1421,"obsolete")),"")</f>
        <v/>
      </c>
      <c r="V37">
        <f>COUNTIFS(Documents!$A$2:$A$1421,$A37)</f>
        <v/>
      </c>
      <c r="W37">
        <f>COUNTIFS(Documents!$A$2:$A$1421,$A37,Documents!$R$2:$R$1421,"current")</f>
        <v/>
      </c>
      <c r="X37" t="inlineStr"/>
      <c r="Y37" t="inlineStr">
        <is>
          <t>factsheet, wedding, events</t>
        </is>
      </c>
      <c r="Z37" t="inlineStr"/>
    </row>
    <row r="38">
      <c r="A38" t="n">
        <v>37</v>
      </c>
      <c r="B38" t="inlineStr">
        <is>
          <t>The Ritz Carlton Maldives Fari Islands</t>
        </is>
      </c>
      <c r="C38" t="inlineStr">
        <is>
          <t>unreachable</t>
        </is>
      </c>
      <c r="D38">
        <f>IFERROR(IF(_xlfn.MAXIFS(Documents!$E$2:$E$1421,Documents!$A$2:$A$1421,$A38,Documents!$C$2:$C$1421,"factsheet")=0,"",_xlfn.MAXIFS(Documents!$E$2:$E$1421,Documents!$A$2:$A$1421,$A38,Documents!$C$2:$C$1421,"factsheet")),"")</f>
        <v/>
      </c>
      <c r="E38">
        <f>IFERROR(IF(_xlfn.MAXIFS(Documents!$E$2:$E$1421,Documents!$A$2:$A$1421,$A38,Documents!$C$2:$C$1421,"wedding")=0,"",_xlfn.MAXIFS(Documents!$E$2:$E$1421,Documents!$A$2:$A$1421,$A38,Documents!$C$2:$C$1421,"wedding")),"")</f>
        <v/>
      </c>
      <c r="F38">
        <f>IFERROR(IF(_xlfn.MAXIFS(Documents!$E$2:$E$1421,Documents!$A$2:$A$1421,$A38,Documents!$C$2:$C$1421,"events")=0,"",_xlfn.MAXIFS(Documents!$E$2:$E$1421,Documents!$A$2:$A$1421,$A38,Documents!$C$2:$C$1421,"events")),"")</f>
        <v/>
      </c>
      <c r="G38">
        <f>IFERROR(IF(_xlfn.MAXIFS(Documents!$E$2:$E$1421,Documents!$A$2:$A$1421,$A38,Documents!$C$2:$C$1421,"map")=0,"",_xlfn.MAXIFS(Documents!$E$2:$E$1421,Documents!$A$2:$A$1421,$A38,Documents!$C$2:$C$1421,"map")),"")</f>
        <v/>
      </c>
      <c r="H38">
        <f>IFERROR(IF(_xlfn.MAXIFS(Documents!$E$2:$E$1421,Documents!$A$2:$A$1421,$A38,Documents!$C$2:$C$1421,"dive_map")=0,"",_xlfn.MAXIFS(Documents!$E$2:$E$1421,Documents!$A$2:$A$1421,$A38,Documents!$C$2:$C$1421,"dive_map")),"")</f>
        <v/>
      </c>
      <c r="I38">
        <f>IFERROR(IF(_xlfn.MAXIFS(Documents!$E$2:$E$1421,Documents!$A$2:$A$1421,$A38,Documents!$C$2:$C$1421,"spa_menu")=0,"",_xlfn.MAXIFS(Documents!$E$2:$E$1421,Documents!$A$2:$A$1421,$A38,Documents!$C$2:$C$1421,"spa_menu")),"")</f>
        <v/>
      </c>
      <c r="J38">
        <f>IFERROR(IF(_xlfn.MAXIFS(Documents!$E$2:$E$1421,Documents!$A$2:$A$1421,$A38,Documents!$C$2:$C$1421,"dining_menu")=0,"",_xlfn.MAXIFS(Documents!$E$2:$E$1421,Documents!$A$2:$A$1421,$A38,Documents!$C$2:$C$1421,"dining_menu")),"")</f>
        <v/>
      </c>
      <c r="K38">
        <f>IFERROR(IF(_xlfn.MAXIFS(Documents!$E$2:$E$1421,Documents!$A$2:$A$1421,$A38,Documents!$C$2:$C$1421,"dive_prices")=0,"",_xlfn.MAXIFS(Documents!$E$2:$E$1421,Documents!$A$2:$A$1421,$A38,Documents!$C$2:$C$1421,"dive_prices")),"")</f>
        <v/>
      </c>
      <c r="L38">
        <f>IFERROR(IF(_xlfn.MAXIFS(Documents!$E$2:$E$1421,Documents!$A$2:$A$1421,$A38,Documents!$C$2:$C$1421,"excursions")=0,"",_xlfn.MAXIFS(Documents!$E$2:$E$1421,Documents!$A$2:$A$1421,$A38,Documents!$C$2:$C$1421,"excursions")),"")</f>
        <v/>
      </c>
      <c r="M38">
        <f>IFERROR(IF(_xlfn.MAXIFS(Documents!$E$2:$E$1421,Documents!$A$2:$A$1421,$A38,Documents!$C$2:$C$1421,"kids")=0,"",_xlfn.MAXIFS(Documents!$E$2:$E$1421,Documents!$A$2:$A$1421,$A38,Documents!$C$2:$C$1421,"kids")),"")</f>
        <v/>
      </c>
      <c r="N38">
        <f>IFERROR(IF(_xlfn.MAXIFS(Documents!$E$2:$E$1421,Documents!$A$2:$A$1421,$A38,Documents!$C$2:$C$1421,"villa_plans")=0,"",_xlfn.MAXIFS(Documents!$E$2:$E$1421,Documents!$A$2:$A$1421,$A38,Documents!$C$2:$C$1421,"villa_plans")),"")</f>
        <v/>
      </c>
      <c r="O38">
        <f>IFERROR(IF(_xlfn.MAXIFS(Documents!$E$2:$E$1421,Documents!$A$2:$A$1421,$A38,Documents!$C$2:$C$1421,"all_inclusive")=0,"",_xlfn.MAXIFS(Documents!$E$2:$E$1421,Documents!$A$2:$A$1421,$A38,Documents!$C$2:$C$1421,"all_inclusive")),"")</f>
        <v/>
      </c>
      <c r="P38">
        <f>IFERROR(IF(_xlfn.MAXIFS(Documents!$E$2:$E$1421,Documents!$A$2:$A$1421,$A38,Documents!$C$2:$C$1421,"sustainability")=0,"",_xlfn.MAXIFS(Documents!$E$2:$E$1421,Documents!$A$2:$A$1421,$A38,Documents!$C$2:$C$1421,"sustainability")),"")</f>
        <v/>
      </c>
      <c r="Q38">
        <f>IFERROR(IF(_xlfn.MAXIFS(Documents!$E$2:$E$1421,Documents!$A$2:$A$1421,$A38,Documents!$C$2:$C$1421,"calendar")=0,"",_xlfn.MAXIFS(Documents!$E$2:$E$1421,Documents!$A$2:$A$1421,$A38,Documents!$C$2:$C$1421,"calendar")),"")</f>
        <v/>
      </c>
      <c r="R38">
        <f>IFERROR(IF(_xlfn.MAXIFS(Documents!$E$2:$E$1421,Documents!$A$2:$A$1421,$A38,Documents!$C$2:$C$1421,"brochure")=0,"",_xlfn.MAXIFS(Documents!$E$2:$E$1421,Documents!$A$2:$A$1421,$A38,Documents!$C$2:$C$1421,"brochure")),"")</f>
        <v/>
      </c>
      <c r="S38">
        <f>IFERROR(IF(_xlfn.MAXIFS(Documents!$E$2:$E$1421,Documents!$A$2:$A$1421,$A38,Documents!$C$2:$C$1421,"press_kit")=0,"",_xlfn.MAXIFS(Documents!$E$2:$E$1421,Documents!$A$2:$A$1421,$A38,Documents!$C$2:$C$1421,"press_kit")),"")</f>
        <v/>
      </c>
      <c r="T38">
        <f>IFERROR(IF(_xlfn.MAXIFS(Documents!$E$2:$E$1421,Documents!$A$2:$A$1421,$A38,Documents!$C$2:$C$1421,"other")=0,"",_xlfn.MAXIFS(Documents!$E$2:$E$1421,Documents!$A$2:$A$1421,$A38,Documents!$C$2:$C$1421,"other")),"")</f>
        <v/>
      </c>
      <c r="U38">
        <f>IFERROR(IF(_xlfn.MAXIFS(Documents!$E$2:$E$1421,Documents!$A$2:$A$1421,$A38,Documents!$C$2:$C$1421,"obsolete")=0,"",_xlfn.MAXIFS(Documents!$E$2:$E$1421,Documents!$A$2:$A$1421,$A38,Documents!$C$2:$C$1421,"obsolete")),"")</f>
        <v/>
      </c>
      <c r="V38">
        <f>COUNTIFS(Documents!$A$2:$A$1421,$A38)</f>
        <v/>
      </c>
      <c r="W38">
        <f>COUNTIFS(Documents!$A$2:$A$1421,$A38,Documents!$R$2:$R$1421,"current")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IFERROR(IF(_xlfn.MAXIFS(Documents!$E$2:$E$1421,Documents!$A$2:$A$1421,$A39,Documents!$C$2:$C$1421,"factsheet")=0,"",_xlfn.MAXIFS(Documents!$E$2:$E$1421,Documents!$A$2:$A$1421,$A39,Documents!$C$2:$C$1421,"factsheet")),"")</f>
        <v/>
      </c>
      <c r="E39">
        <f>IFERROR(IF(_xlfn.MAXIFS(Documents!$E$2:$E$1421,Documents!$A$2:$A$1421,$A39,Documents!$C$2:$C$1421,"wedding")=0,"",_xlfn.MAXIFS(Documents!$E$2:$E$1421,Documents!$A$2:$A$1421,$A39,Documents!$C$2:$C$1421,"wedding")),"")</f>
        <v/>
      </c>
      <c r="F39">
        <f>IFERROR(IF(_xlfn.MAXIFS(Documents!$E$2:$E$1421,Documents!$A$2:$A$1421,$A39,Documents!$C$2:$C$1421,"events")=0,"",_xlfn.MAXIFS(Documents!$E$2:$E$1421,Documents!$A$2:$A$1421,$A39,Documents!$C$2:$C$1421,"events")),"")</f>
        <v/>
      </c>
      <c r="G39">
        <f>IFERROR(IF(_xlfn.MAXIFS(Documents!$E$2:$E$1421,Documents!$A$2:$A$1421,$A39,Documents!$C$2:$C$1421,"map")=0,"",_xlfn.MAXIFS(Documents!$E$2:$E$1421,Documents!$A$2:$A$1421,$A39,Documents!$C$2:$C$1421,"map")),"")</f>
        <v/>
      </c>
      <c r="H39">
        <f>IFERROR(IF(_xlfn.MAXIFS(Documents!$E$2:$E$1421,Documents!$A$2:$A$1421,$A39,Documents!$C$2:$C$1421,"dive_map")=0,"",_xlfn.MAXIFS(Documents!$E$2:$E$1421,Documents!$A$2:$A$1421,$A39,Documents!$C$2:$C$1421,"dive_map")),"")</f>
        <v/>
      </c>
      <c r="I39">
        <f>IFERROR(IF(_xlfn.MAXIFS(Documents!$E$2:$E$1421,Documents!$A$2:$A$1421,$A39,Documents!$C$2:$C$1421,"spa_menu")=0,"",_xlfn.MAXIFS(Documents!$E$2:$E$1421,Documents!$A$2:$A$1421,$A39,Documents!$C$2:$C$1421,"spa_menu")),"")</f>
        <v/>
      </c>
      <c r="J39">
        <f>IFERROR(IF(_xlfn.MAXIFS(Documents!$E$2:$E$1421,Documents!$A$2:$A$1421,$A39,Documents!$C$2:$C$1421,"dining_menu")=0,"",_xlfn.MAXIFS(Documents!$E$2:$E$1421,Documents!$A$2:$A$1421,$A39,Documents!$C$2:$C$1421,"dining_menu")),"")</f>
        <v/>
      </c>
      <c r="K39">
        <f>IFERROR(IF(_xlfn.MAXIFS(Documents!$E$2:$E$1421,Documents!$A$2:$A$1421,$A39,Documents!$C$2:$C$1421,"dive_prices")=0,"",_xlfn.MAXIFS(Documents!$E$2:$E$1421,Documents!$A$2:$A$1421,$A39,Documents!$C$2:$C$1421,"dive_prices")),"")</f>
        <v/>
      </c>
      <c r="L39">
        <f>IFERROR(IF(_xlfn.MAXIFS(Documents!$E$2:$E$1421,Documents!$A$2:$A$1421,$A39,Documents!$C$2:$C$1421,"excursions")=0,"",_xlfn.MAXIFS(Documents!$E$2:$E$1421,Documents!$A$2:$A$1421,$A39,Documents!$C$2:$C$1421,"excursions")),"")</f>
        <v/>
      </c>
      <c r="M39">
        <f>IFERROR(IF(_xlfn.MAXIFS(Documents!$E$2:$E$1421,Documents!$A$2:$A$1421,$A39,Documents!$C$2:$C$1421,"kids")=0,"",_xlfn.MAXIFS(Documents!$E$2:$E$1421,Documents!$A$2:$A$1421,$A39,Documents!$C$2:$C$1421,"kids")),"")</f>
        <v/>
      </c>
      <c r="N39">
        <f>IFERROR(IF(_xlfn.MAXIFS(Documents!$E$2:$E$1421,Documents!$A$2:$A$1421,$A39,Documents!$C$2:$C$1421,"villa_plans")=0,"",_xlfn.MAXIFS(Documents!$E$2:$E$1421,Documents!$A$2:$A$1421,$A39,Documents!$C$2:$C$1421,"villa_plans")),"")</f>
        <v/>
      </c>
      <c r="O39">
        <f>IFERROR(IF(_xlfn.MAXIFS(Documents!$E$2:$E$1421,Documents!$A$2:$A$1421,$A39,Documents!$C$2:$C$1421,"all_inclusive")=0,"",_xlfn.MAXIFS(Documents!$E$2:$E$1421,Documents!$A$2:$A$1421,$A39,Documents!$C$2:$C$1421,"all_inclusive")),"")</f>
        <v/>
      </c>
      <c r="P39">
        <f>IFERROR(IF(_xlfn.MAXIFS(Documents!$E$2:$E$1421,Documents!$A$2:$A$1421,$A39,Documents!$C$2:$C$1421,"sustainability")=0,"",_xlfn.MAXIFS(Documents!$E$2:$E$1421,Documents!$A$2:$A$1421,$A39,Documents!$C$2:$C$1421,"sustainability")),"")</f>
        <v/>
      </c>
      <c r="Q39">
        <f>IFERROR(IF(_xlfn.MAXIFS(Documents!$E$2:$E$1421,Documents!$A$2:$A$1421,$A39,Documents!$C$2:$C$1421,"calendar")=0,"",_xlfn.MAXIFS(Documents!$E$2:$E$1421,Documents!$A$2:$A$1421,$A39,Documents!$C$2:$C$1421,"calendar")),"")</f>
        <v/>
      </c>
      <c r="R39">
        <f>IFERROR(IF(_xlfn.MAXIFS(Documents!$E$2:$E$1421,Documents!$A$2:$A$1421,$A39,Documents!$C$2:$C$1421,"brochure")=0,"",_xlfn.MAXIFS(Documents!$E$2:$E$1421,Documents!$A$2:$A$1421,$A39,Documents!$C$2:$C$1421,"brochure")),"")</f>
        <v/>
      </c>
      <c r="S39">
        <f>IFERROR(IF(_xlfn.MAXIFS(Documents!$E$2:$E$1421,Documents!$A$2:$A$1421,$A39,Documents!$C$2:$C$1421,"press_kit")=0,"",_xlfn.MAXIFS(Documents!$E$2:$E$1421,Documents!$A$2:$A$1421,$A39,Documents!$C$2:$C$1421,"press_kit")),"")</f>
        <v/>
      </c>
      <c r="T39">
        <f>IFERROR(IF(_xlfn.MAXIFS(Documents!$E$2:$E$1421,Documents!$A$2:$A$1421,$A39,Documents!$C$2:$C$1421,"other")=0,"",_xlfn.MAXIFS(Documents!$E$2:$E$1421,Documents!$A$2:$A$1421,$A39,Documents!$C$2:$C$1421,"other")),"")</f>
        <v/>
      </c>
      <c r="U39">
        <f>IFERROR(IF(_xlfn.MAXIFS(Documents!$E$2:$E$1421,Documents!$A$2:$A$1421,$A39,Documents!$C$2:$C$1421,"obsolete")=0,"",_xlfn.MAXIFS(Documents!$E$2:$E$1421,Documents!$A$2:$A$1421,$A39,Documents!$C$2:$C$1421,"obsolete")),"")</f>
        <v/>
      </c>
      <c r="V39">
        <f>COUNTIFS(Documents!$A$2:$A$1421,$A39)</f>
        <v/>
      </c>
      <c r="W39">
        <f>COUNTIFS(Documents!$A$2:$A$1421,$A39,Documents!$R$2:$R$1421,"current")</f>
        <v/>
      </c>
      <c r="X39">
        <f>HYPERLINK("https://veligandu.com/wp-content/uploads/2025/06/Factsheet-W25-26S26Ver17062025.pdf","2025_Factsheet-W25-26S26Ver17062025.pdf")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IFERROR(IF(_xlfn.MAXIFS(Documents!$E$2:$E$1421,Documents!$A$2:$A$1421,$A40,Documents!$C$2:$C$1421,"factsheet")=0,"",_xlfn.MAXIFS(Documents!$E$2:$E$1421,Documents!$A$2:$A$1421,$A40,Documents!$C$2:$C$1421,"factsheet")),"")</f>
        <v/>
      </c>
      <c r="E40">
        <f>IFERROR(IF(_xlfn.MAXIFS(Documents!$E$2:$E$1421,Documents!$A$2:$A$1421,$A40,Documents!$C$2:$C$1421,"wedding")=0,"",_xlfn.MAXIFS(Documents!$E$2:$E$1421,Documents!$A$2:$A$1421,$A40,Documents!$C$2:$C$1421,"wedding")),"")</f>
        <v/>
      </c>
      <c r="F40">
        <f>IFERROR(IF(_xlfn.MAXIFS(Documents!$E$2:$E$1421,Documents!$A$2:$A$1421,$A40,Documents!$C$2:$C$1421,"events")=0,"",_xlfn.MAXIFS(Documents!$E$2:$E$1421,Documents!$A$2:$A$1421,$A40,Documents!$C$2:$C$1421,"events")),"")</f>
        <v/>
      </c>
      <c r="G40">
        <f>IFERROR(IF(_xlfn.MAXIFS(Documents!$E$2:$E$1421,Documents!$A$2:$A$1421,$A40,Documents!$C$2:$C$1421,"map")=0,"",_xlfn.MAXIFS(Documents!$E$2:$E$1421,Documents!$A$2:$A$1421,$A40,Documents!$C$2:$C$1421,"map")),"")</f>
        <v/>
      </c>
      <c r="H40">
        <f>IFERROR(IF(_xlfn.MAXIFS(Documents!$E$2:$E$1421,Documents!$A$2:$A$1421,$A40,Documents!$C$2:$C$1421,"dive_map")=0,"",_xlfn.MAXIFS(Documents!$E$2:$E$1421,Documents!$A$2:$A$1421,$A40,Documents!$C$2:$C$1421,"dive_map")),"")</f>
        <v/>
      </c>
      <c r="I40">
        <f>IFERROR(IF(_xlfn.MAXIFS(Documents!$E$2:$E$1421,Documents!$A$2:$A$1421,$A40,Documents!$C$2:$C$1421,"spa_menu")=0,"",_xlfn.MAXIFS(Documents!$E$2:$E$1421,Documents!$A$2:$A$1421,$A40,Documents!$C$2:$C$1421,"spa_menu")),"")</f>
        <v/>
      </c>
      <c r="J40">
        <f>IFERROR(IF(_xlfn.MAXIFS(Documents!$E$2:$E$1421,Documents!$A$2:$A$1421,$A40,Documents!$C$2:$C$1421,"dining_menu")=0,"",_xlfn.MAXIFS(Documents!$E$2:$E$1421,Documents!$A$2:$A$1421,$A40,Documents!$C$2:$C$1421,"dining_menu")),"")</f>
        <v/>
      </c>
      <c r="K40">
        <f>IFERROR(IF(_xlfn.MAXIFS(Documents!$E$2:$E$1421,Documents!$A$2:$A$1421,$A40,Documents!$C$2:$C$1421,"dive_prices")=0,"",_xlfn.MAXIFS(Documents!$E$2:$E$1421,Documents!$A$2:$A$1421,$A40,Documents!$C$2:$C$1421,"dive_prices")),"")</f>
        <v/>
      </c>
      <c r="L40">
        <f>IFERROR(IF(_xlfn.MAXIFS(Documents!$E$2:$E$1421,Documents!$A$2:$A$1421,$A40,Documents!$C$2:$C$1421,"excursions")=0,"",_xlfn.MAXIFS(Documents!$E$2:$E$1421,Documents!$A$2:$A$1421,$A40,Documents!$C$2:$C$1421,"excursions")),"")</f>
        <v/>
      </c>
      <c r="M40">
        <f>IFERROR(IF(_xlfn.MAXIFS(Documents!$E$2:$E$1421,Documents!$A$2:$A$1421,$A40,Documents!$C$2:$C$1421,"kids")=0,"",_xlfn.MAXIFS(Documents!$E$2:$E$1421,Documents!$A$2:$A$1421,$A40,Documents!$C$2:$C$1421,"kids")),"")</f>
        <v/>
      </c>
      <c r="N40">
        <f>IFERROR(IF(_xlfn.MAXIFS(Documents!$E$2:$E$1421,Documents!$A$2:$A$1421,$A40,Documents!$C$2:$C$1421,"villa_plans")=0,"",_xlfn.MAXIFS(Documents!$E$2:$E$1421,Documents!$A$2:$A$1421,$A40,Documents!$C$2:$C$1421,"villa_plans")),"")</f>
        <v/>
      </c>
      <c r="O40">
        <f>IFERROR(IF(_xlfn.MAXIFS(Documents!$E$2:$E$1421,Documents!$A$2:$A$1421,$A40,Documents!$C$2:$C$1421,"all_inclusive")=0,"",_xlfn.MAXIFS(Documents!$E$2:$E$1421,Documents!$A$2:$A$1421,$A40,Documents!$C$2:$C$1421,"all_inclusive")),"")</f>
        <v/>
      </c>
      <c r="P40">
        <f>IFERROR(IF(_xlfn.MAXIFS(Documents!$E$2:$E$1421,Documents!$A$2:$A$1421,$A40,Documents!$C$2:$C$1421,"sustainability")=0,"",_xlfn.MAXIFS(Documents!$E$2:$E$1421,Documents!$A$2:$A$1421,$A40,Documents!$C$2:$C$1421,"sustainability")),"")</f>
        <v/>
      </c>
      <c r="Q40">
        <f>IFERROR(IF(_xlfn.MAXIFS(Documents!$E$2:$E$1421,Documents!$A$2:$A$1421,$A40,Documents!$C$2:$C$1421,"calendar")=0,"",_xlfn.MAXIFS(Documents!$E$2:$E$1421,Documents!$A$2:$A$1421,$A40,Documents!$C$2:$C$1421,"calendar")),"")</f>
        <v/>
      </c>
      <c r="R40">
        <f>IFERROR(IF(_xlfn.MAXIFS(Documents!$E$2:$E$1421,Documents!$A$2:$A$1421,$A40,Documents!$C$2:$C$1421,"brochure")=0,"",_xlfn.MAXIFS(Documents!$E$2:$E$1421,Documents!$A$2:$A$1421,$A40,Documents!$C$2:$C$1421,"brochure")),"")</f>
        <v/>
      </c>
      <c r="S40">
        <f>IFERROR(IF(_xlfn.MAXIFS(Documents!$E$2:$E$1421,Documents!$A$2:$A$1421,$A40,Documents!$C$2:$C$1421,"press_kit")=0,"",_xlfn.MAXIFS(Documents!$E$2:$E$1421,Documents!$A$2:$A$1421,$A40,Documents!$C$2:$C$1421,"press_kit")),"")</f>
        <v/>
      </c>
      <c r="T40">
        <f>IFERROR(IF(_xlfn.MAXIFS(Documents!$E$2:$E$1421,Documents!$A$2:$A$1421,$A40,Documents!$C$2:$C$1421,"other")=0,"",_xlfn.MAXIFS(Documents!$E$2:$E$1421,Documents!$A$2:$A$1421,$A40,Documents!$C$2:$C$1421,"other")),"")</f>
        <v/>
      </c>
      <c r="U40">
        <f>IFERROR(IF(_xlfn.MAXIFS(Documents!$E$2:$E$1421,Documents!$A$2:$A$1421,$A40,Documents!$C$2:$C$1421,"obsolete")=0,"",_xlfn.MAXIFS(Documents!$E$2:$E$1421,Documents!$A$2:$A$1421,$A40,Documents!$C$2:$C$1421,"obsolete")),"")</f>
        <v/>
      </c>
      <c r="V40">
        <f>COUNTIFS(Documents!$A$2:$A$1421,$A40)</f>
        <v/>
      </c>
      <c r="W40">
        <f>COUNTIFS(Documents!$A$2:$A$1421,$A40,Documents!$R$2:$R$1421,"current")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IFERROR(IF(_xlfn.MAXIFS(Documents!$E$2:$E$1421,Documents!$A$2:$A$1421,$A41,Documents!$C$2:$C$1421,"factsheet")=0,"",_xlfn.MAXIFS(Documents!$E$2:$E$1421,Documents!$A$2:$A$1421,$A41,Documents!$C$2:$C$1421,"factsheet")),"")</f>
        <v/>
      </c>
      <c r="E41">
        <f>IFERROR(IF(_xlfn.MAXIFS(Documents!$E$2:$E$1421,Documents!$A$2:$A$1421,$A41,Documents!$C$2:$C$1421,"wedding")=0,"",_xlfn.MAXIFS(Documents!$E$2:$E$1421,Documents!$A$2:$A$1421,$A41,Documents!$C$2:$C$1421,"wedding")),"")</f>
        <v/>
      </c>
      <c r="F41">
        <f>IFERROR(IF(_xlfn.MAXIFS(Documents!$E$2:$E$1421,Documents!$A$2:$A$1421,$A41,Documents!$C$2:$C$1421,"events")=0,"",_xlfn.MAXIFS(Documents!$E$2:$E$1421,Documents!$A$2:$A$1421,$A41,Documents!$C$2:$C$1421,"events")),"")</f>
        <v/>
      </c>
      <c r="G41">
        <f>IFERROR(IF(_xlfn.MAXIFS(Documents!$E$2:$E$1421,Documents!$A$2:$A$1421,$A41,Documents!$C$2:$C$1421,"map")=0,"",_xlfn.MAXIFS(Documents!$E$2:$E$1421,Documents!$A$2:$A$1421,$A41,Documents!$C$2:$C$1421,"map")),"")</f>
        <v/>
      </c>
      <c r="H41">
        <f>IFERROR(IF(_xlfn.MAXIFS(Documents!$E$2:$E$1421,Documents!$A$2:$A$1421,$A41,Documents!$C$2:$C$1421,"dive_map")=0,"",_xlfn.MAXIFS(Documents!$E$2:$E$1421,Documents!$A$2:$A$1421,$A41,Documents!$C$2:$C$1421,"dive_map")),"")</f>
        <v/>
      </c>
      <c r="I41">
        <f>IFERROR(IF(_xlfn.MAXIFS(Documents!$E$2:$E$1421,Documents!$A$2:$A$1421,$A41,Documents!$C$2:$C$1421,"spa_menu")=0,"",_xlfn.MAXIFS(Documents!$E$2:$E$1421,Documents!$A$2:$A$1421,$A41,Documents!$C$2:$C$1421,"spa_menu")),"")</f>
        <v/>
      </c>
      <c r="J41">
        <f>IFERROR(IF(_xlfn.MAXIFS(Documents!$E$2:$E$1421,Documents!$A$2:$A$1421,$A41,Documents!$C$2:$C$1421,"dining_menu")=0,"",_xlfn.MAXIFS(Documents!$E$2:$E$1421,Documents!$A$2:$A$1421,$A41,Documents!$C$2:$C$1421,"dining_menu")),"")</f>
        <v/>
      </c>
      <c r="K41">
        <f>IFERROR(IF(_xlfn.MAXIFS(Documents!$E$2:$E$1421,Documents!$A$2:$A$1421,$A41,Documents!$C$2:$C$1421,"dive_prices")=0,"",_xlfn.MAXIFS(Documents!$E$2:$E$1421,Documents!$A$2:$A$1421,$A41,Documents!$C$2:$C$1421,"dive_prices")),"")</f>
        <v/>
      </c>
      <c r="L41">
        <f>IFERROR(IF(_xlfn.MAXIFS(Documents!$E$2:$E$1421,Documents!$A$2:$A$1421,$A41,Documents!$C$2:$C$1421,"excursions")=0,"",_xlfn.MAXIFS(Documents!$E$2:$E$1421,Documents!$A$2:$A$1421,$A41,Documents!$C$2:$C$1421,"excursions")),"")</f>
        <v/>
      </c>
      <c r="M41">
        <f>IFERROR(IF(_xlfn.MAXIFS(Documents!$E$2:$E$1421,Documents!$A$2:$A$1421,$A41,Documents!$C$2:$C$1421,"kids")=0,"",_xlfn.MAXIFS(Documents!$E$2:$E$1421,Documents!$A$2:$A$1421,$A41,Documents!$C$2:$C$1421,"kids")),"")</f>
        <v/>
      </c>
      <c r="N41">
        <f>IFERROR(IF(_xlfn.MAXIFS(Documents!$E$2:$E$1421,Documents!$A$2:$A$1421,$A41,Documents!$C$2:$C$1421,"villa_plans")=0,"",_xlfn.MAXIFS(Documents!$E$2:$E$1421,Documents!$A$2:$A$1421,$A41,Documents!$C$2:$C$1421,"villa_plans")),"")</f>
        <v/>
      </c>
      <c r="O41">
        <f>IFERROR(IF(_xlfn.MAXIFS(Documents!$E$2:$E$1421,Documents!$A$2:$A$1421,$A41,Documents!$C$2:$C$1421,"all_inclusive")=0,"",_xlfn.MAXIFS(Documents!$E$2:$E$1421,Documents!$A$2:$A$1421,$A41,Documents!$C$2:$C$1421,"all_inclusive")),"")</f>
        <v/>
      </c>
      <c r="P41">
        <f>IFERROR(IF(_xlfn.MAXIFS(Documents!$E$2:$E$1421,Documents!$A$2:$A$1421,$A41,Documents!$C$2:$C$1421,"sustainability")=0,"",_xlfn.MAXIFS(Documents!$E$2:$E$1421,Documents!$A$2:$A$1421,$A41,Documents!$C$2:$C$1421,"sustainability")),"")</f>
        <v/>
      </c>
      <c r="Q41">
        <f>IFERROR(IF(_xlfn.MAXIFS(Documents!$E$2:$E$1421,Documents!$A$2:$A$1421,$A41,Documents!$C$2:$C$1421,"calendar")=0,"",_xlfn.MAXIFS(Documents!$E$2:$E$1421,Documents!$A$2:$A$1421,$A41,Documents!$C$2:$C$1421,"calendar")),"")</f>
        <v/>
      </c>
      <c r="R41">
        <f>IFERROR(IF(_xlfn.MAXIFS(Documents!$E$2:$E$1421,Documents!$A$2:$A$1421,$A41,Documents!$C$2:$C$1421,"brochure")=0,"",_xlfn.MAXIFS(Documents!$E$2:$E$1421,Documents!$A$2:$A$1421,$A41,Documents!$C$2:$C$1421,"brochure")),"")</f>
        <v/>
      </c>
      <c r="S41">
        <f>IFERROR(IF(_xlfn.MAXIFS(Documents!$E$2:$E$1421,Documents!$A$2:$A$1421,$A41,Documents!$C$2:$C$1421,"press_kit")=0,"",_xlfn.MAXIFS(Documents!$E$2:$E$1421,Documents!$A$2:$A$1421,$A41,Documents!$C$2:$C$1421,"press_kit")),"")</f>
        <v/>
      </c>
      <c r="T41">
        <f>IFERROR(IF(_xlfn.MAXIFS(Documents!$E$2:$E$1421,Documents!$A$2:$A$1421,$A41,Documents!$C$2:$C$1421,"other")=0,"",_xlfn.MAXIFS(Documents!$E$2:$E$1421,Documents!$A$2:$A$1421,$A41,Documents!$C$2:$C$1421,"other")),"")</f>
        <v/>
      </c>
      <c r="U41">
        <f>IFERROR(IF(_xlfn.MAXIFS(Documents!$E$2:$E$1421,Documents!$A$2:$A$1421,$A41,Documents!$C$2:$C$1421,"obsolete")=0,"",_xlfn.MAXIFS(Documents!$E$2:$E$1421,Documents!$A$2:$A$1421,$A41,Documents!$C$2:$C$1421,"obsolete")),"")</f>
        <v/>
      </c>
      <c r="V41">
        <f>COUNTIFS(Documents!$A$2:$A$1421,$A41)</f>
        <v/>
      </c>
      <c r="W41">
        <f>COUNTIFS(Documents!$A$2:$A$1421,$A41,Documents!$R$2:$R$1421,"current")</f>
        <v/>
      </c>
      <c r="X41">
        <f>HYPERLINK("https://www.neoscapesmaldives.com/wp-content/uploads/Resort-Factsheet-Le-Meridien-Maldives.pdf","2022_Resort-Factsheet-Le-Meridien-Maldiv")</f>
        <v/>
      </c>
      <c r="Y41" t="inlineStr">
        <is>
          <t>wedding, events</t>
        </is>
      </c>
      <c r="Z41" t="inlineStr"/>
    </row>
    <row r="42">
      <c r="A42" t="n">
        <v>41</v>
      </c>
      <c r="B42" t="inlineStr">
        <is>
          <t>Ozen By Atmosphere At Maadhoo</t>
        </is>
      </c>
      <c r="C42" t="inlineStr">
        <is>
          <t>unverified</t>
        </is>
      </c>
      <c r="D42">
        <f>IFERROR(IF(_xlfn.MAXIFS(Documents!$E$2:$E$1421,Documents!$A$2:$A$1421,$A42,Documents!$C$2:$C$1421,"factsheet")=0,"",_xlfn.MAXIFS(Documents!$E$2:$E$1421,Documents!$A$2:$A$1421,$A42,Documents!$C$2:$C$1421,"factsheet")),"")</f>
        <v/>
      </c>
      <c r="E42">
        <f>IFERROR(IF(_xlfn.MAXIFS(Documents!$E$2:$E$1421,Documents!$A$2:$A$1421,$A42,Documents!$C$2:$C$1421,"wedding")=0,"",_xlfn.MAXIFS(Documents!$E$2:$E$1421,Documents!$A$2:$A$1421,$A42,Documents!$C$2:$C$1421,"wedding")),"")</f>
        <v/>
      </c>
      <c r="F42">
        <f>IFERROR(IF(_xlfn.MAXIFS(Documents!$E$2:$E$1421,Documents!$A$2:$A$1421,$A42,Documents!$C$2:$C$1421,"events")=0,"",_xlfn.MAXIFS(Documents!$E$2:$E$1421,Documents!$A$2:$A$1421,$A42,Documents!$C$2:$C$1421,"events")),"")</f>
        <v/>
      </c>
      <c r="G42">
        <f>IFERROR(IF(_xlfn.MAXIFS(Documents!$E$2:$E$1421,Documents!$A$2:$A$1421,$A42,Documents!$C$2:$C$1421,"map")=0,"",_xlfn.MAXIFS(Documents!$E$2:$E$1421,Documents!$A$2:$A$1421,$A42,Documents!$C$2:$C$1421,"map")),"")</f>
        <v/>
      </c>
      <c r="H42">
        <f>IFERROR(IF(_xlfn.MAXIFS(Documents!$E$2:$E$1421,Documents!$A$2:$A$1421,$A42,Documents!$C$2:$C$1421,"dive_map")=0,"",_xlfn.MAXIFS(Documents!$E$2:$E$1421,Documents!$A$2:$A$1421,$A42,Documents!$C$2:$C$1421,"dive_map")),"")</f>
        <v/>
      </c>
      <c r="I42">
        <f>IFERROR(IF(_xlfn.MAXIFS(Documents!$E$2:$E$1421,Documents!$A$2:$A$1421,$A42,Documents!$C$2:$C$1421,"spa_menu")=0,"",_xlfn.MAXIFS(Documents!$E$2:$E$1421,Documents!$A$2:$A$1421,$A42,Documents!$C$2:$C$1421,"spa_menu")),"")</f>
        <v/>
      </c>
      <c r="J42">
        <f>IFERROR(IF(_xlfn.MAXIFS(Documents!$E$2:$E$1421,Documents!$A$2:$A$1421,$A42,Documents!$C$2:$C$1421,"dining_menu")=0,"",_xlfn.MAXIFS(Documents!$E$2:$E$1421,Documents!$A$2:$A$1421,$A42,Documents!$C$2:$C$1421,"dining_menu")),"")</f>
        <v/>
      </c>
      <c r="K42">
        <f>IFERROR(IF(_xlfn.MAXIFS(Documents!$E$2:$E$1421,Documents!$A$2:$A$1421,$A42,Documents!$C$2:$C$1421,"dive_prices")=0,"",_xlfn.MAXIFS(Documents!$E$2:$E$1421,Documents!$A$2:$A$1421,$A42,Documents!$C$2:$C$1421,"dive_prices")),"")</f>
        <v/>
      </c>
      <c r="L42">
        <f>IFERROR(IF(_xlfn.MAXIFS(Documents!$E$2:$E$1421,Documents!$A$2:$A$1421,$A42,Documents!$C$2:$C$1421,"excursions")=0,"",_xlfn.MAXIFS(Documents!$E$2:$E$1421,Documents!$A$2:$A$1421,$A42,Documents!$C$2:$C$1421,"excursions")),"")</f>
        <v/>
      </c>
      <c r="M42">
        <f>IFERROR(IF(_xlfn.MAXIFS(Documents!$E$2:$E$1421,Documents!$A$2:$A$1421,$A42,Documents!$C$2:$C$1421,"kids")=0,"",_xlfn.MAXIFS(Documents!$E$2:$E$1421,Documents!$A$2:$A$1421,$A42,Documents!$C$2:$C$1421,"kids")),"")</f>
        <v/>
      </c>
      <c r="N42">
        <f>IFERROR(IF(_xlfn.MAXIFS(Documents!$E$2:$E$1421,Documents!$A$2:$A$1421,$A42,Documents!$C$2:$C$1421,"villa_plans")=0,"",_xlfn.MAXIFS(Documents!$E$2:$E$1421,Documents!$A$2:$A$1421,$A42,Documents!$C$2:$C$1421,"villa_plans")),"")</f>
        <v/>
      </c>
      <c r="O42">
        <f>IFERROR(IF(_xlfn.MAXIFS(Documents!$E$2:$E$1421,Documents!$A$2:$A$1421,$A42,Documents!$C$2:$C$1421,"all_inclusive")=0,"",_xlfn.MAXIFS(Documents!$E$2:$E$1421,Documents!$A$2:$A$1421,$A42,Documents!$C$2:$C$1421,"all_inclusive")),"")</f>
        <v/>
      </c>
      <c r="P42">
        <f>IFERROR(IF(_xlfn.MAXIFS(Documents!$E$2:$E$1421,Documents!$A$2:$A$1421,$A42,Documents!$C$2:$C$1421,"sustainability")=0,"",_xlfn.MAXIFS(Documents!$E$2:$E$1421,Documents!$A$2:$A$1421,$A42,Documents!$C$2:$C$1421,"sustainability")),"")</f>
        <v/>
      </c>
      <c r="Q42">
        <f>IFERROR(IF(_xlfn.MAXIFS(Documents!$E$2:$E$1421,Documents!$A$2:$A$1421,$A42,Documents!$C$2:$C$1421,"calendar")=0,"",_xlfn.MAXIFS(Documents!$E$2:$E$1421,Documents!$A$2:$A$1421,$A42,Documents!$C$2:$C$1421,"calendar")),"")</f>
        <v/>
      </c>
      <c r="R42">
        <f>IFERROR(IF(_xlfn.MAXIFS(Documents!$E$2:$E$1421,Documents!$A$2:$A$1421,$A42,Documents!$C$2:$C$1421,"brochure")=0,"",_xlfn.MAXIFS(Documents!$E$2:$E$1421,Documents!$A$2:$A$1421,$A42,Documents!$C$2:$C$1421,"brochure")),"")</f>
        <v/>
      </c>
      <c r="S42">
        <f>IFERROR(IF(_xlfn.MAXIFS(Documents!$E$2:$E$1421,Documents!$A$2:$A$1421,$A42,Documents!$C$2:$C$1421,"press_kit")=0,"",_xlfn.MAXIFS(Documents!$E$2:$E$1421,Documents!$A$2:$A$1421,$A42,Documents!$C$2:$C$1421,"press_kit")),"")</f>
        <v/>
      </c>
      <c r="T42">
        <f>IFERROR(IF(_xlfn.MAXIFS(Documents!$E$2:$E$1421,Documents!$A$2:$A$1421,$A42,Documents!$C$2:$C$1421,"other")=0,"",_xlfn.MAXIFS(Documents!$E$2:$E$1421,Documents!$A$2:$A$1421,$A42,Documents!$C$2:$C$1421,"other")),"")</f>
        <v/>
      </c>
      <c r="U42">
        <f>IFERROR(IF(_xlfn.MAXIFS(Documents!$E$2:$E$1421,Documents!$A$2:$A$1421,$A42,Documents!$C$2:$C$1421,"obsolete")=0,"",_xlfn.MAXIFS(Documents!$E$2:$E$1421,Documents!$A$2:$A$1421,$A42,Documents!$C$2:$C$1421,"obsolete")),"")</f>
        <v/>
      </c>
      <c r="V42">
        <f>COUNTIFS(Documents!$A$2:$A$1421,$A42)</f>
        <v/>
      </c>
      <c r="W42">
        <f>COUNTIFS(Documents!$A$2:$A$1421,$A42,Documents!$R$2:$R$1421,"current")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unverified</t>
        </is>
      </c>
      <c r="D43">
        <f>IFERROR(IF(_xlfn.MAXIFS(Documents!$E$2:$E$1421,Documents!$A$2:$A$1421,$A43,Documents!$C$2:$C$1421,"factsheet")=0,"",_xlfn.MAXIFS(Documents!$E$2:$E$1421,Documents!$A$2:$A$1421,$A43,Documents!$C$2:$C$1421,"factsheet")),"")</f>
        <v/>
      </c>
      <c r="E43">
        <f>IFERROR(IF(_xlfn.MAXIFS(Documents!$E$2:$E$1421,Documents!$A$2:$A$1421,$A43,Documents!$C$2:$C$1421,"wedding")=0,"",_xlfn.MAXIFS(Documents!$E$2:$E$1421,Documents!$A$2:$A$1421,$A43,Documents!$C$2:$C$1421,"wedding")),"")</f>
        <v/>
      </c>
      <c r="F43">
        <f>IFERROR(IF(_xlfn.MAXIFS(Documents!$E$2:$E$1421,Documents!$A$2:$A$1421,$A43,Documents!$C$2:$C$1421,"events")=0,"",_xlfn.MAXIFS(Documents!$E$2:$E$1421,Documents!$A$2:$A$1421,$A43,Documents!$C$2:$C$1421,"events")),"")</f>
        <v/>
      </c>
      <c r="G43">
        <f>IFERROR(IF(_xlfn.MAXIFS(Documents!$E$2:$E$1421,Documents!$A$2:$A$1421,$A43,Documents!$C$2:$C$1421,"map")=0,"",_xlfn.MAXIFS(Documents!$E$2:$E$1421,Documents!$A$2:$A$1421,$A43,Documents!$C$2:$C$1421,"map")),"")</f>
        <v/>
      </c>
      <c r="H43">
        <f>IFERROR(IF(_xlfn.MAXIFS(Documents!$E$2:$E$1421,Documents!$A$2:$A$1421,$A43,Documents!$C$2:$C$1421,"dive_map")=0,"",_xlfn.MAXIFS(Documents!$E$2:$E$1421,Documents!$A$2:$A$1421,$A43,Documents!$C$2:$C$1421,"dive_map")),"")</f>
        <v/>
      </c>
      <c r="I43">
        <f>IFERROR(IF(_xlfn.MAXIFS(Documents!$E$2:$E$1421,Documents!$A$2:$A$1421,$A43,Documents!$C$2:$C$1421,"spa_menu")=0,"",_xlfn.MAXIFS(Documents!$E$2:$E$1421,Documents!$A$2:$A$1421,$A43,Documents!$C$2:$C$1421,"spa_menu")),"")</f>
        <v/>
      </c>
      <c r="J43">
        <f>IFERROR(IF(_xlfn.MAXIFS(Documents!$E$2:$E$1421,Documents!$A$2:$A$1421,$A43,Documents!$C$2:$C$1421,"dining_menu")=0,"",_xlfn.MAXIFS(Documents!$E$2:$E$1421,Documents!$A$2:$A$1421,$A43,Documents!$C$2:$C$1421,"dining_menu")),"")</f>
        <v/>
      </c>
      <c r="K43">
        <f>IFERROR(IF(_xlfn.MAXIFS(Documents!$E$2:$E$1421,Documents!$A$2:$A$1421,$A43,Documents!$C$2:$C$1421,"dive_prices")=0,"",_xlfn.MAXIFS(Documents!$E$2:$E$1421,Documents!$A$2:$A$1421,$A43,Documents!$C$2:$C$1421,"dive_prices")),"")</f>
        <v/>
      </c>
      <c r="L43">
        <f>IFERROR(IF(_xlfn.MAXIFS(Documents!$E$2:$E$1421,Documents!$A$2:$A$1421,$A43,Documents!$C$2:$C$1421,"excursions")=0,"",_xlfn.MAXIFS(Documents!$E$2:$E$1421,Documents!$A$2:$A$1421,$A43,Documents!$C$2:$C$1421,"excursions")),"")</f>
        <v/>
      </c>
      <c r="M43">
        <f>IFERROR(IF(_xlfn.MAXIFS(Documents!$E$2:$E$1421,Documents!$A$2:$A$1421,$A43,Documents!$C$2:$C$1421,"kids")=0,"",_xlfn.MAXIFS(Documents!$E$2:$E$1421,Documents!$A$2:$A$1421,$A43,Documents!$C$2:$C$1421,"kids")),"")</f>
        <v/>
      </c>
      <c r="N43">
        <f>IFERROR(IF(_xlfn.MAXIFS(Documents!$E$2:$E$1421,Documents!$A$2:$A$1421,$A43,Documents!$C$2:$C$1421,"villa_plans")=0,"",_xlfn.MAXIFS(Documents!$E$2:$E$1421,Documents!$A$2:$A$1421,$A43,Documents!$C$2:$C$1421,"villa_plans")),"")</f>
        <v/>
      </c>
      <c r="O43">
        <f>IFERROR(IF(_xlfn.MAXIFS(Documents!$E$2:$E$1421,Documents!$A$2:$A$1421,$A43,Documents!$C$2:$C$1421,"all_inclusive")=0,"",_xlfn.MAXIFS(Documents!$E$2:$E$1421,Documents!$A$2:$A$1421,$A43,Documents!$C$2:$C$1421,"all_inclusive")),"")</f>
        <v/>
      </c>
      <c r="P43">
        <f>IFERROR(IF(_xlfn.MAXIFS(Documents!$E$2:$E$1421,Documents!$A$2:$A$1421,$A43,Documents!$C$2:$C$1421,"sustainability")=0,"",_xlfn.MAXIFS(Documents!$E$2:$E$1421,Documents!$A$2:$A$1421,$A43,Documents!$C$2:$C$1421,"sustainability")),"")</f>
        <v/>
      </c>
      <c r="Q43">
        <f>IFERROR(IF(_xlfn.MAXIFS(Documents!$E$2:$E$1421,Documents!$A$2:$A$1421,$A43,Documents!$C$2:$C$1421,"calendar")=0,"",_xlfn.MAXIFS(Documents!$E$2:$E$1421,Documents!$A$2:$A$1421,$A43,Documents!$C$2:$C$1421,"calendar")),"")</f>
        <v/>
      </c>
      <c r="R43">
        <f>IFERROR(IF(_xlfn.MAXIFS(Documents!$E$2:$E$1421,Documents!$A$2:$A$1421,$A43,Documents!$C$2:$C$1421,"brochure")=0,"",_xlfn.MAXIFS(Documents!$E$2:$E$1421,Documents!$A$2:$A$1421,$A43,Documents!$C$2:$C$1421,"brochure")),"")</f>
        <v/>
      </c>
      <c r="S43">
        <f>IFERROR(IF(_xlfn.MAXIFS(Documents!$E$2:$E$1421,Documents!$A$2:$A$1421,$A43,Documents!$C$2:$C$1421,"press_kit")=0,"",_xlfn.MAXIFS(Documents!$E$2:$E$1421,Documents!$A$2:$A$1421,$A43,Documents!$C$2:$C$1421,"press_kit")),"")</f>
        <v/>
      </c>
      <c r="T43">
        <f>IFERROR(IF(_xlfn.MAXIFS(Documents!$E$2:$E$1421,Documents!$A$2:$A$1421,$A43,Documents!$C$2:$C$1421,"other")=0,"",_xlfn.MAXIFS(Documents!$E$2:$E$1421,Documents!$A$2:$A$1421,$A43,Documents!$C$2:$C$1421,"other")),"")</f>
        <v/>
      </c>
      <c r="U43">
        <f>IFERROR(IF(_xlfn.MAXIFS(Documents!$E$2:$E$1421,Documents!$A$2:$A$1421,$A43,Documents!$C$2:$C$1421,"obsolete")=0,"",_xlfn.MAXIFS(Documents!$E$2:$E$1421,Documents!$A$2:$A$1421,$A43,Documents!$C$2:$C$1421,"obsolete")),"")</f>
        <v/>
      </c>
      <c r="V43">
        <f>COUNTIFS(Documents!$A$2:$A$1421,$A43)</f>
        <v/>
      </c>
      <c r="W43">
        <f>COUNTIFS(Documents!$A$2:$A$1421,$A43,Documents!$R$2:$R$1421,"current")</f>
        <v/>
      </c>
      <c r="X43" t="inlineStr"/>
      <c r="Y43" t="inlineStr">
        <is>
          <t>factsheet, wedding, events</t>
        </is>
      </c>
      <c r="Z43" t="inlineStr"/>
    </row>
    <row r="44">
      <c r="A44" t="n">
        <v>43</v>
      </c>
      <c r="B44" t="inlineStr">
        <is>
          <t>Dhigufaru Island Resort</t>
        </is>
      </c>
      <c r="C44" t="inlineStr">
        <is>
          <t>ok</t>
        </is>
      </c>
      <c r="D44">
        <f>IFERROR(IF(_xlfn.MAXIFS(Documents!$E$2:$E$1421,Documents!$A$2:$A$1421,$A44,Documents!$C$2:$C$1421,"factsheet")=0,"",_xlfn.MAXIFS(Documents!$E$2:$E$1421,Documents!$A$2:$A$1421,$A44,Documents!$C$2:$C$1421,"factsheet")),"")</f>
        <v/>
      </c>
      <c r="E44">
        <f>IFERROR(IF(_xlfn.MAXIFS(Documents!$E$2:$E$1421,Documents!$A$2:$A$1421,$A44,Documents!$C$2:$C$1421,"wedding")=0,"",_xlfn.MAXIFS(Documents!$E$2:$E$1421,Documents!$A$2:$A$1421,$A44,Documents!$C$2:$C$1421,"wedding")),"")</f>
        <v/>
      </c>
      <c r="F44">
        <f>IFERROR(IF(_xlfn.MAXIFS(Documents!$E$2:$E$1421,Documents!$A$2:$A$1421,$A44,Documents!$C$2:$C$1421,"events")=0,"",_xlfn.MAXIFS(Documents!$E$2:$E$1421,Documents!$A$2:$A$1421,$A44,Documents!$C$2:$C$1421,"events")),"")</f>
        <v/>
      </c>
      <c r="G44">
        <f>IFERROR(IF(_xlfn.MAXIFS(Documents!$E$2:$E$1421,Documents!$A$2:$A$1421,$A44,Documents!$C$2:$C$1421,"map")=0,"",_xlfn.MAXIFS(Documents!$E$2:$E$1421,Documents!$A$2:$A$1421,$A44,Documents!$C$2:$C$1421,"map")),"")</f>
        <v/>
      </c>
      <c r="H44">
        <f>IFERROR(IF(_xlfn.MAXIFS(Documents!$E$2:$E$1421,Documents!$A$2:$A$1421,$A44,Documents!$C$2:$C$1421,"dive_map")=0,"",_xlfn.MAXIFS(Documents!$E$2:$E$1421,Documents!$A$2:$A$1421,$A44,Documents!$C$2:$C$1421,"dive_map")),"")</f>
        <v/>
      </c>
      <c r="I44">
        <f>IFERROR(IF(_xlfn.MAXIFS(Documents!$E$2:$E$1421,Documents!$A$2:$A$1421,$A44,Documents!$C$2:$C$1421,"spa_menu")=0,"",_xlfn.MAXIFS(Documents!$E$2:$E$1421,Documents!$A$2:$A$1421,$A44,Documents!$C$2:$C$1421,"spa_menu")),"")</f>
        <v/>
      </c>
      <c r="J44">
        <f>IFERROR(IF(_xlfn.MAXIFS(Documents!$E$2:$E$1421,Documents!$A$2:$A$1421,$A44,Documents!$C$2:$C$1421,"dining_menu")=0,"",_xlfn.MAXIFS(Documents!$E$2:$E$1421,Documents!$A$2:$A$1421,$A44,Documents!$C$2:$C$1421,"dining_menu")),"")</f>
        <v/>
      </c>
      <c r="K44">
        <f>IFERROR(IF(_xlfn.MAXIFS(Documents!$E$2:$E$1421,Documents!$A$2:$A$1421,$A44,Documents!$C$2:$C$1421,"dive_prices")=0,"",_xlfn.MAXIFS(Documents!$E$2:$E$1421,Documents!$A$2:$A$1421,$A44,Documents!$C$2:$C$1421,"dive_prices")),"")</f>
        <v/>
      </c>
      <c r="L44">
        <f>IFERROR(IF(_xlfn.MAXIFS(Documents!$E$2:$E$1421,Documents!$A$2:$A$1421,$A44,Documents!$C$2:$C$1421,"excursions")=0,"",_xlfn.MAXIFS(Documents!$E$2:$E$1421,Documents!$A$2:$A$1421,$A44,Documents!$C$2:$C$1421,"excursions")),"")</f>
        <v/>
      </c>
      <c r="M44">
        <f>IFERROR(IF(_xlfn.MAXIFS(Documents!$E$2:$E$1421,Documents!$A$2:$A$1421,$A44,Documents!$C$2:$C$1421,"kids")=0,"",_xlfn.MAXIFS(Documents!$E$2:$E$1421,Documents!$A$2:$A$1421,$A44,Documents!$C$2:$C$1421,"kids")),"")</f>
        <v/>
      </c>
      <c r="N44">
        <f>IFERROR(IF(_xlfn.MAXIFS(Documents!$E$2:$E$1421,Documents!$A$2:$A$1421,$A44,Documents!$C$2:$C$1421,"villa_plans")=0,"",_xlfn.MAXIFS(Documents!$E$2:$E$1421,Documents!$A$2:$A$1421,$A44,Documents!$C$2:$C$1421,"villa_plans")),"")</f>
        <v/>
      </c>
      <c r="O44">
        <f>IFERROR(IF(_xlfn.MAXIFS(Documents!$E$2:$E$1421,Documents!$A$2:$A$1421,$A44,Documents!$C$2:$C$1421,"all_inclusive")=0,"",_xlfn.MAXIFS(Documents!$E$2:$E$1421,Documents!$A$2:$A$1421,$A44,Documents!$C$2:$C$1421,"all_inclusive")),"")</f>
        <v/>
      </c>
      <c r="P44">
        <f>IFERROR(IF(_xlfn.MAXIFS(Documents!$E$2:$E$1421,Documents!$A$2:$A$1421,$A44,Documents!$C$2:$C$1421,"sustainability")=0,"",_xlfn.MAXIFS(Documents!$E$2:$E$1421,Documents!$A$2:$A$1421,$A44,Documents!$C$2:$C$1421,"sustainability")),"")</f>
        <v/>
      </c>
      <c r="Q44">
        <f>IFERROR(IF(_xlfn.MAXIFS(Documents!$E$2:$E$1421,Documents!$A$2:$A$1421,$A44,Documents!$C$2:$C$1421,"calendar")=0,"",_xlfn.MAXIFS(Documents!$E$2:$E$1421,Documents!$A$2:$A$1421,$A44,Documents!$C$2:$C$1421,"calendar")),"")</f>
        <v/>
      </c>
      <c r="R44">
        <f>IFERROR(IF(_xlfn.MAXIFS(Documents!$E$2:$E$1421,Documents!$A$2:$A$1421,$A44,Documents!$C$2:$C$1421,"brochure")=0,"",_xlfn.MAXIFS(Documents!$E$2:$E$1421,Documents!$A$2:$A$1421,$A44,Documents!$C$2:$C$1421,"brochure")),"")</f>
        <v/>
      </c>
      <c r="S44">
        <f>IFERROR(IF(_xlfn.MAXIFS(Documents!$E$2:$E$1421,Documents!$A$2:$A$1421,$A44,Documents!$C$2:$C$1421,"press_kit")=0,"",_xlfn.MAXIFS(Documents!$E$2:$E$1421,Documents!$A$2:$A$1421,$A44,Documents!$C$2:$C$1421,"press_kit")),"")</f>
        <v/>
      </c>
      <c r="T44">
        <f>IFERROR(IF(_xlfn.MAXIFS(Documents!$E$2:$E$1421,Documents!$A$2:$A$1421,$A44,Documents!$C$2:$C$1421,"other")=0,"",_xlfn.MAXIFS(Documents!$E$2:$E$1421,Documents!$A$2:$A$1421,$A44,Documents!$C$2:$C$1421,"other")),"")</f>
        <v/>
      </c>
      <c r="U44">
        <f>IFERROR(IF(_xlfn.MAXIFS(Documents!$E$2:$E$1421,Documents!$A$2:$A$1421,$A44,Documents!$C$2:$C$1421,"obsolete")=0,"",_xlfn.MAXIFS(Documents!$E$2:$E$1421,Documents!$A$2:$A$1421,$A44,Documents!$C$2:$C$1421,"obsolete")),"")</f>
        <v/>
      </c>
      <c r="V44">
        <f>COUNTIFS(Documents!$A$2:$A$1421,$A44)</f>
        <v/>
      </c>
      <c r="W44">
        <f>COUNTIFS(Documents!$A$2:$A$1421,$A44,Documents!$R$2:$R$1421,"current")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IFERROR(IF(_xlfn.MAXIFS(Documents!$E$2:$E$1421,Documents!$A$2:$A$1421,$A45,Documents!$C$2:$C$1421,"factsheet")=0,"",_xlfn.MAXIFS(Documents!$E$2:$E$1421,Documents!$A$2:$A$1421,$A45,Documents!$C$2:$C$1421,"factsheet")),"")</f>
        <v/>
      </c>
      <c r="E45">
        <f>IFERROR(IF(_xlfn.MAXIFS(Documents!$E$2:$E$1421,Documents!$A$2:$A$1421,$A45,Documents!$C$2:$C$1421,"wedding")=0,"",_xlfn.MAXIFS(Documents!$E$2:$E$1421,Documents!$A$2:$A$1421,$A45,Documents!$C$2:$C$1421,"wedding")),"")</f>
        <v/>
      </c>
      <c r="F45">
        <f>IFERROR(IF(_xlfn.MAXIFS(Documents!$E$2:$E$1421,Documents!$A$2:$A$1421,$A45,Documents!$C$2:$C$1421,"events")=0,"",_xlfn.MAXIFS(Documents!$E$2:$E$1421,Documents!$A$2:$A$1421,$A45,Documents!$C$2:$C$1421,"events")),"")</f>
        <v/>
      </c>
      <c r="G45">
        <f>IFERROR(IF(_xlfn.MAXIFS(Documents!$E$2:$E$1421,Documents!$A$2:$A$1421,$A45,Documents!$C$2:$C$1421,"map")=0,"",_xlfn.MAXIFS(Documents!$E$2:$E$1421,Documents!$A$2:$A$1421,$A45,Documents!$C$2:$C$1421,"map")),"")</f>
        <v/>
      </c>
      <c r="H45">
        <f>IFERROR(IF(_xlfn.MAXIFS(Documents!$E$2:$E$1421,Documents!$A$2:$A$1421,$A45,Documents!$C$2:$C$1421,"dive_map")=0,"",_xlfn.MAXIFS(Documents!$E$2:$E$1421,Documents!$A$2:$A$1421,$A45,Documents!$C$2:$C$1421,"dive_map")),"")</f>
        <v/>
      </c>
      <c r="I45">
        <f>IFERROR(IF(_xlfn.MAXIFS(Documents!$E$2:$E$1421,Documents!$A$2:$A$1421,$A45,Documents!$C$2:$C$1421,"spa_menu")=0,"",_xlfn.MAXIFS(Documents!$E$2:$E$1421,Documents!$A$2:$A$1421,$A45,Documents!$C$2:$C$1421,"spa_menu")),"")</f>
        <v/>
      </c>
      <c r="J45">
        <f>IFERROR(IF(_xlfn.MAXIFS(Documents!$E$2:$E$1421,Documents!$A$2:$A$1421,$A45,Documents!$C$2:$C$1421,"dining_menu")=0,"",_xlfn.MAXIFS(Documents!$E$2:$E$1421,Documents!$A$2:$A$1421,$A45,Documents!$C$2:$C$1421,"dining_menu")),"")</f>
        <v/>
      </c>
      <c r="K45">
        <f>IFERROR(IF(_xlfn.MAXIFS(Documents!$E$2:$E$1421,Documents!$A$2:$A$1421,$A45,Documents!$C$2:$C$1421,"dive_prices")=0,"",_xlfn.MAXIFS(Documents!$E$2:$E$1421,Documents!$A$2:$A$1421,$A45,Documents!$C$2:$C$1421,"dive_prices")),"")</f>
        <v/>
      </c>
      <c r="L45">
        <f>IFERROR(IF(_xlfn.MAXIFS(Documents!$E$2:$E$1421,Documents!$A$2:$A$1421,$A45,Documents!$C$2:$C$1421,"excursions")=0,"",_xlfn.MAXIFS(Documents!$E$2:$E$1421,Documents!$A$2:$A$1421,$A45,Documents!$C$2:$C$1421,"excursions")),"")</f>
        <v/>
      </c>
      <c r="M45">
        <f>IFERROR(IF(_xlfn.MAXIFS(Documents!$E$2:$E$1421,Documents!$A$2:$A$1421,$A45,Documents!$C$2:$C$1421,"kids")=0,"",_xlfn.MAXIFS(Documents!$E$2:$E$1421,Documents!$A$2:$A$1421,$A45,Documents!$C$2:$C$1421,"kids")),"")</f>
        <v/>
      </c>
      <c r="N45">
        <f>IFERROR(IF(_xlfn.MAXIFS(Documents!$E$2:$E$1421,Documents!$A$2:$A$1421,$A45,Documents!$C$2:$C$1421,"villa_plans")=0,"",_xlfn.MAXIFS(Documents!$E$2:$E$1421,Documents!$A$2:$A$1421,$A45,Documents!$C$2:$C$1421,"villa_plans")),"")</f>
        <v/>
      </c>
      <c r="O45">
        <f>IFERROR(IF(_xlfn.MAXIFS(Documents!$E$2:$E$1421,Documents!$A$2:$A$1421,$A45,Documents!$C$2:$C$1421,"all_inclusive")=0,"",_xlfn.MAXIFS(Documents!$E$2:$E$1421,Documents!$A$2:$A$1421,$A45,Documents!$C$2:$C$1421,"all_inclusive")),"")</f>
        <v/>
      </c>
      <c r="P45">
        <f>IFERROR(IF(_xlfn.MAXIFS(Documents!$E$2:$E$1421,Documents!$A$2:$A$1421,$A45,Documents!$C$2:$C$1421,"sustainability")=0,"",_xlfn.MAXIFS(Documents!$E$2:$E$1421,Documents!$A$2:$A$1421,$A45,Documents!$C$2:$C$1421,"sustainability")),"")</f>
        <v/>
      </c>
      <c r="Q45">
        <f>IFERROR(IF(_xlfn.MAXIFS(Documents!$E$2:$E$1421,Documents!$A$2:$A$1421,$A45,Documents!$C$2:$C$1421,"calendar")=0,"",_xlfn.MAXIFS(Documents!$E$2:$E$1421,Documents!$A$2:$A$1421,$A45,Documents!$C$2:$C$1421,"calendar")),"")</f>
        <v/>
      </c>
      <c r="R45">
        <f>IFERROR(IF(_xlfn.MAXIFS(Documents!$E$2:$E$1421,Documents!$A$2:$A$1421,$A45,Documents!$C$2:$C$1421,"brochure")=0,"",_xlfn.MAXIFS(Documents!$E$2:$E$1421,Documents!$A$2:$A$1421,$A45,Documents!$C$2:$C$1421,"brochure")),"")</f>
        <v/>
      </c>
      <c r="S45">
        <f>IFERROR(IF(_xlfn.MAXIFS(Documents!$E$2:$E$1421,Documents!$A$2:$A$1421,$A45,Documents!$C$2:$C$1421,"press_kit")=0,"",_xlfn.MAXIFS(Documents!$E$2:$E$1421,Documents!$A$2:$A$1421,$A45,Documents!$C$2:$C$1421,"press_kit")),"")</f>
        <v/>
      </c>
      <c r="T45">
        <f>IFERROR(IF(_xlfn.MAXIFS(Documents!$E$2:$E$1421,Documents!$A$2:$A$1421,$A45,Documents!$C$2:$C$1421,"other")=0,"",_xlfn.MAXIFS(Documents!$E$2:$E$1421,Documents!$A$2:$A$1421,$A45,Documents!$C$2:$C$1421,"other")),"")</f>
        <v/>
      </c>
      <c r="U45">
        <f>IFERROR(IF(_xlfn.MAXIFS(Documents!$E$2:$E$1421,Documents!$A$2:$A$1421,$A45,Documents!$C$2:$C$1421,"obsolete")=0,"",_xlfn.MAXIFS(Documents!$E$2:$E$1421,Documents!$A$2:$A$1421,$A45,Documents!$C$2:$C$1421,"obsolete")),"")</f>
        <v/>
      </c>
      <c r="V45">
        <f>COUNTIFS(Documents!$A$2:$A$1421,$A45)</f>
        <v/>
      </c>
      <c r="W45">
        <f>COUNTIFS(Documents!$A$2:$A$1421,$A45,Documents!$R$2:$R$1421,"current")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IFERROR(IF(_xlfn.MAXIFS(Documents!$E$2:$E$1421,Documents!$A$2:$A$1421,$A46,Documents!$C$2:$C$1421,"factsheet")=0,"",_xlfn.MAXIFS(Documents!$E$2:$E$1421,Documents!$A$2:$A$1421,$A46,Documents!$C$2:$C$1421,"factsheet")),"")</f>
        <v/>
      </c>
      <c r="E46">
        <f>IFERROR(IF(_xlfn.MAXIFS(Documents!$E$2:$E$1421,Documents!$A$2:$A$1421,$A46,Documents!$C$2:$C$1421,"wedding")=0,"",_xlfn.MAXIFS(Documents!$E$2:$E$1421,Documents!$A$2:$A$1421,$A46,Documents!$C$2:$C$1421,"wedding")),"")</f>
        <v/>
      </c>
      <c r="F46">
        <f>IFERROR(IF(_xlfn.MAXIFS(Documents!$E$2:$E$1421,Documents!$A$2:$A$1421,$A46,Documents!$C$2:$C$1421,"events")=0,"",_xlfn.MAXIFS(Documents!$E$2:$E$1421,Documents!$A$2:$A$1421,$A46,Documents!$C$2:$C$1421,"events")),"")</f>
        <v/>
      </c>
      <c r="G46">
        <f>IFERROR(IF(_xlfn.MAXIFS(Documents!$E$2:$E$1421,Documents!$A$2:$A$1421,$A46,Documents!$C$2:$C$1421,"map")=0,"",_xlfn.MAXIFS(Documents!$E$2:$E$1421,Documents!$A$2:$A$1421,$A46,Documents!$C$2:$C$1421,"map")),"")</f>
        <v/>
      </c>
      <c r="H46">
        <f>IFERROR(IF(_xlfn.MAXIFS(Documents!$E$2:$E$1421,Documents!$A$2:$A$1421,$A46,Documents!$C$2:$C$1421,"dive_map")=0,"",_xlfn.MAXIFS(Documents!$E$2:$E$1421,Documents!$A$2:$A$1421,$A46,Documents!$C$2:$C$1421,"dive_map")),"")</f>
        <v/>
      </c>
      <c r="I46">
        <f>IFERROR(IF(_xlfn.MAXIFS(Documents!$E$2:$E$1421,Documents!$A$2:$A$1421,$A46,Documents!$C$2:$C$1421,"spa_menu")=0,"",_xlfn.MAXIFS(Documents!$E$2:$E$1421,Documents!$A$2:$A$1421,$A46,Documents!$C$2:$C$1421,"spa_menu")),"")</f>
        <v/>
      </c>
      <c r="J46">
        <f>IFERROR(IF(_xlfn.MAXIFS(Documents!$E$2:$E$1421,Documents!$A$2:$A$1421,$A46,Documents!$C$2:$C$1421,"dining_menu")=0,"",_xlfn.MAXIFS(Documents!$E$2:$E$1421,Documents!$A$2:$A$1421,$A46,Documents!$C$2:$C$1421,"dining_menu")),"")</f>
        <v/>
      </c>
      <c r="K46">
        <f>IFERROR(IF(_xlfn.MAXIFS(Documents!$E$2:$E$1421,Documents!$A$2:$A$1421,$A46,Documents!$C$2:$C$1421,"dive_prices")=0,"",_xlfn.MAXIFS(Documents!$E$2:$E$1421,Documents!$A$2:$A$1421,$A46,Documents!$C$2:$C$1421,"dive_prices")),"")</f>
        <v/>
      </c>
      <c r="L46">
        <f>IFERROR(IF(_xlfn.MAXIFS(Documents!$E$2:$E$1421,Documents!$A$2:$A$1421,$A46,Documents!$C$2:$C$1421,"excursions")=0,"",_xlfn.MAXIFS(Documents!$E$2:$E$1421,Documents!$A$2:$A$1421,$A46,Documents!$C$2:$C$1421,"excursions")),"")</f>
        <v/>
      </c>
      <c r="M46">
        <f>IFERROR(IF(_xlfn.MAXIFS(Documents!$E$2:$E$1421,Documents!$A$2:$A$1421,$A46,Documents!$C$2:$C$1421,"kids")=0,"",_xlfn.MAXIFS(Documents!$E$2:$E$1421,Documents!$A$2:$A$1421,$A46,Documents!$C$2:$C$1421,"kids")),"")</f>
        <v/>
      </c>
      <c r="N46">
        <f>IFERROR(IF(_xlfn.MAXIFS(Documents!$E$2:$E$1421,Documents!$A$2:$A$1421,$A46,Documents!$C$2:$C$1421,"villa_plans")=0,"",_xlfn.MAXIFS(Documents!$E$2:$E$1421,Documents!$A$2:$A$1421,$A46,Documents!$C$2:$C$1421,"villa_plans")),"")</f>
        <v/>
      </c>
      <c r="O46">
        <f>IFERROR(IF(_xlfn.MAXIFS(Documents!$E$2:$E$1421,Documents!$A$2:$A$1421,$A46,Documents!$C$2:$C$1421,"all_inclusive")=0,"",_xlfn.MAXIFS(Documents!$E$2:$E$1421,Documents!$A$2:$A$1421,$A46,Documents!$C$2:$C$1421,"all_inclusive")),"")</f>
        <v/>
      </c>
      <c r="P46">
        <f>IFERROR(IF(_xlfn.MAXIFS(Documents!$E$2:$E$1421,Documents!$A$2:$A$1421,$A46,Documents!$C$2:$C$1421,"sustainability")=0,"",_xlfn.MAXIFS(Documents!$E$2:$E$1421,Documents!$A$2:$A$1421,$A46,Documents!$C$2:$C$1421,"sustainability")),"")</f>
        <v/>
      </c>
      <c r="Q46">
        <f>IFERROR(IF(_xlfn.MAXIFS(Documents!$E$2:$E$1421,Documents!$A$2:$A$1421,$A46,Documents!$C$2:$C$1421,"calendar")=0,"",_xlfn.MAXIFS(Documents!$E$2:$E$1421,Documents!$A$2:$A$1421,$A46,Documents!$C$2:$C$1421,"calendar")),"")</f>
        <v/>
      </c>
      <c r="R46">
        <f>IFERROR(IF(_xlfn.MAXIFS(Documents!$E$2:$E$1421,Documents!$A$2:$A$1421,$A46,Documents!$C$2:$C$1421,"brochure")=0,"",_xlfn.MAXIFS(Documents!$E$2:$E$1421,Documents!$A$2:$A$1421,$A46,Documents!$C$2:$C$1421,"brochure")),"")</f>
        <v/>
      </c>
      <c r="S46">
        <f>IFERROR(IF(_xlfn.MAXIFS(Documents!$E$2:$E$1421,Documents!$A$2:$A$1421,$A46,Documents!$C$2:$C$1421,"press_kit")=0,"",_xlfn.MAXIFS(Documents!$E$2:$E$1421,Documents!$A$2:$A$1421,$A46,Documents!$C$2:$C$1421,"press_kit")),"")</f>
        <v/>
      </c>
      <c r="T46">
        <f>IFERROR(IF(_xlfn.MAXIFS(Documents!$E$2:$E$1421,Documents!$A$2:$A$1421,$A46,Documents!$C$2:$C$1421,"other")=0,"",_xlfn.MAXIFS(Documents!$E$2:$E$1421,Documents!$A$2:$A$1421,$A46,Documents!$C$2:$C$1421,"other")),"")</f>
        <v/>
      </c>
      <c r="U46">
        <f>IFERROR(IF(_xlfn.MAXIFS(Documents!$E$2:$E$1421,Documents!$A$2:$A$1421,$A46,Documents!$C$2:$C$1421,"obsolete")=0,"",_xlfn.MAXIFS(Documents!$E$2:$E$1421,Documents!$A$2:$A$1421,$A46,Documents!$C$2:$C$1421,"obsolete")),"")</f>
        <v/>
      </c>
      <c r="V46">
        <f>COUNTIFS(Documents!$A$2:$A$1421,$A46)</f>
        <v/>
      </c>
      <c r="W46">
        <f>COUNTIFS(Documents!$A$2:$A$1421,$A46,Documents!$R$2:$R$1421,"current")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IFERROR(IF(_xlfn.MAXIFS(Documents!$E$2:$E$1421,Documents!$A$2:$A$1421,$A47,Documents!$C$2:$C$1421,"factsheet")=0,"",_xlfn.MAXIFS(Documents!$E$2:$E$1421,Documents!$A$2:$A$1421,$A47,Documents!$C$2:$C$1421,"factsheet")),"")</f>
        <v/>
      </c>
      <c r="E47">
        <f>IFERROR(IF(_xlfn.MAXIFS(Documents!$E$2:$E$1421,Documents!$A$2:$A$1421,$A47,Documents!$C$2:$C$1421,"wedding")=0,"",_xlfn.MAXIFS(Documents!$E$2:$E$1421,Documents!$A$2:$A$1421,$A47,Documents!$C$2:$C$1421,"wedding")),"")</f>
        <v/>
      </c>
      <c r="F47">
        <f>IFERROR(IF(_xlfn.MAXIFS(Documents!$E$2:$E$1421,Documents!$A$2:$A$1421,$A47,Documents!$C$2:$C$1421,"events")=0,"",_xlfn.MAXIFS(Documents!$E$2:$E$1421,Documents!$A$2:$A$1421,$A47,Documents!$C$2:$C$1421,"events")),"")</f>
        <v/>
      </c>
      <c r="G47">
        <f>IFERROR(IF(_xlfn.MAXIFS(Documents!$E$2:$E$1421,Documents!$A$2:$A$1421,$A47,Documents!$C$2:$C$1421,"map")=0,"",_xlfn.MAXIFS(Documents!$E$2:$E$1421,Documents!$A$2:$A$1421,$A47,Documents!$C$2:$C$1421,"map")),"")</f>
        <v/>
      </c>
      <c r="H47">
        <f>IFERROR(IF(_xlfn.MAXIFS(Documents!$E$2:$E$1421,Documents!$A$2:$A$1421,$A47,Documents!$C$2:$C$1421,"dive_map")=0,"",_xlfn.MAXIFS(Documents!$E$2:$E$1421,Documents!$A$2:$A$1421,$A47,Documents!$C$2:$C$1421,"dive_map")),"")</f>
        <v/>
      </c>
      <c r="I47">
        <f>IFERROR(IF(_xlfn.MAXIFS(Documents!$E$2:$E$1421,Documents!$A$2:$A$1421,$A47,Documents!$C$2:$C$1421,"spa_menu")=0,"",_xlfn.MAXIFS(Documents!$E$2:$E$1421,Documents!$A$2:$A$1421,$A47,Documents!$C$2:$C$1421,"spa_menu")),"")</f>
        <v/>
      </c>
      <c r="J47">
        <f>IFERROR(IF(_xlfn.MAXIFS(Documents!$E$2:$E$1421,Documents!$A$2:$A$1421,$A47,Documents!$C$2:$C$1421,"dining_menu")=0,"",_xlfn.MAXIFS(Documents!$E$2:$E$1421,Documents!$A$2:$A$1421,$A47,Documents!$C$2:$C$1421,"dining_menu")),"")</f>
        <v/>
      </c>
      <c r="K47">
        <f>IFERROR(IF(_xlfn.MAXIFS(Documents!$E$2:$E$1421,Documents!$A$2:$A$1421,$A47,Documents!$C$2:$C$1421,"dive_prices")=0,"",_xlfn.MAXIFS(Documents!$E$2:$E$1421,Documents!$A$2:$A$1421,$A47,Documents!$C$2:$C$1421,"dive_prices")),"")</f>
        <v/>
      </c>
      <c r="L47">
        <f>IFERROR(IF(_xlfn.MAXIFS(Documents!$E$2:$E$1421,Documents!$A$2:$A$1421,$A47,Documents!$C$2:$C$1421,"excursions")=0,"",_xlfn.MAXIFS(Documents!$E$2:$E$1421,Documents!$A$2:$A$1421,$A47,Documents!$C$2:$C$1421,"excursions")),"")</f>
        <v/>
      </c>
      <c r="M47">
        <f>IFERROR(IF(_xlfn.MAXIFS(Documents!$E$2:$E$1421,Documents!$A$2:$A$1421,$A47,Documents!$C$2:$C$1421,"kids")=0,"",_xlfn.MAXIFS(Documents!$E$2:$E$1421,Documents!$A$2:$A$1421,$A47,Documents!$C$2:$C$1421,"kids")),"")</f>
        <v/>
      </c>
      <c r="N47">
        <f>IFERROR(IF(_xlfn.MAXIFS(Documents!$E$2:$E$1421,Documents!$A$2:$A$1421,$A47,Documents!$C$2:$C$1421,"villa_plans")=0,"",_xlfn.MAXIFS(Documents!$E$2:$E$1421,Documents!$A$2:$A$1421,$A47,Documents!$C$2:$C$1421,"villa_plans")),"")</f>
        <v/>
      </c>
      <c r="O47">
        <f>IFERROR(IF(_xlfn.MAXIFS(Documents!$E$2:$E$1421,Documents!$A$2:$A$1421,$A47,Documents!$C$2:$C$1421,"all_inclusive")=0,"",_xlfn.MAXIFS(Documents!$E$2:$E$1421,Documents!$A$2:$A$1421,$A47,Documents!$C$2:$C$1421,"all_inclusive")),"")</f>
        <v/>
      </c>
      <c r="P47">
        <f>IFERROR(IF(_xlfn.MAXIFS(Documents!$E$2:$E$1421,Documents!$A$2:$A$1421,$A47,Documents!$C$2:$C$1421,"sustainability")=0,"",_xlfn.MAXIFS(Documents!$E$2:$E$1421,Documents!$A$2:$A$1421,$A47,Documents!$C$2:$C$1421,"sustainability")),"")</f>
        <v/>
      </c>
      <c r="Q47">
        <f>IFERROR(IF(_xlfn.MAXIFS(Documents!$E$2:$E$1421,Documents!$A$2:$A$1421,$A47,Documents!$C$2:$C$1421,"calendar")=0,"",_xlfn.MAXIFS(Documents!$E$2:$E$1421,Documents!$A$2:$A$1421,$A47,Documents!$C$2:$C$1421,"calendar")),"")</f>
        <v/>
      </c>
      <c r="R47">
        <f>IFERROR(IF(_xlfn.MAXIFS(Documents!$E$2:$E$1421,Documents!$A$2:$A$1421,$A47,Documents!$C$2:$C$1421,"brochure")=0,"",_xlfn.MAXIFS(Documents!$E$2:$E$1421,Documents!$A$2:$A$1421,$A47,Documents!$C$2:$C$1421,"brochure")),"")</f>
        <v/>
      </c>
      <c r="S47">
        <f>IFERROR(IF(_xlfn.MAXIFS(Documents!$E$2:$E$1421,Documents!$A$2:$A$1421,$A47,Documents!$C$2:$C$1421,"press_kit")=0,"",_xlfn.MAXIFS(Documents!$E$2:$E$1421,Documents!$A$2:$A$1421,$A47,Documents!$C$2:$C$1421,"press_kit")),"")</f>
        <v/>
      </c>
      <c r="T47">
        <f>IFERROR(IF(_xlfn.MAXIFS(Documents!$E$2:$E$1421,Documents!$A$2:$A$1421,$A47,Documents!$C$2:$C$1421,"other")=0,"",_xlfn.MAXIFS(Documents!$E$2:$E$1421,Documents!$A$2:$A$1421,$A47,Documents!$C$2:$C$1421,"other")),"")</f>
        <v/>
      </c>
      <c r="U47">
        <f>IFERROR(IF(_xlfn.MAXIFS(Documents!$E$2:$E$1421,Documents!$A$2:$A$1421,$A47,Documents!$C$2:$C$1421,"obsolete")=0,"",_xlfn.MAXIFS(Documents!$E$2:$E$1421,Documents!$A$2:$A$1421,$A47,Documents!$C$2:$C$1421,"obsolete")),"")</f>
        <v/>
      </c>
      <c r="V47">
        <f>COUNTIFS(Documents!$A$2:$A$1421,$A47)</f>
        <v/>
      </c>
      <c r="W47">
        <f>COUNTIFS(Documents!$A$2:$A$1421,$A47,Documents!$R$2:$R$1421,"current")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IFERROR(IF(_xlfn.MAXIFS(Documents!$E$2:$E$1421,Documents!$A$2:$A$1421,$A48,Documents!$C$2:$C$1421,"factsheet")=0,"",_xlfn.MAXIFS(Documents!$E$2:$E$1421,Documents!$A$2:$A$1421,$A48,Documents!$C$2:$C$1421,"factsheet")),"")</f>
        <v/>
      </c>
      <c r="E48">
        <f>IFERROR(IF(_xlfn.MAXIFS(Documents!$E$2:$E$1421,Documents!$A$2:$A$1421,$A48,Documents!$C$2:$C$1421,"wedding")=0,"",_xlfn.MAXIFS(Documents!$E$2:$E$1421,Documents!$A$2:$A$1421,$A48,Documents!$C$2:$C$1421,"wedding")),"")</f>
        <v/>
      </c>
      <c r="F48">
        <f>IFERROR(IF(_xlfn.MAXIFS(Documents!$E$2:$E$1421,Documents!$A$2:$A$1421,$A48,Documents!$C$2:$C$1421,"events")=0,"",_xlfn.MAXIFS(Documents!$E$2:$E$1421,Documents!$A$2:$A$1421,$A48,Documents!$C$2:$C$1421,"events")),"")</f>
        <v/>
      </c>
      <c r="G48">
        <f>IFERROR(IF(_xlfn.MAXIFS(Documents!$E$2:$E$1421,Documents!$A$2:$A$1421,$A48,Documents!$C$2:$C$1421,"map")=0,"",_xlfn.MAXIFS(Documents!$E$2:$E$1421,Documents!$A$2:$A$1421,$A48,Documents!$C$2:$C$1421,"map")),"")</f>
        <v/>
      </c>
      <c r="H48">
        <f>IFERROR(IF(_xlfn.MAXIFS(Documents!$E$2:$E$1421,Documents!$A$2:$A$1421,$A48,Documents!$C$2:$C$1421,"dive_map")=0,"",_xlfn.MAXIFS(Documents!$E$2:$E$1421,Documents!$A$2:$A$1421,$A48,Documents!$C$2:$C$1421,"dive_map")),"")</f>
        <v/>
      </c>
      <c r="I48">
        <f>IFERROR(IF(_xlfn.MAXIFS(Documents!$E$2:$E$1421,Documents!$A$2:$A$1421,$A48,Documents!$C$2:$C$1421,"spa_menu")=0,"",_xlfn.MAXIFS(Documents!$E$2:$E$1421,Documents!$A$2:$A$1421,$A48,Documents!$C$2:$C$1421,"spa_menu")),"")</f>
        <v/>
      </c>
      <c r="J48">
        <f>IFERROR(IF(_xlfn.MAXIFS(Documents!$E$2:$E$1421,Documents!$A$2:$A$1421,$A48,Documents!$C$2:$C$1421,"dining_menu")=0,"",_xlfn.MAXIFS(Documents!$E$2:$E$1421,Documents!$A$2:$A$1421,$A48,Documents!$C$2:$C$1421,"dining_menu")),"")</f>
        <v/>
      </c>
      <c r="K48">
        <f>IFERROR(IF(_xlfn.MAXIFS(Documents!$E$2:$E$1421,Documents!$A$2:$A$1421,$A48,Documents!$C$2:$C$1421,"dive_prices")=0,"",_xlfn.MAXIFS(Documents!$E$2:$E$1421,Documents!$A$2:$A$1421,$A48,Documents!$C$2:$C$1421,"dive_prices")),"")</f>
        <v/>
      </c>
      <c r="L48">
        <f>IFERROR(IF(_xlfn.MAXIFS(Documents!$E$2:$E$1421,Documents!$A$2:$A$1421,$A48,Documents!$C$2:$C$1421,"excursions")=0,"",_xlfn.MAXIFS(Documents!$E$2:$E$1421,Documents!$A$2:$A$1421,$A48,Documents!$C$2:$C$1421,"excursions")),"")</f>
        <v/>
      </c>
      <c r="M48">
        <f>IFERROR(IF(_xlfn.MAXIFS(Documents!$E$2:$E$1421,Documents!$A$2:$A$1421,$A48,Documents!$C$2:$C$1421,"kids")=0,"",_xlfn.MAXIFS(Documents!$E$2:$E$1421,Documents!$A$2:$A$1421,$A48,Documents!$C$2:$C$1421,"kids")),"")</f>
        <v/>
      </c>
      <c r="N48">
        <f>IFERROR(IF(_xlfn.MAXIFS(Documents!$E$2:$E$1421,Documents!$A$2:$A$1421,$A48,Documents!$C$2:$C$1421,"villa_plans")=0,"",_xlfn.MAXIFS(Documents!$E$2:$E$1421,Documents!$A$2:$A$1421,$A48,Documents!$C$2:$C$1421,"villa_plans")),"")</f>
        <v/>
      </c>
      <c r="O48">
        <f>IFERROR(IF(_xlfn.MAXIFS(Documents!$E$2:$E$1421,Documents!$A$2:$A$1421,$A48,Documents!$C$2:$C$1421,"all_inclusive")=0,"",_xlfn.MAXIFS(Documents!$E$2:$E$1421,Documents!$A$2:$A$1421,$A48,Documents!$C$2:$C$1421,"all_inclusive")),"")</f>
        <v/>
      </c>
      <c r="P48">
        <f>IFERROR(IF(_xlfn.MAXIFS(Documents!$E$2:$E$1421,Documents!$A$2:$A$1421,$A48,Documents!$C$2:$C$1421,"sustainability")=0,"",_xlfn.MAXIFS(Documents!$E$2:$E$1421,Documents!$A$2:$A$1421,$A48,Documents!$C$2:$C$1421,"sustainability")),"")</f>
        <v/>
      </c>
      <c r="Q48">
        <f>IFERROR(IF(_xlfn.MAXIFS(Documents!$E$2:$E$1421,Documents!$A$2:$A$1421,$A48,Documents!$C$2:$C$1421,"calendar")=0,"",_xlfn.MAXIFS(Documents!$E$2:$E$1421,Documents!$A$2:$A$1421,$A48,Documents!$C$2:$C$1421,"calendar")),"")</f>
        <v/>
      </c>
      <c r="R48">
        <f>IFERROR(IF(_xlfn.MAXIFS(Documents!$E$2:$E$1421,Documents!$A$2:$A$1421,$A48,Documents!$C$2:$C$1421,"brochure")=0,"",_xlfn.MAXIFS(Documents!$E$2:$E$1421,Documents!$A$2:$A$1421,$A48,Documents!$C$2:$C$1421,"brochure")),"")</f>
        <v/>
      </c>
      <c r="S48">
        <f>IFERROR(IF(_xlfn.MAXIFS(Documents!$E$2:$E$1421,Documents!$A$2:$A$1421,$A48,Documents!$C$2:$C$1421,"press_kit")=0,"",_xlfn.MAXIFS(Documents!$E$2:$E$1421,Documents!$A$2:$A$1421,$A48,Documents!$C$2:$C$1421,"press_kit")),"")</f>
        <v/>
      </c>
      <c r="T48">
        <f>IFERROR(IF(_xlfn.MAXIFS(Documents!$E$2:$E$1421,Documents!$A$2:$A$1421,$A48,Documents!$C$2:$C$1421,"other")=0,"",_xlfn.MAXIFS(Documents!$E$2:$E$1421,Documents!$A$2:$A$1421,$A48,Documents!$C$2:$C$1421,"other")),"")</f>
        <v/>
      </c>
      <c r="U48">
        <f>IFERROR(IF(_xlfn.MAXIFS(Documents!$E$2:$E$1421,Documents!$A$2:$A$1421,$A48,Documents!$C$2:$C$1421,"obsolete")=0,"",_xlfn.MAXIFS(Documents!$E$2:$E$1421,Documents!$A$2:$A$1421,$A48,Documents!$C$2:$C$1421,"obsolete")),"")</f>
        <v/>
      </c>
      <c r="V48">
        <f>COUNTIFS(Documents!$A$2:$A$1421,$A48)</f>
        <v/>
      </c>
      <c r="W48">
        <f>COUNTIFS(Documents!$A$2:$A$1421,$A48,Documents!$R$2:$R$1421,"current")</f>
        <v/>
      </c>
      <c r="X48" t="inlineStr"/>
      <c r="Y48" t="inlineStr">
        <is>
          <t>factsheet, wedding, events</t>
        </is>
      </c>
      <c r="Z48" t="inlineStr"/>
    </row>
    <row r="49">
      <c r="A49" t="n">
        <v>48</v>
      </c>
      <c r="B49" t="inlineStr">
        <is>
          <t>Dusit Thani Maldives</t>
        </is>
      </c>
      <c r="C49" t="inlineStr">
        <is>
          <t>unverified</t>
        </is>
      </c>
      <c r="D49">
        <f>IFERROR(IF(_xlfn.MAXIFS(Documents!$E$2:$E$1421,Documents!$A$2:$A$1421,$A49,Documents!$C$2:$C$1421,"factsheet")=0,"",_xlfn.MAXIFS(Documents!$E$2:$E$1421,Documents!$A$2:$A$1421,$A49,Documents!$C$2:$C$1421,"factsheet")),"")</f>
        <v/>
      </c>
      <c r="E49">
        <f>IFERROR(IF(_xlfn.MAXIFS(Documents!$E$2:$E$1421,Documents!$A$2:$A$1421,$A49,Documents!$C$2:$C$1421,"wedding")=0,"",_xlfn.MAXIFS(Documents!$E$2:$E$1421,Documents!$A$2:$A$1421,$A49,Documents!$C$2:$C$1421,"wedding")),"")</f>
        <v/>
      </c>
      <c r="F49">
        <f>IFERROR(IF(_xlfn.MAXIFS(Documents!$E$2:$E$1421,Documents!$A$2:$A$1421,$A49,Documents!$C$2:$C$1421,"events")=0,"",_xlfn.MAXIFS(Documents!$E$2:$E$1421,Documents!$A$2:$A$1421,$A49,Documents!$C$2:$C$1421,"events")),"")</f>
        <v/>
      </c>
      <c r="G49">
        <f>IFERROR(IF(_xlfn.MAXIFS(Documents!$E$2:$E$1421,Documents!$A$2:$A$1421,$A49,Documents!$C$2:$C$1421,"map")=0,"",_xlfn.MAXIFS(Documents!$E$2:$E$1421,Documents!$A$2:$A$1421,$A49,Documents!$C$2:$C$1421,"map")),"")</f>
        <v/>
      </c>
      <c r="H49">
        <f>IFERROR(IF(_xlfn.MAXIFS(Documents!$E$2:$E$1421,Documents!$A$2:$A$1421,$A49,Documents!$C$2:$C$1421,"dive_map")=0,"",_xlfn.MAXIFS(Documents!$E$2:$E$1421,Documents!$A$2:$A$1421,$A49,Documents!$C$2:$C$1421,"dive_map")),"")</f>
        <v/>
      </c>
      <c r="I49">
        <f>IFERROR(IF(_xlfn.MAXIFS(Documents!$E$2:$E$1421,Documents!$A$2:$A$1421,$A49,Documents!$C$2:$C$1421,"spa_menu")=0,"",_xlfn.MAXIFS(Documents!$E$2:$E$1421,Documents!$A$2:$A$1421,$A49,Documents!$C$2:$C$1421,"spa_menu")),"")</f>
        <v/>
      </c>
      <c r="J49">
        <f>IFERROR(IF(_xlfn.MAXIFS(Documents!$E$2:$E$1421,Documents!$A$2:$A$1421,$A49,Documents!$C$2:$C$1421,"dining_menu")=0,"",_xlfn.MAXIFS(Documents!$E$2:$E$1421,Documents!$A$2:$A$1421,$A49,Documents!$C$2:$C$1421,"dining_menu")),"")</f>
        <v/>
      </c>
      <c r="K49">
        <f>IFERROR(IF(_xlfn.MAXIFS(Documents!$E$2:$E$1421,Documents!$A$2:$A$1421,$A49,Documents!$C$2:$C$1421,"dive_prices")=0,"",_xlfn.MAXIFS(Documents!$E$2:$E$1421,Documents!$A$2:$A$1421,$A49,Documents!$C$2:$C$1421,"dive_prices")),"")</f>
        <v/>
      </c>
      <c r="L49">
        <f>IFERROR(IF(_xlfn.MAXIFS(Documents!$E$2:$E$1421,Documents!$A$2:$A$1421,$A49,Documents!$C$2:$C$1421,"excursions")=0,"",_xlfn.MAXIFS(Documents!$E$2:$E$1421,Documents!$A$2:$A$1421,$A49,Documents!$C$2:$C$1421,"excursions")),"")</f>
        <v/>
      </c>
      <c r="M49">
        <f>IFERROR(IF(_xlfn.MAXIFS(Documents!$E$2:$E$1421,Documents!$A$2:$A$1421,$A49,Documents!$C$2:$C$1421,"kids")=0,"",_xlfn.MAXIFS(Documents!$E$2:$E$1421,Documents!$A$2:$A$1421,$A49,Documents!$C$2:$C$1421,"kids")),"")</f>
        <v/>
      </c>
      <c r="N49">
        <f>IFERROR(IF(_xlfn.MAXIFS(Documents!$E$2:$E$1421,Documents!$A$2:$A$1421,$A49,Documents!$C$2:$C$1421,"villa_plans")=0,"",_xlfn.MAXIFS(Documents!$E$2:$E$1421,Documents!$A$2:$A$1421,$A49,Documents!$C$2:$C$1421,"villa_plans")),"")</f>
        <v/>
      </c>
      <c r="O49">
        <f>IFERROR(IF(_xlfn.MAXIFS(Documents!$E$2:$E$1421,Documents!$A$2:$A$1421,$A49,Documents!$C$2:$C$1421,"all_inclusive")=0,"",_xlfn.MAXIFS(Documents!$E$2:$E$1421,Documents!$A$2:$A$1421,$A49,Documents!$C$2:$C$1421,"all_inclusive")),"")</f>
        <v/>
      </c>
      <c r="P49">
        <f>IFERROR(IF(_xlfn.MAXIFS(Documents!$E$2:$E$1421,Documents!$A$2:$A$1421,$A49,Documents!$C$2:$C$1421,"sustainability")=0,"",_xlfn.MAXIFS(Documents!$E$2:$E$1421,Documents!$A$2:$A$1421,$A49,Documents!$C$2:$C$1421,"sustainability")),"")</f>
        <v/>
      </c>
      <c r="Q49">
        <f>IFERROR(IF(_xlfn.MAXIFS(Documents!$E$2:$E$1421,Documents!$A$2:$A$1421,$A49,Documents!$C$2:$C$1421,"calendar")=0,"",_xlfn.MAXIFS(Documents!$E$2:$E$1421,Documents!$A$2:$A$1421,$A49,Documents!$C$2:$C$1421,"calendar")),"")</f>
        <v/>
      </c>
      <c r="R49">
        <f>IFERROR(IF(_xlfn.MAXIFS(Documents!$E$2:$E$1421,Documents!$A$2:$A$1421,$A49,Documents!$C$2:$C$1421,"brochure")=0,"",_xlfn.MAXIFS(Documents!$E$2:$E$1421,Documents!$A$2:$A$1421,$A49,Documents!$C$2:$C$1421,"brochure")),"")</f>
        <v/>
      </c>
      <c r="S49">
        <f>IFERROR(IF(_xlfn.MAXIFS(Documents!$E$2:$E$1421,Documents!$A$2:$A$1421,$A49,Documents!$C$2:$C$1421,"press_kit")=0,"",_xlfn.MAXIFS(Documents!$E$2:$E$1421,Documents!$A$2:$A$1421,$A49,Documents!$C$2:$C$1421,"press_kit")),"")</f>
        <v/>
      </c>
      <c r="T49">
        <f>IFERROR(IF(_xlfn.MAXIFS(Documents!$E$2:$E$1421,Documents!$A$2:$A$1421,$A49,Documents!$C$2:$C$1421,"other")=0,"",_xlfn.MAXIFS(Documents!$E$2:$E$1421,Documents!$A$2:$A$1421,$A49,Documents!$C$2:$C$1421,"other")),"")</f>
        <v/>
      </c>
      <c r="U49">
        <f>IFERROR(IF(_xlfn.MAXIFS(Documents!$E$2:$E$1421,Documents!$A$2:$A$1421,$A49,Documents!$C$2:$C$1421,"obsolete")=0,"",_xlfn.MAXIFS(Documents!$E$2:$E$1421,Documents!$A$2:$A$1421,$A49,Documents!$C$2:$C$1421,"obsolete")),"")</f>
        <v/>
      </c>
      <c r="V49">
        <f>COUNTIFS(Documents!$A$2:$A$1421,$A49)</f>
        <v/>
      </c>
      <c r="W49">
        <f>COUNTIFS(Documents!$A$2:$A$1421,$A49,Documents!$R$2:$R$1421,"current")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IFERROR(IF(_xlfn.MAXIFS(Documents!$E$2:$E$1421,Documents!$A$2:$A$1421,$A50,Documents!$C$2:$C$1421,"factsheet")=0,"",_xlfn.MAXIFS(Documents!$E$2:$E$1421,Documents!$A$2:$A$1421,$A50,Documents!$C$2:$C$1421,"factsheet")),"")</f>
        <v/>
      </c>
      <c r="E50">
        <f>IFERROR(IF(_xlfn.MAXIFS(Documents!$E$2:$E$1421,Documents!$A$2:$A$1421,$A50,Documents!$C$2:$C$1421,"wedding")=0,"",_xlfn.MAXIFS(Documents!$E$2:$E$1421,Documents!$A$2:$A$1421,$A50,Documents!$C$2:$C$1421,"wedding")),"")</f>
        <v/>
      </c>
      <c r="F50">
        <f>IFERROR(IF(_xlfn.MAXIFS(Documents!$E$2:$E$1421,Documents!$A$2:$A$1421,$A50,Documents!$C$2:$C$1421,"events")=0,"",_xlfn.MAXIFS(Documents!$E$2:$E$1421,Documents!$A$2:$A$1421,$A50,Documents!$C$2:$C$1421,"events")),"")</f>
        <v/>
      </c>
      <c r="G50">
        <f>IFERROR(IF(_xlfn.MAXIFS(Documents!$E$2:$E$1421,Documents!$A$2:$A$1421,$A50,Documents!$C$2:$C$1421,"map")=0,"",_xlfn.MAXIFS(Documents!$E$2:$E$1421,Documents!$A$2:$A$1421,$A50,Documents!$C$2:$C$1421,"map")),"")</f>
        <v/>
      </c>
      <c r="H50">
        <f>IFERROR(IF(_xlfn.MAXIFS(Documents!$E$2:$E$1421,Documents!$A$2:$A$1421,$A50,Documents!$C$2:$C$1421,"dive_map")=0,"",_xlfn.MAXIFS(Documents!$E$2:$E$1421,Documents!$A$2:$A$1421,$A50,Documents!$C$2:$C$1421,"dive_map")),"")</f>
        <v/>
      </c>
      <c r="I50">
        <f>IFERROR(IF(_xlfn.MAXIFS(Documents!$E$2:$E$1421,Documents!$A$2:$A$1421,$A50,Documents!$C$2:$C$1421,"spa_menu")=0,"",_xlfn.MAXIFS(Documents!$E$2:$E$1421,Documents!$A$2:$A$1421,$A50,Documents!$C$2:$C$1421,"spa_menu")),"")</f>
        <v/>
      </c>
      <c r="J50">
        <f>IFERROR(IF(_xlfn.MAXIFS(Documents!$E$2:$E$1421,Documents!$A$2:$A$1421,$A50,Documents!$C$2:$C$1421,"dining_menu")=0,"",_xlfn.MAXIFS(Documents!$E$2:$E$1421,Documents!$A$2:$A$1421,$A50,Documents!$C$2:$C$1421,"dining_menu")),"")</f>
        <v/>
      </c>
      <c r="K50">
        <f>IFERROR(IF(_xlfn.MAXIFS(Documents!$E$2:$E$1421,Documents!$A$2:$A$1421,$A50,Documents!$C$2:$C$1421,"dive_prices")=0,"",_xlfn.MAXIFS(Documents!$E$2:$E$1421,Documents!$A$2:$A$1421,$A50,Documents!$C$2:$C$1421,"dive_prices")),"")</f>
        <v/>
      </c>
      <c r="L50">
        <f>IFERROR(IF(_xlfn.MAXIFS(Documents!$E$2:$E$1421,Documents!$A$2:$A$1421,$A50,Documents!$C$2:$C$1421,"excursions")=0,"",_xlfn.MAXIFS(Documents!$E$2:$E$1421,Documents!$A$2:$A$1421,$A50,Documents!$C$2:$C$1421,"excursions")),"")</f>
        <v/>
      </c>
      <c r="M50">
        <f>IFERROR(IF(_xlfn.MAXIFS(Documents!$E$2:$E$1421,Documents!$A$2:$A$1421,$A50,Documents!$C$2:$C$1421,"kids")=0,"",_xlfn.MAXIFS(Documents!$E$2:$E$1421,Documents!$A$2:$A$1421,$A50,Documents!$C$2:$C$1421,"kids")),"")</f>
        <v/>
      </c>
      <c r="N50">
        <f>IFERROR(IF(_xlfn.MAXIFS(Documents!$E$2:$E$1421,Documents!$A$2:$A$1421,$A50,Documents!$C$2:$C$1421,"villa_plans")=0,"",_xlfn.MAXIFS(Documents!$E$2:$E$1421,Documents!$A$2:$A$1421,$A50,Documents!$C$2:$C$1421,"villa_plans")),"")</f>
        <v/>
      </c>
      <c r="O50">
        <f>IFERROR(IF(_xlfn.MAXIFS(Documents!$E$2:$E$1421,Documents!$A$2:$A$1421,$A50,Documents!$C$2:$C$1421,"all_inclusive")=0,"",_xlfn.MAXIFS(Documents!$E$2:$E$1421,Documents!$A$2:$A$1421,$A50,Documents!$C$2:$C$1421,"all_inclusive")),"")</f>
        <v/>
      </c>
      <c r="P50">
        <f>IFERROR(IF(_xlfn.MAXIFS(Documents!$E$2:$E$1421,Documents!$A$2:$A$1421,$A50,Documents!$C$2:$C$1421,"sustainability")=0,"",_xlfn.MAXIFS(Documents!$E$2:$E$1421,Documents!$A$2:$A$1421,$A50,Documents!$C$2:$C$1421,"sustainability")),"")</f>
        <v/>
      </c>
      <c r="Q50">
        <f>IFERROR(IF(_xlfn.MAXIFS(Documents!$E$2:$E$1421,Documents!$A$2:$A$1421,$A50,Documents!$C$2:$C$1421,"calendar")=0,"",_xlfn.MAXIFS(Documents!$E$2:$E$1421,Documents!$A$2:$A$1421,$A50,Documents!$C$2:$C$1421,"calendar")),"")</f>
        <v/>
      </c>
      <c r="R50">
        <f>IFERROR(IF(_xlfn.MAXIFS(Documents!$E$2:$E$1421,Documents!$A$2:$A$1421,$A50,Documents!$C$2:$C$1421,"brochure")=0,"",_xlfn.MAXIFS(Documents!$E$2:$E$1421,Documents!$A$2:$A$1421,$A50,Documents!$C$2:$C$1421,"brochure")),"")</f>
        <v/>
      </c>
      <c r="S50">
        <f>IFERROR(IF(_xlfn.MAXIFS(Documents!$E$2:$E$1421,Documents!$A$2:$A$1421,$A50,Documents!$C$2:$C$1421,"press_kit")=0,"",_xlfn.MAXIFS(Documents!$E$2:$E$1421,Documents!$A$2:$A$1421,$A50,Documents!$C$2:$C$1421,"press_kit")),"")</f>
        <v/>
      </c>
      <c r="T50">
        <f>IFERROR(IF(_xlfn.MAXIFS(Documents!$E$2:$E$1421,Documents!$A$2:$A$1421,$A50,Documents!$C$2:$C$1421,"other")=0,"",_xlfn.MAXIFS(Documents!$E$2:$E$1421,Documents!$A$2:$A$1421,$A50,Documents!$C$2:$C$1421,"other")),"")</f>
        <v/>
      </c>
      <c r="U50">
        <f>IFERROR(IF(_xlfn.MAXIFS(Documents!$E$2:$E$1421,Documents!$A$2:$A$1421,$A50,Documents!$C$2:$C$1421,"obsolete")=0,"",_xlfn.MAXIFS(Documents!$E$2:$E$1421,Documents!$A$2:$A$1421,$A50,Documents!$C$2:$C$1421,"obsolete")),"")</f>
        <v/>
      </c>
      <c r="V50">
        <f>COUNTIFS(Documents!$A$2:$A$1421,$A50)</f>
        <v/>
      </c>
      <c r="W50">
        <f>COUNTIFS(Documents!$A$2:$A$1421,$A50,Documents!$R$2:$R$1421,"current")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IFERROR(IF(_xlfn.MAXIFS(Documents!$E$2:$E$1421,Documents!$A$2:$A$1421,$A51,Documents!$C$2:$C$1421,"factsheet")=0,"",_xlfn.MAXIFS(Documents!$E$2:$E$1421,Documents!$A$2:$A$1421,$A51,Documents!$C$2:$C$1421,"factsheet")),"")</f>
        <v/>
      </c>
      <c r="E51">
        <f>IFERROR(IF(_xlfn.MAXIFS(Documents!$E$2:$E$1421,Documents!$A$2:$A$1421,$A51,Documents!$C$2:$C$1421,"wedding")=0,"",_xlfn.MAXIFS(Documents!$E$2:$E$1421,Documents!$A$2:$A$1421,$A51,Documents!$C$2:$C$1421,"wedding")),"")</f>
        <v/>
      </c>
      <c r="F51">
        <f>IFERROR(IF(_xlfn.MAXIFS(Documents!$E$2:$E$1421,Documents!$A$2:$A$1421,$A51,Documents!$C$2:$C$1421,"events")=0,"",_xlfn.MAXIFS(Documents!$E$2:$E$1421,Documents!$A$2:$A$1421,$A51,Documents!$C$2:$C$1421,"events")),"")</f>
        <v/>
      </c>
      <c r="G51">
        <f>IFERROR(IF(_xlfn.MAXIFS(Documents!$E$2:$E$1421,Documents!$A$2:$A$1421,$A51,Documents!$C$2:$C$1421,"map")=0,"",_xlfn.MAXIFS(Documents!$E$2:$E$1421,Documents!$A$2:$A$1421,$A51,Documents!$C$2:$C$1421,"map")),"")</f>
        <v/>
      </c>
      <c r="H51">
        <f>IFERROR(IF(_xlfn.MAXIFS(Documents!$E$2:$E$1421,Documents!$A$2:$A$1421,$A51,Documents!$C$2:$C$1421,"dive_map")=0,"",_xlfn.MAXIFS(Documents!$E$2:$E$1421,Documents!$A$2:$A$1421,$A51,Documents!$C$2:$C$1421,"dive_map")),"")</f>
        <v/>
      </c>
      <c r="I51">
        <f>IFERROR(IF(_xlfn.MAXIFS(Documents!$E$2:$E$1421,Documents!$A$2:$A$1421,$A51,Documents!$C$2:$C$1421,"spa_menu")=0,"",_xlfn.MAXIFS(Documents!$E$2:$E$1421,Documents!$A$2:$A$1421,$A51,Documents!$C$2:$C$1421,"spa_menu")),"")</f>
        <v/>
      </c>
      <c r="J51">
        <f>IFERROR(IF(_xlfn.MAXIFS(Documents!$E$2:$E$1421,Documents!$A$2:$A$1421,$A51,Documents!$C$2:$C$1421,"dining_menu")=0,"",_xlfn.MAXIFS(Documents!$E$2:$E$1421,Documents!$A$2:$A$1421,$A51,Documents!$C$2:$C$1421,"dining_menu")),"")</f>
        <v/>
      </c>
      <c r="K51">
        <f>IFERROR(IF(_xlfn.MAXIFS(Documents!$E$2:$E$1421,Documents!$A$2:$A$1421,$A51,Documents!$C$2:$C$1421,"dive_prices")=0,"",_xlfn.MAXIFS(Documents!$E$2:$E$1421,Documents!$A$2:$A$1421,$A51,Documents!$C$2:$C$1421,"dive_prices")),"")</f>
        <v/>
      </c>
      <c r="L51">
        <f>IFERROR(IF(_xlfn.MAXIFS(Documents!$E$2:$E$1421,Documents!$A$2:$A$1421,$A51,Documents!$C$2:$C$1421,"excursions")=0,"",_xlfn.MAXIFS(Documents!$E$2:$E$1421,Documents!$A$2:$A$1421,$A51,Documents!$C$2:$C$1421,"excursions")),"")</f>
        <v/>
      </c>
      <c r="M51">
        <f>IFERROR(IF(_xlfn.MAXIFS(Documents!$E$2:$E$1421,Documents!$A$2:$A$1421,$A51,Documents!$C$2:$C$1421,"kids")=0,"",_xlfn.MAXIFS(Documents!$E$2:$E$1421,Documents!$A$2:$A$1421,$A51,Documents!$C$2:$C$1421,"kids")),"")</f>
        <v/>
      </c>
      <c r="N51">
        <f>IFERROR(IF(_xlfn.MAXIFS(Documents!$E$2:$E$1421,Documents!$A$2:$A$1421,$A51,Documents!$C$2:$C$1421,"villa_plans")=0,"",_xlfn.MAXIFS(Documents!$E$2:$E$1421,Documents!$A$2:$A$1421,$A51,Documents!$C$2:$C$1421,"villa_plans")),"")</f>
        <v/>
      </c>
      <c r="O51">
        <f>IFERROR(IF(_xlfn.MAXIFS(Documents!$E$2:$E$1421,Documents!$A$2:$A$1421,$A51,Documents!$C$2:$C$1421,"all_inclusive")=0,"",_xlfn.MAXIFS(Documents!$E$2:$E$1421,Documents!$A$2:$A$1421,$A51,Documents!$C$2:$C$1421,"all_inclusive")),"")</f>
        <v/>
      </c>
      <c r="P51">
        <f>IFERROR(IF(_xlfn.MAXIFS(Documents!$E$2:$E$1421,Documents!$A$2:$A$1421,$A51,Documents!$C$2:$C$1421,"sustainability")=0,"",_xlfn.MAXIFS(Documents!$E$2:$E$1421,Documents!$A$2:$A$1421,$A51,Documents!$C$2:$C$1421,"sustainability")),"")</f>
        <v/>
      </c>
      <c r="Q51">
        <f>IFERROR(IF(_xlfn.MAXIFS(Documents!$E$2:$E$1421,Documents!$A$2:$A$1421,$A51,Documents!$C$2:$C$1421,"calendar")=0,"",_xlfn.MAXIFS(Documents!$E$2:$E$1421,Documents!$A$2:$A$1421,$A51,Documents!$C$2:$C$1421,"calendar")),"")</f>
        <v/>
      </c>
      <c r="R51">
        <f>IFERROR(IF(_xlfn.MAXIFS(Documents!$E$2:$E$1421,Documents!$A$2:$A$1421,$A51,Documents!$C$2:$C$1421,"brochure")=0,"",_xlfn.MAXIFS(Documents!$E$2:$E$1421,Documents!$A$2:$A$1421,$A51,Documents!$C$2:$C$1421,"brochure")),"")</f>
        <v/>
      </c>
      <c r="S51">
        <f>IFERROR(IF(_xlfn.MAXIFS(Documents!$E$2:$E$1421,Documents!$A$2:$A$1421,$A51,Documents!$C$2:$C$1421,"press_kit")=0,"",_xlfn.MAXIFS(Documents!$E$2:$E$1421,Documents!$A$2:$A$1421,$A51,Documents!$C$2:$C$1421,"press_kit")),"")</f>
        <v/>
      </c>
      <c r="T51">
        <f>IFERROR(IF(_xlfn.MAXIFS(Documents!$E$2:$E$1421,Documents!$A$2:$A$1421,$A51,Documents!$C$2:$C$1421,"other")=0,"",_xlfn.MAXIFS(Documents!$E$2:$E$1421,Documents!$A$2:$A$1421,$A51,Documents!$C$2:$C$1421,"other")),"")</f>
        <v/>
      </c>
      <c r="U51">
        <f>IFERROR(IF(_xlfn.MAXIFS(Documents!$E$2:$E$1421,Documents!$A$2:$A$1421,$A51,Documents!$C$2:$C$1421,"obsolete")=0,"",_xlfn.MAXIFS(Documents!$E$2:$E$1421,Documents!$A$2:$A$1421,$A51,Documents!$C$2:$C$1421,"obsolete")),"")</f>
        <v/>
      </c>
      <c r="V51">
        <f>COUNTIFS(Documents!$A$2:$A$1421,$A51)</f>
        <v/>
      </c>
      <c r="W51">
        <f>COUNTIFS(Documents!$A$2:$A$1421,$A51,Documents!$R$2:$R$1421,"current")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IFERROR(IF(_xlfn.MAXIFS(Documents!$E$2:$E$1421,Documents!$A$2:$A$1421,$A52,Documents!$C$2:$C$1421,"factsheet")=0,"",_xlfn.MAXIFS(Documents!$E$2:$E$1421,Documents!$A$2:$A$1421,$A52,Documents!$C$2:$C$1421,"factsheet")),"")</f>
        <v/>
      </c>
      <c r="E52">
        <f>IFERROR(IF(_xlfn.MAXIFS(Documents!$E$2:$E$1421,Documents!$A$2:$A$1421,$A52,Documents!$C$2:$C$1421,"wedding")=0,"",_xlfn.MAXIFS(Documents!$E$2:$E$1421,Documents!$A$2:$A$1421,$A52,Documents!$C$2:$C$1421,"wedding")),"")</f>
        <v/>
      </c>
      <c r="F52">
        <f>IFERROR(IF(_xlfn.MAXIFS(Documents!$E$2:$E$1421,Documents!$A$2:$A$1421,$A52,Documents!$C$2:$C$1421,"events")=0,"",_xlfn.MAXIFS(Documents!$E$2:$E$1421,Documents!$A$2:$A$1421,$A52,Documents!$C$2:$C$1421,"events")),"")</f>
        <v/>
      </c>
      <c r="G52">
        <f>IFERROR(IF(_xlfn.MAXIFS(Documents!$E$2:$E$1421,Documents!$A$2:$A$1421,$A52,Documents!$C$2:$C$1421,"map")=0,"",_xlfn.MAXIFS(Documents!$E$2:$E$1421,Documents!$A$2:$A$1421,$A52,Documents!$C$2:$C$1421,"map")),"")</f>
        <v/>
      </c>
      <c r="H52">
        <f>IFERROR(IF(_xlfn.MAXIFS(Documents!$E$2:$E$1421,Documents!$A$2:$A$1421,$A52,Documents!$C$2:$C$1421,"dive_map")=0,"",_xlfn.MAXIFS(Documents!$E$2:$E$1421,Documents!$A$2:$A$1421,$A52,Documents!$C$2:$C$1421,"dive_map")),"")</f>
        <v/>
      </c>
      <c r="I52">
        <f>IFERROR(IF(_xlfn.MAXIFS(Documents!$E$2:$E$1421,Documents!$A$2:$A$1421,$A52,Documents!$C$2:$C$1421,"spa_menu")=0,"",_xlfn.MAXIFS(Documents!$E$2:$E$1421,Documents!$A$2:$A$1421,$A52,Documents!$C$2:$C$1421,"spa_menu")),"")</f>
        <v/>
      </c>
      <c r="J52">
        <f>IFERROR(IF(_xlfn.MAXIFS(Documents!$E$2:$E$1421,Documents!$A$2:$A$1421,$A52,Documents!$C$2:$C$1421,"dining_menu")=0,"",_xlfn.MAXIFS(Documents!$E$2:$E$1421,Documents!$A$2:$A$1421,$A52,Documents!$C$2:$C$1421,"dining_menu")),"")</f>
        <v/>
      </c>
      <c r="K52">
        <f>IFERROR(IF(_xlfn.MAXIFS(Documents!$E$2:$E$1421,Documents!$A$2:$A$1421,$A52,Documents!$C$2:$C$1421,"dive_prices")=0,"",_xlfn.MAXIFS(Documents!$E$2:$E$1421,Documents!$A$2:$A$1421,$A52,Documents!$C$2:$C$1421,"dive_prices")),"")</f>
        <v/>
      </c>
      <c r="L52">
        <f>IFERROR(IF(_xlfn.MAXIFS(Documents!$E$2:$E$1421,Documents!$A$2:$A$1421,$A52,Documents!$C$2:$C$1421,"excursions")=0,"",_xlfn.MAXIFS(Documents!$E$2:$E$1421,Documents!$A$2:$A$1421,$A52,Documents!$C$2:$C$1421,"excursions")),"")</f>
        <v/>
      </c>
      <c r="M52">
        <f>IFERROR(IF(_xlfn.MAXIFS(Documents!$E$2:$E$1421,Documents!$A$2:$A$1421,$A52,Documents!$C$2:$C$1421,"kids")=0,"",_xlfn.MAXIFS(Documents!$E$2:$E$1421,Documents!$A$2:$A$1421,$A52,Documents!$C$2:$C$1421,"kids")),"")</f>
        <v/>
      </c>
      <c r="N52">
        <f>IFERROR(IF(_xlfn.MAXIFS(Documents!$E$2:$E$1421,Documents!$A$2:$A$1421,$A52,Documents!$C$2:$C$1421,"villa_plans")=0,"",_xlfn.MAXIFS(Documents!$E$2:$E$1421,Documents!$A$2:$A$1421,$A52,Documents!$C$2:$C$1421,"villa_plans")),"")</f>
        <v/>
      </c>
      <c r="O52">
        <f>IFERROR(IF(_xlfn.MAXIFS(Documents!$E$2:$E$1421,Documents!$A$2:$A$1421,$A52,Documents!$C$2:$C$1421,"all_inclusive")=0,"",_xlfn.MAXIFS(Documents!$E$2:$E$1421,Documents!$A$2:$A$1421,$A52,Documents!$C$2:$C$1421,"all_inclusive")),"")</f>
        <v/>
      </c>
      <c r="P52">
        <f>IFERROR(IF(_xlfn.MAXIFS(Documents!$E$2:$E$1421,Documents!$A$2:$A$1421,$A52,Documents!$C$2:$C$1421,"sustainability")=0,"",_xlfn.MAXIFS(Documents!$E$2:$E$1421,Documents!$A$2:$A$1421,$A52,Documents!$C$2:$C$1421,"sustainability")),"")</f>
        <v/>
      </c>
      <c r="Q52">
        <f>IFERROR(IF(_xlfn.MAXIFS(Documents!$E$2:$E$1421,Documents!$A$2:$A$1421,$A52,Documents!$C$2:$C$1421,"calendar")=0,"",_xlfn.MAXIFS(Documents!$E$2:$E$1421,Documents!$A$2:$A$1421,$A52,Documents!$C$2:$C$1421,"calendar")),"")</f>
        <v/>
      </c>
      <c r="R52">
        <f>IFERROR(IF(_xlfn.MAXIFS(Documents!$E$2:$E$1421,Documents!$A$2:$A$1421,$A52,Documents!$C$2:$C$1421,"brochure")=0,"",_xlfn.MAXIFS(Documents!$E$2:$E$1421,Documents!$A$2:$A$1421,$A52,Documents!$C$2:$C$1421,"brochure")),"")</f>
        <v/>
      </c>
      <c r="S52">
        <f>IFERROR(IF(_xlfn.MAXIFS(Documents!$E$2:$E$1421,Documents!$A$2:$A$1421,$A52,Documents!$C$2:$C$1421,"press_kit")=0,"",_xlfn.MAXIFS(Documents!$E$2:$E$1421,Documents!$A$2:$A$1421,$A52,Documents!$C$2:$C$1421,"press_kit")),"")</f>
        <v/>
      </c>
      <c r="T52">
        <f>IFERROR(IF(_xlfn.MAXIFS(Documents!$E$2:$E$1421,Documents!$A$2:$A$1421,$A52,Documents!$C$2:$C$1421,"other")=0,"",_xlfn.MAXIFS(Documents!$E$2:$E$1421,Documents!$A$2:$A$1421,$A52,Documents!$C$2:$C$1421,"other")),"")</f>
        <v/>
      </c>
      <c r="U52">
        <f>IFERROR(IF(_xlfn.MAXIFS(Documents!$E$2:$E$1421,Documents!$A$2:$A$1421,$A52,Documents!$C$2:$C$1421,"obsolete")=0,"",_xlfn.MAXIFS(Documents!$E$2:$E$1421,Documents!$A$2:$A$1421,$A52,Documents!$C$2:$C$1421,"obsolete")),"")</f>
        <v/>
      </c>
      <c r="V52">
        <f>COUNTIFS(Documents!$A$2:$A$1421,$A52)</f>
        <v/>
      </c>
      <c r="W52">
        <f>COUNTIFS(Documents!$A$2:$A$1421,$A52,Documents!$R$2:$R$1421,"current")</f>
        <v/>
      </c>
      <c r="X52" t="inlineStr"/>
      <c r="Y52" t="inlineStr">
        <is>
          <t>factsheet, wedding, events</t>
        </is>
      </c>
      <c r="Z52" t="inlineStr"/>
    </row>
    <row r="53">
      <c r="A53" t="n">
        <v>52</v>
      </c>
      <c r="B53" t="inlineStr">
        <is>
          <t>Eri Maldives</t>
        </is>
      </c>
      <c r="C53" t="inlineStr">
        <is>
          <t>ok</t>
        </is>
      </c>
      <c r="D53">
        <f>IFERROR(IF(_xlfn.MAXIFS(Documents!$E$2:$E$1421,Documents!$A$2:$A$1421,$A53,Documents!$C$2:$C$1421,"factsheet")=0,"",_xlfn.MAXIFS(Documents!$E$2:$E$1421,Documents!$A$2:$A$1421,$A53,Documents!$C$2:$C$1421,"factsheet")),"")</f>
        <v/>
      </c>
      <c r="E53">
        <f>IFERROR(IF(_xlfn.MAXIFS(Documents!$E$2:$E$1421,Documents!$A$2:$A$1421,$A53,Documents!$C$2:$C$1421,"wedding")=0,"",_xlfn.MAXIFS(Documents!$E$2:$E$1421,Documents!$A$2:$A$1421,$A53,Documents!$C$2:$C$1421,"wedding")),"")</f>
        <v/>
      </c>
      <c r="F53">
        <f>IFERROR(IF(_xlfn.MAXIFS(Documents!$E$2:$E$1421,Documents!$A$2:$A$1421,$A53,Documents!$C$2:$C$1421,"events")=0,"",_xlfn.MAXIFS(Documents!$E$2:$E$1421,Documents!$A$2:$A$1421,$A53,Documents!$C$2:$C$1421,"events")),"")</f>
        <v/>
      </c>
      <c r="G53">
        <f>IFERROR(IF(_xlfn.MAXIFS(Documents!$E$2:$E$1421,Documents!$A$2:$A$1421,$A53,Documents!$C$2:$C$1421,"map")=0,"",_xlfn.MAXIFS(Documents!$E$2:$E$1421,Documents!$A$2:$A$1421,$A53,Documents!$C$2:$C$1421,"map")),"")</f>
        <v/>
      </c>
      <c r="H53">
        <f>IFERROR(IF(_xlfn.MAXIFS(Documents!$E$2:$E$1421,Documents!$A$2:$A$1421,$A53,Documents!$C$2:$C$1421,"dive_map")=0,"",_xlfn.MAXIFS(Documents!$E$2:$E$1421,Documents!$A$2:$A$1421,$A53,Documents!$C$2:$C$1421,"dive_map")),"")</f>
        <v/>
      </c>
      <c r="I53">
        <f>IFERROR(IF(_xlfn.MAXIFS(Documents!$E$2:$E$1421,Documents!$A$2:$A$1421,$A53,Documents!$C$2:$C$1421,"spa_menu")=0,"",_xlfn.MAXIFS(Documents!$E$2:$E$1421,Documents!$A$2:$A$1421,$A53,Documents!$C$2:$C$1421,"spa_menu")),"")</f>
        <v/>
      </c>
      <c r="J53">
        <f>IFERROR(IF(_xlfn.MAXIFS(Documents!$E$2:$E$1421,Documents!$A$2:$A$1421,$A53,Documents!$C$2:$C$1421,"dining_menu")=0,"",_xlfn.MAXIFS(Documents!$E$2:$E$1421,Documents!$A$2:$A$1421,$A53,Documents!$C$2:$C$1421,"dining_menu")),"")</f>
        <v/>
      </c>
      <c r="K53">
        <f>IFERROR(IF(_xlfn.MAXIFS(Documents!$E$2:$E$1421,Documents!$A$2:$A$1421,$A53,Documents!$C$2:$C$1421,"dive_prices")=0,"",_xlfn.MAXIFS(Documents!$E$2:$E$1421,Documents!$A$2:$A$1421,$A53,Documents!$C$2:$C$1421,"dive_prices")),"")</f>
        <v/>
      </c>
      <c r="L53">
        <f>IFERROR(IF(_xlfn.MAXIFS(Documents!$E$2:$E$1421,Documents!$A$2:$A$1421,$A53,Documents!$C$2:$C$1421,"excursions")=0,"",_xlfn.MAXIFS(Documents!$E$2:$E$1421,Documents!$A$2:$A$1421,$A53,Documents!$C$2:$C$1421,"excursions")),"")</f>
        <v/>
      </c>
      <c r="M53">
        <f>IFERROR(IF(_xlfn.MAXIFS(Documents!$E$2:$E$1421,Documents!$A$2:$A$1421,$A53,Documents!$C$2:$C$1421,"kids")=0,"",_xlfn.MAXIFS(Documents!$E$2:$E$1421,Documents!$A$2:$A$1421,$A53,Documents!$C$2:$C$1421,"kids")),"")</f>
        <v/>
      </c>
      <c r="N53">
        <f>IFERROR(IF(_xlfn.MAXIFS(Documents!$E$2:$E$1421,Documents!$A$2:$A$1421,$A53,Documents!$C$2:$C$1421,"villa_plans")=0,"",_xlfn.MAXIFS(Documents!$E$2:$E$1421,Documents!$A$2:$A$1421,$A53,Documents!$C$2:$C$1421,"villa_plans")),"")</f>
        <v/>
      </c>
      <c r="O53">
        <f>IFERROR(IF(_xlfn.MAXIFS(Documents!$E$2:$E$1421,Documents!$A$2:$A$1421,$A53,Documents!$C$2:$C$1421,"all_inclusive")=0,"",_xlfn.MAXIFS(Documents!$E$2:$E$1421,Documents!$A$2:$A$1421,$A53,Documents!$C$2:$C$1421,"all_inclusive")),"")</f>
        <v/>
      </c>
      <c r="P53">
        <f>IFERROR(IF(_xlfn.MAXIFS(Documents!$E$2:$E$1421,Documents!$A$2:$A$1421,$A53,Documents!$C$2:$C$1421,"sustainability")=0,"",_xlfn.MAXIFS(Documents!$E$2:$E$1421,Documents!$A$2:$A$1421,$A53,Documents!$C$2:$C$1421,"sustainability")),"")</f>
        <v/>
      </c>
      <c r="Q53">
        <f>IFERROR(IF(_xlfn.MAXIFS(Documents!$E$2:$E$1421,Documents!$A$2:$A$1421,$A53,Documents!$C$2:$C$1421,"calendar")=0,"",_xlfn.MAXIFS(Documents!$E$2:$E$1421,Documents!$A$2:$A$1421,$A53,Documents!$C$2:$C$1421,"calendar")),"")</f>
        <v/>
      </c>
      <c r="R53">
        <f>IFERROR(IF(_xlfn.MAXIFS(Documents!$E$2:$E$1421,Documents!$A$2:$A$1421,$A53,Documents!$C$2:$C$1421,"brochure")=0,"",_xlfn.MAXIFS(Documents!$E$2:$E$1421,Documents!$A$2:$A$1421,$A53,Documents!$C$2:$C$1421,"brochure")),"")</f>
        <v/>
      </c>
      <c r="S53">
        <f>IFERROR(IF(_xlfn.MAXIFS(Documents!$E$2:$E$1421,Documents!$A$2:$A$1421,$A53,Documents!$C$2:$C$1421,"press_kit")=0,"",_xlfn.MAXIFS(Documents!$E$2:$E$1421,Documents!$A$2:$A$1421,$A53,Documents!$C$2:$C$1421,"press_kit")),"")</f>
        <v/>
      </c>
      <c r="T53">
        <f>IFERROR(IF(_xlfn.MAXIFS(Documents!$E$2:$E$1421,Documents!$A$2:$A$1421,$A53,Documents!$C$2:$C$1421,"other")=0,"",_xlfn.MAXIFS(Documents!$E$2:$E$1421,Documents!$A$2:$A$1421,$A53,Documents!$C$2:$C$1421,"other")),"")</f>
        <v/>
      </c>
      <c r="U53">
        <f>IFERROR(IF(_xlfn.MAXIFS(Documents!$E$2:$E$1421,Documents!$A$2:$A$1421,$A53,Documents!$C$2:$C$1421,"obsolete")=0,"",_xlfn.MAXIFS(Documents!$E$2:$E$1421,Documents!$A$2:$A$1421,$A53,Documents!$C$2:$C$1421,"obsolete")),"")</f>
        <v/>
      </c>
      <c r="V53">
        <f>COUNTIFS(Documents!$A$2:$A$1421,$A53)</f>
        <v/>
      </c>
      <c r="W53">
        <f>COUNTIFS(Documents!$A$2:$A$1421,$A53,Documents!$R$2:$R$1421,"current")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IFERROR(IF(_xlfn.MAXIFS(Documents!$E$2:$E$1421,Documents!$A$2:$A$1421,$A54,Documents!$C$2:$C$1421,"factsheet")=0,"",_xlfn.MAXIFS(Documents!$E$2:$E$1421,Documents!$A$2:$A$1421,$A54,Documents!$C$2:$C$1421,"factsheet")),"")</f>
        <v/>
      </c>
      <c r="E54">
        <f>IFERROR(IF(_xlfn.MAXIFS(Documents!$E$2:$E$1421,Documents!$A$2:$A$1421,$A54,Documents!$C$2:$C$1421,"wedding")=0,"",_xlfn.MAXIFS(Documents!$E$2:$E$1421,Documents!$A$2:$A$1421,$A54,Documents!$C$2:$C$1421,"wedding")),"")</f>
        <v/>
      </c>
      <c r="F54">
        <f>IFERROR(IF(_xlfn.MAXIFS(Documents!$E$2:$E$1421,Documents!$A$2:$A$1421,$A54,Documents!$C$2:$C$1421,"events")=0,"",_xlfn.MAXIFS(Documents!$E$2:$E$1421,Documents!$A$2:$A$1421,$A54,Documents!$C$2:$C$1421,"events")),"")</f>
        <v/>
      </c>
      <c r="G54">
        <f>IFERROR(IF(_xlfn.MAXIFS(Documents!$E$2:$E$1421,Documents!$A$2:$A$1421,$A54,Documents!$C$2:$C$1421,"map")=0,"",_xlfn.MAXIFS(Documents!$E$2:$E$1421,Documents!$A$2:$A$1421,$A54,Documents!$C$2:$C$1421,"map")),"")</f>
        <v/>
      </c>
      <c r="H54">
        <f>IFERROR(IF(_xlfn.MAXIFS(Documents!$E$2:$E$1421,Documents!$A$2:$A$1421,$A54,Documents!$C$2:$C$1421,"dive_map")=0,"",_xlfn.MAXIFS(Documents!$E$2:$E$1421,Documents!$A$2:$A$1421,$A54,Documents!$C$2:$C$1421,"dive_map")),"")</f>
        <v/>
      </c>
      <c r="I54">
        <f>IFERROR(IF(_xlfn.MAXIFS(Documents!$E$2:$E$1421,Documents!$A$2:$A$1421,$A54,Documents!$C$2:$C$1421,"spa_menu")=0,"",_xlfn.MAXIFS(Documents!$E$2:$E$1421,Documents!$A$2:$A$1421,$A54,Documents!$C$2:$C$1421,"spa_menu")),"")</f>
        <v/>
      </c>
      <c r="J54">
        <f>IFERROR(IF(_xlfn.MAXIFS(Documents!$E$2:$E$1421,Documents!$A$2:$A$1421,$A54,Documents!$C$2:$C$1421,"dining_menu")=0,"",_xlfn.MAXIFS(Documents!$E$2:$E$1421,Documents!$A$2:$A$1421,$A54,Documents!$C$2:$C$1421,"dining_menu")),"")</f>
        <v/>
      </c>
      <c r="K54">
        <f>IFERROR(IF(_xlfn.MAXIFS(Documents!$E$2:$E$1421,Documents!$A$2:$A$1421,$A54,Documents!$C$2:$C$1421,"dive_prices")=0,"",_xlfn.MAXIFS(Documents!$E$2:$E$1421,Documents!$A$2:$A$1421,$A54,Documents!$C$2:$C$1421,"dive_prices")),"")</f>
        <v/>
      </c>
      <c r="L54">
        <f>IFERROR(IF(_xlfn.MAXIFS(Documents!$E$2:$E$1421,Documents!$A$2:$A$1421,$A54,Documents!$C$2:$C$1421,"excursions")=0,"",_xlfn.MAXIFS(Documents!$E$2:$E$1421,Documents!$A$2:$A$1421,$A54,Documents!$C$2:$C$1421,"excursions")),"")</f>
        <v/>
      </c>
      <c r="M54">
        <f>IFERROR(IF(_xlfn.MAXIFS(Documents!$E$2:$E$1421,Documents!$A$2:$A$1421,$A54,Documents!$C$2:$C$1421,"kids")=0,"",_xlfn.MAXIFS(Documents!$E$2:$E$1421,Documents!$A$2:$A$1421,$A54,Documents!$C$2:$C$1421,"kids")),"")</f>
        <v/>
      </c>
      <c r="N54">
        <f>IFERROR(IF(_xlfn.MAXIFS(Documents!$E$2:$E$1421,Documents!$A$2:$A$1421,$A54,Documents!$C$2:$C$1421,"villa_plans")=0,"",_xlfn.MAXIFS(Documents!$E$2:$E$1421,Documents!$A$2:$A$1421,$A54,Documents!$C$2:$C$1421,"villa_plans")),"")</f>
        <v/>
      </c>
      <c r="O54">
        <f>IFERROR(IF(_xlfn.MAXIFS(Documents!$E$2:$E$1421,Documents!$A$2:$A$1421,$A54,Documents!$C$2:$C$1421,"all_inclusive")=0,"",_xlfn.MAXIFS(Documents!$E$2:$E$1421,Documents!$A$2:$A$1421,$A54,Documents!$C$2:$C$1421,"all_inclusive")),"")</f>
        <v/>
      </c>
      <c r="P54">
        <f>IFERROR(IF(_xlfn.MAXIFS(Documents!$E$2:$E$1421,Documents!$A$2:$A$1421,$A54,Documents!$C$2:$C$1421,"sustainability")=0,"",_xlfn.MAXIFS(Documents!$E$2:$E$1421,Documents!$A$2:$A$1421,$A54,Documents!$C$2:$C$1421,"sustainability")),"")</f>
        <v/>
      </c>
      <c r="Q54">
        <f>IFERROR(IF(_xlfn.MAXIFS(Documents!$E$2:$E$1421,Documents!$A$2:$A$1421,$A54,Documents!$C$2:$C$1421,"calendar")=0,"",_xlfn.MAXIFS(Documents!$E$2:$E$1421,Documents!$A$2:$A$1421,$A54,Documents!$C$2:$C$1421,"calendar")),"")</f>
        <v/>
      </c>
      <c r="R54">
        <f>IFERROR(IF(_xlfn.MAXIFS(Documents!$E$2:$E$1421,Documents!$A$2:$A$1421,$A54,Documents!$C$2:$C$1421,"brochure")=0,"",_xlfn.MAXIFS(Documents!$E$2:$E$1421,Documents!$A$2:$A$1421,$A54,Documents!$C$2:$C$1421,"brochure")),"")</f>
        <v/>
      </c>
      <c r="S54">
        <f>IFERROR(IF(_xlfn.MAXIFS(Documents!$E$2:$E$1421,Documents!$A$2:$A$1421,$A54,Documents!$C$2:$C$1421,"press_kit")=0,"",_xlfn.MAXIFS(Documents!$E$2:$E$1421,Documents!$A$2:$A$1421,$A54,Documents!$C$2:$C$1421,"press_kit")),"")</f>
        <v/>
      </c>
      <c r="T54">
        <f>IFERROR(IF(_xlfn.MAXIFS(Documents!$E$2:$E$1421,Documents!$A$2:$A$1421,$A54,Documents!$C$2:$C$1421,"other")=0,"",_xlfn.MAXIFS(Documents!$E$2:$E$1421,Documents!$A$2:$A$1421,$A54,Documents!$C$2:$C$1421,"other")),"")</f>
        <v/>
      </c>
      <c r="U54">
        <f>IFERROR(IF(_xlfn.MAXIFS(Documents!$E$2:$E$1421,Documents!$A$2:$A$1421,$A54,Documents!$C$2:$C$1421,"obsolete")=0,"",_xlfn.MAXIFS(Documents!$E$2:$E$1421,Documents!$A$2:$A$1421,$A54,Documents!$C$2:$C$1421,"obsolete")),"")</f>
        <v/>
      </c>
      <c r="V54">
        <f>COUNTIFS(Documents!$A$2:$A$1421,$A54)</f>
        <v/>
      </c>
      <c r="W54">
        <f>COUNTIFS(Documents!$A$2:$A$1421,$A54,Documents!$R$2:$R$1421,"current")</f>
        <v/>
      </c>
      <c r="X54" t="inlineStr"/>
      <c r="Y54" t="inlineStr">
        <is>
          <t>factsheet, wedding, events</t>
        </is>
      </c>
      <c r="Z54" t="inlineStr"/>
    </row>
    <row r="55">
      <c r="A55" t="n">
        <v>54</v>
      </c>
      <c r="B55" t="inlineStr">
        <is>
          <t>Emerald Faarufushi Resort &amp; Spa</t>
        </is>
      </c>
      <c r="C55" t="inlineStr">
        <is>
          <t>ok</t>
        </is>
      </c>
      <c r="D55">
        <f>IFERROR(IF(_xlfn.MAXIFS(Documents!$E$2:$E$1421,Documents!$A$2:$A$1421,$A55,Documents!$C$2:$C$1421,"factsheet")=0,"",_xlfn.MAXIFS(Documents!$E$2:$E$1421,Documents!$A$2:$A$1421,$A55,Documents!$C$2:$C$1421,"factsheet")),"")</f>
        <v/>
      </c>
      <c r="E55">
        <f>IFERROR(IF(_xlfn.MAXIFS(Documents!$E$2:$E$1421,Documents!$A$2:$A$1421,$A55,Documents!$C$2:$C$1421,"wedding")=0,"",_xlfn.MAXIFS(Documents!$E$2:$E$1421,Documents!$A$2:$A$1421,$A55,Documents!$C$2:$C$1421,"wedding")),"")</f>
        <v/>
      </c>
      <c r="F55">
        <f>IFERROR(IF(_xlfn.MAXIFS(Documents!$E$2:$E$1421,Documents!$A$2:$A$1421,$A55,Documents!$C$2:$C$1421,"events")=0,"",_xlfn.MAXIFS(Documents!$E$2:$E$1421,Documents!$A$2:$A$1421,$A55,Documents!$C$2:$C$1421,"events")),"")</f>
        <v/>
      </c>
      <c r="G55">
        <f>IFERROR(IF(_xlfn.MAXIFS(Documents!$E$2:$E$1421,Documents!$A$2:$A$1421,$A55,Documents!$C$2:$C$1421,"map")=0,"",_xlfn.MAXIFS(Documents!$E$2:$E$1421,Documents!$A$2:$A$1421,$A55,Documents!$C$2:$C$1421,"map")),"")</f>
        <v/>
      </c>
      <c r="H55">
        <f>IFERROR(IF(_xlfn.MAXIFS(Documents!$E$2:$E$1421,Documents!$A$2:$A$1421,$A55,Documents!$C$2:$C$1421,"dive_map")=0,"",_xlfn.MAXIFS(Documents!$E$2:$E$1421,Documents!$A$2:$A$1421,$A55,Documents!$C$2:$C$1421,"dive_map")),"")</f>
        <v/>
      </c>
      <c r="I55">
        <f>IFERROR(IF(_xlfn.MAXIFS(Documents!$E$2:$E$1421,Documents!$A$2:$A$1421,$A55,Documents!$C$2:$C$1421,"spa_menu")=0,"",_xlfn.MAXIFS(Documents!$E$2:$E$1421,Documents!$A$2:$A$1421,$A55,Documents!$C$2:$C$1421,"spa_menu")),"")</f>
        <v/>
      </c>
      <c r="J55">
        <f>IFERROR(IF(_xlfn.MAXIFS(Documents!$E$2:$E$1421,Documents!$A$2:$A$1421,$A55,Documents!$C$2:$C$1421,"dining_menu")=0,"",_xlfn.MAXIFS(Documents!$E$2:$E$1421,Documents!$A$2:$A$1421,$A55,Documents!$C$2:$C$1421,"dining_menu")),"")</f>
        <v/>
      </c>
      <c r="K55">
        <f>IFERROR(IF(_xlfn.MAXIFS(Documents!$E$2:$E$1421,Documents!$A$2:$A$1421,$A55,Documents!$C$2:$C$1421,"dive_prices")=0,"",_xlfn.MAXIFS(Documents!$E$2:$E$1421,Documents!$A$2:$A$1421,$A55,Documents!$C$2:$C$1421,"dive_prices")),"")</f>
        <v/>
      </c>
      <c r="L55">
        <f>IFERROR(IF(_xlfn.MAXIFS(Documents!$E$2:$E$1421,Documents!$A$2:$A$1421,$A55,Documents!$C$2:$C$1421,"excursions")=0,"",_xlfn.MAXIFS(Documents!$E$2:$E$1421,Documents!$A$2:$A$1421,$A55,Documents!$C$2:$C$1421,"excursions")),"")</f>
        <v/>
      </c>
      <c r="M55">
        <f>IFERROR(IF(_xlfn.MAXIFS(Documents!$E$2:$E$1421,Documents!$A$2:$A$1421,$A55,Documents!$C$2:$C$1421,"kids")=0,"",_xlfn.MAXIFS(Documents!$E$2:$E$1421,Documents!$A$2:$A$1421,$A55,Documents!$C$2:$C$1421,"kids")),"")</f>
        <v/>
      </c>
      <c r="N55">
        <f>IFERROR(IF(_xlfn.MAXIFS(Documents!$E$2:$E$1421,Documents!$A$2:$A$1421,$A55,Documents!$C$2:$C$1421,"villa_plans")=0,"",_xlfn.MAXIFS(Documents!$E$2:$E$1421,Documents!$A$2:$A$1421,$A55,Documents!$C$2:$C$1421,"villa_plans")),"")</f>
        <v/>
      </c>
      <c r="O55">
        <f>IFERROR(IF(_xlfn.MAXIFS(Documents!$E$2:$E$1421,Documents!$A$2:$A$1421,$A55,Documents!$C$2:$C$1421,"all_inclusive")=0,"",_xlfn.MAXIFS(Documents!$E$2:$E$1421,Documents!$A$2:$A$1421,$A55,Documents!$C$2:$C$1421,"all_inclusive")),"")</f>
        <v/>
      </c>
      <c r="P55">
        <f>IFERROR(IF(_xlfn.MAXIFS(Documents!$E$2:$E$1421,Documents!$A$2:$A$1421,$A55,Documents!$C$2:$C$1421,"sustainability")=0,"",_xlfn.MAXIFS(Documents!$E$2:$E$1421,Documents!$A$2:$A$1421,$A55,Documents!$C$2:$C$1421,"sustainability")),"")</f>
        <v/>
      </c>
      <c r="Q55">
        <f>IFERROR(IF(_xlfn.MAXIFS(Documents!$E$2:$E$1421,Documents!$A$2:$A$1421,$A55,Documents!$C$2:$C$1421,"calendar")=0,"",_xlfn.MAXIFS(Documents!$E$2:$E$1421,Documents!$A$2:$A$1421,$A55,Documents!$C$2:$C$1421,"calendar")),"")</f>
        <v/>
      </c>
      <c r="R55">
        <f>IFERROR(IF(_xlfn.MAXIFS(Documents!$E$2:$E$1421,Documents!$A$2:$A$1421,$A55,Documents!$C$2:$C$1421,"brochure")=0,"",_xlfn.MAXIFS(Documents!$E$2:$E$1421,Documents!$A$2:$A$1421,$A55,Documents!$C$2:$C$1421,"brochure")),"")</f>
        <v/>
      </c>
      <c r="S55">
        <f>IFERROR(IF(_xlfn.MAXIFS(Documents!$E$2:$E$1421,Documents!$A$2:$A$1421,$A55,Documents!$C$2:$C$1421,"press_kit")=0,"",_xlfn.MAXIFS(Documents!$E$2:$E$1421,Documents!$A$2:$A$1421,$A55,Documents!$C$2:$C$1421,"press_kit")),"")</f>
        <v/>
      </c>
      <c r="T55">
        <f>IFERROR(IF(_xlfn.MAXIFS(Documents!$E$2:$E$1421,Documents!$A$2:$A$1421,$A55,Documents!$C$2:$C$1421,"other")=0,"",_xlfn.MAXIFS(Documents!$E$2:$E$1421,Documents!$A$2:$A$1421,$A55,Documents!$C$2:$C$1421,"other")),"")</f>
        <v/>
      </c>
      <c r="U55">
        <f>IFERROR(IF(_xlfn.MAXIFS(Documents!$E$2:$E$1421,Documents!$A$2:$A$1421,$A55,Documents!$C$2:$C$1421,"obsolete")=0,"",_xlfn.MAXIFS(Documents!$E$2:$E$1421,Documents!$A$2:$A$1421,$A55,Documents!$C$2:$C$1421,"obsolete")),"")</f>
        <v/>
      </c>
      <c r="V55">
        <f>COUNTIFS(Documents!$A$2:$A$1421,$A55)</f>
        <v/>
      </c>
      <c r="W55">
        <f>COUNTIFS(Documents!$A$2:$A$1421,$A55,Documents!$R$2:$R$1421,"current")</f>
        <v/>
      </c>
      <c r="X55" t="inlineStr"/>
      <c r="Y55" t="inlineStr">
        <is>
          <t>factsheet, wedding, events</t>
        </is>
      </c>
      <c r="Z55" t="inlineStr"/>
    </row>
    <row r="56">
      <c r="A56" t="n">
        <v>55</v>
      </c>
      <c r="B56" t="inlineStr">
        <is>
          <t>Fihaalhohi Maldives</t>
        </is>
      </c>
      <c r="C56" t="inlineStr">
        <is>
          <t>unreachable</t>
        </is>
      </c>
      <c r="D56">
        <f>IFERROR(IF(_xlfn.MAXIFS(Documents!$E$2:$E$1421,Documents!$A$2:$A$1421,$A56,Documents!$C$2:$C$1421,"factsheet")=0,"",_xlfn.MAXIFS(Documents!$E$2:$E$1421,Documents!$A$2:$A$1421,$A56,Documents!$C$2:$C$1421,"factsheet")),"")</f>
        <v/>
      </c>
      <c r="E56">
        <f>IFERROR(IF(_xlfn.MAXIFS(Documents!$E$2:$E$1421,Documents!$A$2:$A$1421,$A56,Documents!$C$2:$C$1421,"wedding")=0,"",_xlfn.MAXIFS(Documents!$E$2:$E$1421,Documents!$A$2:$A$1421,$A56,Documents!$C$2:$C$1421,"wedding")),"")</f>
        <v/>
      </c>
      <c r="F56">
        <f>IFERROR(IF(_xlfn.MAXIFS(Documents!$E$2:$E$1421,Documents!$A$2:$A$1421,$A56,Documents!$C$2:$C$1421,"events")=0,"",_xlfn.MAXIFS(Documents!$E$2:$E$1421,Documents!$A$2:$A$1421,$A56,Documents!$C$2:$C$1421,"events")),"")</f>
        <v/>
      </c>
      <c r="G56">
        <f>IFERROR(IF(_xlfn.MAXIFS(Documents!$E$2:$E$1421,Documents!$A$2:$A$1421,$A56,Documents!$C$2:$C$1421,"map")=0,"",_xlfn.MAXIFS(Documents!$E$2:$E$1421,Documents!$A$2:$A$1421,$A56,Documents!$C$2:$C$1421,"map")),"")</f>
        <v/>
      </c>
      <c r="H56">
        <f>IFERROR(IF(_xlfn.MAXIFS(Documents!$E$2:$E$1421,Documents!$A$2:$A$1421,$A56,Documents!$C$2:$C$1421,"dive_map")=0,"",_xlfn.MAXIFS(Documents!$E$2:$E$1421,Documents!$A$2:$A$1421,$A56,Documents!$C$2:$C$1421,"dive_map")),"")</f>
        <v/>
      </c>
      <c r="I56">
        <f>IFERROR(IF(_xlfn.MAXIFS(Documents!$E$2:$E$1421,Documents!$A$2:$A$1421,$A56,Documents!$C$2:$C$1421,"spa_menu")=0,"",_xlfn.MAXIFS(Documents!$E$2:$E$1421,Documents!$A$2:$A$1421,$A56,Documents!$C$2:$C$1421,"spa_menu")),"")</f>
        <v/>
      </c>
      <c r="J56">
        <f>IFERROR(IF(_xlfn.MAXIFS(Documents!$E$2:$E$1421,Documents!$A$2:$A$1421,$A56,Documents!$C$2:$C$1421,"dining_menu")=0,"",_xlfn.MAXIFS(Documents!$E$2:$E$1421,Documents!$A$2:$A$1421,$A56,Documents!$C$2:$C$1421,"dining_menu")),"")</f>
        <v/>
      </c>
      <c r="K56">
        <f>IFERROR(IF(_xlfn.MAXIFS(Documents!$E$2:$E$1421,Documents!$A$2:$A$1421,$A56,Documents!$C$2:$C$1421,"dive_prices")=0,"",_xlfn.MAXIFS(Documents!$E$2:$E$1421,Documents!$A$2:$A$1421,$A56,Documents!$C$2:$C$1421,"dive_prices")),"")</f>
        <v/>
      </c>
      <c r="L56">
        <f>IFERROR(IF(_xlfn.MAXIFS(Documents!$E$2:$E$1421,Documents!$A$2:$A$1421,$A56,Documents!$C$2:$C$1421,"excursions")=0,"",_xlfn.MAXIFS(Documents!$E$2:$E$1421,Documents!$A$2:$A$1421,$A56,Documents!$C$2:$C$1421,"excursions")),"")</f>
        <v/>
      </c>
      <c r="M56">
        <f>IFERROR(IF(_xlfn.MAXIFS(Documents!$E$2:$E$1421,Documents!$A$2:$A$1421,$A56,Documents!$C$2:$C$1421,"kids")=0,"",_xlfn.MAXIFS(Documents!$E$2:$E$1421,Documents!$A$2:$A$1421,$A56,Documents!$C$2:$C$1421,"kids")),"")</f>
        <v/>
      </c>
      <c r="N56">
        <f>IFERROR(IF(_xlfn.MAXIFS(Documents!$E$2:$E$1421,Documents!$A$2:$A$1421,$A56,Documents!$C$2:$C$1421,"villa_plans")=0,"",_xlfn.MAXIFS(Documents!$E$2:$E$1421,Documents!$A$2:$A$1421,$A56,Documents!$C$2:$C$1421,"villa_plans")),"")</f>
        <v/>
      </c>
      <c r="O56">
        <f>IFERROR(IF(_xlfn.MAXIFS(Documents!$E$2:$E$1421,Documents!$A$2:$A$1421,$A56,Documents!$C$2:$C$1421,"all_inclusive")=0,"",_xlfn.MAXIFS(Documents!$E$2:$E$1421,Documents!$A$2:$A$1421,$A56,Documents!$C$2:$C$1421,"all_inclusive")),"")</f>
        <v/>
      </c>
      <c r="P56">
        <f>IFERROR(IF(_xlfn.MAXIFS(Documents!$E$2:$E$1421,Documents!$A$2:$A$1421,$A56,Documents!$C$2:$C$1421,"sustainability")=0,"",_xlfn.MAXIFS(Documents!$E$2:$E$1421,Documents!$A$2:$A$1421,$A56,Documents!$C$2:$C$1421,"sustainability")),"")</f>
        <v/>
      </c>
      <c r="Q56">
        <f>IFERROR(IF(_xlfn.MAXIFS(Documents!$E$2:$E$1421,Documents!$A$2:$A$1421,$A56,Documents!$C$2:$C$1421,"calendar")=0,"",_xlfn.MAXIFS(Documents!$E$2:$E$1421,Documents!$A$2:$A$1421,$A56,Documents!$C$2:$C$1421,"calendar")),"")</f>
        <v/>
      </c>
      <c r="R56">
        <f>IFERROR(IF(_xlfn.MAXIFS(Documents!$E$2:$E$1421,Documents!$A$2:$A$1421,$A56,Documents!$C$2:$C$1421,"brochure")=0,"",_xlfn.MAXIFS(Documents!$E$2:$E$1421,Documents!$A$2:$A$1421,$A56,Documents!$C$2:$C$1421,"brochure")),"")</f>
        <v/>
      </c>
      <c r="S56">
        <f>IFERROR(IF(_xlfn.MAXIFS(Documents!$E$2:$E$1421,Documents!$A$2:$A$1421,$A56,Documents!$C$2:$C$1421,"press_kit")=0,"",_xlfn.MAXIFS(Documents!$E$2:$E$1421,Documents!$A$2:$A$1421,$A56,Documents!$C$2:$C$1421,"press_kit")),"")</f>
        <v/>
      </c>
      <c r="T56">
        <f>IFERROR(IF(_xlfn.MAXIFS(Documents!$E$2:$E$1421,Documents!$A$2:$A$1421,$A56,Documents!$C$2:$C$1421,"other")=0,"",_xlfn.MAXIFS(Documents!$E$2:$E$1421,Documents!$A$2:$A$1421,$A56,Documents!$C$2:$C$1421,"other")),"")</f>
        <v/>
      </c>
      <c r="U56">
        <f>IFERROR(IF(_xlfn.MAXIFS(Documents!$E$2:$E$1421,Documents!$A$2:$A$1421,$A56,Documents!$C$2:$C$1421,"obsolete")=0,"",_xlfn.MAXIFS(Documents!$E$2:$E$1421,Documents!$A$2:$A$1421,$A56,Documents!$C$2:$C$1421,"obsolete")),"")</f>
        <v/>
      </c>
      <c r="V56">
        <f>COUNTIFS(Documents!$A$2:$A$1421,$A56)</f>
        <v/>
      </c>
      <c r="W56">
        <f>COUNTIFS(Documents!$A$2:$A$1421,$A56,Documents!$R$2:$R$1421,"current")</f>
        <v/>
      </c>
      <c r="X56" t="inlineStr"/>
      <c r="Y56" t="inlineStr">
        <is>
          <t>factsheet, wedding, events</t>
        </is>
      </c>
      <c r="Z56" t="inlineStr"/>
    </row>
    <row r="57">
      <c r="A57" t="n">
        <v>56</v>
      </c>
      <c r="B57" t="inlineStr">
        <is>
          <t>Four Seasons Resort Maldives at Kuda Huraa</t>
        </is>
      </c>
      <c r="C57" t="inlineStr">
        <is>
          <t>blocked</t>
        </is>
      </c>
      <c r="D57">
        <f>IFERROR(IF(_xlfn.MAXIFS(Documents!$E$2:$E$1421,Documents!$A$2:$A$1421,$A57,Documents!$C$2:$C$1421,"factsheet")=0,"",_xlfn.MAXIFS(Documents!$E$2:$E$1421,Documents!$A$2:$A$1421,$A57,Documents!$C$2:$C$1421,"factsheet")),"")</f>
        <v/>
      </c>
      <c r="E57">
        <f>IFERROR(IF(_xlfn.MAXIFS(Documents!$E$2:$E$1421,Documents!$A$2:$A$1421,$A57,Documents!$C$2:$C$1421,"wedding")=0,"",_xlfn.MAXIFS(Documents!$E$2:$E$1421,Documents!$A$2:$A$1421,$A57,Documents!$C$2:$C$1421,"wedding")),"")</f>
        <v/>
      </c>
      <c r="F57">
        <f>IFERROR(IF(_xlfn.MAXIFS(Documents!$E$2:$E$1421,Documents!$A$2:$A$1421,$A57,Documents!$C$2:$C$1421,"events")=0,"",_xlfn.MAXIFS(Documents!$E$2:$E$1421,Documents!$A$2:$A$1421,$A57,Documents!$C$2:$C$1421,"events")),"")</f>
        <v/>
      </c>
      <c r="G57">
        <f>IFERROR(IF(_xlfn.MAXIFS(Documents!$E$2:$E$1421,Documents!$A$2:$A$1421,$A57,Documents!$C$2:$C$1421,"map")=0,"",_xlfn.MAXIFS(Documents!$E$2:$E$1421,Documents!$A$2:$A$1421,$A57,Documents!$C$2:$C$1421,"map")),"")</f>
        <v/>
      </c>
      <c r="H57">
        <f>IFERROR(IF(_xlfn.MAXIFS(Documents!$E$2:$E$1421,Documents!$A$2:$A$1421,$A57,Documents!$C$2:$C$1421,"dive_map")=0,"",_xlfn.MAXIFS(Documents!$E$2:$E$1421,Documents!$A$2:$A$1421,$A57,Documents!$C$2:$C$1421,"dive_map")),"")</f>
        <v/>
      </c>
      <c r="I57">
        <f>IFERROR(IF(_xlfn.MAXIFS(Documents!$E$2:$E$1421,Documents!$A$2:$A$1421,$A57,Documents!$C$2:$C$1421,"spa_menu")=0,"",_xlfn.MAXIFS(Documents!$E$2:$E$1421,Documents!$A$2:$A$1421,$A57,Documents!$C$2:$C$1421,"spa_menu")),"")</f>
        <v/>
      </c>
      <c r="J57">
        <f>IFERROR(IF(_xlfn.MAXIFS(Documents!$E$2:$E$1421,Documents!$A$2:$A$1421,$A57,Documents!$C$2:$C$1421,"dining_menu")=0,"",_xlfn.MAXIFS(Documents!$E$2:$E$1421,Documents!$A$2:$A$1421,$A57,Documents!$C$2:$C$1421,"dining_menu")),"")</f>
        <v/>
      </c>
      <c r="K57">
        <f>IFERROR(IF(_xlfn.MAXIFS(Documents!$E$2:$E$1421,Documents!$A$2:$A$1421,$A57,Documents!$C$2:$C$1421,"dive_prices")=0,"",_xlfn.MAXIFS(Documents!$E$2:$E$1421,Documents!$A$2:$A$1421,$A57,Documents!$C$2:$C$1421,"dive_prices")),"")</f>
        <v/>
      </c>
      <c r="L57">
        <f>IFERROR(IF(_xlfn.MAXIFS(Documents!$E$2:$E$1421,Documents!$A$2:$A$1421,$A57,Documents!$C$2:$C$1421,"excursions")=0,"",_xlfn.MAXIFS(Documents!$E$2:$E$1421,Documents!$A$2:$A$1421,$A57,Documents!$C$2:$C$1421,"excursions")),"")</f>
        <v/>
      </c>
      <c r="M57">
        <f>IFERROR(IF(_xlfn.MAXIFS(Documents!$E$2:$E$1421,Documents!$A$2:$A$1421,$A57,Documents!$C$2:$C$1421,"kids")=0,"",_xlfn.MAXIFS(Documents!$E$2:$E$1421,Documents!$A$2:$A$1421,$A57,Documents!$C$2:$C$1421,"kids")),"")</f>
        <v/>
      </c>
      <c r="N57">
        <f>IFERROR(IF(_xlfn.MAXIFS(Documents!$E$2:$E$1421,Documents!$A$2:$A$1421,$A57,Documents!$C$2:$C$1421,"villa_plans")=0,"",_xlfn.MAXIFS(Documents!$E$2:$E$1421,Documents!$A$2:$A$1421,$A57,Documents!$C$2:$C$1421,"villa_plans")),"")</f>
        <v/>
      </c>
      <c r="O57">
        <f>IFERROR(IF(_xlfn.MAXIFS(Documents!$E$2:$E$1421,Documents!$A$2:$A$1421,$A57,Documents!$C$2:$C$1421,"all_inclusive")=0,"",_xlfn.MAXIFS(Documents!$E$2:$E$1421,Documents!$A$2:$A$1421,$A57,Documents!$C$2:$C$1421,"all_inclusive")),"")</f>
        <v/>
      </c>
      <c r="P57">
        <f>IFERROR(IF(_xlfn.MAXIFS(Documents!$E$2:$E$1421,Documents!$A$2:$A$1421,$A57,Documents!$C$2:$C$1421,"sustainability")=0,"",_xlfn.MAXIFS(Documents!$E$2:$E$1421,Documents!$A$2:$A$1421,$A57,Documents!$C$2:$C$1421,"sustainability")),"")</f>
        <v/>
      </c>
      <c r="Q57">
        <f>IFERROR(IF(_xlfn.MAXIFS(Documents!$E$2:$E$1421,Documents!$A$2:$A$1421,$A57,Documents!$C$2:$C$1421,"calendar")=0,"",_xlfn.MAXIFS(Documents!$E$2:$E$1421,Documents!$A$2:$A$1421,$A57,Documents!$C$2:$C$1421,"calendar")),"")</f>
        <v/>
      </c>
      <c r="R57">
        <f>IFERROR(IF(_xlfn.MAXIFS(Documents!$E$2:$E$1421,Documents!$A$2:$A$1421,$A57,Documents!$C$2:$C$1421,"brochure")=0,"",_xlfn.MAXIFS(Documents!$E$2:$E$1421,Documents!$A$2:$A$1421,$A57,Documents!$C$2:$C$1421,"brochure")),"")</f>
        <v/>
      </c>
      <c r="S57">
        <f>IFERROR(IF(_xlfn.MAXIFS(Documents!$E$2:$E$1421,Documents!$A$2:$A$1421,$A57,Documents!$C$2:$C$1421,"press_kit")=0,"",_xlfn.MAXIFS(Documents!$E$2:$E$1421,Documents!$A$2:$A$1421,$A57,Documents!$C$2:$C$1421,"press_kit")),"")</f>
        <v/>
      </c>
      <c r="T57">
        <f>IFERROR(IF(_xlfn.MAXIFS(Documents!$E$2:$E$1421,Documents!$A$2:$A$1421,$A57,Documents!$C$2:$C$1421,"other")=0,"",_xlfn.MAXIFS(Documents!$E$2:$E$1421,Documents!$A$2:$A$1421,$A57,Documents!$C$2:$C$1421,"other")),"")</f>
        <v/>
      </c>
      <c r="U57">
        <f>IFERROR(IF(_xlfn.MAXIFS(Documents!$E$2:$E$1421,Documents!$A$2:$A$1421,$A57,Documents!$C$2:$C$1421,"obsolete")=0,"",_xlfn.MAXIFS(Documents!$E$2:$E$1421,Documents!$A$2:$A$1421,$A57,Documents!$C$2:$C$1421,"obsolete")),"")</f>
        <v/>
      </c>
      <c r="V57">
        <f>COUNTIFS(Documents!$A$2:$A$1421,$A57)</f>
        <v/>
      </c>
      <c r="W57">
        <f>COUNTIFS(Documents!$A$2:$A$1421,$A57,Documents!$R$2:$R$1421,"current")</f>
        <v/>
      </c>
      <c r="X57" t="inlineStr"/>
      <c r="Y57" t="inlineStr">
        <is>
          <t>factsheet, wedding, events</t>
        </is>
      </c>
      <c r="Z57" t="inlineStr"/>
    </row>
    <row r="58">
      <c r="A58" t="n">
        <v>57</v>
      </c>
      <c r="B58" t="inlineStr">
        <is>
          <t>Fushifaru Maldives</t>
        </is>
      </c>
      <c r="C58" t="inlineStr">
        <is>
          <t>blocked-partial</t>
        </is>
      </c>
      <c r="D58">
        <f>IFERROR(IF(_xlfn.MAXIFS(Documents!$E$2:$E$1421,Documents!$A$2:$A$1421,$A58,Documents!$C$2:$C$1421,"factsheet")=0,"",_xlfn.MAXIFS(Documents!$E$2:$E$1421,Documents!$A$2:$A$1421,$A58,Documents!$C$2:$C$1421,"factsheet")),"")</f>
        <v/>
      </c>
      <c r="E58">
        <f>IFERROR(IF(_xlfn.MAXIFS(Documents!$E$2:$E$1421,Documents!$A$2:$A$1421,$A58,Documents!$C$2:$C$1421,"wedding")=0,"",_xlfn.MAXIFS(Documents!$E$2:$E$1421,Documents!$A$2:$A$1421,$A58,Documents!$C$2:$C$1421,"wedding")),"")</f>
        <v/>
      </c>
      <c r="F58">
        <f>IFERROR(IF(_xlfn.MAXIFS(Documents!$E$2:$E$1421,Documents!$A$2:$A$1421,$A58,Documents!$C$2:$C$1421,"events")=0,"",_xlfn.MAXIFS(Documents!$E$2:$E$1421,Documents!$A$2:$A$1421,$A58,Documents!$C$2:$C$1421,"events")),"")</f>
        <v/>
      </c>
      <c r="G58">
        <f>IFERROR(IF(_xlfn.MAXIFS(Documents!$E$2:$E$1421,Documents!$A$2:$A$1421,$A58,Documents!$C$2:$C$1421,"map")=0,"",_xlfn.MAXIFS(Documents!$E$2:$E$1421,Documents!$A$2:$A$1421,$A58,Documents!$C$2:$C$1421,"map")),"")</f>
        <v/>
      </c>
      <c r="H58">
        <f>IFERROR(IF(_xlfn.MAXIFS(Documents!$E$2:$E$1421,Documents!$A$2:$A$1421,$A58,Documents!$C$2:$C$1421,"dive_map")=0,"",_xlfn.MAXIFS(Documents!$E$2:$E$1421,Documents!$A$2:$A$1421,$A58,Documents!$C$2:$C$1421,"dive_map")),"")</f>
        <v/>
      </c>
      <c r="I58">
        <f>IFERROR(IF(_xlfn.MAXIFS(Documents!$E$2:$E$1421,Documents!$A$2:$A$1421,$A58,Documents!$C$2:$C$1421,"spa_menu")=0,"",_xlfn.MAXIFS(Documents!$E$2:$E$1421,Documents!$A$2:$A$1421,$A58,Documents!$C$2:$C$1421,"spa_menu")),"")</f>
        <v/>
      </c>
      <c r="J58">
        <f>IFERROR(IF(_xlfn.MAXIFS(Documents!$E$2:$E$1421,Documents!$A$2:$A$1421,$A58,Documents!$C$2:$C$1421,"dining_menu")=0,"",_xlfn.MAXIFS(Documents!$E$2:$E$1421,Documents!$A$2:$A$1421,$A58,Documents!$C$2:$C$1421,"dining_menu")),"")</f>
        <v/>
      </c>
      <c r="K58">
        <f>IFERROR(IF(_xlfn.MAXIFS(Documents!$E$2:$E$1421,Documents!$A$2:$A$1421,$A58,Documents!$C$2:$C$1421,"dive_prices")=0,"",_xlfn.MAXIFS(Documents!$E$2:$E$1421,Documents!$A$2:$A$1421,$A58,Documents!$C$2:$C$1421,"dive_prices")),"")</f>
        <v/>
      </c>
      <c r="L58">
        <f>IFERROR(IF(_xlfn.MAXIFS(Documents!$E$2:$E$1421,Documents!$A$2:$A$1421,$A58,Documents!$C$2:$C$1421,"excursions")=0,"",_xlfn.MAXIFS(Documents!$E$2:$E$1421,Documents!$A$2:$A$1421,$A58,Documents!$C$2:$C$1421,"excursions")),"")</f>
        <v/>
      </c>
      <c r="M58">
        <f>IFERROR(IF(_xlfn.MAXIFS(Documents!$E$2:$E$1421,Documents!$A$2:$A$1421,$A58,Documents!$C$2:$C$1421,"kids")=0,"",_xlfn.MAXIFS(Documents!$E$2:$E$1421,Documents!$A$2:$A$1421,$A58,Documents!$C$2:$C$1421,"kids")),"")</f>
        <v/>
      </c>
      <c r="N58">
        <f>IFERROR(IF(_xlfn.MAXIFS(Documents!$E$2:$E$1421,Documents!$A$2:$A$1421,$A58,Documents!$C$2:$C$1421,"villa_plans")=0,"",_xlfn.MAXIFS(Documents!$E$2:$E$1421,Documents!$A$2:$A$1421,$A58,Documents!$C$2:$C$1421,"villa_plans")),"")</f>
        <v/>
      </c>
      <c r="O58">
        <f>IFERROR(IF(_xlfn.MAXIFS(Documents!$E$2:$E$1421,Documents!$A$2:$A$1421,$A58,Documents!$C$2:$C$1421,"all_inclusive")=0,"",_xlfn.MAXIFS(Documents!$E$2:$E$1421,Documents!$A$2:$A$1421,$A58,Documents!$C$2:$C$1421,"all_inclusive")),"")</f>
        <v/>
      </c>
      <c r="P58">
        <f>IFERROR(IF(_xlfn.MAXIFS(Documents!$E$2:$E$1421,Documents!$A$2:$A$1421,$A58,Documents!$C$2:$C$1421,"sustainability")=0,"",_xlfn.MAXIFS(Documents!$E$2:$E$1421,Documents!$A$2:$A$1421,$A58,Documents!$C$2:$C$1421,"sustainability")),"")</f>
        <v/>
      </c>
      <c r="Q58">
        <f>IFERROR(IF(_xlfn.MAXIFS(Documents!$E$2:$E$1421,Documents!$A$2:$A$1421,$A58,Documents!$C$2:$C$1421,"calendar")=0,"",_xlfn.MAXIFS(Documents!$E$2:$E$1421,Documents!$A$2:$A$1421,$A58,Documents!$C$2:$C$1421,"calendar")),"")</f>
        <v/>
      </c>
      <c r="R58">
        <f>IFERROR(IF(_xlfn.MAXIFS(Documents!$E$2:$E$1421,Documents!$A$2:$A$1421,$A58,Documents!$C$2:$C$1421,"brochure")=0,"",_xlfn.MAXIFS(Documents!$E$2:$E$1421,Documents!$A$2:$A$1421,$A58,Documents!$C$2:$C$1421,"brochure")),"")</f>
        <v/>
      </c>
      <c r="S58">
        <f>IFERROR(IF(_xlfn.MAXIFS(Documents!$E$2:$E$1421,Documents!$A$2:$A$1421,$A58,Documents!$C$2:$C$1421,"press_kit")=0,"",_xlfn.MAXIFS(Documents!$E$2:$E$1421,Documents!$A$2:$A$1421,$A58,Documents!$C$2:$C$1421,"press_kit")),"")</f>
        <v/>
      </c>
      <c r="T58">
        <f>IFERROR(IF(_xlfn.MAXIFS(Documents!$E$2:$E$1421,Documents!$A$2:$A$1421,$A58,Documents!$C$2:$C$1421,"other")=0,"",_xlfn.MAXIFS(Documents!$E$2:$E$1421,Documents!$A$2:$A$1421,$A58,Documents!$C$2:$C$1421,"other")),"")</f>
        <v/>
      </c>
      <c r="U58">
        <f>IFERROR(IF(_xlfn.MAXIFS(Documents!$E$2:$E$1421,Documents!$A$2:$A$1421,$A58,Documents!$C$2:$C$1421,"obsolete")=0,"",_xlfn.MAXIFS(Documents!$E$2:$E$1421,Documents!$A$2:$A$1421,$A58,Documents!$C$2:$C$1421,"obsolete")),"")</f>
        <v/>
      </c>
      <c r="V58">
        <f>COUNTIFS(Documents!$A$2:$A$1421,$A58)</f>
        <v/>
      </c>
      <c r="W58">
        <f>COUNTIFS(Documents!$A$2:$A$1421,$A58,Documents!$R$2:$R$1421,"current")</f>
        <v/>
      </c>
      <c r="X58" t="inlineStr"/>
      <c r="Y58" t="inlineStr">
        <is>
          <t>factsheet, wedding, events</t>
        </is>
      </c>
      <c r="Z58" t="inlineStr"/>
    </row>
    <row r="59">
      <c r="A59" t="n">
        <v>58</v>
      </c>
      <c r="B59" t="inlineStr">
        <is>
          <t>Sirru Fen Fushi</t>
        </is>
      </c>
      <c r="C59" t="inlineStr">
        <is>
          <t>unverified</t>
        </is>
      </c>
      <c r="D59">
        <f>IFERROR(IF(_xlfn.MAXIFS(Documents!$E$2:$E$1421,Documents!$A$2:$A$1421,$A59,Documents!$C$2:$C$1421,"factsheet")=0,"",_xlfn.MAXIFS(Documents!$E$2:$E$1421,Documents!$A$2:$A$1421,$A59,Documents!$C$2:$C$1421,"factsheet")),"")</f>
        <v/>
      </c>
      <c r="E59">
        <f>IFERROR(IF(_xlfn.MAXIFS(Documents!$E$2:$E$1421,Documents!$A$2:$A$1421,$A59,Documents!$C$2:$C$1421,"wedding")=0,"",_xlfn.MAXIFS(Documents!$E$2:$E$1421,Documents!$A$2:$A$1421,$A59,Documents!$C$2:$C$1421,"wedding")),"")</f>
        <v/>
      </c>
      <c r="F59">
        <f>IFERROR(IF(_xlfn.MAXIFS(Documents!$E$2:$E$1421,Documents!$A$2:$A$1421,$A59,Documents!$C$2:$C$1421,"events")=0,"",_xlfn.MAXIFS(Documents!$E$2:$E$1421,Documents!$A$2:$A$1421,$A59,Documents!$C$2:$C$1421,"events")),"")</f>
        <v/>
      </c>
      <c r="G59">
        <f>IFERROR(IF(_xlfn.MAXIFS(Documents!$E$2:$E$1421,Documents!$A$2:$A$1421,$A59,Documents!$C$2:$C$1421,"map")=0,"",_xlfn.MAXIFS(Documents!$E$2:$E$1421,Documents!$A$2:$A$1421,$A59,Documents!$C$2:$C$1421,"map")),"")</f>
        <v/>
      </c>
      <c r="H59">
        <f>IFERROR(IF(_xlfn.MAXIFS(Documents!$E$2:$E$1421,Documents!$A$2:$A$1421,$A59,Documents!$C$2:$C$1421,"dive_map")=0,"",_xlfn.MAXIFS(Documents!$E$2:$E$1421,Documents!$A$2:$A$1421,$A59,Documents!$C$2:$C$1421,"dive_map")),"")</f>
        <v/>
      </c>
      <c r="I59">
        <f>IFERROR(IF(_xlfn.MAXIFS(Documents!$E$2:$E$1421,Documents!$A$2:$A$1421,$A59,Documents!$C$2:$C$1421,"spa_menu")=0,"",_xlfn.MAXIFS(Documents!$E$2:$E$1421,Documents!$A$2:$A$1421,$A59,Documents!$C$2:$C$1421,"spa_menu")),"")</f>
        <v/>
      </c>
      <c r="J59">
        <f>IFERROR(IF(_xlfn.MAXIFS(Documents!$E$2:$E$1421,Documents!$A$2:$A$1421,$A59,Documents!$C$2:$C$1421,"dining_menu")=0,"",_xlfn.MAXIFS(Documents!$E$2:$E$1421,Documents!$A$2:$A$1421,$A59,Documents!$C$2:$C$1421,"dining_menu")),"")</f>
        <v/>
      </c>
      <c r="K59">
        <f>IFERROR(IF(_xlfn.MAXIFS(Documents!$E$2:$E$1421,Documents!$A$2:$A$1421,$A59,Documents!$C$2:$C$1421,"dive_prices")=0,"",_xlfn.MAXIFS(Documents!$E$2:$E$1421,Documents!$A$2:$A$1421,$A59,Documents!$C$2:$C$1421,"dive_prices")),"")</f>
        <v/>
      </c>
      <c r="L59">
        <f>IFERROR(IF(_xlfn.MAXIFS(Documents!$E$2:$E$1421,Documents!$A$2:$A$1421,$A59,Documents!$C$2:$C$1421,"excursions")=0,"",_xlfn.MAXIFS(Documents!$E$2:$E$1421,Documents!$A$2:$A$1421,$A59,Documents!$C$2:$C$1421,"excursions")),"")</f>
        <v/>
      </c>
      <c r="M59">
        <f>IFERROR(IF(_xlfn.MAXIFS(Documents!$E$2:$E$1421,Documents!$A$2:$A$1421,$A59,Documents!$C$2:$C$1421,"kids")=0,"",_xlfn.MAXIFS(Documents!$E$2:$E$1421,Documents!$A$2:$A$1421,$A59,Documents!$C$2:$C$1421,"kids")),"")</f>
        <v/>
      </c>
      <c r="N59">
        <f>IFERROR(IF(_xlfn.MAXIFS(Documents!$E$2:$E$1421,Documents!$A$2:$A$1421,$A59,Documents!$C$2:$C$1421,"villa_plans")=0,"",_xlfn.MAXIFS(Documents!$E$2:$E$1421,Documents!$A$2:$A$1421,$A59,Documents!$C$2:$C$1421,"villa_plans")),"")</f>
        <v/>
      </c>
      <c r="O59">
        <f>IFERROR(IF(_xlfn.MAXIFS(Documents!$E$2:$E$1421,Documents!$A$2:$A$1421,$A59,Documents!$C$2:$C$1421,"all_inclusive")=0,"",_xlfn.MAXIFS(Documents!$E$2:$E$1421,Documents!$A$2:$A$1421,$A59,Documents!$C$2:$C$1421,"all_inclusive")),"")</f>
        <v/>
      </c>
      <c r="P59">
        <f>IFERROR(IF(_xlfn.MAXIFS(Documents!$E$2:$E$1421,Documents!$A$2:$A$1421,$A59,Documents!$C$2:$C$1421,"sustainability")=0,"",_xlfn.MAXIFS(Documents!$E$2:$E$1421,Documents!$A$2:$A$1421,$A59,Documents!$C$2:$C$1421,"sustainability")),"")</f>
        <v/>
      </c>
      <c r="Q59">
        <f>IFERROR(IF(_xlfn.MAXIFS(Documents!$E$2:$E$1421,Documents!$A$2:$A$1421,$A59,Documents!$C$2:$C$1421,"calendar")=0,"",_xlfn.MAXIFS(Documents!$E$2:$E$1421,Documents!$A$2:$A$1421,$A59,Documents!$C$2:$C$1421,"calendar")),"")</f>
        <v/>
      </c>
      <c r="R59">
        <f>IFERROR(IF(_xlfn.MAXIFS(Documents!$E$2:$E$1421,Documents!$A$2:$A$1421,$A59,Documents!$C$2:$C$1421,"brochure")=0,"",_xlfn.MAXIFS(Documents!$E$2:$E$1421,Documents!$A$2:$A$1421,$A59,Documents!$C$2:$C$1421,"brochure")),"")</f>
        <v/>
      </c>
      <c r="S59">
        <f>IFERROR(IF(_xlfn.MAXIFS(Documents!$E$2:$E$1421,Documents!$A$2:$A$1421,$A59,Documents!$C$2:$C$1421,"press_kit")=0,"",_xlfn.MAXIFS(Documents!$E$2:$E$1421,Documents!$A$2:$A$1421,$A59,Documents!$C$2:$C$1421,"press_kit")),"")</f>
        <v/>
      </c>
      <c r="T59">
        <f>IFERROR(IF(_xlfn.MAXIFS(Documents!$E$2:$E$1421,Documents!$A$2:$A$1421,$A59,Documents!$C$2:$C$1421,"other")=0,"",_xlfn.MAXIFS(Documents!$E$2:$E$1421,Documents!$A$2:$A$1421,$A59,Documents!$C$2:$C$1421,"other")),"")</f>
        <v/>
      </c>
      <c r="U59">
        <f>IFERROR(IF(_xlfn.MAXIFS(Documents!$E$2:$E$1421,Documents!$A$2:$A$1421,$A59,Documents!$C$2:$C$1421,"obsolete")=0,"",_xlfn.MAXIFS(Documents!$E$2:$E$1421,Documents!$A$2:$A$1421,$A59,Documents!$C$2:$C$1421,"obsolete")),"")</f>
        <v/>
      </c>
      <c r="V59">
        <f>COUNTIFS(Documents!$A$2:$A$1421,$A59)</f>
        <v/>
      </c>
      <c r="W59">
        <f>COUNTIFS(Documents!$A$2:$A$1421,$A59,Documents!$R$2:$R$1421,"current")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IFERROR(IF(_xlfn.MAXIFS(Documents!$E$2:$E$1421,Documents!$A$2:$A$1421,$A60,Documents!$C$2:$C$1421,"factsheet")=0,"",_xlfn.MAXIFS(Documents!$E$2:$E$1421,Documents!$A$2:$A$1421,$A60,Documents!$C$2:$C$1421,"factsheet")),"")</f>
        <v/>
      </c>
      <c r="E60">
        <f>IFERROR(IF(_xlfn.MAXIFS(Documents!$E$2:$E$1421,Documents!$A$2:$A$1421,$A60,Documents!$C$2:$C$1421,"wedding")=0,"",_xlfn.MAXIFS(Documents!$E$2:$E$1421,Documents!$A$2:$A$1421,$A60,Documents!$C$2:$C$1421,"wedding")),"")</f>
        <v/>
      </c>
      <c r="F60">
        <f>IFERROR(IF(_xlfn.MAXIFS(Documents!$E$2:$E$1421,Documents!$A$2:$A$1421,$A60,Documents!$C$2:$C$1421,"events")=0,"",_xlfn.MAXIFS(Documents!$E$2:$E$1421,Documents!$A$2:$A$1421,$A60,Documents!$C$2:$C$1421,"events")),"")</f>
        <v/>
      </c>
      <c r="G60">
        <f>IFERROR(IF(_xlfn.MAXIFS(Documents!$E$2:$E$1421,Documents!$A$2:$A$1421,$A60,Documents!$C$2:$C$1421,"map")=0,"",_xlfn.MAXIFS(Documents!$E$2:$E$1421,Documents!$A$2:$A$1421,$A60,Documents!$C$2:$C$1421,"map")),"")</f>
        <v/>
      </c>
      <c r="H60">
        <f>IFERROR(IF(_xlfn.MAXIFS(Documents!$E$2:$E$1421,Documents!$A$2:$A$1421,$A60,Documents!$C$2:$C$1421,"dive_map")=0,"",_xlfn.MAXIFS(Documents!$E$2:$E$1421,Documents!$A$2:$A$1421,$A60,Documents!$C$2:$C$1421,"dive_map")),"")</f>
        <v/>
      </c>
      <c r="I60">
        <f>IFERROR(IF(_xlfn.MAXIFS(Documents!$E$2:$E$1421,Documents!$A$2:$A$1421,$A60,Documents!$C$2:$C$1421,"spa_menu")=0,"",_xlfn.MAXIFS(Documents!$E$2:$E$1421,Documents!$A$2:$A$1421,$A60,Documents!$C$2:$C$1421,"spa_menu")),"")</f>
        <v/>
      </c>
      <c r="J60">
        <f>IFERROR(IF(_xlfn.MAXIFS(Documents!$E$2:$E$1421,Documents!$A$2:$A$1421,$A60,Documents!$C$2:$C$1421,"dining_menu")=0,"",_xlfn.MAXIFS(Documents!$E$2:$E$1421,Documents!$A$2:$A$1421,$A60,Documents!$C$2:$C$1421,"dining_menu")),"")</f>
        <v/>
      </c>
      <c r="K60">
        <f>IFERROR(IF(_xlfn.MAXIFS(Documents!$E$2:$E$1421,Documents!$A$2:$A$1421,$A60,Documents!$C$2:$C$1421,"dive_prices")=0,"",_xlfn.MAXIFS(Documents!$E$2:$E$1421,Documents!$A$2:$A$1421,$A60,Documents!$C$2:$C$1421,"dive_prices")),"")</f>
        <v/>
      </c>
      <c r="L60">
        <f>IFERROR(IF(_xlfn.MAXIFS(Documents!$E$2:$E$1421,Documents!$A$2:$A$1421,$A60,Documents!$C$2:$C$1421,"excursions")=0,"",_xlfn.MAXIFS(Documents!$E$2:$E$1421,Documents!$A$2:$A$1421,$A60,Documents!$C$2:$C$1421,"excursions")),"")</f>
        <v/>
      </c>
      <c r="M60">
        <f>IFERROR(IF(_xlfn.MAXIFS(Documents!$E$2:$E$1421,Documents!$A$2:$A$1421,$A60,Documents!$C$2:$C$1421,"kids")=0,"",_xlfn.MAXIFS(Documents!$E$2:$E$1421,Documents!$A$2:$A$1421,$A60,Documents!$C$2:$C$1421,"kids")),"")</f>
        <v/>
      </c>
      <c r="N60">
        <f>IFERROR(IF(_xlfn.MAXIFS(Documents!$E$2:$E$1421,Documents!$A$2:$A$1421,$A60,Documents!$C$2:$C$1421,"villa_plans")=0,"",_xlfn.MAXIFS(Documents!$E$2:$E$1421,Documents!$A$2:$A$1421,$A60,Documents!$C$2:$C$1421,"villa_plans")),"")</f>
        <v/>
      </c>
      <c r="O60">
        <f>IFERROR(IF(_xlfn.MAXIFS(Documents!$E$2:$E$1421,Documents!$A$2:$A$1421,$A60,Documents!$C$2:$C$1421,"all_inclusive")=0,"",_xlfn.MAXIFS(Documents!$E$2:$E$1421,Documents!$A$2:$A$1421,$A60,Documents!$C$2:$C$1421,"all_inclusive")),"")</f>
        <v/>
      </c>
      <c r="P60">
        <f>IFERROR(IF(_xlfn.MAXIFS(Documents!$E$2:$E$1421,Documents!$A$2:$A$1421,$A60,Documents!$C$2:$C$1421,"sustainability")=0,"",_xlfn.MAXIFS(Documents!$E$2:$E$1421,Documents!$A$2:$A$1421,$A60,Documents!$C$2:$C$1421,"sustainability")),"")</f>
        <v/>
      </c>
      <c r="Q60">
        <f>IFERROR(IF(_xlfn.MAXIFS(Documents!$E$2:$E$1421,Documents!$A$2:$A$1421,$A60,Documents!$C$2:$C$1421,"calendar")=0,"",_xlfn.MAXIFS(Documents!$E$2:$E$1421,Documents!$A$2:$A$1421,$A60,Documents!$C$2:$C$1421,"calendar")),"")</f>
        <v/>
      </c>
      <c r="R60">
        <f>IFERROR(IF(_xlfn.MAXIFS(Documents!$E$2:$E$1421,Documents!$A$2:$A$1421,$A60,Documents!$C$2:$C$1421,"brochure")=0,"",_xlfn.MAXIFS(Documents!$E$2:$E$1421,Documents!$A$2:$A$1421,$A60,Documents!$C$2:$C$1421,"brochure")),"")</f>
        <v/>
      </c>
      <c r="S60">
        <f>IFERROR(IF(_xlfn.MAXIFS(Documents!$E$2:$E$1421,Documents!$A$2:$A$1421,$A60,Documents!$C$2:$C$1421,"press_kit")=0,"",_xlfn.MAXIFS(Documents!$E$2:$E$1421,Documents!$A$2:$A$1421,$A60,Documents!$C$2:$C$1421,"press_kit")),"")</f>
        <v/>
      </c>
      <c r="T60">
        <f>IFERROR(IF(_xlfn.MAXIFS(Documents!$E$2:$E$1421,Documents!$A$2:$A$1421,$A60,Documents!$C$2:$C$1421,"other")=0,"",_xlfn.MAXIFS(Documents!$E$2:$E$1421,Documents!$A$2:$A$1421,$A60,Documents!$C$2:$C$1421,"other")),"")</f>
        <v/>
      </c>
      <c r="U60">
        <f>IFERROR(IF(_xlfn.MAXIFS(Documents!$E$2:$E$1421,Documents!$A$2:$A$1421,$A60,Documents!$C$2:$C$1421,"obsolete")=0,"",_xlfn.MAXIFS(Documents!$E$2:$E$1421,Documents!$A$2:$A$1421,$A60,Documents!$C$2:$C$1421,"obsolete")),"")</f>
        <v/>
      </c>
      <c r="V60">
        <f>COUNTIFS(Documents!$A$2:$A$1421,$A60)</f>
        <v/>
      </c>
      <c r="W60">
        <f>COUNTIFS(Documents!$A$2:$A$1421,$A60,Documents!$R$2:$R$1421,"current")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IFERROR(IF(_xlfn.MAXIFS(Documents!$E$2:$E$1421,Documents!$A$2:$A$1421,$A61,Documents!$C$2:$C$1421,"factsheet")=0,"",_xlfn.MAXIFS(Documents!$E$2:$E$1421,Documents!$A$2:$A$1421,$A61,Documents!$C$2:$C$1421,"factsheet")),"")</f>
        <v/>
      </c>
      <c r="E61">
        <f>IFERROR(IF(_xlfn.MAXIFS(Documents!$E$2:$E$1421,Documents!$A$2:$A$1421,$A61,Documents!$C$2:$C$1421,"wedding")=0,"",_xlfn.MAXIFS(Documents!$E$2:$E$1421,Documents!$A$2:$A$1421,$A61,Documents!$C$2:$C$1421,"wedding")),"")</f>
        <v/>
      </c>
      <c r="F61">
        <f>IFERROR(IF(_xlfn.MAXIFS(Documents!$E$2:$E$1421,Documents!$A$2:$A$1421,$A61,Documents!$C$2:$C$1421,"events")=0,"",_xlfn.MAXIFS(Documents!$E$2:$E$1421,Documents!$A$2:$A$1421,$A61,Documents!$C$2:$C$1421,"events")),"")</f>
        <v/>
      </c>
      <c r="G61">
        <f>IFERROR(IF(_xlfn.MAXIFS(Documents!$E$2:$E$1421,Documents!$A$2:$A$1421,$A61,Documents!$C$2:$C$1421,"map")=0,"",_xlfn.MAXIFS(Documents!$E$2:$E$1421,Documents!$A$2:$A$1421,$A61,Documents!$C$2:$C$1421,"map")),"")</f>
        <v/>
      </c>
      <c r="H61">
        <f>IFERROR(IF(_xlfn.MAXIFS(Documents!$E$2:$E$1421,Documents!$A$2:$A$1421,$A61,Documents!$C$2:$C$1421,"dive_map")=0,"",_xlfn.MAXIFS(Documents!$E$2:$E$1421,Documents!$A$2:$A$1421,$A61,Documents!$C$2:$C$1421,"dive_map")),"")</f>
        <v/>
      </c>
      <c r="I61">
        <f>IFERROR(IF(_xlfn.MAXIFS(Documents!$E$2:$E$1421,Documents!$A$2:$A$1421,$A61,Documents!$C$2:$C$1421,"spa_menu")=0,"",_xlfn.MAXIFS(Documents!$E$2:$E$1421,Documents!$A$2:$A$1421,$A61,Documents!$C$2:$C$1421,"spa_menu")),"")</f>
        <v/>
      </c>
      <c r="J61">
        <f>IFERROR(IF(_xlfn.MAXIFS(Documents!$E$2:$E$1421,Documents!$A$2:$A$1421,$A61,Documents!$C$2:$C$1421,"dining_menu")=0,"",_xlfn.MAXIFS(Documents!$E$2:$E$1421,Documents!$A$2:$A$1421,$A61,Documents!$C$2:$C$1421,"dining_menu")),"")</f>
        <v/>
      </c>
      <c r="K61">
        <f>IFERROR(IF(_xlfn.MAXIFS(Documents!$E$2:$E$1421,Documents!$A$2:$A$1421,$A61,Documents!$C$2:$C$1421,"dive_prices")=0,"",_xlfn.MAXIFS(Documents!$E$2:$E$1421,Documents!$A$2:$A$1421,$A61,Documents!$C$2:$C$1421,"dive_prices")),"")</f>
        <v/>
      </c>
      <c r="L61">
        <f>IFERROR(IF(_xlfn.MAXIFS(Documents!$E$2:$E$1421,Documents!$A$2:$A$1421,$A61,Documents!$C$2:$C$1421,"excursions")=0,"",_xlfn.MAXIFS(Documents!$E$2:$E$1421,Documents!$A$2:$A$1421,$A61,Documents!$C$2:$C$1421,"excursions")),"")</f>
        <v/>
      </c>
      <c r="M61">
        <f>IFERROR(IF(_xlfn.MAXIFS(Documents!$E$2:$E$1421,Documents!$A$2:$A$1421,$A61,Documents!$C$2:$C$1421,"kids")=0,"",_xlfn.MAXIFS(Documents!$E$2:$E$1421,Documents!$A$2:$A$1421,$A61,Documents!$C$2:$C$1421,"kids")),"")</f>
        <v/>
      </c>
      <c r="N61">
        <f>IFERROR(IF(_xlfn.MAXIFS(Documents!$E$2:$E$1421,Documents!$A$2:$A$1421,$A61,Documents!$C$2:$C$1421,"villa_plans")=0,"",_xlfn.MAXIFS(Documents!$E$2:$E$1421,Documents!$A$2:$A$1421,$A61,Documents!$C$2:$C$1421,"villa_plans")),"")</f>
        <v/>
      </c>
      <c r="O61">
        <f>IFERROR(IF(_xlfn.MAXIFS(Documents!$E$2:$E$1421,Documents!$A$2:$A$1421,$A61,Documents!$C$2:$C$1421,"all_inclusive")=0,"",_xlfn.MAXIFS(Documents!$E$2:$E$1421,Documents!$A$2:$A$1421,$A61,Documents!$C$2:$C$1421,"all_inclusive")),"")</f>
        <v/>
      </c>
      <c r="P61">
        <f>IFERROR(IF(_xlfn.MAXIFS(Documents!$E$2:$E$1421,Documents!$A$2:$A$1421,$A61,Documents!$C$2:$C$1421,"sustainability")=0,"",_xlfn.MAXIFS(Documents!$E$2:$E$1421,Documents!$A$2:$A$1421,$A61,Documents!$C$2:$C$1421,"sustainability")),"")</f>
        <v/>
      </c>
      <c r="Q61">
        <f>IFERROR(IF(_xlfn.MAXIFS(Documents!$E$2:$E$1421,Documents!$A$2:$A$1421,$A61,Documents!$C$2:$C$1421,"calendar")=0,"",_xlfn.MAXIFS(Documents!$E$2:$E$1421,Documents!$A$2:$A$1421,$A61,Documents!$C$2:$C$1421,"calendar")),"")</f>
        <v/>
      </c>
      <c r="R61">
        <f>IFERROR(IF(_xlfn.MAXIFS(Documents!$E$2:$E$1421,Documents!$A$2:$A$1421,$A61,Documents!$C$2:$C$1421,"brochure")=0,"",_xlfn.MAXIFS(Documents!$E$2:$E$1421,Documents!$A$2:$A$1421,$A61,Documents!$C$2:$C$1421,"brochure")),"")</f>
        <v/>
      </c>
      <c r="S61">
        <f>IFERROR(IF(_xlfn.MAXIFS(Documents!$E$2:$E$1421,Documents!$A$2:$A$1421,$A61,Documents!$C$2:$C$1421,"press_kit")=0,"",_xlfn.MAXIFS(Documents!$E$2:$E$1421,Documents!$A$2:$A$1421,$A61,Documents!$C$2:$C$1421,"press_kit")),"")</f>
        <v/>
      </c>
      <c r="T61">
        <f>IFERROR(IF(_xlfn.MAXIFS(Documents!$E$2:$E$1421,Documents!$A$2:$A$1421,$A61,Documents!$C$2:$C$1421,"other")=0,"",_xlfn.MAXIFS(Documents!$E$2:$E$1421,Documents!$A$2:$A$1421,$A61,Documents!$C$2:$C$1421,"other")),"")</f>
        <v/>
      </c>
      <c r="U61">
        <f>IFERROR(IF(_xlfn.MAXIFS(Documents!$E$2:$E$1421,Documents!$A$2:$A$1421,$A61,Documents!$C$2:$C$1421,"obsolete")=0,"",_xlfn.MAXIFS(Documents!$E$2:$E$1421,Documents!$A$2:$A$1421,$A61,Documents!$C$2:$C$1421,"obsolete")),"")</f>
        <v/>
      </c>
      <c r="V61">
        <f>COUNTIFS(Documents!$A$2:$A$1421,$A61)</f>
        <v/>
      </c>
      <c r="W61">
        <f>COUNTIFS(Documents!$A$2:$A$1421,$A61,Documents!$R$2:$R$1421,"current")</f>
        <v/>
      </c>
      <c r="X61" t="inlineStr"/>
      <c r="Y61" t="inlineStr">
        <is>
          <t>factsheet, wedding, events</t>
        </is>
      </c>
      <c r="Z61" t="inlineStr"/>
    </row>
    <row r="62">
      <c r="A62" t="n">
        <v>61</v>
      </c>
      <c r="B62" t="inlineStr">
        <is>
          <t>Equator Village</t>
        </is>
      </c>
      <c r="C62" t="inlineStr">
        <is>
          <t>ok</t>
        </is>
      </c>
      <c r="D62">
        <f>IFERROR(IF(_xlfn.MAXIFS(Documents!$E$2:$E$1421,Documents!$A$2:$A$1421,$A62,Documents!$C$2:$C$1421,"factsheet")=0,"",_xlfn.MAXIFS(Documents!$E$2:$E$1421,Documents!$A$2:$A$1421,$A62,Documents!$C$2:$C$1421,"factsheet")),"")</f>
        <v/>
      </c>
      <c r="E62">
        <f>IFERROR(IF(_xlfn.MAXIFS(Documents!$E$2:$E$1421,Documents!$A$2:$A$1421,$A62,Documents!$C$2:$C$1421,"wedding")=0,"",_xlfn.MAXIFS(Documents!$E$2:$E$1421,Documents!$A$2:$A$1421,$A62,Documents!$C$2:$C$1421,"wedding")),"")</f>
        <v/>
      </c>
      <c r="F62">
        <f>IFERROR(IF(_xlfn.MAXIFS(Documents!$E$2:$E$1421,Documents!$A$2:$A$1421,$A62,Documents!$C$2:$C$1421,"events")=0,"",_xlfn.MAXIFS(Documents!$E$2:$E$1421,Documents!$A$2:$A$1421,$A62,Documents!$C$2:$C$1421,"events")),"")</f>
        <v/>
      </c>
      <c r="G62">
        <f>IFERROR(IF(_xlfn.MAXIFS(Documents!$E$2:$E$1421,Documents!$A$2:$A$1421,$A62,Documents!$C$2:$C$1421,"map")=0,"",_xlfn.MAXIFS(Documents!$E$2:$E$1421,Documents!$A$2:$A$1421,$A62,Documents!$C$2:$C$1421,"map")),"")</f>
        <v/>
      </c>
      <c r="H62">
        <f>IFERROR(IF(_xlfn.MAXIFS(Documents!$E$2:$E$1421,Documents!$A$2:$A$1421,$A62,Documents!$C$2:$C$1421,"dive_map")=0,"",_xlfn.MAXIFS(Documents!$E$2:$E$1421,Documents!$A$2:$A$1421,$A62,Documents!$C$2:$C$1421,"dive_map")),"")</f>
        <v/>
      </c>
      <c r="I62">
        <f>IFERROR(IF(_xlfn.MAXIFS(Documents!$E$2:$E$1421,Documents!$A$2:$A$1421,$A62,Documents!$C$2:$C$1421,"spa_menu")=0,"",_xlfn.MAXIFS(Documents!$E$2:$E$1421,Documents!$A$2:$A$1421,$A62,Documents!$C$2:$C$1421,"spa_menu")),"")</f>
        <v/>
      </c>
      <c r="J62">
        <f>IFERROR(IF(_xlfn.MAXIFS(Documents!$E$2:$E$1421,Documents!$A$2:$A$1421,$A62,Documents!$C$2:$C$1421,"dining_menu")=0,"",_xlfn.MAXIFS(Documents!$E$2:$E$1421,Documents!$A$2:$A$1421,$A62,Documents!$C$2:$C$1421,"dining_menu")),"")</f>
        <v/>
      </c>
      <c r="K62">
        <f>IFERROR(IF(_xlfn.MAXIFS(Documents!$E$2:$E$1421,Documents!$A$2:$A$1421,$A62,Documents!$C$2:$C$1421,"dive_prices")=0,"",_xlfn.MAXIFS(Documents!$E$2:$E$1421,Documents!$A$2:$A$1421,$A62,Documents!$C$2:$C$1421,"dive_prices")),"")</f>
        <v/>
      </c>
      <c r="L62">
        <f>IFERROR(IF(_xlfn.MAXIFS(Documents!$E$2:$E$1421,Documents!$A$2:$A$1421,$A62,Documents!$C$2:$C$1421,"excursions")=0,"",_xlfn.MAXIFS(Documents!$E$2:$E$1421,Documents!$A$2:$A$1421,$A62,Documents!$C$2:$C$1421,"excursions")),"")</f>
        <v/>
      </c>
      <c r="M62">
        <f>IFERROR(IF(_xlfn.MAXIFS(Documents!$E$2:$E$1421,Documents!$A$2:$A$1421,$A62,Documents!$C$2:$C$1421,"kids")=0,"",_xlfn.MAXIFS(Documents!$E$2:$E$1421,Documents!$A$2:$A$1421,$A62,Documents!$C$2:$C$1421,"kids")),"")</f>
        <v/>
      </c>
      <c r="N62">
        <f>IFERROR(IF(_xlfn.MAXIFS(Documents!$E$2:$E$1421,Documents!$A$2:$A$1421,$A62,Documents!$C$2:$C$1421,"villa_plans")=0,"",_xlfn.MAXIFS(Documents!$E$2:$E$1421,Documents!$A$2:$A$1421,$A62,Documents!$C$2:$C$1421,"villa_plans")),"")</f>
        <v/>
      </c>
      <c r="O62">
        <f>IFERROR(IF(_xlfn.MAXIFS(Documents!$E$2:$E$1421,Documents!$A$2:$A$1421,$A62,Documents!$C$2:$C$1421,"all_inclusive")=0,"",_xlfn.MAXIFS(Documents!$E$2:$E$1421,Documents!$A$2:$A$1421,$A62,Documents!$C$2:$C$1421,"all_inclusive")),"")</f>
        <v/>
      </c>
      <c r="P62">
        <f>IFERROR(IF(_xlfn.MAXIFS(Documents!$E$2:$E$1421,Documents!$A$2:$A$1421,$A62,Documents!$C$2:$C$1421,"sustainability")=0,"",_xlfn.MAXIFS(Documents!$E$2:$E$1421,Documents!$A$2:$A$1421,$A62,Documents!$C$2:$C$1421,"sustainability")),"")</f>
        <v/>
      </c>
      <c r="Q62">
        <f>IFERROR(IF(_xlfn.MAXIFS(Documents!$E$2:$E$1421,Documents!$A$2:$A$1421,$A62,Documents!$C$2:$C$1421,"calendar")=0,"",_xlfn.MAXIFS(Documents!$E$2:$E$1421,Documents!$A$2:$A$1421,$A62,Documents!$C$2:$C$1421,"calendar")),"")</f>
        <v/>
      </c>
      <c r="R62">
        <f>IFERROR(IF(_xlfn.MAXIFS(Documents!$E$2:$E$1421,Documents!$A$2:$A$1421,$A62,Documents!$C$2:$C$1421,"brochure")=0,"",_xlfn.MAXIFS(Documents!$E$2:$E$1421,Documents!$A$2:$A$1421,$A62,Documents!$C$2:$C$1421,"brochure")),"")</f>
        <v/>
      </c>
      <c r="S62">
        <f>IFERROR(IF(_xlfn.MAXIFS(Documents!$E$2:$E$1421,Documents!$A$2:$A$1421,$A62,Documents!$C$2:$C$1421,"press_kit")=0,"",_xlfn.MAXIFS(Documents!$E$2:$E$1421,Documents!$A$2:$A$1421,$A62,Documents!$C$2:$C$1421,"press_kit")),"")</f>
        <v/>
      </c>
      <c r="T62">
        <f>IFERROR(IF(_xlfn.MAXIFS(Documents!$E$2:$E$1421,Documents!$A$2:$A$1421,$A62,Documents!$C$2:$C$1421,"other")=0,"",_xlfn.MAXIFS(Documents!$E$2:$E$1421,Documents!$A$2:$A$1421,$A62,Documents!$C$2:$C$1421,"other")),"")</f>
        <v/>
      </c>
      <c r="U62">
        <f>IFERROR(IF(_xlfn.MAXIFS(Documents!$E$2:$E$1421,Documents!$A$2:$A$1421,$A62,Documents!$C$2:$C$1421,"obsolete")=0,"",_xlfn.MAXIFS(Documents!$E$2:$E$1421,Documents!$A$2:$A$1421,$A62,Documents!$C$2:$C$1421,"obsolete")),"")</f>
        <v/>
      </c>
      <c r="V62">
        <f>COUNTIFS(Documents!$A$2:$A$1421,$A62)</f>
        <v/>
      </c>
      <c r="W62">
        <f>COUNTIFS(Documents!$A$2:$A$1421,$A62,Documents!$R$2:$R$1421,"current")</f>
        <v/>
      </c>
      <c r="X62" t="inlineStr"/>
      <c r="Y62" t="inlineStr">
        <is>
          <t>factsheet, wedding, events</t>
        </is>
      </c>
      <c r="Z62" t="inlineStr"/>
    </row>
    <row r="63">
      <c r="A63" t="n">
        <v>62</v>
      </c>
      <c r="B63" t="inlineStr">
        <is>
          <t>Cora Cora Maldives</t>
        </is>
      </c>
      <c r="C63" t="inlineStr">
        <is>
          <t>not crawled</t>
        </is>
      </c>
      <c r="D63">
        <f>IFERROR(IF(_xlfn.MAXIFS(Documents!$E$2:$E$1421,Documents!$A$2:$A$1421,$A63,Documents!$C$2:$C$1421,"factsheet")=0,"",_xlfn.MAXIFS(Documents!$E$2:$E$1421,Documents!$A$2:$A$1421,$A63,Documents!$C$2:$C$1421,"factsheet")),"")</f>
        <v/>
      </c>
      <c r="E63">
        <f>IFERROR(IF(_xlfn.MAXIFS(Documents!$E$2:$E$1421,Documents!$A$2:$A$1421,$A63,Documents!$C$2:$C$1421,"wedding")=0,"",_xlfn.MAXIFS(Documents!$E$2:$E$1421,Documents!$A$2:$A$1421,$A63,Documents!$C$2:$C$1421,"wedding")),"")</f>
        <v/>
      </c>
      <c r="F63">
        <f>IFERROR(IF(_xlfn.MAXIFS(Documents!$E$2:$E$1421,Documents!$A$2:$A$1421,$A63,Documents!$C$2:$C$1421,"events")=0,"",_xlfn.MAXIFS(Documents!$E$2:$E$1421,Documents!$A$2:$A$1421,$A63,Documents!$C$2:$C$1421,"events")),"")</f>
        <v/>
      </c>
      <c r="G63">
        <f>IFERROR(IF(_xlfn.MAXIFS(Documents!$E$2:$E$1421,Documents!$A$2:$A$1421,$A63,Documents!$C$2:$C$1421,"map")=0,"",_xlfn.MAXIFS(Documents!$E$2:$E$1421,Documents!$A$2:$A$1421,$A63,Documents!$C$2:$C$1421,"map")),"")</f>
        <v/>
      </c>
      <c r="H63">
        <f>IFERROR(IF(_xlfn.MAXIFS(Documents!$E$2:$E$1421,Documents!$A$2:$A$1421,$A63,Documents!$C$2:$C$1421,"dive_map")=0,"",_xlfn.MAXIFS(Documents!$E$2:$E$1421,Documents!$A$2:$A$1421,$A63,Documents!$C$2:$C$1421,"dive_map")),"")</f>
        <v/>
      </c>
      <c r="I63">
        <f>IFERROR(IF(_xlfn.MAXIFS(Documents!$E$2:$E$1421,Documents!$A$2:$A$1421,$A63,Documents!$C$2:$C$1421,"spa_menu")=0,"",_xlfn.MAXIFS(Documents!$E$2:$E$1421,Documents!$A$2:$A$1421,$A63,Documents!$C$2:$C$1421,"spa_menu")),"")</f>
        <v/>
      </c>
      <c r="J63">
        <f>IFERROR(IF(_xlfn.MAXIFS(Documents!$E$2:$E$1421,Documents!$A$2:$A$1421,$A63,Documents!$C$2:$C$1421,"dining_menu")=0,"",_xlfn.MAXIFS(Documents!$E$2:$E$1421,Documents!$A$2:$A$1421,$A63,Documents!$C$2:$C$1421,"dining_menu")),"")</f>
        <v/>
      </c>
      <c r="K63">
        <f>IFERROR(IF(_xlfn.MAXIFS(Documents!$E$2:$E$1421,Documents!$A$2:$A$1421,$A63,Documents!$C$2:$C$1421,"dive_prices")=0,"",_xlfn.MAXIFS(Documents!$E$2:$E$1421,Documents!$A$2:$A$1421,$A63,Documents!$C$2:$C$1421,"dive_prices")),"")</f>
        <v/>
      </c>
      <c r="L63">
        <f>IFERROR(IF(_xlfn.MAXIFS(Documents!$E$2:$E$1421,Documents!$A$2:$A$1421,$A63,Documents!$C$2:$C$1421,"excursions")=0,"",_xlfn.MAXIFS(Documents!$E$2:$E$1421,Documents!$A$2:$A$1421,$A63,Documents!$C$2:$C$1421,"excursions")),"")</f>
        <v/>
      </c>
      <c r="M63">
        <f>IFERROR(IF(_xlfn.MAXIFS(Documents!$E$2:$E$1421,Documents!$A$2:$A$1421,$A63,Documents!$C$2:$C$1421,"kids")=0,"",_xlfn.MAXIFS(Documents!$E$2:$E$1421,Documents!$A$2:$A$1421,$A63,Documents!$C$2:$C$1421,"kids")),"")</f>
        <v/>
      </c>
      <c r="N63">
        <f>IFERROR(IF(_xlfn.MAXIFS(Documents!$E$2:$E$1421,Documents!$A$2:$A$1421,$A63,Documents!$C$2:$C$1421,"villa_plans")=0,"",_xlfn.MAXIFS(Documents!$E$2:$E$1421,Documents!$A$2:$A$1421,$A63,Documents!$C$2:$C$1421,"villa_plans")),"")</f>
        <v/>
      </c>
      <c r="O63">
        <f>IFERROR(IF(_xlfn.MAXIFS(Documents!$E$2:$E$1421,Documents!$A$2:$A$1421,$A63,Documents!$C$2:$C$1421,"all_inclusive")=0,"",_xlfn.MAXIFS(Documents!$E$2:$E$1421,Documents!$A$2:$A$1421,$A63,Documents!$C$2:$C$1421,"all_inclusive")),"")</f>
        <v/>
      </c>
      <c r="P63">
        <f>IFERROR(IF(_xlfn.MAXIFS(Documents!$E$2:$E$1421,Documents!$A$2:$A$1421,$A63,Documents!$C$2:$C$1421,"sustainability")=0,"",_xlfn.MAXIFS(Documents!$E$2:$E$1421,Documents!$A$2:$A$1421,$A63,Documents!$C$2:$C$1421,"sustainability")),"")</f>
        <v/>
      </c>
      <c r="Q63">
        <f>IFERROR(IF(_xlfn.MAXIFS(Documents!$E$2:$E$1421,Documents!$A$2:$A$1421,$A63,Documents!$C$2:$C$1421,"calendar")=0,"",_xlfn.MAXIFS(Documents!$E$2:$E$1421,Documents!$A$2:$A$1421,$A63,Documents!$C$2:$C$1421,"calendar")),"")</f>
        <v/>
      </c>
      <c r="R63">
        <f>IFERROR(IF(_xlfn.MAXIFS(Documents!$E$2:$E$1421,Documents!$A$2:$A$1421,$A63,Documents!$C$2:$C$1421,"brochure")=0,"",_xlfn.MAXIFS(Documents!$E$2:$E$1421,Documents!$A$2:$A$1421,$A63,Documents!$C$2:$C$1421,"brochure")),"")</f>
        <v/>
      </c>
      <c r="S63">
        <f>IFERROR(IF(_xlfn.MAXIFS(Documents!$E$2:$E$1421,Documents!$A$2:$A$1421,$A63,Documents!$C$2:$C$1421,"press_kit")=0,"",_xlfn.MAXIFS(Documents!$E$2:$E$1421,Documents!$A$2:$A$1421,$A63,Documents!$C$2:$C$1421,"press_kit")),"")</f>
        <v/>
      </c>
      <c r="T63">
        <f>IFERROR(IF(_xlfn.MAXIFS(Documents!$E$2:$E$1421,Documents!$A$2:$A$1421,$A63,Documents!$C$2:$C$1421,"other")=0,"",_xlfn.MAXIFS(Documents!$E$2:$E$1421,Documents!$A$2:$A$1421,$A63,Documents!$C$2:$C$1421,"other")),"")</f>
        <v/>
      </c>
      <c r="U63">
        <f>IFERROR(IF(_xlfn.MAXIFS(Documents!$E$2:$E$1421,Documents!$A$2:$A$1421,$A63,Documents!$C$2:$C$1421,"obsolete")=0,"",_xlfn.MAXIFS(Documents!$E$2:$E$1421,Documents!$A$2:$A$1421,$A63,Documents!$C$2:$C$1421,"obsolete")),"")</f>
        <v/>
      </c>
      <c r="V63">
        <f>COUNTIFS(Documents!$A$2:$A$1421,$A63)</f>
        <v/>
      </c>
      <c r="W63">
        <f>COUNTIFS(Documents!$A$2:$A$1421,$A63,Documents!$R$2:$R$1421,"current")</f>
        <v/>
      </c>
      <c r="X63">
        <f>HYPERLINK("https://www.neoscapesmaldives.com/wp-content/uploads/CCM-Factsheet.pdf","2021_CCM-Factsheet.pdf")</f>
        <v/>
      </c>
      <c r="Y63" t="inlineStr">
        <is>
          <t>wedding, events</t>
        </is>
      </c>
      <c r="Z63" t="inlineStr"/>
    </row>
    <row r="64">
      <c r="A64" t="n">
        <v>63</v>
      </c>
      <c r="B64" t="inlineStr">
        <is>
          <t>Hondaafushi Island Resort</t>
        </is>
      </c>
      <c r="C64" t="inlineStr">
        <is>
          <t>ok</t>
        </is>
      </c>
      <c r="D64">
        <f>IFERROR(IF(_xlfn.MAXIFS(Documents!$E$2:$E$1421,Documents!$A$2:$A$1421,$A64,Documents!$C$2:$C$1421,"factsheet")=0,"",_xlfn.MAXIFS(Documents!$E$2:$E$1421,Documents!$A$2:$A$1421,$A64,Documents!$C$2:$C$1421,"factsheet")),"")</f>
        <v/>
      </c>
      <c r="E64">
        <f>IFERROR(IF(_xlfn.MAXIFS(Documents!$E$2:$E$1421,Documents!$A$2:$A$1421,$A64,Documents!$C$2:$C$1421,"wedding")=0,"",_xlfn.MAXIFS(Documents!$E$2:$E$1421,Documents!$A$2:$A$1421,$A64,Documents!$C$2:$C$1421,"wedding")),"")</f>
        <v/>
      </c>
      <c r="F64">
        <f>IFERROR(IF(_xlfn.MAXIFS(Documents!$E$2:$E$1421,Documents!$A$2:$A$1421,$A64,Documents!$C$2:$C$1421,"events")=0,"",_xlfn.MAXIFS(Documents!$E$2:$E$1421,Documents!$A$2:$A$1421,$A64,Documents!$C$2:$C$1421,"events")),"")</f>
        <v/>
      </c>
      <c r="G64">
        <f>IFERROR(IF(_xlfn.MAXIFS(Documents!$E$2:$E$1421,Documents!$A$2:$A$1421,$A64,Documents!$C$2:$C$1421,"map")=0,"",_xlfn.MAXIFS(Documents!$E$2:$E$1421,Documents!$A$2:$A$1421,$A64,Documents!$C$2:$C$1421,"map")),"")</f>
        <v/>
      </c>
      <c r="H64">
        <f>IFERROR(IF(_xlfn.MAXIFS(Documents!$E$2:$E$1421,Documents!$A$2:$A$1421,$A64,Documents!$C$2:$C$1421,"dive_map")=0,"",_xlfn.MAXIFS(Documents!$E$2:$E$1421,Documents!$A$2:$A$1421,$A64,Documents!$C$2:$C$1421,"dive_map")),"")</f>
        <v/>
      </c>
      <c r="I64">
        <f>IFERROR(IF(_xlfn.MAXIFS(Documents!$E$2:$E$1421,Documents!$A$2:$A$1421,$A64,Documents!$C$2:$C$1421,"spa_menu")=0,"",_xlfn.MAXIFS(Documents!$E$2:$E$1421,Documents!$A$2:$A$1421,$A64,Documents!$C$2:$C$1421,"spa_menu")),"")</f>
        <v/>
      </c>
      <c r="J64">
        <f>IFERROR(IF(_xlfn.MAXIFS(Documents!$E$2:$E$1421,Documents!$A$2:$A$1421,$A64,Documents!$C$2:$C$1421,"dining_menu")=0,"",_xlfn.MAXIFS(Documents!$E$2:$E$1421,Documents!$A$2:$A$1421,$A64,Documents!$C$2:$C$1421,"dining_menu")),"")</f>
        <v/>
      </c>
      <c r="K64">
        <f>IFERROR(IF(_xlfn.MAXIFS(Documents!$E$2:$E$1421,Documents!$A$2:$A$1421,$A64,Documents!$C$2:$C$1421,"dive_prices")=0,"",_xlfn.MAXIFS(Documents!$E$2:$E$1421,Documents!$A$2:$A$1421,$A64,Documents!$C$2:$C$1421,"dive_prices")),"")</f>
        <v/>
      </c>
      <c r="L64">
        <f>IFERROR(IF(_xlfn.MAXIFS(Documents!$E$2:$E$1421,Documents!$A$2:$A$1421,$A64,Documents!$C$2:$C$1421,"excursions")=0,"",_xlfn.MAXIFS(Documents!$E$2:$E$1421,Documents!$A$2:$A$1421,$A64,Documents!$C$2:$C$1421,"excursions")),"")</f>
        <v/>
      </c>
      <c r="M64">
        <f>IFERROR(IF(_xlfn.MAXIFS(Documents!$E$2:$E$1421,Documents!$A$2:$A$1421,$A64,Documents!$C$2:$C$1421,"kids")=0,"",_xlfn.MAXIFS(Documents!$E$2:$E$1421,Documents!$A$2:$A$1421,$A64,Documents!$C$2:$C$1421,"kids")),"")</f>
        <v/>
      </c>
      <c r="N64">
        <f>IFERROR(IF(_xlfn.MAXIFS(Documents!$E$2:$E$1421,Documents!$A$2:$A$1421,$A64,Documents!$C$2:$C$1421,"villa_plans")=0,"",_xlfn.MAXIFS(Documents!$E$2:$E$1421,Documents!$A$2:$A$1421,$A64,Documents!$C$2:$C$1421,"villa_plans")),"")</f>
        <v/>
      </c>
      <c r="O64">
        <f>IFERROR(IF(_xlfn.MAXIFS(Documents!$E$2:$E$1421,Documents!$A$2:$A$1421,$A64,Documents!$C$2:$C$1421,"all_inclusive")=0,"",_xlfn.MAXIFS(Documents!$E$2:$E$1421,Documents!$A$2:$A$1421,$A64,Documents!$C$2:$C$1421,"all_inclusive")),"")</f>
        <v/>
      </c>
      <c r="P64">
        <f>IFERROR(IF(_xlfn.MAXIFS(Documents!$E$2:$E$1421,Documents!$A$2:$A$1421,$A64,Documents!$C$2:$C$1421,"sustainability")=0,"",_xlfn.MAXIFS(Documents!$E$2:$E$1421,Documents!$A$2:$A$1421,$A64,Documents!$C$2:$C$1421,"sustainability")),"")</f>
        <v/>
      </c>
      <c r="Q64">
        <f>IFERROR(IF(_xlfn.MAXIFS(Documents!$E$2:$E$1421,Documents!$A$2:$A$1421,$A64,Documents!$C$2:$C$1421,"calendar")=0,"",_xlfn.MAXIFS(Documents!$E$2:$E$1421,Documents!$A$2:$A$1421,$A64,Documents!$C$2:$C$1421,"calendar")),"")</f>
        <v/>
      </c>
      <c r="R64">
        <f>IFERROR(IF(_xlfn.MAXIFS(Documents!$E$2:$E$1421,Documents!$A$2:$A$1421,$A64,Documents!$C$2:$C$1421,"brochure")=0,"",_xlfn.MAXIFS(Documents!$E$2:$E$1421,Documents!$A$2:$A$1421,$A64,Documents!$C$2:$C$1421,"brochure")),"")</f>
        <v/>
      </c>
      <c r="S64">
        <f>IFERROR(IF(_xlfn.MAXIFS(Documents!$E$2:$E$1421,Documents!$A$2:$A$1421,$A64,Documents!$C$2:$C$1421,"press_kit")=0,"",_xlfn.MAXIFS(Documents!$E$2:$E$1421,Documents!$A$2:$A$1421,$A64,Documents!$C$2:$C$1421,"press_kit")),"")</f>
        <v/>
      </c>
      <c r="T64">
        <f>IFERROR(IF(_xlfn.MAXIFS(Documents!$E$2:$E$1421,Documents!$A$2:$A$1421,$A64,Documents!$C$2:$C$1421,"other")=0,"",_xlfn.MAXIFS(Documents!$E$2:$E$1421,Documents!$A$2:$A$1421,$A64,Documents!$C$2:$C$1421,"other")),"")</f>
        <v/>
      </c>
      <c r="U64">
        <f>IFERROR(IF(_xlfn.MAXIFS(Documents!$E$2:$E$1421,Documents!$A$2:$A$1421,$A64,Documents!$C$2:$C$1421,"obsolete")=0,"",_xlfn.MAXIFS(Documents!$E$2:$E$1421,Documents!$A$2:$A$1421,$A64,Documents!$C$2:$C$1421,"obsolete")),"")</f>
        <v/>
      </c>
      <c r="V64">
        <f>COUNTIFS(Documents!$A$2:$A$1421,$A64)</f>
        <v/>
      </c>
      <c r="W64">
        <f>COUNTIFS(Documents!$A$2:$A$1421,$A64,Documents!$R$2:$R$1421,"current")</f>
        <v/>
      </c>
      <c r="X64" t="inlineStr"/>
      <c r="Y64" t="inlineStr">
        <is>
          <t>factsheet, wedding, events</t>
        </is>
      </c>
      <c r="Z64" t="inlineStr"/>
    </row>
    <row r="65">
      <c r="A65" t="n">
        <v>64</v>
      </c>
      <c r="B65" t="inlineStr">
        <is>
          <t>Radisson Blu Resort Maldives</t>
        </is>
      </c>
      <c r="C65" t="inlineStr">
        <is>
          <t>unverified</t>
        </is>
      </c>
      <c r="D65">
        <f>IFERROR(IF(_xlfn.MAXIFS(Documents!$E$2:$E$1421,Documents!$A$2:$A$1421,$A65,Documents!$C$2:$C$1421,"factsheet")=0,"",_xlfn.MAXIFS(Documents!$E$2:$E$1421,Documents!$A$2:$A$1421,$A65,Documents!$C$2:$C$1421,"factsheet")),"")</f>
        <v/>
      </c>
      <c r="E65">
        <f>IFERROR(IF(_xlfn.MAXIFS(Documents!$E$2:$E$1421,Documents!$A$2:$A$1421,$A65,Documents!$C$2:$C$1421,"wedding")=0,"",_xlfn.MAXIFS(Documents!$E$2:$E$1421,Documents!$A$2:$A$1421,$A65,Documents!$C$2:$C$1421,"wedding")),"")</f>
        <v/>
      </c>
      <c r="F65">
        <f>IFERROR(IF(_xlfn.MAXIFS(Documents!$E$2:$E$1421,Documents!$A$2:$A$1421,$A65,Documents!$C$2:$C$1421,"events")=0,"",_xlfn.MAXIFS(Documents!$E$2:$E$1421,Documents!$A$2:$A$1421,$A65,Documents!$C$2:$C$1421,"events")),"")</f>
        <v/>
      </c>
      <c r="G65">
        <f>IFERROR(IF(_xlfn.MAXIFS(Documents!$E$2:$E$1421,Documents!$A$2:$A$1421,$A65,Documents!$C$2:$C$1421,"map")=0,"",_xlfn.MAXIFS(Documents!$E$2:$E$1421,Documents!$A$2:$A$1421,$A65,Documents!$C$2:$C$1421,"map")),"")</f>
        <v/>
      </c>
      <c r="H65">
        <f>IFERROR(IF(_xlfn.MAXIFS(Documents!$E$2:$E$1421,Documents!$A$2:$A$1421,$A65,Documents!$C$2:$C$1421,"dive_map")=0,"",_xlfn.MAXIFS(Documents!$E$2:$E$1421,Documents!$A$2:$A$1421,$A65,Documents!$C$2:$C$1421,"dive_map")),"")</f>
        <v/>
      </c>
      <c r="I65">
        <f>IFERROR(IF(_xlfn.MAXIFS(Documents!$E$2:$E$1421,Documents!$A$2:$A$1421,$A65,Documents!$C$2:$C$1421,"spa_menu")=0,"",_xlfn.MAXIFS(Documents!$E$2:$E$1421,Documents!$A$2:$A$1421,$A65,Documents!$C$2:$C$1421,"spa_menu")),"")</f>
        <v/>
      </c>
      <c r="J65">
        <f>IFERROR(IF(_xlfn.MAXIFS(Documents!$E$2:$E$1421,Documents!$A$2:$A$1421,$A65,Documents!$C$2:$C$1421,"dining_menu")=0,"",_xlfn.MAXIFS(Documents!$E$2:$E$1421,Documents!$A$2:$A$1421,$A65,Documents!$C$2:$C$1421,"dining_menu")),"")</f>
        <v/>
      </c>
      <c r="K65">
        <f>IFERROR(IF(_xlfn.MAXIFS(Documents!$E$2:$E$1421,Documents!$A$2:$A$1421,$A65,Documents!$C$2:$C$1421,"dive_prices")=0,"",_xlfn.MAXIFS(Documents!$E$2:$E$1421,Documents!$A$2:$A$1421,$A65,Documents!$C$2:$C$1421,"dive_prices")),"")</f>
        <v/>
      </c>
      <c r="L65">
        <f>IFERROR(IF(_xlfn.MAXIFS(Documents!$E$2:$E$1421,Documents!$A$2:$A$1421,$A65,Documents!$C$2:$C$1421,"excursions")=0,"",_xlfn.MAXIFS(Documents!$E$2:$E$1421,Documents!$A$2:$A$1421,$A65,Documents!$C$2:$C$1421,"excursions")),"")</f>
        <v/>
      </c>
      <c r="M65">
        <f>IFERROR(IF(_xlfn.MAXIFS(Documents!$E$2:$E$1421,Documents!$A$2:$A$1421,$A65,Documents!$C$2:$C$1421,"kids")=0,"",_xlfn.MAXIFS(Documents!$E$2:$E$1421,Documents!$A$2:$A$1421,$A65,Documents!$C$2:$C$1421,"kids")),"")</f>
        <v/>
      </c>
      <c r="N65">
        <f>IFERROR(IF(_xlfn.MAXIFS(Documents!$E$2:$E$1421,Documents!$A$2:$A$1421,$A65,Documents!$C$2:$C$1421,"villa_plans")=0,"",_xlfn.MAXIFS(Documents!$E$2:$E$1421,Documents!$A$2:$A$1421,$A65,Documents!$C$2:$C$1421,"villa_plans")),"")</f>
        <v/>
      </c>
      <c r="O65">
        <f>IFERROR(IF(_xlfn.MAXIFS(Documents!$E$2:$E$1421,Documents!$A$2:$A$1421,$A65,Documents!$C$2:$C$1421,"all_inclusive")=0,"",_xlfn.MAXIFS(Documents!$E$2:$E$1421,Documents!$A$2:$A$1421,$A65,Documents!$C$2:$C$1421,"all_inclusive")),"")</f>
        <v/>
      </c>
      <c r="P65">
        <f>IFERROR(IF(_xlfn.MAXIFS(Documents!$E$2:$E$1421,Documents!$A$2:$A$1421,$A65,Documents!$C$2:$C$1421,"sustainability")=0,"",_xlfn.MAXIFS(Documents!$E$2:$E$1421,Documents!$A$2:$A$1421,$A65,Documents!$C$2:$C$1421,"sustainability")),"")</f>
        <v/>
      </c>
      <c r="Q65">
        <f>IFERROR(IF(_xlfn.MAXIFS(Documents!$E$2:$E$1421,Documents!$A$2:$A$1421,$A65,Documents!$C$2:$C$1421,"calendar")=0,"",_xlfn.MAXIFS(Documents!$E$2:$E$1421,Documents!$A$2:$A$1421,$A65,Documents!$C$2:$C$1421,"calendar")),"")</f>
        <v/>
      </c>
      <c r="R65">
        <f>IFERROR(IF(_xlfn.MAXIFS(Documents!$E$2:$E$1421,Documents!$A$2:$A$1421,$A65,Documents!$C$2:$C$1421,"brochure")=0,"",_xlfn.MAXIFS(Documents!$E$2:$E$1421,Documents!$A$2:$A$1421,$A65,Documents!$C$2:$C$1421,"brochure")),"")</f>
        <v/>
      </c>
      <c r="S65">
        <f>IFERROR(IF(_xlfn.MAXIFS(Documents!$E$2:$E$1421,Documents!$A$2:$A$1421,$A65,Documents!$C$2:$C$1421,"press_kit")=0,"",_xlfn.MAXIFS(Documents!$E$2:$E$1421,Documents!$A$2:$A$1421,$A65,Documents!$C$2:$C$1421,"press_kit")),"")</f>
        <v/>
      </c>
      <c r="T65">
        <f>IFERROR(IF(_xlfn.MAXIFS(Documents!$E$2:$E$1421,Documents!$A$2:$A$1421,$A65,Documents!$C$2:$C$1421,"other")=0,"",_xlfn.MAXIFS(Documents!$E$2:$E$1421,Documents!$A$2:$A$1421,$A65,Documents!$C$2:$C$1421,"other")),"")</f>
        <v/>
      </c>
      <c r="U65">
        <f>IFERROR(IF(_xlfn.MAXIFS(Documents!$E$2:$E$1421,Documents!$A$2:$A$1421,$A65,Documents!$C$2:$C$1421,"obsolete")=0,"",_xlfn.MAXIFS(Documents!$E$2:$E$1421,Documents!$A$2:$A$1421,$A65,Documents!$C$2:$C$1421,"obsolete")),"")</f>
        <v/>
      </c>
      <c r="V65">
        <f>COUNTIFS(Documents!$A$2:$A$1421,$A65)</f>
        <v/>
      </c>
      <c r="W65">
        <f>COUNTIFS(Documents!$A$2:$A$1421,$A65,Documents!$R$2:$R$1421,"current")</f>
        <v/>
      </c>
      <c r="X65" t="inlineStr"/>
      <c r="Y65" t="inlineStr">
        <is>
          <t>factsheet, wedding, events</t>
        </is>
      </c>
      <c r="Z65" t="inlineStr"/>
    </row>
    <row r="66">
      <c r="A66" t="n">
        <v>65</v>
      </c>
      <c r="B66" t="inlineStr">
        <is>
          <t>Cheval Blanc Randheli</t>
        </is>
      </c>
      <c r="C66" t="inlineStr">
        <is>
          <t>ok</t>
        </is>
      </c>
      <c r="D66">
        <f>IFERROR(IF(_xlfn.MAXIFS(Documents!$E$2:$E$1421,Documents!$A$2:$A$1421,$A66,Documents!$C$2:$C$1421,"factsheet")=0,"",_xlfn.MAXIFS(Documents!$E$2:$E$1421,Documents!$A$2:$A$1421,$A66,Documents!$C$2:$C$1421,"factsheet")),"")</f>
        <v/>
      </c>
      <c r="E66">
        <f>IFERROR(IF(_xlfn.MAXIFS(Documents!$E$2:$E$1421,Documents!$A$2:$A$1421,$A66,Documents!$C$2:$C$1421,"wedding")=0,"",_xlfn.MAXIFS(Documents!$E$2:$E$1421,Documents!$A$2:$A$1421,$A66,Documents!$C$2:$C$1421,"wedding")),"")</f>
        <v/>
      </c>
      <c r="F66">
        <f>IFERROR(IF(_xlfn.MAXIFS(Documents!$E$2:$E$1421,Documents!$A$2:$A$1421,$A66,Documents!$C$2:$C$1421,"events")=0,"",_xlfn.MAXIFS(Documents!$E$2:$E$1421,Documents!$A$2:$A$1421,$A66,Documents!$C$2:$C$1421,"events")),"")</f>
        <v/>
      </c>
      <c r="G66">
        <f>IFERROR(IF(_xlfn.MAXIFS(Documents!$E$2:$E$1421,Documents!$A$2:$A$1421,$A66,Documents!$C$2:$C$1421,"map")=0,"",_xlfn.MAXIFS(Documents!$E$2:$E$1421,Documents!$A$2:$A$1421,$A66,Documents!$C$2:$C$1421,"map")),"")</f>
        <v/>
      </c>
      <c r="H66">
        <f>IFERROR(IF(_xlfn.MAXIFS(Documents!$E$2:$E$1421,Documents!$A$2:$A$1421,$A66,Documents!$C$2:$C$1421,"dive_map")=0,"",_xlfn.MAXIFS(Documents!$E$2:$E$1421,Documents!$A$2:$A$1421,$A66,Documents!$C$2:$C$1421,"dive_map")),"")</f>
        <v/>
      </c>
      <c r="I66">
        <f>IFERROR(IF(_xlfn.MAXIFS(Documents!$E$2:$E$1421,Documents!$A$2:$A$1421,$A66,Documents!$C$2:$C$1421,"spa_menu")=0,"",_xlfn.MAXIFS(Documents!$E$2:$E$1421,Documents!$A$2:$A$1421,$A66,Documents!$C$2:$C$1421,"spa_menu")),"")</f>
        <v/>
      </c>
      <c r="J66">
        <f>IFERROR(IF(_xlfn.MAXIFS(Documents!$E$2:$E$1421,Documents!$A$2:$A$1421,$A66,Documents!$C$2:$C$1421,"dining_menu")=0,"",_xlfn.MAXIFS(Documents!$E$2:$E$1421,Documents!$A$2:$A$1421,$A66,Documents!$C$2:$C$1421,"dining_menu")),"")</f>
        <v/>
      </c>
      <c r="K66">
        <f>IFERROR(IF(_xlfn.MAXIFS(Documents!$E$2:$E$1421,Documents!$A$2:$A$1421,$A66,Documents!$C$2:$C$1421,"dive_prices")=0,"",_xlfn.MAXIFS(Documents!$E$2:$E$1421,Documents!$A$2:$A$1421,$A66,Documents!$C$2:$C$1421,"dive_prices")),"")</f>
        <v/>
      </c>
      <c r="L66">
        <f>IFERROR(IF(_xlfn.MAXIFS(Documents!$E$2:$E$1421,Documents!$A$2:$A$1421,$A66,Documents!$C$2:$C$1421,"excursions")=0,"",_xlfn.MAXIFS(Documents!$E$2:$E$1421,Documents!$A$2:$A$1421,$A66,Documents!$C$2:$C$1421,"excursions")),"")</f>
        <v/>
      </c>
      <c r="M66">
        <f>IFERROR(IF(_xlfn.MAXIFS(Documents!$E$2:$E$1421,Documents!$A$2:$A$1421,$A66,Documents!$C$2:$C$1421,"kids")=0,"",_xlfn.MAXIFS(Documents!$E$2:$E$1421,Documents!$A$2:$A$1421,$A66,Documents!$C$2:$C$1421,"kids")),"")</f>
        <v/>
      </c>
      <c r="N66">
        <f>IFERROR(IF(_xlfn.MAXIFS(Documents!$E$2:$E$1421,Documents!$A$2:$A$1421,$A66,Documents!$C$2:$C$1421,"villa_plans")=0,"",_xlfn.MAXIFS(Documents!$E$2:$E$1421,Documents!$A$2:$A$1421,$A66,Documents!$C$2:$C$1421,"villa_plans")),"")</f>
        <v/>
      </c>
      <c r="O66">
        <f>IFERROR(IF(_xlfn.MAXIFS(Documents!$E$2:$E$1421,Documents!$A$2:$A$1421,$A66,Documents!$C$2:$C$1421,"all_inclusive")=0,"",_xlfn.MAXIFS(Documents!$E$2:$E$1421,Documents!$A$2:$A$1421,$A66,Documents!$C$2:$C$1421,"all_inclusive")),"")</f>
        <v/>
      </c>
      <c r="P66">
        <f>IFERROR(IF(_xlfn.MAXIFS(Documents!$E$2:$E$1421,Documents!$A$2:$A$1421,$A66,Documents!$C$2:$C$1421,"sustainability")=0,"",_xlfn.MAXIFS(Documents!$E$2:$E$1421,Documents!$A$2:$A$1421,$A66,Documents!$C$2:$C$1421,"sustainability")),"")</f>
        <v/>
      </c>
      <c r="Q66">
        <f>IFERROR(IF(_xlfn.MAXIFS(Documents!$E$2:$E$1421,Documents!$A$2:$A$1421,$A66,Documents!$C$2:$C$1421,"calendar")=0,"",_xlfn.MAXIFS(Documents!$E$2:$E$1421,Documents!$A$2:$A$1421,$A66,Documents!$C$2:$C$1421,"calendar")),"")</f>
        <v/>
      </c>
      <c r="R66">
        <f>IFERROR(IF(_xlfn.MAXIFS(Documents!$E$2:$E$1421,Documents!$A$2:$A$1421,$A66,Documents!$C$2:$C$1421,"brochure")=0,"",_xlfn.MAXIFS(Documents!$E$2:$E$1421,Documents!$A$2:$A$1421,$A66,Documents!$C$2:$C$1421,"brochure")),"")</f>
        <v/>
      </c>
      <c r="S66">
        <f>IFERROR(IF(_xlfn.MAXIFS(Documents!$E$2:$E$1421,Documents!$A$2:$A$1421,$A66,Documents!$C$2:$C$1421,"press_kit")=0,"",_xlfn.MAXIFS(Documents!$E$2:$E$1421,Documents!$A$2:$A$1421,$A66,Documents!$C$2:$C$1421,"press_kit")),"")</f>
        <v/>
      </c>
      <c r="T66">
        <f>IFERROR(IF(_xlfn.MAXIFS(Documents!$E$2:$E$1421,Documents!$A$2:$A$1421,$A66,Documents!$C$2:$C$1421,"other")=0,"",_xlfn.MAXIFS(Documents!$E$2:$E$1421,Documents!$A$2:$A$1421,$A66,Documents!$C$2:$C$1421,"other")),"")</f>
        <v/>
      </c>
      <c r="U66">
        <f>IFERROR(IF(_xlfn.MAXIFS(Documents!$E$2:$E$1421,Documents!$A$2:$A$1421,$A66,Documents!$C$2:$C$1421,"obsolete")=0,"",_xlfn.MAXIFS(Documents!$E$2:$E$1421,Documents!$A$2:$A$1421,$A66,Documents!$C$2:$C$1421,"obsolete")),"")</f>
        <v/>
      </c>
      <c r="V66">
        <f>COUNTIFS(Documents!$A$2:$A$1421,$A66)</f>
        <v/>
      </c>
      <c r="W66">
        <f>COUNTIFS(Documents!$A$2:$A$1421,$A66,Documents!$R$2:$R$1421,"current")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IFERROR(IF(_xlfn.MAXIFS(Documents!$E$2:$E$1421,Documents!$A$2:$A$1421,$A67,Documents!$C$2:$C$1421,"factsheet")=0,"",_xlfn.MAXIFS(Documents!$E$2:$E$1421,Documents!$A$2:$A$1421,$A67,Documents!$C$2:$C$1421,"factsheet")),"")</f>
        <v/>
      </c>
      <c r="E67">
        <f>IFERROR(IF(_xlfn.MAXIFS(Documents!$E$2:$E$1421,Documents!$A$2:$A$1421,$A67,Documents!$C$2:$C$1421,"wedding")=0,"",_xlfn.MAXIFS(Documents!$E$2:$E$1421,Documents!$A$2:$A$1421,$A67,Documents!$C$2:$C$1421,"wedding")),"")</f>
        <v/>
      </c>
      <c r="F67">
        <f>IFERROR(IF(_xlfn.MAXIFS(Documents!$E$2:$E$1421,Documents!$A$2:$A$1421,$A67,Documents!$C$2:$C$1421,"events")=0,"",_xlfn.MAXIFS(Documents!$E$2:$E$1421,Documents!$A$2:$A$1421,$A67,Documents!$C$2:$C$1421,"events")),"")</f>
        <v/>
      </c>
      <c r="G67">
        <f>IFERROR(IF(_xlfn.MAXIFS(Documents!$E$2:$E$1421,Documents!$A$2:$A$1421,$A67,Documents!$C$2:$C$1421,"map")=0,"",_xlfn.MAXIFS(Documents!$E$2:$E$1421,Documents!$A$2:$A$1421,$A67,Documents!$C$2:$C$1421,"map")),"")</f>
        <v/>
      </c>
      <c r="H67">
        <f>IFERROR(IF(_xlfn.MAXIFS(Documents!$E$2:$E$1421,Documents!$A$2:$A$1421,$A67,Documents!$C$2:$C$1421,"dive_map")=0,"",_xlfn.MAXIFS(Documents!$E$2:$E$1421,Documents!$A$2:$A$1421,$A67,Documents!$C$2:$C$1421,"dive_map")),"")</f>
        <v/>
      </c>
      <c r="I67">
        <f>IFERROR(IF(_xlfn.MAXIFS(Documents!$E$2:$E$1421,Documents!$A$2:$A$1421,$A67,Documents!$C$2:$C$1421,"spa_menu")=0,"",_xlfn.MAXIFS(Documents!$E$2:$E$1421,Documents!$A$2:$A$1421,$A67,Documents!$C$2:$C$1421,"spa_menu")),"")</f>
        <v/>
      </c>
      <c r="J67">
        <f>IFERROR(IF(_xlfn.MAXIFS(Documents!$E$2:$E$1421,Documents!$A$2:$A$1421,$A67,Documents!$C$2:$C$1421,"dining_menu")=0,"",_xlfn.MAXIFS(Documents!$E$2:$E$1421,Documents!$A$2:$A$1421,$A67,Documents!$C$2:$C$1421,"dining_menu")),"")</f>
        <v/>
      </c>
      <c r="K67">
        <f>IFERROR(IF(_xlfn.MAXIFS(Documents!$E$2:$E$1421,Documents!$A$2:$A$1421,$A67,Documents!$C$2:$C$1421,"dive_prices")=0,"",_xlfn.MAXIFS(Documents!$E$2:$E$1421,Documents!$A$2:$A$1421,$A67,Documents!$C$2:$C$1421,"dive_prices")),"")</f>
        <v/>
      </c>
      <c r="L67">
        <f>IFERROR(IF(_xlfn.MAXIFS(Documents!$E$2:$E$1421,Documents!$A$2:$A$1421,$A67,Documents!$C$2:$C$1421,"excursions")=0,"",_xlfn.MAXIFS(Documents!$E$2:$E$1421,Documents!$A$2:$A$1421,$A67,Documents!$C$2:$C$1421,"excursions")),"")</f>
        <v/>
      </c>
      <c r="M67">
        <f>IFERROR(IF(_xlfn.MAXIFS(Documents!$E$2:$E$1421,Documents!$A$2:$A$1421,$A67,Documents!$C$2:$C$1421,"kids")=0,"",_xlfn.MAXIFS(Documents!$E$2:$E$1421,Documents!$A$2:$A$1421,$A67,Documents!$C$2:$C$1421,"kids")),"")</f>
        <v/>
      </c>
      <c r="N67">
        <f>IFERROR(IF(_xlfn.MAXIFS(Documents!$E$2:$E$1421,Documents!$A$2:$A$1421,$A67,Documents!$C$2:$C$1421,"villa_plans")=0,"",_xlfn.MAXIFS(Documents!$E$2:$E$1421,Documents!$A$2:$A$1421,$A67,Documents!$C$2:$C$1421,"villa_plans")),"")</f>
        <v/>
      </c>
      <c r="O67">
        <f>IFERROR(IF(_xlfn.MAXIFS(Documents!$E$2:$E$1421,Documents!$A$2:$A$1421,$A67,Documents!$C$2:$C$1421,"all_inclusive")=0,"",_xlfn.MAXIFS(Documents!$E$2:$E$1421,Documents!$A$2:$A$1421,$A67,Documents!$C$2:$C$1421,"all_inclusive")),"")</f>
        <v/>
      </c>
      <c r="P67">
        <f>IFERROR(IF(_xlfn.MAXIFS(Documents!$E$2:$E$1421,Documents!$A$2:$A$1421,$A67,Documents!$C$2:$C$1421,"sustainability")=0,"",_xlfn.MAXIFS(Documents!$E$2:$E$1421,Documents!$A$2:$A$1421,$A67,Documents!$C$2:$C$1421,"sustainability")),"")</f>
        <v/>
      </c>
      <c r="Q67">
        <f>IFERROR(IF(_xlfn.MAXIFS(Documents!$E$2:$E$1421,Documents!$A$2:$A$1421,$A67,Documents!$C$2:$C$1421,"calendar")=0,"",_xlfn.MAXIFS(Documents!$E$2:$E$1421,Documents!$A$2:$A$1421,$A67,Documents!$C$2:$C$1421,"calendar")),"")</f>
        <v/>
      </c>
      <c r="R67">
        <f>IFERROR(IF(_xlfn.MAXIFS(Documents!$E$2:$E$1421,Documents!$A$2:$A$1421,$A67,Documents!$C$2:$C$1421,"brochure")=0,"",_xlfn.MAXIFS(Documents!$E$2:$E$1421,Documents!$A$2:$A$1421,$A67,Documents!$C$2:$C$1421,"brochure")),"")</f>
        <v/>
      </c>
      <c r="S67">
        <f>IFERROR(IF(_xlfn.MAXIFS(Documents!$E$2:$E$1421,Documents!$A$2:$A$1421,$A67,Documents!$C$2:$C$1421,"press_kit")=0,"",_xlfn.MAXIFS(Documents!$E$2:$E$1421,Documents!$A$2:$A$1421,$A67,Documents!$C$2:$C$1421,"press_kit")),"")</f>
        <v/>
      </c>
      <c r="T67">
        <f>IFERROR(IF(_xlfn.MAXIFS(Documents!$E$2:$E$1421,Documents!$A$2:$A$1421,$A67,Documents!$C$2:$C$1421,"other")=0,"",_xlfn.MAXIFS(Documents!$E$2:$E$1421,Documents!$A$2:$A$1421,$A67,Documents!$C$2:$C$1421,"other")),"")</f>
        <v/>
      </c>
      <c r="U67">
        <f>IFERROR(IF(_xlfn.MAXIFS(Documents!$E$2:$E$1421,Documents!$A$2:$A$1421,$A67,Documents!$C$2:$C$1421,"obsolete")=0,"",_xlfn.MAXIFS(Documents!$E$2:$E$1421,Documents!$A$2:$A$1421,$A67,Documents!$C$2:$C$1421,"obsolete")),"")</f>
        <v/>
      </c>
      <c r="V67">
        <f>COUNTIFS(Documents!$A$2:$A$1421,$A67)</f>
        <v/>
      </c>
      <c r="W67">
        <f>COUNTIFS(Documents!$A$2:$A$1421,$A67,Documents!$R$2:$R$1421,"current")</f>
        <v/>
      </c>
      <c r="X67">
        <f>HYPERLINK("https://neoscapesmaldives.com/wp-content/uploads/COMO-Maalifushi-Fact-Sheet.pdf","2019_COMO-Maalifushi-Fact-Sheet.pdf")</f>
        <v/>
      </c>
      <c r="Y67" t="inlineStr">
        <is>
          <t>wedding, events</t>
        </is>
      </c>
      <c r="Z67" t="inlineStr"/>
    </row>
    <row r="68">
      <c r="A68" t="n">
        <v>67</v>
      </c>
      <c r="B68" t="inlineStr">
        <is>
          <t>Waldorf Astoria Maldives Ithaafushi</t>
        </is>
      </c>
      <c r="C68" t="inlineStr">
        <is>
          <t>not crawled</t>
        </is>
      </c>
      <c r="D68">
        <f>IFERROR(IF(_xlfn.MAXIFS(Documents!$E$2:$E$1421,Documents!$A$2:$A$1421,$A68,Documents!$C$2:$C$1421,"factsheet")=0,"",_xlfn.MAXIFS(Documents!$E$2:$E$1421,Documents!$A$2:$A$1421,$A68,Documents!$C$2:$C$1421,"factsheet")),"")</f>
        <v/>
      </c>
      <c r="E68">
        <f>IFERROR(IF(_xlfn.MAXIFS(Documents!$E$2:$E$1421,Documents!$A$2:$A$1421,$A68,Documents!$C$2:$C$1421,"wedding")=0,"",_xlfn.MAXIFS(Documents!$E$2:$E$1421,Documents!$A$2:$A$1421,$A68,Documents!$C$2:$C$1421,"wedding")),"")</f>
        <v/>
      </c>
      <c r="F68">
        <f>IFERROR(IF(_xlfn.MAXIFS(Documents!$E$2:$E$1421,Documents!$A$2:$A$1421,$A68,Documents!$C$2:$C$1421,"events")=0,"",_xlfn.MAXIFS(Documents!$E$2:$E$1421,Documents!$A$2:$A$1421,$A68,Documents!$C$2:$C$1421,"events")),"")</f>
        <v/>
      </c>
      <c r="G68">
        <f>IFERROR(IF(_xlfn.MAXIFS(Documents!$E$2:$E$1421,Documents!$A$2:$A$1421,$A68,Documents!$C$2:$C$1421,"map")=0,"",_xlfn.MAXIFS(Documents!$E$2:$E$1421,Documents!$A$2:$A$1421,$A68,Documents!$C$2:$C$1421,"map")),"")</f>
        <v/>
      </c>
      <c r="H68">
        <f>IFERROR(IF(_xlfn.MAXIFS(Documents!$E$2:$E$1421,Documents!$A$2:$A$1421,$A68,Documents!$C$2:$C$1421,"dive_map")=0,"",_xlfn.MAXIFS(Documents!$E$2:$E$1421,Documents!$A$2:$A$1421,$A68,Documents!$C$2:$C$1421,"dive_map")),"")</f>
        <v/>
      </c>
      <c r="I68">
        <f>IFERROR(IF(_xlfn.MAXIFS(Documents!$E$2:$E$1421,Documents!$A$2:$A$1421,$A68,Documents!$C$2:$C$1421,"spa_menu")=0,"",_xlfn.MAXIFS(Documents!$E$2:$E$1421,Documents!$A$2:$A$1421,$A68,Documents!$C$2:$C$1421,"spa_menu")),"")</f>
        <v/>
      </c>
      <c r="J68">
        <f>IFERROR(IF(_xlfn.MAXIFS(Documents!$E$2:$E$1421,Documents!$A$2:$A$1421,$A68,Documents!$C$2:$C$1421,"dining_menu")=0,"",_xlfn.MAXIFS(Documents!$E$2:$E$1421,Documents!$A$2:$A$1421,$A68,Documents!$C$2:$C$1421,"dining_menu")),"")</f>
        <v/>
      </c>
      <c r="K68">
        <f>IFERROR(IF(_xlfn.MAXIFS(Documents!$E$2:$E$1421,Documents!$A$2:$A$1421,$A68,Documents!$C$2:$C$1421,"dive_prices")=0,"",_xlfn.MAXIFS(Documents!$E$2:$E$1421,Documents!$A$2:$A$1421,$A68,Documents!$C$2:$C$1421,"dive_prices")),"")</f>
        <v/>
      </c>
      <c r="L68">
        <f>IFERROR(IF(_xlfn.MAXIFS(Documents!$E$2:$E$1421,Documents!$A$2:$A$1421,$A68,Documents!$C$2:$C$1421,"excursions")=0,"",_xlfn.MAXIFS(Documents!$E$2:$E$1421,Documents!$A$2:$A$1421,$A68,Documents!$C$2:$C$1421,"excursions")),"")</f>
        <v/>
      </c>
      <c r="M68">
        <f>IFERROR(IF(_xlfn.MAXIFS(Documents!$E$2:$E$1421,Documents!$A$2:$A$1421,$A68,Documents!$C$2:$C$1421,"kids")=0,"",_xlfn.MAXIFS(Documents!$E$2:$E$1421,Documents!$A$2:$A$1421,$A68,Documents!$C$2:$C$1421,"kids")),"")</f>
        <v/>
      </c>
      <c r="N68">
        <f>IFERROR(IF(_xlfn.MAXIFS(Documents!$E$2:$E$1421,Documents!$A$2:$A$1421,$A68,Documents!$C$2:$C$1421,"villa_plans")=0,"",_xlfn.MAXIFS(Documents!$E$2:$E$1421,Documents!$A$2:$A$1421,$A68,Documents!$C$2:$C$1421,"villa_plans")),"")</f>
        <v/>
      </c>
      <c r="O68">
        <f>IFERROR(IF(_xlfn.MAXIFS(Documents!$E$2:$E$1421,Documents!$A$2:$A$1421,$A68,Documents!$C$2:$C$1421,"all_inclusive")=0,"",_xlfn.MAXIFS(Documents!$E$2:$E$1421,Documents!$A$2:$A$1421,$A68,Documents!$C$2:$C$1421,"all_inclusive")),"")</f>
        <v/>
      </c>
      <c r="P68">
        <f>IFERROR(IF(_xlfn.MAXIFS(Documents!$E$2:$E$1421,Documents!$A$2:$A$1421,$A68,Documents!$C$2:$C$1421,"sustainability")=0,"",_xlfn.MAXIFS(Documents!$E$2:$E$1421,Documents!$A$2:$A$1421,$A68,Documents!$C$2:$C$1421,"sustainability")),"")</f>
        <v/>
      </c>
      <c r="Q68">
        <f>IFERROR(IF(_xlfn.MAXIFS(Documents!$E$2:$E$1421,Documents!$A$2:$A$1421,$A68,Documents!$C$2:$C$1421,"calendar")=0,"",_xlfn.MAXIFS(Documents!$E$2:$E$1421,Documents!$A$2:$A$1421,$A68,Documents!$C$2:$C$1421,"calendar")),"")</f>
        <v/>
      </c>
      <c r="R68">
        <f>IFERROR(IF(_xlfn.MAXIFS(Documents!$E$2:$E$1421,Documents!$A$2:$A$1421,$A68,Documents!$C$2:$C$1421,"brochure")=0,"",_xlfn.MAXIFS(Documents!$E$2:$E$1421,Documents!$A$2:$A$1421,$A68,Documents!$C$2:$C$1421,"brochure")),"")</f>
        <v/>
      </c>
      <c r="S68">
        <f>IFERROR(IF(_xlfn.MAXIFS(Documents!$E$2:$E$1421,Documents!$A$2:$A$1421,$A68,Documents!$C$2:$C$1421,"press_kit")=0,"",_xlfn.MAXIFS(Documents!$E$2:$E$1421,Documents!$A$2:$A$1421,$A68,Documents!$C$2:$C$1421,"press_kit")),"")</f>
        <v/>
      </c>
      <c r="T68">
        <f>IFERROR(IF(_xlfn.MAXIFS(Documents!$E$2:$E$1421,Documents!$A$2:$A$1421,$A68,Documents!$C$2:$C$1421,"other")=0,"",_xlfn.MAXIFS(Documents!$E$2:$E$1421,Documents!$A$2:$A$1421,$A68,Documents!$C$2:$C$1421,"other")),"")</f>
        <v/>
      </c>
      <c r="U68">
        <f>IFERROR(IF(_xlfn.MAXIFS(Documents!$E$2:$E$1421,Documents!$A$2:$A$1421,$A68,Documents!$C$2:$C$1421,"obsolete")=0,"",_xlfn.MAXIFS(Documents!$E$2:$E$1421,Documents!$A$2:$A$1421,$A68,Documents!$C$2:$C$1421,"obsolete")),"")</f>
        <v/>
      </c>
      <c r="V68">
        <f>COUNTIFS(Documents!$A$2:$A$1421,$A68)</f>
        <v/>
      </c>
      <c r="W68">
        <f>COUNTIFS(Documents!$A$2:$A$1421,$A68,Documents!$R$2:$R$1421,"current")</f>
        <v/>
      </c>
      <c r="X68">
        <f>HYPERLINK("https://www.neoscapesmaldives.com/wp-content/uploads/Fact-Sheet.pdf","2025_Fact-Sheet.pdf")</f>
        <v/>
      </c>
      <c r="Y68" t="inlineStr">
        <is>
          <t>wedding, events</t>
        </is>
      </c>
      <c r="Z68" t="inlineStr"/>
    </row>
    <row r="69">
      <c r="A69" t="n">
        <v>68</v>
      </c>
      <c r="B69" t="inlineStr">
        <is>
          <t>JA Manafaru</t>
        </is>
      </c>
      <c r="C69" t="inlineStr">
        <is>
          <t>ok</t>
        </is>
      </c>
      <c r="D69">
        <f>IFERROR(IF(_xlfn.MAXIFS(Documents!$E$2:$E$1421,Documents!$A$2:$A$1421,$A69,Documents!$C$2:$C$1421,"factsheet")=0,"",_xlfn.MAXIFS(Documents!$E$2:$E$1421,Documents!$A$2:$A$1421,$A69,Documents!$C$2:$C$1421,"factsheet")),"")</f>
        <v/>
      </c>
      <c r="E69">
        <f>IFERROR(IF(_xlfn.MAXIFS(Documents!$E$2:$E$1421,Documents!$A$2:$A$1421,$A69,Documents!$C$2:$C$1421,"wedding")=0,"",_xlfn.MAXIFS(Documents!$E$2:$E$1421,Documents!$A$2:$A$1421,$A69,Documents!$C$2:$C$1421,"wedding")),"")</f>
        <v/>
      </c>
      <c r="F69">
        <f>IFERROR(IF(_xlfn.MAXIFS(Documents!$E$2:$E$1421,Documents!$A$2:$A$1421,$A69,Documents!$C$2:$C$1421,"events")=0,"",_xlfn.MAXIFS(Documents!$E$2:$E$1421,Documents!$A$2:$A$1421,$A69,Documents!$C$2:$C$1421,"events")),"")</f>
        <v/>
      </c>
      <c r="G69">
        <f>IFERROR(IF(_xlfn.MAXIFS(Documents!$E$2:$E$1421,Documents!$A$2:$A$1421,$A69,Documents!$C$2:$C$1421,"map")=0,"",_xlfn.MAXIFS(Documents!$E$2:$E$1421,Documents!$A$2:$A$1421,$A69,Documents!$C$2:$C$1421,"map")),"")</f>
        <v/>
      </c>
      <c r="H69">
        <f>IFERROR(IF(_xlfn.MAXIFS(Documents!$E$2:$E$1421,Documents!$A$2:$A$1421,$A69,Documents!$C$2:$C$1421,"dive_map")=0,"",_xlfn.MAXIFS(Documents!$E$2:$E$1421,Documents!$A$2:$A$1421,$A69,Documents!$C$2:$C$1421,"dive_map")),"")</f>
        <v/>
      </c>
      <c r="I69">
        <f>IFERROR(IF(_xlfn.MAXIFS(Documents!$E$2:$E$1421,Documents!$A$2:$A$1421,$A69,Documents!$C$2:$C$1421,"spa_menu")=0,"",_xlfn.MAXIFS(Documents!$E$2:$E$1421,Documents!$A$2:$A$1421,$A69,Documents!$C$2:$C$1421,"spa_menu")),"")</f>
        <v/>
      </c>
      <c r="J69">
        <f>IFERROR(IF(_xlfn.MAXIFS(Documents!$E$2:$E$1421,Documents!$A$2:$A$1421,$A69,Documents!$C$2:$C$1421,"dining_menu")=0,"",_xlfn.MAXIFS(Documents!$E$2:$E$1421,Documents!$A$2:$A$1421,$A69,Documents!$C$2:$C$1421,"dining_menu")),"")</f>
        <v/>
      </c>
      <c r="K69">
        <f>IFERROR(IF(_xlfn.MAXIFS(Documents!$E$2:$E$1421,Documents!$A$2:$A$1421,$A69,Documents!$C$2:$C$1421,"dive_prices")=0,"",_xlfn.MAXIFS(Documents!$E$2:$E$1421,Documents!$A$2:$A$1421,$A69,Documents!$C$2:$C$1421,"dive_prices")),"")</f>
        <v/>
      </c>
      <c r="L69">
        <f>IFERROR(IF(_xlfn.MAXIFS(Documents!$E$2:$E$1421,Documents!$A$2:$A$1421,$A69,Documents!$C$2:$C$1421,"excursions")=0,"",_xlfn.MAXIFS(Documents!$E$2:$E$1421,Documents!$A$2:$A$1421,$A69,Documents!$C$2:$C$1421,"excursions")),"")</f>
        <v/>
      </c>
      <c r="M69">
        <f>IFERROR(IF(_xlfn.MAXIFS(Documents!$E$2:$E$1421,Documents!$A$2:$A$1421,$A69,Documents!$C$2:$C$1421,"kids")=0,"",_xlfn.MAXIFS(Documents!$E$2:$E$1421,Documents!$A$2:$A$1421,$A69,Documents!$C$2:$C$1421,"kids")),"")</f>
        <v/>
      </c>
      <c r="N69">
        <f>IFERROR(IF(_xlfn.MAXIFS(Documents!$E$2:$E$1421,Documents!$A$2:$A$1421,$A69,Documents!$C$2:$C$1421,"villa_plans")=0,"",_xlfn.MAXIFS(Documents!$E$2:$E$1421,Documents!$A$2:$A$1421,$A69,Documents!$C$2:$C$1421,"villa_plans")),"")</f>
        <v/>
      </c>
      <c r="O69">
        <f>IFERROR(IF(_xlfn.MAXIFS(Documents!$E$2:$E$1421,Documents!$A$2:$A$1421,$A69,Documents!$C$2:$C$1421,"all_inclusive")=0,"",_xlfn.MAXIFS(Documents!$E$2:$E$1421,Documents!$A$2:$A$1421,$A69,Documents!$C$2:$C$1421,"all_inclusive")),"")</f>
        <v/>
      </c>
      <c r="P69">
        <f>IFERROR(IF(_xlfn.MAXIFS(Documents!$E$2:$E$1421,Documents!$A$2:$A$1421,$A69,Documents!$C$2:$C$1421,"sustainability")=0,"",_xlfn.MAXIFS(Documents!$E$2:$E$1421,Documents!$A$2:$A$1421,$A69,Documents!$C$2:$C$1421,"sustainability")),"")</f>
        <v/>
      </c>
      <c r="Q69">
        <f>IFERROR(IF(_xlfn.MAXIFS(Documents!$E$2:$E$1421,Documents!$A$2:$A$1421,$A69,Documents!$C$2:$C$1421,"calendar")=0,"",_xlfn.MAXIFS(Documents!$E$2:$E$1421,Documents!$A$2:$A$1421,$A69,Documents!$C$2:$C$1421,"calendar")),"")</f>
        <v/>
      </c>
      <c r="R69">
        <f>IFERROR(IF(_xlfn.MAXIFS(Documents!$E$2:$E$1421,Documents!$A$2:$A$1421,$A69,Documents!$C$2:$C$1421,"brochure")=0,"",_xlfn.MAXIFS(Documents!$E$2:$E$1421,Documents!$A$2:$A$1421,$A69,Documents!$C$2:$C$1421,"brochure")),"")</f>
        <v/>
      </c>
      <c r="S69">
        <f>IFERROR(IF(_xlfn.MAXIFS(Documents!$E$2:$E$1421,Documents!$A$2:$A$1421,$A69,Documents!$C$2:$C$1421,"press_kit")=0,"",_xlfn.MAXIFS(Documents!$E$2:$E$1421,Documents!$A$2:$A$1421,$A69,Documents!$C$2:$C$1421,"press_kit")),"")</f>
        <v/>
      </c>
      <c r="T69">
        <f>IFERROR(IF(_xlfn.MAXIFS(Documents!$E$2:$E$1421,Documents!$A$2:$A$1421,$A69,Documents!$C$2:$C$1421,"other")=0,"",_xlfn.MAXIFS(Documents!$E$2:$E$1421,Documents!$A$2:$A$1421,$A69,Documents!$C$2:$C$1421,"other")),"")</f>
        <v/>
      </c>
      <c r="U69">
        <f>IFERROR(IF(_xlfn.MAXIFS(Documents!$E$2:$E$1421,Documents!$A$2:$A$1421,$A69,Documents!$C$2:$C$1421,"obsolete")=0,"",_xlfn.MAXIFS(Documents!$E$2:$E$1421,Documents!$A$2:$A$1421,$A69,Documents!$C$2:$C$1421,"obsolete")),"")</f>
        <v/>
      </c>
      <c r="V69">
        <f>COUNTIFS(Documents!$A$2:$A$1421,$A69)</f>
        <v/>
      </c>
      <c r="W69">
        <f>COUNTIFS(Documents!$A$2:$A$1421,$A69,Documents!$R$2:$R$1421,"current")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not crawled</t>
        </is>
      </c>
      <c r="D70">
        <f>IFERROR(IF(_xlfn.MAXIFS(Documents!$E$2:$E$1421,Documents!$A$2:$A$1421,$A70,Documents!$C$2:$C$1421,"factsheet")=0,"",_xlfn.MAXIFS(Documents!$E$2:$E$1421,Documents!$A$2:$A$1421,$A70,Documents!$C$2:$C$1421,"factsheet")),"")</f>
        <v/>
      </c>
      <c r="E70">
        <f>IFERROR(IF(_xlfn.MAXIFS(Documents!$E$2:$E$1421,Documents!$A$2:$A$1421,$A70,Documents!$C$2:$C$1421,"wedding")=0,"",_xlfn.MAXIFS(Documents!$E$2:$E$1421,Documents!$A$2:$A$1421,$A70,Documents!$C$2:$C$1421,"wedding")),"")</f>
        <v/>
      </c>
      <c r="F70">
        <f>IFERROR(IF(_xlfn.MAXIFS(Documents!$E$2:$E$1421,Documents!$A$2:$A$1421,$A70,Documents!$C$2:$C$1421,"events")=0,"",_xlfn.MAXIFS(Documents!$E$2:$E$1421,Documents!$A$2:$A$1421,$A70,Documents!$C$2:$C$1421,"events")),"")</f>
        <v/>
      </c>
      <c r="G70">
        <f>IFERROR(IF(_xlfn.MAXIFS(Documents!$E$2:$E$1421,Documents!$A$2:$A$1421,$A70,Documents!$C$2:$C$1421,"map")=0,"",_xlfn.MAXIFS(Documents!$E$2:$E$1421,Documents!$A$2:$A$1421,$A70,Documents!$C$2:$C$1421,"map")),"")</f>
        <v/>
      </c>
      <c r="H70">
        <f>IFERROR(IF(_xlfn.MAXIFS(Documents!$E$2:$E$1421,Documents!$A$2:$A$1421,$A70,Documents!$C$2:$C$1421,"dive_map")=0,"",_xlfn.MAXIFS(Documents!$E$2:$E$1421,Documents!$A$2:$A$1421,$A70,Documents!$C$2:$C$1421,"dive_map")),"")</f>
        <v/>
      </c>
      <c r="I70">
        <f>IFERROR(IF(_xlfn.MAXIFS(Documents!$E$2:$E$1421,Documents!$A$2:$A$1421,$A70,Documents!$C$2:$C$1421,"spa_menu")=0,"",_xlfn.MAXIFS(Documents!$E$2:$E$1421,Documents!$A$2:$A$1421,$A70,Documents!$C$2:$C$1421,"spa_menu")),"")</f>
        <v/>
      </c>
      <c r="J70">
        <f>IFERROR(IF(_xlfn.MAXIFS(Documents!$E$2:$E$1421,Documents!$A$2:$A$1421,$A70,Documents!$C$2:$C$1421,"dining_menu")=0,"",_xlfn.MAXIFS(Documents!$E$2:$E$1421,Documents!$A$2:$A$1421,$A70,Documents!$C$2:$C$1421,"dining_menu")),"")</f>
        <v/>
      </c>
      <c r="K70">
        <f>IFERROR(IF(_xlfn.MAXIFS(Documents!$E$2:$E$1421,Documents!$A$2:$A$1421,$A70,Documents!$C$2:$C$1421,"dive_prices")=0,"",_xlfn.MAXIFS(Documents!$E$2:$E$1421,Documents!$A$2:$A$1421,$A70,Documents!$C$2:$C$1421,"dive_prices")),"")</f>
        <v/>
      </c>
      <c r="L70">
        <f>IFERROR(IF(_xlfn.MAXIFS(Documents!$E$2:$E$1421,Documents!$A$2:$A$1421,$A70,Documents!$C$2:$C$1421,"excursions")=0,"",_xlfn.MAXIFS(Documents!$E$2:$E$1421,Documents!$A$2:$A$1421,$A70,Documents!$C$2:$C$1421,"excursions")),"")</f>
        <v/>
      </c>
      <c r="M70">
        <f>IFERROR(IF(_xlfn.MAXIFS(Documents!$E$2:$E$1421,Documents!$A$2:$A$1421,$A70,Documents!$C$2:$C$1421,"kids")=0,"",_xlfn.MAXIFS(Documents!$E$2:$E$1421,Documents!$A$2:$A$1421,$A70,Documents!$C$2:$C$1421,"kids")),"")</f>
        <v/>
      </c>
      <c r="N70">
        <f>IFERROR(IF(_xlfn.MAXIFS(Documents!$E$2:$E$1421,Documents!$A$2:$A$1421,$A70,Documents!$C$2:$C$1421,"villa_plans")=0,"",_xlfn.MAXIFS(Documents!$E$2:$E$1421,Documents!$A$2:$A$1421,$A70,Documents!$C$2:$C$1421,"villa_plans")),"")</f>
        <v/>
      </c>
      <c r="O70">
        <f>IFERROR(IF(_xlfn.MAXIFS(Documents!$E$2:$E$1421,Documents!$A$2:$A$1421,$A70,Documents!$C$2:$C$1421,"all_inclusive")=0,"",_xlfn.MAXIFS(Documents!$E$2:$E$1421,Documents!$A$2:$A$1421,$A70,Documents!$C$2:$C$1421,"all_inclusive")),"")</f>
        <v/>
      </c>
      <c r="P70">
        <f>IFERROR(IF(_xlfn.MAXIFS(Documents!$E$2:$E$1421,Documents!$A$2:$A$1421,$A70,Documents!$C$2:$C$1421,"sustainability")=0,"",_xlfn.MAXIFS(Documents!$E$2:$E$1421,Documents!$A$2:$A$1421,$A70,Documents!$C$2:$C$1421,"sustainability")),"")</f>
        <v/>
      </c>
      <c r="Q70">
        <f>IFERROR(IF(_xlfn.MAXIFS(Documents!$E$2:$E$1421,Documents!$A$2:$A$1421,$A70,Documents!$C$2:$C$1421,"calendar")=0,"",_xlfn.MAXIFS(Documents!$E$2:$E$1421,Documents!$A$2:$A$1421,$A70,Documents!$C$2:$C$1421,"calendar")),"")</f>
        <v/>
      </c>
      <c r="R70">
        <f>IFERROR(IF(_xlfn.MAXIFS(Documents!$E$2:$E$1421,Documents!$A$2:$A$1421,$A70,Documents!$C$2:$C$1421,"brochure")=0,"",_xlfn.MAXIFS(Documents!$E$2:$E$1421,Documents!$A$2:$A$1421,$A70,Documents!$C$2:$C$1421,"brochure")),"")</f>
        <v/>
      </c>
      <c r="S70">
        <f>IFERROR(IF(_xlfn.MAXIFS(Documents!$E$2:$E$1421,Documents!$A$2:$A$1421,$A70,Documents!$C$2:$C$1421,"press_kit")=0,"",_xlfn.MAXIFS(Documents!$E$2:$E$1421,Documents!$A$2:$A$1421,$A70,Documents!$C$2:$C$1421,"press_kit")),"")</f>
        <v/>
      </c>
      <c r="T70">
        <f>IFERROR(IF(_xlfn.MAXIFS(Documents!$E$2:$E$1421,Documents!$A$2:$A$1421,$A70,Documents!$C$2:$C$1421,"other")=0,"",_xlfn.MAXIFS(Documents!$E$2:$E$1421,Documents!$A$2:$A$1421,$A70,Documents!$C$2:$C$1421,"other")),"")</f>
        <v/>
      </c>
      <c r="U70">
        <f>IFERROR(IF(_xlfn.MAXIFS(Documents!$E$2:$E$1421,Documents!$A$2:$A$1421,$A70,Documents!$C$2:$C$1421,"obsolete")=0,"",_xlfn.MAXIFS(Documents!$E$2:$E$1421,Documents!$A$2:$A$1421,$A70,Documents!$C$2:$C$1421,"obsolete")),"")</f>
        <v/>
      </c>
      <c r="V70">
        <f>COUNTIFS(Documents!$A$2:$A$1421,$A70)</f>
        <v/>
      </c>
      <c r="W70">
        <f>COUNTIFS(Documents!$A$2:$A$1421,$A70,Documents!$R$2:$R$1421,"current")</f>
        <v/>
      </c>
      <c r="X70">
        <f>HYPERLINK("https://www.neoscapesmaldives.com/wp-content/uploads/Fact-Sheet-Adaaran-Club-Rannalhi.pdf","2025_Fact-Sheet-Adaaran-Club-Rannalhi.pd")</f>
        <v/>
      </c>
      <c r="Y70" t="inlineStr">
        <is>
          <t>wedding, events</t>
        </is>
      </c>
      <c r="Z70" t="inlineStr"/>
    </row>
    <row r="71">
      <c r="A71" t="n">
        <v>70</v>
      </c>
      <c r="B71" t="inlineStr">
        <is>
          <t>Joy Island</t>
        </is>
      </c>
      <c r="C71" t="inlineStr">
        <is>
          <t>not crawled</t>
        </is>
      </c>
      <c r="D71">
        <f>IFERROR(IF(_xlfn.MAXIFS(Documents!$E$2:$E$1421,Documents!$A$2:$A$1421,$A71,Documents!$C$2:$C$1421,"factsheet")=0,"",_xlfn.MAXIFS(Documents!$E$2:$E$1421,Documents!$A$2:$A$1421,$A71,Documents!$C$2:$C$1421,"factsheet")),"")</f>
        <v/>
      </c>
      <c r="E71">
        <f>IFERROR(IF(_xlfn.MAXIFS(Documents!$E$2:$E$1421,Documents!$A$2:$A$1421,$A71,Documents!$C$2:$C$1421,"wedding")=0,"",_xlfn.MAXIFS(Documents!$E$2:$E$1421,Documents!$A$2:$A$1421,$A71,Documents!$C$2:$C$1421,"wedding")),"")</f>
        <v/>
      </c>
      <c r="F71">
        <f>IFERROR(IF(_xlfn.MAXIFS(Documents!$E$2:$E$1421,Documents!$A$2:$A$1421,$A71,Documents!$C$2:$C$1421,"events")=0,"",_xlfn.MAXIFS(Documents!$E$2:$E$1421,Documents!$A$2:$A$1421,$A71,Documents!$C$2:$C$1421,"events")),"")</f>
        <v/>
      </c>
      <c r="G71">
        <f>IFERROR(IF(_xlfn.MAXIFS(Documents!$E$2:$E$1421,Documents!$A$2:$A$1421,$A71,Documents!$C$2:$C$1421,"map")=0,"",_xlfn.MAXIFS(Documents!$E$2:$E$1421,Documents!$A$2:$A$1421,$A71,Documents!$C$2:$C$1421,"map")),"")</f>
        <v/>
      </c>
      <c r="H71">
        <f>IFERROR(IF(_xlfn.MAXIFS(Documents!$E$2:$E$1421,Documents!$A$2:$A$1421,$A71,Documents!$C$2:$C$1421,"dive_map")=0,"",_xlfn.MAXIFS(Documents!$E$2:$E$1421,Documents!$A$2:$A$1421,$A71,Documents!$C$2:$C$1421,"dive_map")),"")</f>
        <v/>
      </c>
      <c r="I71">
        <f>IFERROR(IF(_xlfn.MAXIFS(Documents!$E$2:$E$1421,Documents!$A$2:$A$1421,$A71,Documents!$C$2:$C$1421,"spa_menu")=0,"",_xlfn.MAXIFS(Documents!$E$2:$E$1421,Documents!$A$2:$A$1421,$A71,Documents!$C$2:$C$1421,"spa_menu")),"")</f>
        <v/>
      </c>
      <c r="J71">
        <f>IFERROR(IF(_xlfn.MAXIFS(Documents!$E$2:$E$1421,Documents!$A$2:$A$1421,$A71,Documents!$C$2:$C$1421,"dining_menu")=0,"",_xlfn.MAXIFS(Documents!$E$2:$E$1421,Documents!$A$2:$A$1421,$A71,Documents!$C$2:$C$1421,"dining_menu")),"")</f>
        <v/>
      </c>
      <c r="K71">
        <f>IFERROR(IF(_xlfn.MAXIFS(Documents!$E$2:$E$1421,Documents!$A$2:$A$1421,$A71,Documents!$C$2:$C$1421,"dive_prices")=0,"",_xlfn.MAXIFS(Documents!$E$2:$E$1421,Documents!$A$2:$A$1421,$A71,Documents!$C$2:$C$1421,"dive_prices")),"")</f>
        <v/>
      </c>
      <c r="L71">
        <f>IFERROR(IF(_xlfn.MAXIFS(Documents!$E$2:$E$1421,Documents!$A$2:$A$1421,$A71,Documents!$C$2:$C$1421,"excursions")=0,"",_xlfn.MAXIFS(Documents!$E$2:$E$1421,Documents!$A$2:$A$1421,$A71,Documents!$C$2:$C$1421,"excursions")),"")</f>
        <v/>
      </c>
      <c r="M71">
        <f>IFERROR(IF(_xlfn.MAXIFS(Documents!$E$2:$E$1421,Documents!$A$2:$A$1421,$A71,Documents!$C$2:$C$1421,"kids")=0,"",_xlfn.MAXIFS(Documents!$E$2:$E$1421,Documents!$A$2:$A$1421,$A71,Documents!$C$2:$C$1421,"kids")),"")</f>
        <v/>
      </c>
      <c r="N71">
        <f>IFERROR(IF(_xlfn.MAXIFS(Documents!$E$2:$E$1421,Documents!$A$2:$A$1421,$A71,Documents!$C$2:$C$1421,"villa_plans")=0,"",_xlfn.MAXIFS(Documents!$E$2:$E$1421,Documents!$A$2:$A$1421,$A71,Documents!$C$2:$C$1421,"villa_plans")),"")</f>
        <v/>
      </c>
      <c r="O71">
        <f>IFERROR(IF(_xlfn.MAXIFS(Documents!$E$2:$E$1421,Documents!$A$2:$A$1421,$A71,Documents!$C$2:$C$1421,"all_inclusive")=0,"",_xlfn.MAXIFS(Documents!$E$2:$E$1421,Documents!$A$2:$A$1421,$A71,Documents!$C$2:$C$1421,"all_inclusive")),"")</f>
        <v/>
      </c>
      <c r="P71">
        <f>IFERROR(IF(_xlfn.MAXIFS(Documents!$E$2:$E$1421,Documents!$A$2:$A$1421,$A71,Documents!$C$2:$C$1421,"sustainability")=0,"",_xlfn.MAXIFS(Documents!$E$2:$E$1421,Documents!$A$2:$A$1421,$A71,Documents!$C$2:$C$1421,"sustainability")),"")</f>
        <v/>
      </c>
      <c r="Q71">
        <f>IFERROR(IF(_xlfn.MAXIFS(Documents!$E$2:$E$1421,Documents!$A$2:$A$1421,$A71,Documents!$C$2:$C$1421,"calendar")=0,"",_xlfn.MAXIFS(Documents!$E$2:$E$1421,Documents!$A$2:$A$1421,$A71,Documents!$C$2:$C$1421,"calendar")),"")</f>
        <v/>
      </c>
      <c r="R71">
        <f>IFERROR(IF(_xlfn.MAXIFS(Documents!$E$2:$E$1421,Documents!$A$2:$A$1421,$A71,Documents!$C$2:$C$1421,"brochure")=0,"",_xlfn.MAXIFS(Documents!$E$2:$E$1421,Documents!$A$2:$A$1421,$A71,Documents!$C$2:$C$1421,"brochure")),"")</f>
        <v/>
      </c>
      <c r="S71">
        <f>IFERROR(IF(_xlfn.MAXIFS(Documents!$E$2:$E$1421,Documents!$A$2:$A$1421,$A71,Documents!$C$2:$C$1421,"press_kit")=0,"",_xlfn.MAXIFS(Documents!$E$2:$E$1421,Documents!$A$2:$A$1421,$A71,Documents!$C$2:$C$1421,"press_kit")),"")</f>
        <v/>
      </c>
      <c r="T71">
        <f>IFERROR(IF(_xlfn.MAXIFS(Documents!$E$2:$E$1421,Documents!$A$2:$A$1421,$A71,Documents!$C$2:$C$1421,"other")=0,"",_xlfn.MAXIFS(Documents!$E$2:$E$1421,Documents!$A$2:$A$1421,$A71,Documents!$C$2:$C$1421,"other")),"")</f>
        <v/>
      </c>
      <c r="U71">
        <f>IFERROR(IF(_xlfn.MAXIFS(Documents!$E$2:$E$1421,Documents!$A$2:$A$1421,$A71,Documents!$C$2:$C$1421,"obsolete")=0,"",_xlfn.MAXIFS(Documents!$E$2:$E$1421,Documents!$A$2:$A$1421,$A71,Documents!$C$2:$C$1421,"obsolete")),"")</f>
        <v/>
      </c>
      <c r="V71">
        <f>COUNTIFS(Documents!$A$2:$A$1421,$A71)</f>
        <v/>
      </c>
      <c r="W71">
        <f>COUNTIFS(Documents!$A$2:$A$1421,$A71,Documents!$R$2:$R$1421,"current")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is>
          <t>wedding, events</t>
        </is>
      </c>
      <c r="Z71" t="inlineStr"/>
    </row>
    <row r="72">
      <c r="A72" t="n">
        <v>71</v>
      </c>
      <c r="B72" t="inlineStr">
        <is>
          <t>Kagi Maldives Resort and Spa</t>
        </is>
      </c>
      <c r="C72" t="inlineStr">
        <is>
          <t>not crawled</t>
        </is>
      </c>
      <c r="D72">
        <f>IFERROR(IF(_xlfn.MAXIFS(Documents!$E$2:$E$1421,Documents!$A$2:$A$1421,$A72,Documents!$C$2:$C$1421,"factsheet")=0,"",_xlfn.MAXIFS(Documents!$E$2:$E$1421,Documents!$A$2:$A$1421,$A72,Documents!$C$2:$C$1421,"factsheet")),"")</f>
        <v/>
      </c>
      <c r="E72">
        <f>IFERROR(IF(_xlfn.MAXIFS(Documents!$E$2:$E$1421,Documents!$A$2:$A$1421,$A72,Documents!$C$2:$C$1421,"wedding")=0,"",_xlfn.MAXIFS(Documents!$E$2:$E$1421,Documents!$A$2:$A$1421,$A72,Documents!$C$2:$C$1421,"wedding")),"")</f>
        <v/>
      </c>
      <c r="F72">
        <f>IFERROR(IF(_xlfn.MAXIFS(Documents!$E$2:$E$1421,Documents!$A$2:$A$1421,$A72,Documents!$C$2:$C$1421,"events")=0,"",_xlfn.MAXIFS(Documents!$E$2:$E$1421,Documents!$A$2:$A$1421,$A72,Documents!$C$2:$C$1421,"events")),"")</f>
        <v/>
      </c>
      <c r="G72">
        <f>IFERROR(IF(_xlfn.MAXIFS(Documents!$E$2:$E$1421,Documents!$A$2:$A$1421,$A72,Documents!$C$2:$C$1421,"map")=0,"",_xlfn.MAXIFS(Documents!$E$2:$E$1421,Documents!$A$2:$A$1421,$A72,Documents!$C$2:$C$1421,"map")),"")</f>
        <v/>
      </c>
      <c r="H72">
        <f>IFERROR(IF(_xlfn.MAXIFS(Documents!$E$2:$E$1421,Documents!$A$2:$A$1421,$A72,Documents!$C$2:$C$1421,"dive_map")=0,"",_xlfn.MAXIFS(Documents!$E$2:$E$1421,Documents!$A$2:$A$1421,$A72,Documents!$C$2:$C$1421,"dive_map")),"")</f>
        <v/>
      </c>
      <c r="I72">
        <f>IFERROR(IF(_xlfn.MAXIFS(Documents!$E$2:$E$1421,Documents!$A$2:$A$1421,$A72,Documents!$C$2:$C$1421,"spa_menu")=0,"",_xlfn.MAXIFS(Documents!$E$2:$E$1421,Documents!$A$2:$A$1421,$A72,Documents!$C$2:$C$1421,"spa_menu")),"")</f>
        <v/>
      </c>
      <c r="J72">
        <f>IFERROR(IF(_xlfn.MAXIFS(Documents!$E$2:$E$1421,Documents!$A$2:$A$1421,$A72,Documents!$C$2:$C$1421,"dining_menu")=0,"",_xlfn.MAXIFS(Documents!$E$2:$E$1421,Documents!$A$2:$A$1421,$A72,Documents!$C$2:$C$1421,"dining_menu")),"")</f>
        <v/>
      </c>
      <c r="K72">
        <f>IFERROR(IF(_xlfn.MAXIFS(Documents!$E$2:$E$1421,Documents!$A$2:$A$1421,$A72,Documents!$C$2:$C$1421,"dive_prices")=0,"",_xlfn.MAXIFS(Documents!$E$2:$E$1421,Documents!$A$2:$A$1421,$A72,Documents!$C$2:$C$1421,"dive_prices")),"")</f>
        <v/>
      </c>
      <c r="L72">
        <f>IFERROR(IF(_xlfn.MAXIFS(Documents!$E$2:$E$1421,Documents!$A$2:$A$1421,$A72,Documents!$C$2:$C$1421,"excursions")=0,"",_xlfn.MAXIFS(Documents!$E$2:$E$1421,Documents!$A$2:$A$1421,$A72,Documents!$C$2:$C$1421,"excursions")),"")</f>
        <v/>
      </c>
      <c r="M72">
        <f>IFERROR(IF(_xlfn.MAXIFS(Documents!$E$2:$E$1421,Documents!$A$2:$A$1421,$A72,Documents!$C$2:$C$1421,"kids")=0,"",_xlfn.MAXIFS(Documents!$E$2:$E$1421,Documents!$A$2:$A$1421,$A72,Documents!$C$2:$C$1421,"kids")),"")</f>
        <v/>
      </c>
      <c r="N72">
        <f>IFERROR(IF(_xlfn.MAXIFS(Documents!$E$2:$E$1421,Documents!$A$2:$A$1421,$A72,Documents!$C$2:$C$1421,"villa_plans")=0,"",_xlfn.MAXIFS(Documents!$E$2:$E$1421,Documents!$A$2:$A$1421,$A72,Documents!$C$2:$C$1421,"villa_plans")),"")</f>
        <v/>
      </c>
      <c r="O72">
        <f>IFERROR(IF(_xlfn.MAXIFS(Documents!$E$2:$E$1421,Documents!$A$2:$A$1421,$A72,Documents!$C$2:$C$1421,"all_inclusive")=0,"",_xlfn.MAXIFS(Documents!$E$2:$E$1421,Documents!$A$2:$A$1421,$A72,Documents!$C$2:$C$1421,"all_inclusive")),"")</f>
        <v/>
      </c>
      <c r="P72">
        <f>IFERROR(IF(_xlfn.MAXIFS(Documents!$E$2:$E$1421,Documents!$A$2:$A$1421,$A72,Documents!$C$2:$C$1421,"sustainability")=0,"",_xlfn.MAXIFS(Documents!$E$2:$E$1421,Documents!$A$2:$A$1421,$A72,Documents!$C$2:$C$1421,"sustainability")),"")</f>
        <v/>
      </c>
      <c r="Q72">
        <f>IFERROR(IF(_xlfn.MAXIFS(Documents!$E$2:$E$1421,Documents!$A$2:$A$1421,$A72,Documents!$C$2:$C$1421,"calendar")=0,"",_xlfn.MAXIFS(Documents!$E$2:$E$1421,Documents!$A$2:$A$1421,$A72,Documents!$C$2:$C$1421,"calendar")),"")</f>
        <v/>
      </c>
      <c r="R72">
        <f>IFERROR(IF(_xlfn.MAXIFS(Documents!$E$2:$E$1421,Documents!$A$2:$A$1421,$A72,Documents!$C$2:$C$1421,"brochure")=0,"",_xlfn.MAXIFS(Documents!$E$2:$E$1421,Documents!$A$2:$A$1421,$A72,Documents!$C$2:$C$1421,"brochure")),"")</f>
        <v/>
      </c>
      <c r="S72">
        <f>IFERROR(IF(_xlfn.MAXIFS(Documents!$E$2:$E$1421,Documents!$A$2:$A$1421,$A72,Documents!$C$2:$C$1421,"press_kit")=0,"",_xlfn.MAXIFS(Documents!$E$2:$E$1421,Documents!$A$2:$A$1421,$A72,Documents!$C$2:$C$1421,"press_kit")),"")</f>
        <v/>
      </c>
      <c r="T72">
        <f>IFERROR(IF(_xlfn.MAXIFS(Documents!$E$2:$E$1421,Documents!$A$2:$A$1421,$A72,Documents!$C$2:$C$1421,"other")=0,"",_xlfn.MAXIFS(Documents!$E$2:$E$1421,Documents!$A$2:$A$1421,$A72,Documents!$C$2:$C$1421,"other")),"")</f>
        <v/>
      </c>
      <c r="U72">
        <f>IFERROR(IF(_xlfn.MAXIFS(Documents!$E$2:$E$1421,Documents!$A$2:$A$1421,$A72,Documents!$C$2:$C$1421,"obsolete")=0,"",_xlfn.MAXIFS(Documents!$E$2:$E$1421,Documents!$A$2:$A$1421,$A72,Documents!$C$2:$C$1421,"obsolete")),"")</f>
        <v/>
      </c>
      <c r="V72">
        <f>COUNTIFS(Documents!$A$2:$A$1421,$A72)</f>
        <v/>
      </c>
      <c r="W72">
        <f>COUNTIFS(Documents!$A$2:$A$1421,$A72,Documents!$R$2:$R$1421,"current")</f>
        <v/>
      </c>
      <c r="X72">
        <f>HYPERLINK("https://sales.crownandchamparesorts.com/wp-content/uploads/2023/08/FactSheetKagi11012210312322Rev011122_compressed-1.pdf","2023_FactSheetKagi11012210312322Rev01112")</f>
        <v/>
      </c>
      <c r="Y72" t="inlineStr">
        <is>
          <t>wedding, events</t>
        </is>
      </c>
      <c r="Z72" t="inlineStr"/>
    </row>
    <row r="73">
      <c r="A73" t="n">
        <v>72</v>
      </c>
      <c r="B73" t="inlineStr">
        <is>
          <t>Embudhu Village</t>
        </is>
      </c>
      <c r="C73" t="inlineStr">
        <is>
          <t>not crawled</t>
        </is>
      </c>
      <c r="D73">
        <f>IFERROR(IF(_xlfn.MAXIFS(Documents!$E$2:$E$1421,Documents!$A$2:$A$1421,$A73,Documents!$C$2:$C$1421,"factsheet")=0,"",_xlfn.MAXIFS(Documents!$E$2:$E$1421,Documents!$A$2:$A$1421,$A73,Documents!$C$2:$C$1421,"factsheet")),"")</f>
        <v/>
      </c>
      <c r="E73">
        <f>IFERROR(IF(_xlfn.MAXIFS(Documents!$E$2:$E$1421,Documents!$A$2:$A$1421,$A73,Documents!$C$2:$C$1421,"wedding")=0,"",_xlfn.MAXIFS(Documents!$E$2:$E$1421,Documents!$A$2:$A$1421,$A73,Documents!$C$2:$C$1421,"wedding")),"")</f>
        <v/>
      </c>
      <c r="F73">
        <f>IFERROR(IF(_xlfn.MAXIFS(Documents!$E$2:$E$1421,Documents!$A$2:$A$1421,$A73,Documents!$C$2:$C$1421,"events")=0,"",_xlfn.MAXIFS(Documents!$E$2:$E$1421,Documents!$A$2:$A$1421,$A73,Documents!$C$2:$C$1421,"events")),"")</f>
        <v/>
      </c>
      <c r="G73">
        <f>IFERROR(IF(_xlfn.MAXIFS(Documents!$E$2:$E$1421,Documents!$A$2:$A$1421,$A73,Documents!$C$2:$C$1421,"map")=0,"",_xlfn.MAXIFS(Documents!$E$2:$E$1421,Documents!$A$2:$A$1421,$A73,Documents!$C$2:$C$1421,"map")),"")</f>
        <v/>
      </c>
      <c r="H73">
        <f>IFERROR(IF(_xlfn.MAXIFS(Documents!$E$2:$E$1421,Documents!$A$2:$A$1421,$A73,Documents!$C$2:$C$1421,"dive_map")=0,"",_xlfn.MAXIFS(Documents!$E$2:$E$1421,Documents!$A$2:$A$1421,$A73,Documents!$C$2:$C$1421,"dive_map")),"")</f>
        <v/>
      </c>
      <c r="I73">
        <f>IFERROR(IF(_xlfn.MAXIFS(Documents!$E$2:$E$1421,Documents!$A$2:$A$1421,$A73,Documents!$C$2:$C$1421,"spa_menu")=0,"",_xlfn.MAXIFS(Documents!$E$2:$E$1421,Documents!$A$2:$A$1421,$A73,Documents!$C$2:$C$1421,"spa_menu")),"")</f>
        <v/>
      </c>
      <c r="J73">
        <f>IFERROR(IF(_xlfn.MAXIFS(Documents!$E$2:$E$1421,Documents!$A$2:$A$1421,$A73,Documents!$C$2:$C$1421,"dining_menu")=0,"",_xlfn.MAXIFS(Documents!$E$2:$E$1421,Documents!$A$2:$A$1421,$A73,Documents!$C$2:$C$1421,"dining_menu")),"")</f>
        <v/>
      </c>
      <c r="K73">
        <f>IFERROR(IF(_xlfn.MAXIFS(Documents!$E$2:$E$1421,Documents!$A$2:$A$1421,$A73,Documents!$C$2:$C$1421,"dive_prices")=0,"",_xlfn.MAXIFS(Documents!$E$2:$E$1421,Documents!$A$2:$A$1421,$A73,Documents!$C$2:$C$1421,"dive_prices")),"")</f>
        <v/>
      </c>
      <c r="L73">
        <f>IFERROR(IF(_xlfn.MAXIFS(Documents!$E$2:$E$1421,Documents!$A$2:$A$1421,$A73,Documents!$C$2:$C$1421,"excursions")=0,"",_xlfn.MAXIFS(Documents!$E$2:$E$1421,Documents!$A$2:$A$1421,$A73,Documents!$C$2:$C$1421,"excursions")),"")</f>
        <v/>
      </c>
      <c r="M73">
        <f>IFERROR(IF(_xlfn.MAXIFS(Documents!$E$2:$E$1421,Documents!$A$2:$A$1421,$A73,Documents!$C$2:$C$1421,"kids")=0,"",_xlfn.MAXIFS(Documents!$E$2:$E$1421,Documents!$A$2:$A$1421,$A73,Documents!$C$2:$C$1421,"kids")),"")</f>
        <v/>
      </c>
      <c r="N73">
        <f>IFERROR(IF(_xlfn.MAXIFS(Documents!$E$2:$E$1421,Documents!$A$2:$A$1421,$A73,Documents!$C$2:$C$1421,"villa_plans")=0,"",_xlfn.MAXIFS(Documents!$E$2:$E$1421,Documents!$A$2:$A$1421,$A73,Documents!$C$2:$C$1421,"villa_plans")),"")</f>
        <v/>
      </c>
      <c r="O73">
        <f>IFERROR(IF(_xlfn.MAXIFS(Documents!$E$2:$E$1421,Documents!$A$2:$A$1421,$A73,Documents!$C$2:$C$1421,"all_inclusive")=0,"",_xlfn.MAXIFS(Documents!$E$2:$E$1421,Documents!$A$2:$A$1421,$A73,Documents!$C$2:$C$1421,"all_inclusive")),"")</f>
        <v/>
      </c>
      <c r="P73">
        <f>IFERROR(IF(_xlfn.MAXIFS(Documents!$E$2:$E$1421,Documents!$A$2:$A$1421,$A73,Documents!$C$2:$C$1421,"sustainability")=0,"",_xlfn.MAXIFS(Documents!$E$2:$E$1421,Documents!$A$2:$A$1421,$A73,Documents!$C$2:$C$1421,"sustainability")),"")</f>
        <v/>
      </c>
      <c r="Q73">
        <f>IFERROR(IF(_xlfn.MAXIFS(Documents!$E$2:$E$1421,Documents!$A$2:$A$1421,$A73,Documents!$C$2:$C$1421,"calendar")=0,"",_xlfn.MAXIFS(Documents!$E$2:$E$1421,Documents!$A$2:$A$1421,$A73,Documents!$C$2:$C$1421,"calendar")),"")</f>
        <v/>
      </c>
      <c r="R73">
        <f>IFERROR(IF(_xlfn.MAXIFS(Documents!$E$2:$E$1421,Documents!$A$2:$A$1421,$A73,Documents!$C$2:$C$1421,"brochure")=0,"",_xlfn.MAXIFS(Documents!$E$2:$E$1421,Documents!$A$2:$A$1421,$A73,Documents!$C$2:$C$1421,"brochure")),"")</f>
        <v/>
      </c>
      <c r="S73">
        <f>IFERROR(IF(_xlfn.MAXIFS(Documents!$E$2:$E$1421,Documents!$A$2:$A$1421,$A73,Documents!$C$2:$C$1421,"press_kit")=0,"",_xlfn.MAXIFS(Documents!$E$2:$E$1421,Documents!$A$2:$A$1421,$A73,Documents!$C$2:$C$1421,"press_kit")),"")</f>
        <v/>
      </c>
      <c r="T73">
        <f>IFERROR(IF(_xlfn.MAXIFS(Documents!$E$2:$E$1421,Documents!$A$2:$A$1421,$A73,Documents!$C$2:$C$1421,"other")=0,"",_xlfn.MAXIFS(Documents!$E$2:$E$1421,Documents!$A$2:$A$1421,$A73,Documents!$C$2:$C$1421,"other")),"")</f>
        <v/>
      </c>
      <c r="U73">
        <f>IFERROR(IF(_xlfn.MAXIFS(Documents!$E$2:$E$1421,Documents!$A$2:$A$1421,$A73,Documents!$C$2:$C$1421,"obsolete")=0,"",_xlfn.MAXIFS(Documents!$E$2:$E$1421,Documents!$A$2:$A$1421,$A73,Documents!$C$2:$C$1421,"obsolete")),"")</f>
        <v/>
      </c>
      <c r="V73">
        <f>COUNTIFS(Documents!$A$2:$A$1421,$A73)</f>
        <v/>
      </c>
      <c r="W73">
        <f>COUNTIFS(Documents!$A$2:$A$1421,$A73,Documents!$R$2:$R$1421,"current")</f>
        <v/>
      </c>
      <c r="X73" t="inlineStr"/>
      <c r="Y73" t="inlineStr">
        <is>
          <t>factsheet, wedding, events</t>
        </is>
      </c>
      <c r="Z73" t="inlineStr"/>
    </row>
    <row r="74">
      <c r="A74" t="n">
        <v>73</v>
      </c>
      <c r="B74" t="inlineStr">
        <is>
          <t>Summer Island Maldives</t>
        </is>
      </c>
      <c r="C74" t="inlineStr">
        <is>
          <t>not crawled</t>
        </is>
      </c>
      <c r="D74">
        <f>IFERROR(IF(_xlfn.MAXIFS(Documents!$E$2:$E$1421,Documents!$A$2:$A$1421,$A74,Documents!$C$2:$C$1421,"factsheet")=0,"",_xlfn.MAXIFS(Documents!$E$2:$E$1421,Documents!$A$2:$A$1421,$A74,Documents!$C$2:$C$1421,"factsheet")),"")</f>
        <v/>
      </c>
      <c r="E74">
        <f>IFERROR(IF(_xlfn.MAXIFS(Documents!$E$2:$E$1421,Documents!$A$2:$A$1421,$A74,Documents!$C$2:$C$1421,"wedding")=0,"",_xlfn.MAXIFS(Documents!$E$2:$E$1421,Documents!$A$2:$A$1421,$A74,Documents!$C$2:$C$1421,"wedding")),"")</f>
        <v/>
      </c>
      <c r="F74">
        <f>IFERROR(IF(_xlfn.MAXIFS(Documents!$E$2:$E$1421,Documents!$A$2:$A$1421,$A74,Documents!$C$2:$C$1421,"events")=0,"",_xlfn.MAXIFS(Documents!$E$2:$E$1421,Documents!$A$2:$A$1421,$A74,Documents!$C$2:$C$1421,"events")),"")</f>
        <v/>
      </c>
      <c r="G74">
        <f>IFERROR(IF(_xlfn.MAXIFS(Documents!$E$2:$E$1421,Documents!$A$2:$A$1421,$A74,Documents!$C$2:$C$1421,"map")=0,"",_xlfn.MAXIFS(Documents!$E$2:$E$1421,Documents!$A$2:$A$1421,$A74,Documents!$C$2:$C$1421,"map")),"")</f>
        <v/>
      </c>
      <c r="H74">
        <f>IFERROR(IF(_xlfn.MAXIFS(Documents!$E$2:$E$1421,Documents!$A$2:$A$1421,$A74,Documents!$C$2:$C$1421,"dive_map")=0,"",_xlfn.MAXIFS(Documents!$E$2:$E$1421,Documents!$A$2:$A$1421,$A74,Documents!$C$2:$C$1421,"dive_map")),"")</f>
        <v/>
      </c>
      <c r="I74">
        <f>IFERROR(IF(_xlfn.MAXIFS(Documents!$E$2:$E$1421,Documents!$A$2:$A$1421,$A74,Documents!$C$2:$C$1421,"spa_menu")=0,"",_xlfn.MAXIFS(Documents!$E$2:$E$1421,Documents!$A$2:$A$1421,$A74,Documents!$C$2:$C$1421,"spa_menu")),"")</f>
        <v/>
      </c>
      <c r="J74">
        <f>IFERROR(IF(_xlfn.MAXIFS(Documents!$E$2:$E$1421,Documents!$A$2:$A$1421,$A74,Documents!$C$2:$C$1421,"dining_menu")=0,"",_xlfn.MAXIFS(Documents!$E$2:$E$1421,Documents!$A$2:$A$1421,$A74,Documents!$C$2:$C$1421,"dining_menu")),"")</f>
        <v/>
      </c>
      <c r="K74">
        <f>IFERROR(IF(_xlfn.MAXIFS(Documents!$E$2:$E$1421,Documents!$A$2:$A$1421,$A74,Documents!$C$2:$C$1421,"dive_prices")=0,"",_xlfn.MAXIFS(Documents!$E$2:$E$1421,Documents!$A$2:$A$1421,$A74,Documents!$C$2:$C$1421,"dive_prices")),"")</f>
        <v/>
      </c>
      <c r="L74">
        <f>IFERROR(IF(_xlfn.MAXIFS(Documents!$E$2:$E$1421,Documents!$A$2:$A$1421,$A74,Documents!$C$2:$C$1421,"excursions")=0,"",_xlfn.MAXIFS(Documents!$E$2:$E$1421,Documents!$A$2:$A$1421,$A74,Documents!$C$2:$C$1421,"excursions")),"")</f>
        <v/>
      </c>
      <c r="M74">
        <f>IFERROR(IF(_xlfn.MAXIFS(Documents!$E$2:$E$1421,Documents!$A$2:$A$1421,$A74,Documents!$C$2:$C$1421,"kids")=0,"",_xlfn.MAXIFS(Documents!$E$2:$E$1421,Documents!$A$2:$A$1421,$A74,Documents!$C$2:$C$1421,"kids")),"")</f>
        <v/>
      </c>
      <c r="N74">
        <f>IFERROR(IF(_xlfn.MAXIFS(Documents!$E$2:$E$1421,Documents!$A$2:$A$1421,$A74,Documents!$C$2:$C$1421,"villa_plans")=0,"",_xlfn.MAXIFS(Documents!$E$2:$E$1421,Documents!$A$2:$A$1421,$A74,Documents!$C$2:$C$1421,"villa_plans")),"")</f>
        <v/>
      </c>
      <c r="O74">
        <f>IFERROR(IF(_xlfn.MAXIFS(Documents!$E$2:$E$1421,Documents!$A$2:$A$1421,$A74,Documents!$C$2:$C$1421,"all_inclusive")=0,"",_xlfn.MAXIFS(Documents!$E$2:$E$1421,Documents!$A$2:$A$1421,$A74,Documents!$C$2:$C$1421,"all_inclusive")),"")</f>
        <v/>
      </c>
      <c r="P74">
        <f>IFERROR(IF(_xlfn.MAXIFS(Documents!$E$2:$E$1421,Documents!$A$2:$A$1421,$A74,Documents!$C$2:$C$1421,"sustainability")=0,"",_xlfn.MAXIFS(Documents!$E$2:$E$1421,Documents!$A$2:$A$1421,$A74,Documents!$C$2:$C$1421,"sustainability")),"")</f>
        <v/>
      </c>
      <c r="Q74">
        <f>IFERROR(IF(_xlfn.MAXIFS(Documents!$E$2:$E$1421,Documents!$A$2:$A$1421,$A74,Documents!$C$2:$C$1421,"calendar")=0,"",_xlfn.MAXIFS(Documents!$E$2:$E$1421,Documents!$A$2:$A$1421,$A74,Documents!$C$2:$C$1421,"calendar")),"")</f>
        <v/>
      </c>
      <c r="R74">
        <f>IFERROR(IF(_xlfn.MAXIFS(Documents!$E$2:$E$1421,Documents!$A$2:$A$1421,$A74,Documents!$C$2:$C$1421,"brochure")=0,"",_xlfn.MAXIFS(Documents!$E$2:$E$1421,Documents!$A$2:$A$1421,$A74,Documents!$C$2:$C$1421,"brochure")),"")</f>
        <v/>
      </c>
      <c r="S74">
        <f>IFERROR(IF(_xlfn.MAXIFS(Documents!$E$2:$E$1421,Documents!$A$2:$A$1421,$A74,Documents!$C$2:$C$1421,"press_kit")=0,"",_xlfn.MAXIFS(Documents!$E$2:$E$1421,Documents!$A$2:$A$1421,$A74,Documents!$C$2:$C$1421,"press_kit")),"")</f>
        <v/>
      </c>
      <c r="T74">
        <f>IFERROR(IF(_xlfn.MAXIFS(Documents!$E$2:$E$1421,Documents!$A$2:$A$1421,$A74,Documents!$C$2:$C$1421,"other")=0,"",_xlfn.MAXIFS(Documents!$E$2:$E$1421,Documents!$A$2:$A$1421,$A74,Documents!$C$2:$C$1421,"other")),"")</f>
        <v/>
      </c>
      <c r="U74">
        <f>IFERROR(IF(_xlfn.MAXIFS(Documents!$E$2:$E$1421,Documents!$A$2:$A$1421,$A74,Documents!$C$2:$C$1421,"obsolete")=0,"",_xlfn.MAXIFS(Documents!$E$2:$E$1421,Documents!$A$2:$A$1421,$A74,Documents!$C$2:$C$1421,"obsolete")),"")</f>
        <v/>
      </c>
      <c r="V74">
        <f>COUNTIFS(Documents!$A$2:$A$1421,$A74)</f>
        <v/>
      </c>
      <c r="W74">
        <f>COUNTIFS(Documents!$A$2:$A$1421,$A74,Documents!$R$2:$R$1421,"current")</f>
        <v/>
      </c>
      <c r="X74" t="inlineStr"/>
      <c r="Y74" t="inlineStr">
        <is>
          <t>factsheet, wedding, events</t>
        </is>
      </c>
      <c r="Z74" t="inlineStr"/>
    </row>
    <row r="75">
      <c r="A75" t="n">
        <v>74</v>
      </c>
      <c r="B75" t="inlineStr">
        <is>
          <t>Kandolhu Island Maldives</t>
        </is>
      </c>
      <c r="C75" t="inlineStr">
        <is>
          <t>not crawled</t>
        </is>
      </c>
      <c r="D75">
        <f>IFERROR(IF(_xlfn.MAXIFS(Documents!$E$2:$E$1421,Documents!$A$2:$A$1421,$A75,Documents!$C$2:$C$1421,"factsheet")=0,"",_xlfn.MAXIFS(Documents!$E$2:$E$1421,Documents!$A$2:$A$1421,$A75,Documents!$C$2:$C$1421,"factsheet")),"")</f>
        <v/>
      </c>
      <c r="E75">
        <f>IFERROR(IF(_xlfn.MAXIFS(Documents!$E$2:$E$1421,Documents!$A$2:$A$1421,$A75,Documents!$C$2:$C$1421,"wedding")=0,"",_xlfn.MAXIFS(Documents!$E$2:$E$1421,Documents!$A$2:$A$1421,$A75,Documents!$C$2:$C$1421,"wedding")),"")</f>
        <v/>
      </c>
      <c r="F75">
        <f>IFERROR(IF(_xlfn.MAXIFS(Documents!$E$2:$E$1421,Documents!$A$2:$A$1421,$A75,Documents!$C$2:$C$1421,"events")=0,"",_xlfn.MAXIFS(Documents!$E$2:$E$1421,Documents!$A$2:$A$1421,$A75,Documents!$C$2:$C$1421,"events")),"")</f>
        <v/>
      </c>
      <c r="G75">
        <f>IFERROR(IF(_xlfn.MAXIFS(Documents!$E$2:$E$1421,Documents!$A$2:$A$1421,$A75,Documents!$C$2:$C$1421,"map")=0,"",_xlfn.MAXIFS(Documents!$E$2:$E$1421,Documents!$A$2:$A$1421,$A75,Documents!$C$2:$C$1421,"map")),"")</f>
        <v/>
      </c>
      <c r="H75">
        <f>IFERROR(IF(_xlfn.MAXIFS(Documents!$E$2:$E$1421,Documents!$A$2:$A$1421,$A75,Documents!$C$2:$C$1421,"dive_map")=0,"",_xlfn.MAXIFS(Documents!$E$2:$E$1421,Documents!$A$2:$A$1421,$A75,Documents!$C$2:$C$1421,"dive_map")),"")</f>
        <v/>
      </c>
      <c r="I75">
        <f>IFERROR(IF(_xlfn.MAXIFS(Documents!$E$2:$E$1421,Documents!$A$2:$A$1421,$A75,Documents!$C$2:$C$1421,"spa_menu")=0,"",_xlfn.MAXIFS(Documents!$E$2:$E$1421,Documents!$A$2:$A$1421,$A75,Documents!$C$2:$C$1421,"spa_menu")),"")</f>
        <v/>
      </c>
      <c r="J75">
        <f>IFERROR(IF(_xlfn.MAXIFS(Documents!$E$2:$E$1421,Documents!$A$2:$A$1421,$A75,Documents!$C$2:$C$1421,"dining_menu")=0,"",_xlfn.MAXIFS(Documents!$E$2:$E$1421,Documents!$A$2:$A$1421,$A75,Documents!$C$2:$C$1421,"dining_menu")),"")</f>
        <v/>
      </c>
      <c r="K75">
        <f>IFERROR(IF(_xlfn.MAXIFS(Documents!$E$2:$E$1421,Documents!$A$2:$A$1421,$A75,Documents!$C$2:$C$1421,"dive_prices")=0,"",_xlfn.MAXIFS(Documents!$E$2:$E$1421,Documents!$A$2:$A$1421,$A75,Documents!$C$2:$C$1421,"dive_prices")),"")</f>
        <v/>
      </c>
      <c r="L75">
        <f>IFERROR(IF(_xlfn.MAXIFS(Documents!$E$2:$E$1421,Documents!$A$2:$A$1421,$A75,Documents!$C$2:$C$1421,"excursions")=0,"",_xlfn.MAXIFS(Documents!$E$2:$E$1421,Documents!$A$2:$A$1421,$A75,Documents!$C$2:$C$1421,"excursions")),"")</f>
        <v/>
      </c>
      <c r="M75">
        <f>IFERROR(IF(_xlfn.MAXIFS(Documents!$E$2:$E$1421,Documents!$A$2:$A$1421,$A75,Documents!$C$2:$C$1421,"kids")=0,"",_xlfn.MAXIFS(Documents!$E$2:$E$1421,Documents!$A$2:$A$1421,$A75,Documents!$C$2:$C$1421,"kids")),"")</f>
        <v/>
      </c>
      <c r="N75">
        <f>IFERROR(IF(_xlfn.MAXIFS(Documents!$E$2:$E$1421,Documents!$A$2:$A$1421,$A75,Documents!$C$2:$C$1421,"villa_plans")=0,"",_xlfn.MAXIFS(Documents!$E$2:$E$1421,Documents!$A$2:$A$1421,$A75,Documents!$C$2:$C$1421,"villa_plans")),"")</f>
        <v/>
      </c>
      <c r="O75">
        <f>IFERROR(IF(_xlfn.MAXIFS(Documents!$E$2:$E$1421,Documents!$A$2:$A$1421,$A75,Documents!$C$2:$C$1421,"all_inclusive")=0,"",_xlfn.MAXIFS(Documents!$E$2:$E$1421,Documents!$A$2:$A$1421,$A75,Documents!$C$2:$C$1421,"all_inclusive")),"")</f>
        <v/>
      </c>
      <c r="P75">
        <f>IFERROR(IF(_xlfn.MAXIFS(Documents!$E$2:$E$1421,Documents!$A$2:$A$1421,$A75,Documents!$C$2:$C$1421,"sustainability")=0,"",_xlfn.MAXIFS(Documents!$E$2:$E$1421,Documents!$A$2:$A$1421,$A75,Documents!$C$2:$C$1421,"sustainability")),"")</f>
        <v/>
      </c>
      <c r="Q75">
        <f>IFERROR(IF(_xlfn.MAXIFS(Documents!$E$2:$E$1421,Documents!$A$2:$A$1421,$A75,Documents!$C$2:$C$1421,"calendar")=0,"",_xlfn.MAXIFS(Documents!$E$2:$E$1421,Documents!$A$2:$A$1421,$A75,Documents!$C$2:$C$1421,"calendar")),"")</f>
        <v/>
      </c>
      <c r="R75">
        <f>IFERROR(IF(_xlfn.MAXIFS(Documents!$E$2:$E$1421,Documents!$A$2:$A$1421,$A75,Documents!$C$2:$C$1421,"brochure")=0,"",_xlfn.MAXIFS(Documents!$E$2:$E$1421,Documents!$A$2:$A$1421,$A75,Documents!$C$2:$C$1421,"brochure")),"")</f>
        <v/>
      </c>
      <c r="S75">
        <f>IFERROR(IF(_xlfn.MAXIFS(Documents!$E$2:$E$1421,Documents!$A$2:$A$1421,$A75,Documents!$C$2:$C$1421,"press_kit")=0,"",_xlfn.MAXIFS(Documents!$E$2:$E$1421,Documents!$A$2:$A$1421,$A75,Documents!$C$2:$C$1421,"press_kit")),"")</f>
        <v/>
      </c>
      <c r="T75">
        <f>IFERROR(IF(_xlfn.MAXIFS(Documents!$E$2:$E$1421,Documents!$A$2:$A$1421,$A75,Documents!$C$2:$C$1421,"other")=0,"",_xlfn.MAXIFS(Documents!$E$2:$E$1421,Documents!$A$2:$A$1421,$A75,Documents!$C$2:$C$1421,"other")),"")</f>
        <v/>
      </c>
      <c r="U75">
        <f>IFERROR(IF(_xlfn.MAXIFS(Documents!$E$2:$E$1421,Documents!$A$2:$A$1421,$A75,Documents!$C$2:$C$1421,"obsolete")=0,"",_xlfn.MAXIFS(Documents!$E$2:$E$1421,Documents!$A$2:$A$1421,$A75,Documents!$C$2:$C$1421,"obsolete")),"")</f>
        <v/>
      </c>
      <c r="V75">
        <f>COUNTIFS(Documents!$A$2:$A$1421,$A75)</f>
        <v/>
      </c>
      <c r="W75">
        <f>COUNTIFS(Documents!$A$2:$A$1421,$A75,Documents!$R$2:$R$1421,"current")</f>
        <v/>
      </c>
      <c r="X75">
        <f>HYPERLINK("https://www.neoscapesmaldives.com/wp-content/uploads/kandolhu-maldives-factsheet.pdf","2019_kandolhu-maldives-factsheet.pdf")</f>
        <v/>
      </c>
      <c r="Y75" t="inlineStr">
        <is>
          <t>wedding, events</t>
        </is>
      </c>
      <c r="Z75" t="inlineStr"/>
    </row>
    <row r="76">
      <c r="A76" t="n">
        <v>75</v>
      </c>
      <c r="B76" t="inlineStr">
        <is>
          <t>Kandima Maldives</t>
        </is>
      </c>
      <c r="C76" t="inlineStr">
        <is>
          <t>not crawled</t>
        </is>
      </c>
      <c r="D76">
        <f>IFERROR(IF(_xlfn.MAXIFS(Documents!$E$2:$E$1421,Documents!$A$2:$A$1421,$A76,Documents!$C$2:$C$1421,"factsheet")=0,"",_xlfn.MAXIFS(Documents!$E$2:$E$1421,Documents!$A$2:$A$1421,$A76,Documents!$C$2:$C$1421,"factsheet")),"")</f>
        <v/>
      </c>
      <c r="E76">
        <f>IFERROR(IF(_xlfn.MAXIFS(Documents!$E$2:$E$1421,Documents!$A$2:$A$1421,$A76,Documents!$C$2:$C$1421,"wedding")=0,"",_xlfn.MAXIFS(Documents!$E$2:$E$1421,Documents!$A$2:$A$1421,$A76,Documents!$C$2:$C$1421,"wedding")),"")</f>
        <v/>
      </c>
      <c r="F76">
        <f>IFERROR(IF(_xlfn.MAXIFS(Documents!$E$2:$E$1421,Documents!$A$2:$A$1421,$A76,Documents!$C$2:$C$1421,"events")=0,"",_xlfn.MAXIFS(Documents!$E$2:$E$1421,Documents!$A$2:$A$1421,$A76,Documents!$C$2:$C$1421,"events")),"")</f>
        <v/>
      </c>
      <c r="G76">
        <f>IFERROR(IF(_xlfn.MAXIFS(Documents!$E$2:$E$1421,Documents!$A$2:$A$1421,$A76,Documents!$C$2:$C$1421,"map")=0,"",_xlfn.MAXIFS(Documents!$E$2:$E$1421,Documents!$A$2:$A$1421,$A76,Documents!$C$2:$C$1421,"map")),"")</f>
        <v/>
      </c>
      <c r="H76">
        <f>IFERROR(IF(_xlfn.MAXIFS(Documents!$E$2:$E$1421,Documents!$A$2:$A$1421,$A76,Documents!$C$2:$C$1421,"dive_map")=0,"",_xlfn.MAXIFS(Documents!$E$2:$E$1421,Documents!$A$2:$A$1421,$A76,Documents!$C$2:$C$1421,"dive_map")),"")</f>
        <v/>
      </c>
      <c r="I76">
        <f>IFERROR(IF(_xlfn.MAXIFS(Documents!$E$2:$E$1421,Documents!$A$2:$A$1421,$A76,Documents!$C$2:$C$1421,"spa_menu")=0,"",_xlfn.MAXIFS(Documents!$E$2:$E$1421,Documents!$A$2:$A$1421,$A76,Documents!$C$2:$C$1421,"spa_menu")),"")</f>
        <v/>
      </c>
      <c r="J76">
        <f>IFERROR(IF(_xlfn.MAXIFS(Documents!$E$2:$E$1421,Documents!$A$2:$A$1421,$A76,Documents!$C$2:$C$1421,"dining_menu")=0,"",_xlfn.MAXIFS(Documents!$E$2:$E$1421,Documents!$A$2:$A$1421,$A76,Documents!$C$2:$C$1421,"dining_menu")),"")</f>
        <v/>
      </c>
      <c r="K76">
        <f>IFERROR(IF(_xlfn.MAXIFS(Documents!$E$2:$E$1421,Documents!$A$2:$A$1421,$A76,Documents!$C$2:$C$1421,"dive_prices")=0,"",_xlfn.MAXIFS(Documents!$E$2:$E$1421,Documents!$A$2:$A$1421,$A76,Documents!$C$2:$C$1421,"dive_prices")),"")</f>
        <v/>
      </c>
      <c r="L76">
        <f>IFERROR(IF(_xlfn.MAXIFS(Documents!$E$2:$E$1421,Documents!$A$2:$A$1421,$A76,Documents!$C$2:$C$1421,"excursions")=0,"",_xlfn.MAXIFS(Documents!$E$2:$E$1421,Documents!$A$2:$A$1421,$A76,Documents!$C$2:$C$1421,"excursions")),"")</f>
        <v/>
      </c>
      <c r="M76">
        <f>IFERROR(IF(_xlfn.MAXIFS(Documents!$E$2:$E$1421,Documents!$A$2:$A$1421,$A76,Documents!$C$2:$C$1421,"kids")=0,"",_xlfn.MAXIFS(Documents!$E$2:$E$1421,Documents!$A$2:$A$1421,$A76,Documents!$C$2:$C$1421,"kids")),"")</f>
        <v/>
      </c>
      <c r="N76">
        <f>IFERROR(IF(_xlfn.MAXIFS(Documents!$E$2:$E$1421,Documents!$A$2:$A$1421,$A76,Documents!$C$2:$C$1421,"villa_plans")=0,"",_xlfn.MAXIFS(Documents!$E$2:$E$1421,Documents!$A$2:$A$1421,$A76,Documents!$C$2:$C$1421,"villa_plans")),"")</f>
        <v/>
      </c>
      <c r="O76">
        <f>IFERROR(IF(_xlfn.MAXIFS(Documents!$E$2:$E$1421,Documents!$A$2:$A$1421,$A76,Documents!$C$2:$C$1421,"all_inclusive")=0,"",_xlfn.MAXIFS(Documents!$E$2:$E$1421,Documents!$A$2:$A$1421,$A76,Documents!$C$2:$C$1421,"all_inclusive")),"")</f>
        <v/>
      </c>
      <c r="P76">
        <f>IFERROR(IF(_xlfn.MAXIFS(Documents!$E$2:$E$1421,Documents!$A$2:$A$1421,$A76,Documents!$C$2:$C$1421,"sustainability")=0,"",_xlfn.MAXIFS(Documents!$E$2:$E$1421,Documents!$A$2:$A$1421,$A76,Documents!$C$2:$C$1421,"sustainability")),"")</f>
        <v/>
      </c>
      <c r="Q76">
        <f>IFERROR(IF(_xlfn.MAXIFS(Documents!$E$2:$E$1421,Documents!$A$2:$A$1421,$A76,Documents!$C$2:$C$1421,"calendar")=0,"",_xlfn.MAXIFS(Documents!$E$2:$E$1421,Documents!$A$2:$A$1421,$A76,Documents!$C$2:$C$1421,"calendar")),"")</f>
        <v/>
      </c>
      <c r="R76">
        <f>IFERROR(IF(_xlfn.MAXIFS(Documents!$E$2:$E$1421,Documents!$A$2:$A$1421,$A76,Documents!$C$2:$C$1421,"brochure")=0,"",_xlfn.MAXIFS(Documents!$E$2:$E$1421,Documents!$A$2:$A$1421,$A76,Documents!$C$2:$C$1421,"brochure")),"")</f>
        <v/>
      </c>
      <c r="S76">
        <f>IFERROR(IF(_xlfn.MAXIFS(Documents!$E$2:$E$1421,Documents!$A$2:$A$1421,$A76,Documents!$C$2:$C$1421,"press_kit")=0,"",_xlfn.MAXIFS(Documents!$E$2:$E$1421,Documents!$A$2:$A$1421,$A76,Documents!$C$2:$C$1421,"press_kit")),"")</f>
        <v/>
      </c>
      <c r="T76">
        <f>IFERROR(IF(_xlfn.MAXIFS(Documents!$E$2:$E$1421,Documents!$A$2:$A$1421,$A76,Documents!$C$2:$C$1421,"other")=0,"",_xlfn.MAXIFS(Documents!$E$2:$E$1421,Documents!$A$2:$A$1421,$A76,Documents!$C$2:$C$1421,"other")),"")</f>
        <v/>
      </c>
      <c r="U76">
        <f>IFERROR(IF(_xlfn.MAXIFS(Documents!$E$2:$E$1421,Documents!$A$2:$A$1421,$A76,Documents!$C$2:$C$1421,"obsolete")=0,"",_xlfn.MAXIFS(Documents!$E$2:$E$1421,Documents!$A$2:$A$1421,$A76,Documents!$C$2:$C$1421,"obsolete")),"")</f>
        <v/>
      </c>
      <c r="V76">
        <f>COUNTIFS(Documents!$A$2:$A$1421,$A76)</f>
        <v/>
      </c>
      <c r="W76">
        <f>COUNTIFS(Documents!$A$2:$A$1421,$A76,Documents!$R$2:$R$1421,"current")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not crawled</t>
        </is>
      </c>
      <c r="D77">
        <f>IFERROR(IF(_xlfn.MAXIFS(Documents!$E$2:$E$1421,Documents!$A$2:$A$1421,$A77,Documents!$C$2:$C$1421,"factsheet")=0,"",_xlfn.MAXIFS(Documents!$E$2:$E$1421,Documents!$A$2:$A$1421,$A77,Documents!$C$2:$C$1421,"factsheet")),"")</f>
        <v/>
      </c>
      <c r="E77">
        <f>IFERROR(IF(_xlfn.MAXIFS(Documents!$E$2:$E$1421,Documents!$A$2:$A$1421,$A77,Documents!$C$2:$C$1421,"wedding")=0,"",_xlfn.MAXIFS(Documents!$E$2:$E$1421,Documents!$A$2:$A$1421,$A77,Documents!$C$2:$C$1421,"wedding")),"")</f>
        <v/>
      </c>
      <c r="F77">
        <f>IFERROR(IF(_xlfn.MAXIFS(Documents!$E$2:$E$1421,Documents!$A$2:$A$1421,$A77,Documents!$C$2:$C$1421,"events")=0,"",_xlfn.MAXIFS(Documents!$E$2:$E$1421,Documents!$A$2:$A$1421,$A77,Documents!$C$2:$C$1421,"events")),"")</f>
        <v/>
      </c>
      <c r="G77">
        <f>IFERROR(IF(_xlfn.MAXIFS(Documents!$E$2:$E$1421,Documents!$A$2:$A$1421,$A77,Documents!$C$2:$C$1421,"map")=0,"",_xlfn.MAXIFS(Documents!$E$2:$E$1421,Documents!$A$2:$A$1421,$A77,Documents!$C$2:$C$1421,"map")),"")</f>
        <v/>
      </c>
      <c r="H77">
        <f>IFERROR(IF(_xlfn.MAXIFS(Documents!$E$2:$E$1421,Documents!$A$2:$A$1421,$A77,Documents!$C$2:$C$1421,"dive_map")=0,"",_xlfn.MAXIFS(Documents!$E$2:$E$1421,Documents!$A$2:$A$1421,$A77,Documents!$C$2:$C$1421,"dive_map")),"")</f>
        <v/>
      </c>
      <c r="I77">
        <f>IFERROR(IF(_xlfn.MAXIFS(Documents!$E$2:$E$1421,Documents!$A$2:$A$1421,$A77,Documents!$C$2:$C$1421,"spa_menu")=0,"",_xlfn.MAXIFS(Documents!$E$2:$E$1421,Documents!$A$2:$A$1421,$A77,Documents!$C$2:$C$1421,"spa_menu")),"")</f>
        <v/>
      </c>
      <c r="J77">
        <f>IFERROR(IF(_xlfn.MAXIFS(Documents!$E$2:$E$1421,Documents!$A$2:$A$1421,$A77,Documents!$C$2:$C$1421,"dining_menu")=0,"",_xlfn.MAXIFS(Documents!$E$2:$E$1421,Documents!$A$2:$A$1421,$A77,Documents!$C$2:$C$1421,"dining_menu")),"")</f>
        <v/>
      </c>
      <c r="K77">
        <f>IFERROR(IF(_xlfn.MAXIFS(Documents!$E$2:$E$1421,Documents!$A$2:$A$1421,$A77,Documents!$C$2:$C$1421,"dive_prices")=0,"",_xlfn.MAXIFS(Documents!$E$2:$E$1421,Documents!$A$2:$A$1421,$A77,Documents!$C$2:$C$1421,"dive_prices")),"")</f>
        <v/>
      </c>
      <c r="L77">
        <f>IFERROR(IF(_xlfn.MAXIFS(Documents!$E$2:$E$1421,Documents!$A$2:$A$1421,$A77,Documents!$C$2:$C$1421,"excursions")=0,"",_xlfn.MAXIFS(Documents!$E$2:$E$1421,Documents!$A$2:$A$1421,$A77,Documents!$C$2:$C$1421,"excursions")),"")</f>
        <v/>
      </c>
      <c r="M77">
        <f>IFERROR(IF(_xlfn.MAXIFS(Documents!$E$2:$E$1421,Documents!$A$2:$A$1421,$A77,Documents!$C$2:$C$1421,"kids")=0,"",_xlfn.MAXIFS(Documents!$E$2:$E$1421,Documents!$A$2:$A$1421,$A77,Documents!$C$2:$C$1421,"kids")),"")</f>
        <v/>
      </c>
      <c r="N77">
        <f>IFERROR(IF(_xlfn.MAXIFS(Documents!$E$2:$E$1421,Documents!$A$2:$A$1421,$A77,Documents!$C$2:$C$1421,"villa_plans")=0,"",_xlfn.MAXIFS(Documents!$E$2:$E$1421,Documents!$A$2:$A$1421,$A77,Documents!$C$2:$C$1421,"villa_plans")),"")</f>
        <v/>
      </c>
      <c r="O77">
        <f>IFERROR(IF(_xlfn.MAXIFS(Documents!$E$2:$E$1421,Documents!$A$2:$A$1421,$A77,Documents!$C$2:$C$1421,"all_inclusive")=0,"",_xlfn.MAXIFS(Documents!$E$2:$E$1421,Documents!$A$2:$A$1421,$A77,Documents!$C$2:$C$1421,"all_inclusive")),"")</f>
        <v/>
      </c>
      <c r="P77">
        <f>IFERROR(IF(_xlfn.MAXIFS(Documents!$E$2:$E$1421,Documents!$A$2:$A$1421,$A77,Documents!$C$2:$C$1421,"sustainability")=0,"",_xlfn.MAXIFS(Documents!$E$2:$E$1421,Documents!$A$2:$A$1421,$A77,Documents!$C$2:$C$1421,"sustainability")),"")</f>
        <v/>
      </c>
      <c r="Q77">
        <f>IFERROR(IF(_xlfn.MAXIFS(Documents!$E$2:$E$1421,Documents!$A$2:$A$1421,$A77,Documents!$C$2:$C$1421,"calendar")=0,"",_xlfn.MAXIFS(Documents!$E$2:$E$1421,Documents!$A$2:$A$1421,$A77,Documents!$C$2:$C$1421,"calendar")),"")</f>
        <v/>
      </c>
      <c r="R77">
        <f>IFERROR(IF(_xlfn.MAXIFS(Documents!$E$2:$E$1421,Documents!$A$2:$A$1421,$A77,Documents!$C$2:$C$1421,"brochure")=0,"",_xlfn.MAXIFS(Documents!$E$2:$E$1421,Documents!$A$2:$A$1421,$A77,Documents!$C$2:$C$1421,"brochure")),"")</f>
        <v/>
      </c>
      <c r="S77">
        <f>IFERROR(IF(_xlfn.MAXIFS(Documents!$E$2:$E$1421,Documents!$A$2:$A$1421,$A77,Documents!$C$2:$C$1421,"press_kit")=0,"",_xlfn.MAXIFS(Documents!$E$2:$E$1421,Documents!$A$2:$A$1421,$A77,Documents!$C$2:$C$1421,"press_kit")),"")</f>
        <v/>
      </c>
      <c r="T77">
        <f>IFERROR(IF(_xlfn.MAXIFS(Documents!$E$2:$E$1421,Documents!$A$2:$A$1421,$A77,Documents!$C$2:$C$1421,"other")=0,"",_xlfn.MAXIFS(Documents!$E$2:$E$1421,Documents!$A$2:$A$1421,$A77,Documents!$C$2:$C$1421,"other")),"")</f>
        <v/>
      </c>
      <c r="U77">
        <f>IFERROR(IF(_xlfn.MAXIFS(Documents!$E$2:$E$1421,Documents!$A$2:$A$1421,$A77,Documents!$C$2:$C$1421,"obsolete")=0,"",_xlfn.MAXIFS(Documents!$E$2:$E$1421,Documents!$A$2:$A$1421,$A77,Documents!$C$2:$C$1421,"obsolete")),"")</f>
        <v/>
      </c>
      <c r="V77">
        <f>COUNTIFS(Documents!$A$2:$A$1421,$A77)</f>
        <v/>
      </c>
      <c r="W77">
        <f>COUNTIFS(Documents!$A$2:$A$1421,$A77,Documents!$R$2:$R$1421,"current")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not crawled</t>
        </is>
      </c>
      <c r="D78">
        <f>IFERROR(IF(_xlfn.MAXIFS(Documents!$E$2:$E$1421,Documents!$A$2:$A$1421,$A78,Documents!$C$2:$C$1421,"factsheet")=0,"",_xlfn.MAXIFS(Documents!$E$2:$E$1421,Documents!$A$2:$A$1421,$A78,Documents!$C$2:$C$1421,"factsheet")),"")</f>
        <v/>
      </c>
      <c r="E78">
        <f>IFERROR(IF(_xlfn.MAXIFS(Documents!$E$2:$E$1421,Documents!$A$2:$A$1421,$A78,Documents!$C$2:$C$1421,"wedding")=0,"",_xlfn.MAXIFS(Documents!$E$2:$E$1421,Documents!$A$2:$A$1421,$A78,Documents!$C$2:$C$1421,"wedding")),"")</f>
        <v/>
      </c>
      <c r="F78">
        <f>IFERROR(IF(_xlfn.MAXIFS(Documents!$E$2:$E$1421,Documents!$A$2:$A$1421,$A78,Documents!$C$2:$C$1421,"events")=0,"",_xlfn.MAXIFS(Documents!$E$2:$E$1421,Documents!$A$2:$A$1421,$A78,Documents!$C$2:$C$1421,"events")),"")</f>
        <v/>
      </c>
      <c r="G78">
        <f>IFERROR(IF(_xlfn.MAXIFS(Documents!$E$2:$E$1421,Documents!$A$2:$A$1421,$A78,Documents!$C$2:$C$1421,"map")=0,"",_xlfn.MAXIFS(Documents!$E$2:$E$1421,Documents!$A$2:$A$1421,$A78,Documents!$C$2:$C$1421,"map")),"")</f>
        <v/>
      </c>
      <c r="H78">
        <f>IFERROR(IF(_xlfn.MAXIFS(Documents!$E$2:$E$1421,Documents!$A$2:$A$1421,$A78,Documents!$C$2:$C$1421,"dive_map")=0,"",_xlfn.MAXIFS(Documents!$E$2:$E$1421,Documents!$A$2:$A$1421,$A78,Documents!$C$2:$C$1421,"dive_map")),"")</f>
        <v/>
      </c>
      <c r="I78">
        <f>IFERROR(IF(_xlfn.MAXIFS(Documents!$E$2:$E$1421,Documents!$A$2:$A$1421,$A78,Documents!$C$2:$C$1421,"spa_menu")=0,"",_xlfn.MAXIFS(Documents!$E$2:$E$1421,Documents!$A$2:$A$1421,$A78,Documents!$C$2:$C$1421,"spa_menu")),"")</f>
        <v/>
      </c>
      <c r="J78">
        <f>IFERROR(IF(_xlfn.MAXIFS(Documents!$E$2:$E$1421,Documents!$A$2:$A$1421,$A78,Documents!$C$2:$C$1421,"dining_menu")=0,"",_xlfn.MAXIFS(Documents!$E$2:$E$1421,Documents!$A$2:$A$1421,$A78,Documents!$C$2:$C$1421,"dining_menu")),"")</f>
        <v/>
      </c>
      <c r="K78">
        <f>IFERROR(IF(_xlfn.MAXIFS(Documents!$E$2:$E$1421,Documents!$A$2:$A$1421,$A78,Documents!$C$2:$C$1421,"dive_prices")=0,"",_xlfn.MAXIFS(Documents!$E$2:$E$1421,Documents!$A$2:$A$1421,$A78,Documents!$C$2:$C$1421,"dive_prices")),"")</f>
        <v/>
      </c>
      <c r="L78">
        <f>IFERROR(IF(_xlfn.MAXIFS(Documents!$E$2:$E$1421,Documents!$A$2:$A$1421,$A78,Documents!$C$2:$C$1421,"excursions")=0,"",_xlfn.MAXIFS(Documents!$E$2:$E$1421,Documents!$A$2:$A$1421,$A78,Documents!$C$2:$C$1421,"excursions")),"")</f>
        <v/>
      </c>
      <c r="M78">
        <f>IFERROR(IF(_xlfn.MAXIFS(Documents!$E$2:$E$1421,Documents!$A$2:$A$1421,$A78,Documents!$C$2:$C$1421,"kids")=0,"",_xlfn.MAXIFS(Documents!$E$2:$E$1421,Documents!$A$2:$A$1421,$A78,Documents!$C$2:$C$1421,"kids")),"")</f>
        <v/>
      </c>
      <c r="N78">
        <f>IFERROR(IF(_xlfn.MAXIFS(Documents!$E$2:$E$1421,Documents!$A$2:$A$1421,$A78,Documents!$C$2:$C$1421,"villa_plans")=0,"",_xlfn.MAXIFS(Documents!$E$2:$E$1421,Documents!$A$2:$A$1421,$A78,Documents!$C$2:$C$1421,"villa_plans")),"")</f>
        <v/>
      </c>
      <c r="O78">
        <f>IFERROR(IF(_xlfn.MAXIFS(Documents!$E$2:$E$1421,Documents!$A$2:$A$1421,$A78,Documents!$C$2:$C$1421,"all_inclusive")=0,"",_xlfn.MAXIFS(Documents!$E$2:$E$1421,Documents!$A$2:$A$1421,$A78,Documents!$C$2:$C$1421,"all_inclusive")),"")</f>
        <v/>
      </c>
      <c r="P78">
        <f>IFERROR(IF(_xlfn.MAXIFS(Documents!$E$2:$E$1421,Documents!$A$2:$A$1421,$A78,Documents!$C$2:$C$1421,"sustainability")=0,"",_xlfn.MAXIFS(Documents!$E$2:$E$1421,Documents!$A$2:$A$1421,$A78,Documents!$C$2:$C$1421,"sustainability")),"")</f>
        <v/>
      </c>
      <c r="Q78">
        <f>IFERROR(IF(_xlfn.MAXIFS(Documents!$E$2:$E$1421,Documents!$A$2:$A$1421,$A78,Documents!$C$2:$C$1421,"calendar")=0,"",_xlfn.MAXIFS(Documents!$E$2:$E$1421,Documents!$A$2:$A$1421,$A78,Documents!$C$2:$C$1421,"calendar")),"")</f>
        <v/>
      </c>
      <c r="R78">
        <f>IFERROR(IF(_xlfn.MAXIFS(Documents!$E$2:$E$1421,Documents!$A$2:$A$1421,$A78,Documents!$C$2:$C$1421,"brochure")=0,"",_xlfn.MAXIFS(Documents!$E$2:$E$1421,Documents!$A$2:$A$1421,$A78,Documents!$C$2:$C$1421,"brochure")),"")</f>
        <v/>
      </c>
      <c r="S78">
        <f>IFERROR(IF(_xlfn.MAXIFS(Documents!$E$2:$E$1421,Documents!$A$2:$A$1421,$A78,Documents!$C$2:$C$1421,"press_kit")=0,"",_xlfn.MAXIFS(Documents!$E$2:$E$1421,Documents!$A$2:$A$1421,$A78,Documents!$C$2:$C$1421,"press_kit")),"")</f>
        <v/>
      </c>
      <c r="T78">
        <f>IFERROR(IF(_xlfn.MAXIFS(Documents!$E$2:$E$1421,Documents!$A$2:$A$1421,$A78,Documents!$C$2:$C$1421,"other")=0,"",_xlfn.MAXIFS(Documents!$E$2:$E$1421,Documents!$A$2:$A$1421,$A78,Documents!$C$2:$C$1421,"other")),"")</f>
        <v/>
      </c>
      <c r="U78">
        <f>IFERROR(IF(_xlfn.MAXIFS(Documents!$E$2:$E$1421,Documents!$A$2:$A$1421,$A78,Documents!$C$2:$C$1421,"obsolete")=0,"",_xlfn.MAXIFS(Documents!$E$2:$E$1421,Documents!$A$2:$A$1421,$A78,Documents!$C$2:$C$1421,"obsolete")),"")</f>
        <v/>
      </c>
      <c r="V78">
        <f>COUNTIFS(Documents!$A$2:$A$1421,$A78)</f>
        <v/>
      </c>
      <c r="W78">
        <f>COUNTIFS(Documents!$A$2:$A$1421,$A78,Documents!$R$2:$R$1421,"current")</f>
        <v/>
      </c>
      <c r="X78" t="inlineStr"/>
      <c r="Y78" t="inlineStr">
        <is>
          <t>factsheet, wedding, events</t>
        </is>
      </c>
      <c r="Z78" t="inlineStr"/>
    </row>
    <row r="79">
      <c r="A79" t="n">
        <v>78</v>
      </c>
      <c r="B79" t="inlineStr">
        <is>
          <t>Meeru Maldives Resort Island</t>
        </is>
      </c>
      <c r="C79" t="inlineStr">
        <is>
          <t>not crawled</t>
        </is>
      </c>
      <c r="D79">
        <f>IFERROR(IF(_xlfn.MAXIFS(Documents!$E$2:$E$1421,Documents!$A$2:$A$1421,$A79,Documents!$C$2:$C$1421,"factsheet")=0,"",_xlfn.MAXIFS(Documents!$E$2:$E$1421,Documents!$A$2:$A$1421,$A79,Documents!$C$2:$C$1421,"factsheet")),"")</f>
        <v/>
      </c>
      <c r="E79">
        <f>IFERROR(IF(_xlfn.MAXIFS(Documents!$E$2:$E$1421,Documents!$A$2:$A$1421,$A79,Documents!$C$2:$C$1421,"wedding")=0,"",_xlfn.MAXIFS(Documents!$E$2:$E$1421,Documents!$A$2:$A$1421,$A79,Documents!$C$2:$C$1421,"wedding")),"")</f>
        <v/>
      </c>
      <c r="F79">
        <f>IFERROR(IF(_xlfn.MAXIFS(Documents!$E$2:$E$1421,Documents!$A$2:$A$1421,$A79,Documents!$C$2:$C$1421,"events")=0,"",_xlfn.MAXIFS(Documents!$E$2:$E$1421,Documents!$A$2:$A$1421,$A79,Documents!$C$2:$C$1421,"events")),"")</f>
        <v/>
      </c>
      <c r="G79">
        <f>IFERROR(IF(_xlfn.MAXIFS(Documents!$E$2:$E$1421,Documents!$A$2:$A$1421,$A79,Documents!$C$2:$C$1421,"map")=0,"",_xlfn.MAXIFS(Documents!$E$2:$E$1421,Documents!$A$2:$A$1421,$A79,Documents!$C$2:$C$1421,"map")),"")</f>
        <v/>
      </c>
      <c r="H79">
        <f>IFERROR(IF(_xlfn.MAXIFS(Documents!$E$2:$E$1421,Documents!$A$2:$A$1421,$A79,Documents!$C$2:$C$1421,"dive_map")=0,"",_xlfn.MAXIFS(Documents!$E$2:$E$1421,Documents!$A$2:$A$1421,$A79,Documents!$C$2:$C$1421,"dive_map")),"")</f>
        <v/>
      </c>
      <c r="I79">
        <f>IFERROR(IF(_xlfn.MAXIFS(Documents!$E$2:$E$1421,Documents!$A$2:$A$1421,$A79,Documents!$C$2:$C$1421,"spa_menu")=0,"",_xlfn.MAXIFS(Documents!$E$2:$E$1421,Documents!$A$2:$A$1421,$A79,Documents!$C$2:$C$1421,"spa_menu")),"")</f>
        <v/>
      </c>
      <c r="J79">
        <f>IFERROR(IF(_xlfn.MAXIFS(Documents!$E$2:$E$1421,Documents!$A$2:$A$1421,$A79,Documents!$C$2:$C$1421,"dining_menu")=0,"",_xlfn.MAXIFS(Documents!$E$2:$E$1421,Documents!$A$2:$A$1421,$A79,Documents!$C$2:$C$1421,"dining_menu")),"")</f>
        <v/>
      </c>
      <c r="K79">
        <f>IFERROR(IF(_xlfn.MAXIFS(Documents!$E$2:$E$1421,Documents!$A$2:$A$1421,$A79,Documents!$C$2:$C$1421,"dive_prices")=0,"",_xlfn.MAXIFS(Documents!$E$2:$E$1421,Documents!$A$2:$A$1421,$A79,Documents!$C$2:$C$1421,"dive_prices")),"")</f>
        <v/>
      </c>
      <c r="L79">
        <f>IFERROR(IF(_xlfn.MAXIFS(Documents!$E$2:$E$1421,Documents!$A$2:$A$1421,$A79,Documents!$C$2:$C$1421,"excursions")=0,"",_xlfn.MAXIFS(Documents!$E$2:$E$1421,Documents!$A$2:$A$1421,$A79,Documents!$C$2:$C$1421,"excursions")),"")</f>
        <v/>
      </c>
      <c r="M79">
        <f>IFERROR(IF(_xlfn.MAXIFS(Documents!$E$2:$E$1421,Documents!$A$2:$A$1421,$A79,Documents!$C$2:$C$1421,"kids")=0,"",_xlfn.MAXIFS(Documents!$E$2:$E$1421,Documents!$A$2:$A$1421,$A79,Documents!$C$2:$C$1421,"kids")),"")</f>
        <v/>
      </c>
      <c r="N79">
        <f>IFERROR(IF(_xlfn.MAXIFS(Documents!$E$2:$E$1421,Documents!$A$2:$A$1421,$A79,Documents!$C$2:$C$1421,"villa_plans")=0,"",_xlfn.MAXIFS(Documents!$E$2:$E$1421,Documents!$A$2:$A$1421,$A79,Documents!$C$2:$C$1421,"villa_plans")),"")</f>
        <v/>
      </c>
      <c r="O79">
        <f>IFERROR(IF(_xlfn.MAXIFS(Documents!$E$2:$E$1421,Documents!$A$2:$A$1421,$A79,Documents!$C$2:$C$1421,"all_inclusive")=0,"",_xlfn.MAXIFS(Documents!$E$2:$E$1421,Documents!$A$2:$A$1421,$A79,Documents!$C$2:$C$1421,"all_inclusive")),"")</f>
        <v/>
      </c>
      <c r="P79">
        <f>IFERROR(IF(_xlfn.MAXIFS(Documents!$E$2:$E$1421,Documents!$A$2:$A$1421,$A79,Documents!$C$2:$C$1421,"sustainability")=0,"",_xlfn.MAXIFS(Documents!$E$2:$E$1421,Documents!$A$2:$A$1421,$A79,Documents!$C$2:$C$1421,"sustainability")),"")</f>
        <v/>
      </c>
      <c r="Q79">
        <f>IFERROR(IF(_xlfn.MAXIFS(Documents!$E$2:$E$1421,Documents!$A$2:$A$1421,$A79,Documents!$C$2:$C$1421,"calendar")=0,"",_xlfn.MAXIFS(Documents!$E$2:$E$1421,Documents!$A$2:$A$1421,$A79,Documents!$C$2:$C$1421,"calendar")),"")</f>
        <v/>
      </c>
      <c r="R79">
        <f>IFERROR(IF(_xlfn.MAXIFS(Documents!$E$2:$E$1421,Documents!$A$2:$A$1421,$A79,Documents!$C$2:$C$1421,"brochure")=0,"",_xlfn.MAXIFS(Documents!$E$2:$E$1421,Documents!$A$2:$A$1421,$A79,Documents!$C$2:$C$1421,"brochure")),"")</f>
        <v/>
      </c>
      <c r="S79">
        <f>IFERROR(IF(_xlfn.MAXIFS(Documents!$E$2:$E$1421,Documents!$A$2:$A$1421,$A79,Documents!$C$2:$C$1421,"press_kit")=0,"",_xlfn.MAXIFS(Documents!$E$2:$E$1421,Documents!$A$2:$A$1421,$A79,Documents!$C$2:$C$1421,"press_kit")),"")</f>
        <v/>
      </c>
      <c r="T79">
        <f>IFERROR(IF(_xlfn.MAXIFS(Documents!$E$2:$E$1421,Documents!$A$2:$A$1421,$A79,Documents!$C$2:$C$1421,"other")=0,"",_xlfn.MAXIFS(Documents!$E$2:$E$1421,Documents!$A$2:$A$1421,$A79,Documents!$C$2:$C$1421,"other")),"")</f>
        <v/>
      </c>
      <c r="U79">
        <f>IFERROR(IF(_xlfn.MAXIFS(Documents!$E$2:$E$1421,Documents!$A$2:$A$1421,$A79,Documents!$C$2:$C$1421,"obsolete")=0,"",_xlfn.MAXIFS(Documents!$E$2:$E$1421,Documents!$A$2:$A$1421,$A79,Documents!$C$2:$C$1421,"obsolete")),"")</f>
        <v/>
      </c>
      <c r="V79">
        <f>COUNTIFS(Documents!$A$2:$A$1421,$A79)</f>
        <v/>
      </c>
      <c r="W79">
        <f>COUNTIFS(Documents!$A$2:$A$1421,$A79,Documents!$R$2:$R$1421,"current")</f>
        <v/>
      </c>
      <c r="X79">
        <f>HYPERLINK("https://sales.crownandchamparesorts.com/wp-content/uploads/2025/12/FactSheetMeeru110125103126Ver01022025.pdf","2025_FactSheetMeeru110125103126Ver010220")</f>
        <v/>
      </c>
      <c r="Y79" t="inlineStr">
        <is>
          <t>wedding, events</t>
        </is>
      </c>
      <c r="Z79" t="inlineStr"/>
    </row>
    <row r="80">
      <c r="A80" t="n">
        <v>79</v>
      </c>
      <c r="B80" t="inlineStr">
        <is>
          <t>Komandoo Island Resort</t>
        </is>
      </c>
      <c r="C80" t="inlineStr">
        <is>
          <t>not crawled</t>
        </is>
      </c>
      <c r="D80">
        <f>IFERROR(IF(_xlfn.MAXIFS(Documents!$E$2:$E$1421,Documents!$A$2:$A$1421,$A80,Documents!$C$2:$C$1421,"factsheet")=0,"",_xlfn.MAXIFS(Documents!$E$2:$E$1421,Documents!$A$2:$A$1421,$A80,Documents!$C$2:$C$1421,"factsheet")),"")</f>
        <v/>
      </c>
      <c r="E80">
        <f>IFERROR(IF(_xlfn.MAXIFS(Documents!$E$2:$E$1421,Documents!$A$2:$A$1421,$A80,Documents!$C$2:$C$1421,"wedding")=0,"",_xlfn.MAXIFS(Documents!$E$2:$E$1421,Documents!$A$2:$A$1421,$A80,Documents!$C$2:$C$1421,"wedding")),"")</f>
        <v/>
      </c>
      <c r="F80">
        <f>IFERROR(IF(_xlfn.MAXIFS(Documents!$E$2:$E$1421,Documents!$A$2:$A$1421,$A80,Documents!$C$2:$C$1421,"events")=0,"",_xlfn.MAXIFS(Documents!$E$2:$E$1421,Documents!$A$2:$A$1421,$A80,Documents!$C$2:$C$1421,"events")),"")</f>
        <v/>
      </c>
      <c r="G80">
        <f>IFERROR(IF(_xlfn.MAXIFS(Documents!$E$2:$E$1421,Documents!$A$2:$A$1421,$A80,Documents!$C$2:$C$1421,"map")=0,"",_xlfn.MAXIFS(Documents!$E$2:$E$1421,Documents!$A$2:$A$1421,$A80,Documents!$C$2:$C$1421,"map")),"")</f>
        <v/>
      </c>
      <c r="H80">
        <f>IFERROR(IF(_xlfn.MAXIFS(Documents!$E$2:$E$1421,Documents!$A$2:$A$1421,$A80,Documents!$C$2:$C$1421,"dive_map")=0,"",_xlfn.MAXIFS(Documents!$E$2:$E$1421,Documents!$A$2:$A$1421,$A80,Documents!$C$2:$C$1421,"dive_map")),"")</f>
        <v/>
      </c>
      <c r="I80">
        <f>IFERROR(IF(_xlfn.MAXIFS(Documents!$E$2:$E$1421,Documents!$A$2:$A$1421,$A80,Documents!$C$2:$C$1421,"spa_menu")=0,"",_xlfn.MAXIFS(Documents!$E$2:$E$1421,Documents!$A$2:$A$1421,$A80,Documents!$C$2:$C$1421,"spa_menu")),"")</f>
        <v/>
      </c>
      <c r="J80">
        <f>IFERROR(IF(_xlfn.MAXIFS(Documents!$E$2:$E$1421,Documents!$A$2:$A$1421,$A80,Documents!$C$2:$C$1421,"dining_menu")=0,"",_xlfn.MAXIFS(Documents!$E$2:$E$1421,Documents!$A$2:$A$1421,$A80,Documents!$C$2:$C$1421,"dining_menu")),"")</f>
        <v/>
      </c>
      <c r="K80">
        <f>IFERROR(IF(_xlfn.MAXIFS(Documents!$E$2:$E$1421,Documents!$A$2:$A$1421,$A80,Documents!$C$2:$C$1421,"dive_prices")=0,"",_xlfn.MAXIFS(Documents!$E$2:$E$1421,Documents!$A$2:$A$1421,$A80,Documents!$C$2:$C$1421,"dive_prices")),"")</f>
        <v/>
      </c>
      <c r="L80">
        <f>IFERROR(IF(_xlfn.MAXIFS(Documents!$E$2:$E$1421,Documents!$A$2:$A$1421,$A80,Documents!$C$2:$C$1421,"excursions")=0,"",_xlfn.MAXIFS(Documents!$E$2:$E$1421,Documents!$A$2:$A$1421,$A80,Documents!$C$2:$C$1421,"excursions")),"")</f>
        <v/>
      </c>
      <c r="M80">
        <f>IFERROR(IF(_xlfn.MAXIFS(Documents!$E$2:$E$1421,Documents!$A$2:$A$1421,$A80,Documents!$C$2:$C$1421,"kids")=0,"",_xlfn.MAXIFS(Documents!$E$2:$E$1421,Documents!$A$2:$A$1421,$A80,Documents!$C$2:$C$1421,"kids")),"")</f>
        <v/>
      </c>
      <c r="N80">
        <f>IFERROR(IF(_xlfn.MAXIFS(Documents!$E$2:$E$1421,Documents!$A$2:$A$1421,$A80,Documents!$C$2:$C$1421,"villa_plans")=0,"",_xlfn.MAXIFS(Documents!$E$2:$E$1421,Documents!$A$2:$A$1421,$A80,Documents!$C$2:$C$1421,"villa_plans")),"")</f>
        <v/>
      </c>
      <c r="O80">
        <f>IFERROR(IF(_xlfn.MAXIFS(Documents!$E$2:$E$1421,Documents!$A$2:$A$1421,$A80,Documents!$C$2:$C$1421,"all_inclusive")=0,"",_xlfn.MAXIFS(Documents!$E$2:$E$1421,Documents!$A$2:$A$1421,$A80,Documents!$C$2:$C$1421,"all_inclusive")),"")</f>
        <v/>
      </c>
      <c r="P80">
        <f>IFERROR(IF(_xlfn.MAXIFS(Documents!$E$2:$E$1421,Documents!$A$2:$A$1421,$A80,Documents!$C$2:$C$1421,"sustainability")=0,"",_xlfn.MAXIFS(Documents!$E$2:$E$1421,Documents!$A$2:$A$1421,$A80,Documents!$C$2:$C$1421,"sustainability")),"")</f>
        <v/>
      </c>
      <c r="Q80">
        <f>IFERROR(IF(_xlfn.MAXIFS(Documents!$E$2:$E$1421,Documents!$A$2:$A$1421,$A80,Documents!$C$2:$C$1421,"calendar")=0,"",_xlfn.MAXIFS(Documents!$E$2:$E$1421,Documents!$A$2:$A$1421,$A80,Documents!$C$2:$C$1421,"calendar")),"")</f>
        <v/>
      </c>
      <c r="R80">
        <f>IFERROR(IF(_xlfn.MAXIFS(Documents!$E$2:$E$1421,Documents!$A$2:$A$1421,$A80,Documents!$C$2:$C$1421,"brochure")=0,"",_xlfn.MAXIFS(Documents!$E$2:$E$1421,Documents!$A$2:$A$1421,$A80,Documents!$C$2:$C$1421,"brochure")),"")</f>
        <v/>
      </c>
      <c r="S80">
        <f>IFERROR(IF(_xlfn.MAXIFS(Documents!$E$2:$E$1421,Documents!$A$2:$A$1421,$A80,Documents!$C$2:$C$1421,"press_kit")=0,"",_xlfn.MAXIFS(Documents!$E$2:$E$1421,Documents!$A$2:$A$1421,$A80,Documents!$C$2:$C$1421,"press_kit")),"")</f>
        <v/>
      </c>
      <c r="T80">
        <f>IFERROR(IF(_xlfn.MAXIFS(Documents!$E$2:$E$1421,Documents!$A$2:$A$1421,$A80,Documents!$C$2:$C$1421,"other")=0,"",_xlfn.MAXIFS(Documents!$E$2:$E$1421,Documents!$A$2:$A$1421,$A80,Documents!$C$2:$C$1421,"other")),"")</f>
        <v/>
      </c>
      <c r="U80">
        <f>IFERROR(IF(_xlfn.MAXIFS(Documents!$E$2:$E$1421,Documents!$A$2:$A$1421,$A80,Documents!$C$2:$C$1421,"obsolete")=0,"",_xlfn.MAXIFS(Documents!$E$2:$E$1421,Documents!$A$2:$A$1421,$A80,Documents!$C$2:$C$1421,"obsolete")),"")</f>
        <v/>
      </c>
      <c r="V80">
        <f>COUNTIFS(Documents!$A$2:$A$1421,$A80)</f>
        <v/>
      </c>
      <c r="W80">
        <f>COUNTIFS(Documents!$A$2:$A$1421,$A80,Documents!$R$2:$R$1421,"current")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not crawled</t>
        </is>
      </c>
      <c r="D81">
        <f>IFERROR(IF(_xlfn.MAXIFS(Documents!$E$2:$E$1421,Documents!$A$2:$A$1421,$A81,Documents!$C$2:$C$1421,"factsheet")=0,"",_xlfn.MAXIFS(Documents!$E$2:$E$1421,Documents!$A$2:$A$1421,$A81,Documents!$C$2:$C$1421,"factsheet")),"")</f>
        <v/>
      </c>
      <c r="E81">
        <f>IFERROR(IF(_xlfn.MAXIFS(Documents!$E$2:$E$1421,Documents!$A$2:$A$1421,$A81,Documents!$C$2:$C$1421,"wedding")=0,"",_xlfn.MAXIFS(Documents!$E$2:$E$1421,Documents!$A$2:$A$1421,$A81,Documents!$C$2:$C$1421,"wedding")),"")</f>
        <v/>
      </c>
      <c r="F81">
        <f>IFERROR(IF(_xlfn.MAXIFS(Documents!$E$2:$E$1421,Documents!$A$2:$A$1421,$A81,Documents!$C$2:$C$1421,"events")=0,"",_xlfn.MAXIFS(Documents!$E$2:$E$1421,Documents!$A$2:$A$1421,$A81,Documents!$C$2:$C$1421,"events")),"")</f>
        <v/>
      </c>
      <c r="G81">
        <f>IFERROR(IF(_xlfn.MAXIFS(Documents!$E$2:$E$1421,Documents!$A$2:$A$1421,$A81,Documents!$C$2:$C$1421,"map")=0,"",_xlfn.MAXIFS(Documents!$E$2:$E$1421,Documents!$A$2:$A$1421,$A81,Documents!$C$2:$C$1421,"map")),"")</f>
        <v/>
      </c>
      <c r="H81">
        <f>IFERROR(IF(_xlfn.MAXIFS(Documents!$E$2:$E$1421,Documents!$A$2:$A$1421,$A81,Documents!$C$2:$C$1421,"dive_map")=0,"",_xlfn.MAXIFS(Documents!$E$2:$E$1421,Documents!$A$2:$A$1421,$A81,Documents!$C$2:$C$1421,"dive_map")),"")</f>
        <v/>
      </c>
      <c r="I81">
        <f>IFERROR(IF(_xlfn.MAXIFS(Documents!$E$2:$E$1421,Documents!$A$2:$A$1421,$A81,Documents!$C$2:$C$1421,"spa_menu")=0,"",_xlfn.MAXIFS(Documents!$E$2:$E$1421,Documents!$A$2:$A$1421,$A81,Documents!$C$2:$C$1421,"spa_menu")),"")</f>
        <v/>
      </c>
      <c r="J81">
        <f>IFERROR(IF(_xlfn.MAXIFS(Documents!$E$2:$E$1421,Documents!$A$2:$A$1421,$A81,Documents!$C$2:$C$1421,"dining_menu")=0,"",_xlfn.MAXIFS(Documents!$E$2:$E$1421,Documents!$A$2:$A$1421,$A81,Documents!$C$2:$C$1421,"dining_menu")),"")</f>
        <v/>
      </c>
      <c r="K81">
        <f>IFERROR(IF(_xlfn.MAXIFS(Documents!$E$2:$E$1421,Documents!$A$2:$A$1421,$A81,Documents!$C$2:$C$1421,"dive_prices")=0,"",_xlfn.MAXIFS(Documents!$E$2:$E$1421,Documents!$A$2:$A$1421,$A81,Documents!$C$2:$C$1421,"dive_prices")),"")</f>
        <v/>
      </c>
      <c r="L81">
        <f>IFERROR(IF(_xlfn.MAXIFS(Documents!$E$2:$E$1421,Documents!$A$2:$A$1421,$A81,Documents!$C$2:$C$1421,"excursions")=0,"",_xlfn.MAXIFS(Documents!$E$2:$E$1421,Documents!$A$2:$A$1421,$A81,Documents!$C$2:$C$1421,"excursions")),"")</f>
        <v/>
      </c>
      <c r="M81">
        <f>IFERROR(IF(_xlfn.MAXIFS(Documents!$E$2:$E$1421,Documents!$A$2:$A$1421,$A81,Documents!$C$2:$C$1421,"kids")=0,"",_xlfn.MAXIFS(Documents!$E$2:$E$1421,Documents!$A$2:$A$1421,$A81,Documents!$C$2:$C$1421,"kids")),"")</f>
        <v/>
      </c>
      <c r="N81">
        <f>IFERROR(IF(_xlfn.MAXIFS(Documents!$E$2:$E$1421,Documents!$A$2:$A$1421,$A81,Documents!$C$2:$C$1421,"villa_plans")=0,"",_xlfn.MAXIFS(Documents!$E$2:$E$1421,Documents!$A$2:$A$1421,$A81,Documents!$C$2:$C$1421,"villa_plans")),"")</f>
        <v/>
      </c>
      <c r="O81">
        <f>IFERROR(IF(_xlfn.MAXIFS(Documents!$E$2:$E$1421,Documents!$A$2:$A$1421,$A81,Documents!$C$2:$C$1421,"all_inclusive")=0,"",_xlfn.MAXIFS(Documents!$E$2:$E$1421,Documents!$A$2:$A$1421,$A81,Documents!$C$2:$C$1421,"all_inclusive")),"")</f>
        <v/>
      </c>
      <c r="P81">
        <f>IFERROR(IF(_xlfn.MAXIFS(Documents!$E$2:$E$1421,Documents!$A$2:$A$1421,$A81,Documents!$C$2:$C$1421,"sustainability")=0,"",_xlfn.MAXIFS(Documents!$E$2:$E$1421,Documents!$A$2:$A$1421,$A81,Documents!$C$2:$C$1421,"sustainability")),"")</f>
        <v/>
      </c>
      <c r="Q81">
        <f>IFERROR(IF(_xlfn.MAXIFS(Documents!$E$2:$E$1421,Documents!$A$2:$A$1421,$A81,Documents!$C$2:$C$1421,"calendar")=0,"",_xlfn.MAXIFS(Documents!$E$2:$E$1421,Documents!$A$2:$A$1421,$A81,Documents!$C$2:$C$1421,"calendar")),"")</f>
        <v/>
      </c>
      <c r="R81">
        <f>IFERROR(IF(_xlfn.MAXIFS(Documents!$E$2:$E$1421,Documents!$A$2:$A$1421,$A81,Documents!$C$2:$C$1421,"brochure")=0,"",_xlfn.MAXIFS(Documents!$E$2:$E$1421,Documents!$A$2:$A$1421,$A81,Documents!$C$2:$C$1421,"brochure")),"")</f>
        <v/>
      </c>
      <c r="S81">
        <f>IFERROR(IF(_xlfn.MAXIFS(Documents!$E$2:$E$1421,Documents!$A$2:$A$1421,$A81,Documents!$C$2:$C$1421,"press_kit")=0,"",_xlfn.MAXIFS(Documents!$E$2:$E$1421,Documents!$A$2:$A$1421,$A81,Documents!$C$2:$C$1421,"press_kit")),"")</f>
        <v/>
      </c>
      <c r="T81">
        <f>IFERROR(IF(_xlfn.MAXIFS(Documents!$E$2:$E$1421,Documents!$A$2:$A$1421,$A81,Documents!$C$2:$C$1421,"other")=0,"",_xlfn.MAXIFS(Documents!$E$2:$E$1421,Documents!$A$2:$A$1421,$A81,Documents!$C$2:$C$1421,"other")),"")</f>
        <v/>
      </c>
      <c r="U81">
        <f>IFERROR(IF(_xlfn.MAXIFS(Documents!$E$2:$E$1421,Documents!$A$2:$A$1421,$A81,Documents!$C$2:$C$1421,"obsolete")=0,"",_xlfn.MAXIFS(Documents!$E$2:$E$1421,Documents!$A$2:$A$1421,$A81,Documents!$C$2:$C$1421,"obsolete")),"")</f>
        <v/>
      </c>
      <c r="V81">
        <f>COUNTIFS(Documents!$A$2:$A$1421,$A81)</f>
        <v/>
      </c>
      <c r="W81">
        <f>COUNTIFS(Documents!$A$2:$A$1421,$A81,Documents!$R$2:$R$1421,"current")</f>
        <v/>
      </c>
      <c r="X81" t="inlineStr"/>
      <c r="Y81" t="inlineStr">
        <is>
          <t>factsheet, wedding, events</t>
        </is>
      </c>
      <c r="Z81" t="inlineStr"/>
    </row>
    <row r="82">
      <c r="A82" t="n">
        <v>81</v>
      </c>
      <c r="B82" t="inlineStr">
        <is>
          <t>Kuredu Island Resort</t>
        </is>
      </c>
      <c r="C82" t="inlineStr">
        <is>
          <t>not crawled</t>
        </is>
      </c>
      <c r="D82">
        <f>IFERROR(IF(_xlfn.MAXIFS(Documents!$E$2:$E$1421,Documents!$A$2:$A$1421,$A82,Documents!$C$2:$C$1421,"factsheet")=0,"",_xlfn.MAXIFS(Documents!$E$2:$E$1421,Documents!$A$2:$A$1421,$A82,Documents!$C$2:$C$1421,"factsheet")),"")</f>
        <v/>
      </c>
      <c r="E82">
        <f>IFERROR(IF(_xlfn.MAXIFS(Documents!$E$2:$E$1421,Documents!$A$2:$A$1421,$A82,Documents!$C$2:$C$1421,"wedding")=0,"",_xlfn.MAXIFS(Documents!$E$2:$E$1421,Documents!$A$2:$A$1421,$A82,Documents!$C$2:$C$1421,"wedding")),"")</f>
        <v/>
      </c>
      <c r="F82">
        <f>IFERROR(IF(_xlfn.MAXIFS(Documents!$E$2:$E$1421,Documents!$A$2:$A$1421,$A82,Documents!$C$2:$C$1421,"events")=0,"",_xlfn.MAXIFS(Documents!$E$2:$E$1421,Documents!$A$2:$A$1421,$A82,Documents!$C$2:$C$1421,"events")),"")</f>
        <v/>
      </c>
      <c r="G82">
        <f>IFERROR(IF(_xlfn.MAXIFS(Documents!$E$2:$E$1421,Documents!$A$2:$A$1421,$A82,Documents!$C$2:$C$1421,"map")=0,"",_xlfn.MAXIFS(Documents!$E$2:$E$1421,Documents!$A$2:$A$1421,$A82,Documents!$C$2:$C$1421,"map")),"")</f>
        <v/>
      </c>
      <c r="H82">
        <f>IFERROR(IF(_xlfn.MAXIFS(Documents!$E$2:$E$1421,Documents!$A$2:$A$1421,$A82,Documents!$C$2:$C$1421,"dive_map")=0,"",_xlfn.MAXIFS(Documents!$E$2:$E$1421,Documents!$A$2:$A$1421,$A82,Documents!$C$2:$C$1421,"dive_map")),"")</f>
        <v/>
      </c>
      <c r="I82">
        <f>IFERROR(IF(_xlfn.MAXIFS(Documents!$E$2:$E$1421,Documents!$A$2:$A$1421,$A82,Documents!$C$2:$C$1421,"spa_menu")=0,"",_xlfn.MAXIFS(Documents!$E$2:$E$1421,Documents!$A$2:$A$1421,$A82,Documents!$C$2:$C$1421,"spa_menu")),"")</f>
        <v/>
      </c>
      <c r="J82">
        <f>IFERROR(IF(_xlfn.MAXIFS(Documents!$E$2:$E$1421,Documents!$A$2:$A$1421,$A82,Documents!$C$2:$C$1421,"dining_menu")=0,"",_xlfn.MAXIFS(Documents!$E$2:$E$1421,Documents!$A$2:$A$1421,$A82,Documents!$C$2:$C$1421,"dining_menu")),"")</f>
        <v/>
      </c>
      <c r="K82">
        <f>IFERROR(IF(_xlfn.MAXIFS(Documents!$E$2:$E$1421,Documents!$A$2:$A$1421,$A82,Documents!$C$2:$C$1421,"dive_prices")=0,"",_xlfn.MAXIFS(Documents!$E$2:$E$1421,Documents!$A$2:$A$1421,$A82,Documents!$C$2:$C$1421,"dive_prices")),"")</f>
        <v/>
      </c>
      <c r="L82">
        <f>IFERROR(IF(_xlfn.MAXIFS(Documents!$E$2:$E$1421,Documents!$A$2:$A$1421,$A82,Documents!$C$2:$C$1421,"excursions")=0,"",_xlfn.MAXIFS(Documents!$E$2:$E$1421,Documents!$A$2:$A$1421,$A82,Documents!$C$2:$C$1421,"excursions")),"")</f>
        <v/>
      </c>
      <c r="M82">
        <f>IFERROR(IF(_xlfn.MAXIFS(Documents!$E$2:$E$1421,Documents!$A$2:$A$1421,$A82,Documents!$C$2:$C$1421,"kids")=0,"",_xlfn.MAXIFS(Documents!$E$2:$E$1421,Documents!$A$2:$A$1421,$A82,Documents!$C$2:$C$1421,"kids")),"")</f>
        <v/>
      </c>
      <c r="N82">
        <f>IFERROR(IF(_xlfn.MAXIFS(Documents!$E$2:$E$1421,Documents!$A$2:$A$1421,$A82,Documents!$C$2:$C$1421,"villa_plans")=0,"",_xlfn.MAXIFS(Documents!$E$2:$E$1421,Documents!$A$2:$A$1421,$A82,Documents!$C$2:$C$1421,"villa_plans")),"")</f>
        <v/>
      </c>
      <c r="O82">
        <f>IFERROR(IF(_xlfn.MAXIFS(Documents!$E$2:$E$1421,Documents!$A$2:$A$1421,$A82,Documents!$C$2:$C$1421,"all_inclusive")=0,"",_xlfn.MAXIFS(Documents!$E$2:$E$1421,Documents!$A$2:$A$1421,$A82,Documents!$C$2:$C$1421,"all_inclusive")),"")</f>
        <v/>
      </c>
      <c r="P82">
        <f>IFERROR(IF(_xlfn.MAXIFS(Documents!$E$2:$E$1421,Documents!$A$2:$A$1421,$A82,Documents!$C$2:$C$1421,"sustainability")=0,"",_xlfn.MAXIFS(Documents!$E$2:$E$1421,Documents!$A$2:$A$1421,$A82,Documents!$C$2:$C$1421,"sustainability")),"")</f>
        <v/>
      </c>
      <c r="Q82">
        <f>IFERROR(IF(_xlfn.MAXIFS(Documents!$E$2:$E$1421,Documents!$A$2:$A$1421,$A82,Documents!$C$2:$C$1421,"calendar")=0,"",_xlfn.MAXIFS(Documents!$E$2:$E$1421,Documents!$A$2:$A$1421,$A82,Documents!$C$2:$C$1421,"calendar")),"")</f>
        <v/>
      </c>
      <c r="R82">
        <f>IFERROR(IF(_xlfn.MAXIFS(Documents!$E$2:$E$1421,Documents!$A$2:$A$1421,$A82,Documents!$C$2:$C$1421,"brochure")=0,"",_xlfn.MAXIFS(Documents!$E$2:$E$1421,Documents!$A$2:$A$1421,$A82,Documents!$C$2:$C$1421,"brochure")),"")</f>
        <v/>
      </c>
      <c r="S82">
        <f>IFERROR(IF(_xlfn.MAXIFS(Documents!$E$2:$E$1421,Documents!$A$2:$A$1421,$A82,Documents!$C$2:$C$1421,"press_kit")=0,"",_xlfn.MAXIFS(Documents!$E$2:$E$1421,Documents!$A$2:$A$1421,$A82,Documents!$C$2:$C$1421,"press_kit")),"")</f>
        <v/>
      </c>
      <c r="T82">
        <f>IFERROR(IF(_xlfn.MAXIFS(Documents!$E$2:$E$1421,Documents!$A$2:$A$1421,$A82,Documents!$C$2:$C$1421,"other")=0,"",_xlfn.MAXIFS(Documents!$E$2:$E$1421,Documents!$A$2:$A$1421,$A82,Documents!$C$2:$C$1421,"other")),"")</f>
        <v/>
      </c>
      <c r="U82">
        <f>IFERROR(IF(_xlfn.MAXIFS(Documents!$E$2:$E$1421,Documents!$A$2:$A$1421,$A82,Documents!$C$2:$C$1421,"obsolete")=0,"",_xlfn.MAXIFS(Documents!$E$2:$E$1421,Documents!$A$2:$A$1421,$A82,Documents!$C$2:$C$1421,"obsolete")),"")</f>
        <v/>
      </c>
      <c r="V82">
        <f>COUNTIFS(Documents!$A$2:$A$1421,$A82)</f>
        <v/>
      </c>
      <c r="W82">
        <f>COUNTIFS(Documents!$A$2:$A$1421,$A82,Documents!$R$2:$R$1421,"current")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not crawled</t>
        </is>
      </c>
      <c r="D83">
        <f>IFERROR(IF(_xlfn.MAXIFS(Documents!$E$2:$E$1421,Documents!$A$2:$A$1421,$A83,Documents!$C$2:$C$1421,"factsheet")=0,"",_xlfn.MAXIFS(Documents!$E$2:$E$1421,Documents!$A$2:$A$1421,$A83,Documents!$C$2:$C$1421,"factsheet")),"")</f>
        <v/>
      </c>
      <c r="E83">
        <f>IFERROR(IF(_xlfn.MAXIFS(Documents!$E$2:$E$1421,Documents!$A$2:$A$1421,$A83,Documents!$C$2:$C$1421,"wedding")=0,"",_xlfn.MAXIFS(Documents!$E$2:$E$1421,Documents!$A$2:$A$1421,$A83,Documents!$C$2:$C$1421,"wedding")),"")</f>
        <v/>
      </c>
      <c r="F83">
        <f>IFERROR(IF(_xlfn.MAXIFS(Documents!$E$2:$E$1421,Documents!$A$2:$A$1421,$A83,Documents!$C$2:$C$1421,"events")=0,"",_xlfn.MAXIFS(Documents!$E$2:$E$1421,Documents!$A$2:$A$1421,$A83,Documents!$C$2:$C$1421,"events")),"")</f>
        <v/>
      </c>
      <c r="G83">
        <f>IFERROR(IF(_xlfn.MAXIFS(Documents!$E$2:$E$1421,Documents!$A$2:$A$1421,$A83,Documents!$C$2:$C$1421,"map")=0,"",_xlfn.MAXIFS(Documents!$E$2:$E$1421,Documents!$A$2:$A$1421,$A83,Documents!$C$2:$C$1421,"map")),"")</f>
        <v/>
      </c>
      <c r="H83">
        <f>IFERROR(IF(_xlfn.MAXIFS(Documents!$E$2:$E$1421,Documents!$A$2:$A$1421,$A83,Documents!$C$2:$C$1421,"dive_map")=0,"",_xlfn.MAXIFS(Documents!$E$2:$E$1421,Documents!$A$2:$A$1421,$A83,Documents!$C$2:$C$1421,"dive_map")),"")</f>
        <v/>
      </c>
      <c r="I83">
        <f>IFERROR(IF(_xlfn.MAXIFS(Documents!$E$2:$E$1421,Documents!$A$2:$A$1421,$A83,Documents!$C$2:$C$1421,"spa_menu")=0,"",_xlfn.MAXIFS(Documents!$E$2:$E$1421,Documents!$A$2:$A$1421,$A83,Documents!$C$2:$C$1421,"spa_menu")),"")</f>
        <v/>
      </c>
      <c r="J83">
        <f>IFERROR(IF(_xlfn.MAXIFS(Documents!$E$2:$E$1421,Documents!$A$2:$A$1421,$A83,Documents!$C$2:$C$1421,"dining_menu")=0,"",_xlfn.MAXIFS(Documents!$E$2:$E$1421,Documents!$A$2:$A$1421,$A83,Documents!$C$2:$C$1421,"dining_menu")),"")</f>
        <v/>
      </c>
      <c r="K83">
        <f>IFERROR(IF(_xlfn.MAXIFS(Documents!$E$2:$E$1421,Documents!$A$2:$A$1421,$A83,Documents!$C$2:$C$1421,"dive_prices")=0,"",_xlfn.MAXIFS(Documents!$E$2:$E$1421,Documents!$A$2:$A$1421,$A83,Documents!$C$2:$C$1421,"dive_prices")),"")</f>
        <v/>
      </c>
      <c r="L83">
        <f>IFERROR(IF(_xlfn.MAXIFS(Documents!$E$2:$E$1421,Documents!$A$2:$A$1421,$A83,Documents!$C$2:$C$1421,"excursions")=0,"",_xlfn.MAXIFS(Documents!$E$2:$E$1421,Documents!$A$2:$A$1421,$A83,Documents!$C$2:$C$1421,"excursions")),"")</f>
        <v/>
      </c>
      <c r="M83">
        <f>IFERROR(IF(_xlfn.MAXIFS(Documents!$E$2:$E$1421,Documents!$A$2:$A$1421,$A83,Documents!$C$2:$C$1421,"kids")=0,"",_xlfn.MAXIFS(Documents!$E$2:$E$1421,Documents!$A$2:$A$1421,$A83,Documents!$C$2:$C$1421,"kids")),"")</f>
        <v/>
      </c>
      <c r="N83">
        <f>IFERROR(IF(_xlfn.MAXIFS(Documents!$E$2:$E$1421,Documents!$A$2:$A$1421,$A83,Documents!$C$2:$C$1421,"villa_plans")=0,"",_xlfn.MAXIFS(Documents!$E$2:$E$1421,Documents!$A$2:$A$1421,$A83,Documents!$C$2:$C$1421,"villa_plans")),"")</f>
        <v/>
      </c>
      <c r="O83">
        <f>IFERROR(IF(_xlfn.MAXIFS(Documents!$E$2:$E$1421,Documents!$A$2:$A$1421,$A83,Documents!$C$2:$C$1421,"all_inclusive")=0,"",_xlfn.MAXIFS(Documents!$E$2:$E$1421,Documents!$A$2:$A$1421,$A83,Documents!$C$2:$C$1421,"all_inclusive")),"")</f>
        <v/>
      </c>
      <c r="P83">
        <f>IFERROR(IF(_xlfn.MAXIFS(Documents!$E$2:$E$1421,Documents!$A$2:$A$1421,$A83,Documents!$C$2:$C$1421,"sustainability")=0,"",_xlfn.MAXIFS(Documents!$E$2:$E$1421,Documents!$A$2:$A$1421,$A83,Documents!$C$2:$C$1421,"sustainability")),"")</f>
        <v/>
      </c>
      <c r="Q83">
        <f>IFERROR(IF(_xlfn.MAXIFS(Documents!$E$2:$E$1421,Documents!$A$2:$A$1421,$A83,Documents!$C$2:$C$1421,"calendar")=0,"",_xlfn.MAXIFS(Documents!$E$2:$E$1421,Documents!$A$2:$A$1421,$A83,Documents!$C$2:$C$1421,"calendar")),"")</f>
        <v/>
      </c>
      <c r="R83">
        <f>IFERROR(IF(_xlfn.MAXIFS(Documents!$E$2:$E$1421,Documents!$A$2:$A$1421,$A83,Documents!$C$2:$C$1421,"brochure")=0,"",_xlfn.MAXIFS(Documents!$E$2:$E$1421,Documents!$A$2:$A$1421,$A83,Documents!$C$2:$C$1421,"brochure")),"")</f>
        <v/>
      </c>
      <c r="S83">
        <f>IFERROR(IF(_xlfn.MAXIFS(Documents!$E$2:$E$1421,Documents!$A$2:$A$1421,$A83,Documents!$C$2:$C$1421,"press_kit")=0,"",_xlfn.MAXIFS(Documents!$E$2:$E$1421,Documents!$A$2:$A$1421,$A83,Documents!$C$2:$C$1421,"press_kit")),"")</f>
        <v/>
      </c>
      <c r="T83">
        <f>IFERROR(IF(_xlfn.MAXIFS(Documents!$E$2:$E$1421,Documents!$A$2:$A$1421,$A83,Documents!$C$2:$C$1421,"other")=0,"",_xlfn.MAXIFS(Documents!$E$2:$E$1421,Documents!$A$2:$A$1421,$A83,Documents!$C$2:$C$1421,"other")),"")</f>
        <v/>
      </c>
      <c r="U83">
        <f>IFERROR(IF(_xlfn.MAXIFS(Documents!$E$2:$E$1421,Documents!$A$2:$A$1421,$A83,Documents!$C$2:$C$1421,"obsolete")=0,"",_xlfn.MAXIFS(Documents!$E$2:$E$1421,Documents!$A$2:$A$1421,$A83,Documents!$C$2:$C$1421,"obsolete")),"")</f>
        <v/>
      </c>
      <c r="V83">
        <f>COUNTIFS(Documents!$A$2:$A$1421,$A83)</f>
        <v/>
      </c>
      <c r="W83">
        <f>COUNTIFS(Documents!$A$2:$A$1421,$A83,Documents!$R$2:$R$1421,"current")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not crawled</t>
        </is>
      </c>
      <c r="D84">
        <f>IFERROR(IF(_xlfn.MAXIFS(Documents!$E$2:$E$1421,Documents!$A$2:$A$1421,$A84,Documents!$C$2:$C$1421,"factsheet")=0,"",_xlfn.MAXIFS(Documents!$E$2:$E$1421,Documents!$A$2:$A$1421,$A84,Documents!$C$2:$C$1421,"factsheet")),"")</f>
        <v/>
      </c>
      <c r="E84">
        <f>IFERROR(IF(_xlfn.MAXIFS(Documents!$E$2:$E$1421,Documents!$A$2:$A$1421,$A84,Documents!$C$2:$C$1421,"wedding")=0,"",_xlfn.MAXIFS(Documents!$E$2:$E$1421,Documents!$A$2:$A$1421,$A84,Documents!$C$2:$C$1421,"wedding")),"")</f>
        <v/>
      </c>
      <c r="F84">
        <f>IFERROR(IF(_xlfn.MAXIFS(Documents!$E$2:$E$1421,Documents!$A$2:$A$1421,$A84,Documents!$C$2:$C$1421,"events")=0,"",_xlfn.MAXIFS(Documents!$E$2:$E$1421,Documents!$A$2:$A$1421,$A84,Documents!$C$2:$C$1421,"events")),"")</f>
        <v/>
      </c>
      <c r="G84">
        <f>IFERROR(IF(_xlfn.MAXIFS(Documents!$E$2:$E$1421,Documents!$A$2:$A$1421,$A84,Documents!$C$2:$C$1421,"map")=0,"",_xlfn.MAXIFS(Documents!$E$2:$E$1421,Documents!$A$2:$A$1421,$A84,Documents!$C$2:$C$1421,"map")),"")</f>
        <v/>
      </c>
      <c r="H84">
        <f>IFERROR(IF(_xlfn.MAXIFS(Documents!$E$2:$E$1421,Documents!$A$2:$A$1421,$A84,Documents!$C$2:$C$1421,"dive_map")=0,"",_xlfn.MAXIFS(Documents!$E$2:$E$1421,Documents!$A$2:$A$1421,$A84,Documents!$C$2:$C$1421,"dive_map")),"")</f>
        <v/>
      </c>
      <c r="I84">
        <f>IFERROR(IF(_xlfn.MAXIFS(Documents!$E$2:$E$1421,Documents!$A$2:$A$1421,$A84,Documents!$C$2:$C$1421,"spa_menu")=0,"",_xlfn.MAXIFS(Documents!$E$2:$E$1421,Documents!$A$2:$A$1421,$A84,Documents!$C$2:$C$1421,"spa_menu")),"")</f>
        <v/>
      </c>
      <c r="J84">
        <f>IFERROR(IF(_xlfn.MAXIFS(Documents!$E$2:$E$1421,Documents!$A$2:$A$1421,$A84,Documents!$C$2:$C$1421,"dining_menu")=0,"",_xlfn.MAXIFS(Documents!$E$2:$E$1421,Documents!$A$2:$A$1421,$A84,Documents!$C$2:$C$1421,"dining_menu")),"")</f>
        <v/>
      </c>
      <c r="K84">
        <f>IFERROR(IF(_xlfn.MAXIFS(Documents!$E$2:$E$1421,Documents!$A$2:$A$1421,$A84,Documents!$C$2:$C$1421,"dive_prices")=0,"",_xlfn.MAXIFS(Documents!$E$2:$E$1421,Documents!$A$2:$A$1421,$A84,Documents!$C$2:$C$1421,"dive_prices")),"")</f>
        <v/>
      </c>
      <c r="L84">
        <f>IFERROR(IF(_xlfn.MAXIFS(Documents!$E$2:$E$1421,Documents!$A$2:$A$1421,$A84,Documents!$C$2:$C$1421,"excursions")=0,"",_xlfn.MAXIFS(Documents!$E$2:$E$1421,Documents!$A$2:$A$1421,$A84,Documents!$C$2:$C$1421,"excursions")),"")</f>
        <v/>
      </c>
      <c r="M84">
        <f>IFERROR(IF(_xlfn.MAXIFS(Documents!$E$2:$E$1421,Documents!$A$2:$A$1421,$A84,Documents!$C$2:$C$1421,"kids")=0,"",_xlfn.MAXIFS(Documents!$E$2:$E$1421,Documents!$A$2:$A$1421,$A84,Documents!$C$2:$C$1421,"kids")),"")</f>
        <v/>
      </c>
      <c r="N84">
        <f>IFERROR(IF(_xlfn.MAXIFS(Documents!$E$2:$E$1421,Documents!$A$2:$A$1421,$A84,Documents!$C$2:$C$1421,"villa_plans")=0,"",_xlfn.MAXIFS(Documents!$E$2:$E$1421,Documents!$A$2:$A$1421,$A84,Documents!$C$2:$C$1421,"villa_plans")),"")</f>
        <v/>
      </c>
      <c r="O84">
        <f>IFERROR(IF(_xlfn.MAXIFS(Documents!$E$2:$E$1421,Documents!$A$2:$A$1421,$A84,Documents!$C$2:$C$1421,"all_inclusive")=0,"",_xlfn.MAXIFS(Documents!$E$2:$E$1421,Documents!$A$2:$A$1421,$A84,Documents!$C$2:$C$1421,"all_inclusive")),"")</f>
        <v/>
      </c>
      <c r="P84">
        <f>IFERROR(IF(_xlfn.MAXIFS(Documents!$E$2:$E$1421,Documents!$A$2:$A$1421,$A84,Documents!$C$2:$C$1421,"sustainability")=0,"",_xlfn.MAXIFS(Documents!$E$2:$E$1421,Documents!$A$2:$A$1421,$A84,Documents!$C$2:$C$1421,"sustainability")),"")</f>
        <v/>
      </c>
      <c r="Q84">
        <f>IFERROR(IF(_xlfn.MAXIFS(Documents!$E$2:$E$1421,Documents!$A$2:$A$1421,$A84,Documents!$C$2:$C$1421,"calendar")=0,"",_xlfn.MAXIFS(Documents!$E$2:$E$1421,Documents!$A$2:$A$1421,$A84,Documents!$C$2:$C$1421,"calendar")),"")</f>
        <v/>
      </c>
      <c r="R84">
        <f>IFERROR(IF(_xlfn.MAXIFS(Documents!$E$2:$E$1421,Documents!$A$2:$A$1421,$A84,Documents!$C$2:$C$1421,"brochure")=0,"",_xlfn.MAXIFS(Documents!$E$2:$E$1421,Documents!$A$2:$A$1421,$A84,Documents!$C$2:$C$1421,"brochure")),"")</f>
        <v/>
      </c>
      <c r="S84">
        <f>IFERROR(IF(_xlfn.MAXIFS(Documents!$E$2:$E$1421,Documents!$A$2:$A$1421,$A84,Documents!$C$2:$C$1421,"press_kit")=0,"",_xlfn.MAXIFS(Documents!$E$2:$E$1421,Documents!$A$2:$A$1421,$A84,Documents!$C$2:$C$1421,"press_kit")),"")</f>
        <v/>
      </c>
      <c r="T84">
        <f>IFERROR(IF(_xlfn.MAXIFS(Documents!$E$2:$E$1421,Documents!$A$2:$A$1421,$A84,Documents!$C$2:$C$1421,"other")=0,"",_xlfn.MAXIFS(Documents!$E$2:$E$1421,Documents!$A$2:$A$1421,$A84,Documents!$C$2:$C$1421,"other")),"")</f>
        <v/>
      </c>
      <c r="U84">
        <f>IFERROR(IF(_xlfn.MAXIFS(Documents!$E$2:$E$1421,Documents!$A$2:$A$1421,$A84,Documents!$C$2:$C$1421,"obsolete")=0,"",_xlfn.MAXIFS(Documents!$E$2:$E$1421,Documents!$A$2:$A$1421,$A84,Documents!$C$2:$C$1421,"obsolete")),"")</f>
        <v/>
      </c>
      <c r="V84">
        <f>COUNTIFS(Documents!$A$2:$A$1421,$A84)</f>
        <v/>
      </c>
      <c r="W84">
        <f>COUNTIFS(Documents!$A$2:$A$1421,$A84,Documents!$R$2:$R$1421,"current")</f>
        <v/>
      </c>
      <c r="X84">
        <f>HYPERLINK("https://sales.crownandchamparesorts.com/wp-content/uploads/2026/04/NalaMaldivesFactsheet011125311026Ver030426.pdf","2025_NalaMaldivesFactsheet011125311026Ve")</f>
        <v/>
      </c>
      <c r="Y84" t="inlineStr">
        <is>
          <t>wedding, events</t>
        </is>
      </c>
      <c r="Z84" t="inlineStr">
        <is>
          <t>Jawakara Islands (shared documents)</t>
        </is>
      </c>
    </row>
    <row r="85">
      <c r="A85" t="n">
        <v>84</v>
      </c>
      <c r="B85" t="inlineStr">
        <is>
          <t>Alimatha Aquatic Resort</t>
        </is>
      </c>
      <c r="C85" t="inlineStr">
        <is>
          <t>not crawled</t>
        </is>
      </c>
      <c r="D85">
        <f>IFERROR(IF(_xlfn.MAXIFS(Documents!$E$2:$E$1421,Documents!$A$2:$A$1421,$A85,Documents!$C$2:$C$1421,"factsheet")=0,"",_xlfn.MAXIFS(Documents!$E$2:$E$1421,Documents!$A$2:$A$1421,$A85,Documents!$C$2:$C$1421,"factsheet")),"")</f>
        <v/>
      </c>
      <c r="E85">
        <f>IFERROR(IF(_xlfn.MAXIFS(Documents!$E$2:$E$1421,Documents!$A$2:$A$1421,$A85,Documents!$C$2:$C$1421,"wedding")=0,"",_xlfn.MAXIFS(Documents!$E$2:$E$1421,Documents!$A$2:$A$1421,$A85,Documents!$C$2:$C$1421,"wedding")),"")</f>
        <v/>
      </c>
      <c r="F85">
        <f>IFERROR(IF(_xlfn.MAXIFS(Documents!$E$2:$E$1421,Documents!$A$2:$A$1421,$A85,Documents!$C$2:$C$1421,"events")=0,"",_xlfn.MAXIFS(Documents!$E$2:$E$1421,Documents!$A$2:$A$1421,$A85,Documents!$C$2:$C$1421,"events")),"")</f>
        <v/>
      </c>
      <c r="G85">
        <f>IFERROR(IF(_xlfn.MAXIFS(Documents!$E$2:$E$1421,Documents!$A$2:$A$1421,$A85,Documents!$C$2:$C$1421,"map")=0,"",_xlfn.MAXIFS(Documents!$E$2:$E$1421,Documents!$A$2:$A$1421,$A85,Documents!$C$2:$C$1421,"map")),"")</f>
        <v/>
      </c>
      <c r="H85">
        <f>IFERROR(IF(_xlfn.MAXIFS(Documents!$E$2:$E$1421,Documents!$A$2:$A$1421,$A85,Documents!$C$2:$C$1421,"dive_map")=0,"",_xlfn.MAXIFS(Documents!$E$2:$E$1421,Documents!$A$2:$A$1421,$A85,Documents!$C$2:$C$1421,"dive_map")),"")</f>
        <v/>
      </c>
      <c r="I85">
        <f>IFERROR(IF(_xlfn.MAXIFS(Documents!$E$2:$E$1421,Documents!$A$2:$A$1421,$A85,Documents!$C$2:$C$1421,"spa_menu")=0,"",_xlfn.MAXIFS(Documents!$E$2:$E$1421,Documents!$A$2:$A$1421,$A85,Documents!$C$2:$C$1421,"spa_menu")),"")</f>
        <v/>
      </c>
      <c r="J85">
        <f>IFERROR(IF(_xlfn.MAXIFS(Documents!$E$2:$E$1421,Documents!$A$2:$A$1421,$A85,Documents!$C$2:$C$1421,"dining_menu")=0,"",_xlfn.MAXIFS(Documents!$E$2:$E$1421,Documents!$A$2:$A$1421,$A85,Documents!$C$2:$C$1421,"dining_menu")),"")</f>
        <v/>
      </c>
      <c r="K85">
        <f>IFERROR(IF(_xlfn.MAXIFS(Documents!$E$2:$E$1421,Documents!$A$2:$A$1421,$A85,Documents!$C$2:$C$1421,"dive_prices")=0,"",_xlfn.MAXIFS(Documents!$E$2:$E$1421,Documents!$A$2:$A$1421,$A85,Documents!$C$2:$C$1421,"dive_prices")),"")</f>
        <v/>
      </c>
      <c r="L85">
        <f>IFERROR(IF(_xlfn.MAXIFS(Documents!$E$2:$E$1421,Documents!$A$2:$A$1421,$A85,Documents!$C$2:$C$1421,"excursions")=0,"",_xlfn.MAXIFS(Documents!$E$2:$E$1421,Documents!$A$2:$A$1421,$A85,Documents!$C$2:$C$1421,"excursions")),"")</f>
        <v/>
      </c>
      <c r="M85">
        <f>IFERROR(IF(_xlfn.MAXIFS(Documents!$E$2:$E$1421,Documents!$A$2:$A$1421,$A85,Documents!$C$2:$C$1421,"kids")=0,"",_xlfn.MAXIFS(Documents!$E$2:$E$1421,Documents!$A$2:$A$1421,$A85,Documents!$C$2:$C$1421,"kids")),"")</f>
        <v/>
      </c>
      <c r="N85">
        <f>IFERROR(IF(_xlfn.MAXIFS(Documents!$E$2:$E$1421,Documents!$A$2:$A$1421,$A85,Documents!$C$2:$C$1421,"villa_plans")=0,"",_xlfn.MAXIFS(Documents!$E$2:$E$1421,Documents!$A$2:$A$1421,$A85,Documents!$C$2:$C$1421,"villa_plans")),"")</f>
        <v/>
      </c>
      <c r="O85">
        <f>IFERROR(IF(_xlfn.MAXIFS(Documents!$E$2:$E$1421,Documents!$A$2:$A$1421,$A85,Documents!$C$2:$C$1421,"all_inclusive")=0,"",_xlfn.MAXIFS(Documents!$E$2:$E$1421,Documents!$A$2:$A$1421,$A85,Documents!$C$2:$C$1421,"all_inclusive")),"")</f>
        <v/>
      </c>
      <c r="P85">
        <f>IFERROR(IF(_xlfn.MAXIFS(Documents!$E$2:$E$1421,Documents!$A$2:$A$1421,$A85,Documents!$C$2:$C$1421,"sustainability")=0,"",_xlfn.MAXIFS(Documents!$E$2:$E$1421,Documents!$A$2:$A$1421,$A85,Documents!$C$2:$C$1421,"sustainability")),"")</f>
        <v/>
      </c>
      <c r="Q85">
        <f>IFERROR(IF(_xlfn.MAXIFS(Documents!$E$2:$E$1421,Documents!$A$2:$A$1421,$A85,Documents!$C$2:$C$1421,"calendar")=0,"",_xlfn.MAXIFS(Documents!$E$2:$E$1421,Documents!$A$2:$A$1421,$A85,Documents!$C$2:$C$1421,"calendar")),"")</f>
        <v/>
      </c>
      <c r="R85">
        <f>IFERROR(IF(_xlfn.MAXIFS(Documents!$E$2:$E$1421,Documents!$A$2:$A$1421,$A85,Documents!$C$2:$C$1421,"brochure")=0,"",_xlfn.MAXIFS(Documents!$E$2:$E$1421,Documents!$A$2:$A$1421,$A85,Documents!$C$2:$C$1421,"brochure")),"")</f>
        <v/>
      </c>
      <c r="S85">
        <f>IFERROR(IF(_xlfn.MAXIFS(Documents!$E$2:$E$1421,Documents!$A$2:$A$1421,$A85,Documents!$C$2:$C$1421,"press_kit")=0,"",_xlfn.MAXIFS(Documents!$E$2:$E$1421,Documents!$A$2:$A$1421,$A85,Documents!$C$2:$C$1421,"press_kit")),"")</f>
        <v/>
      </c>
      <c r="T85">
        <f>IFERROR(IF(_xlfn.MAXIFS(Documents!$E$2:$E$1421,Documents!$A$2:$A$1421,$A85,Documents!$C$2:$C$1421,"other")=0,"",_xlfn.MAXIFS(Documents!$E$2:$E$1421,Documents!$A$2:$A$1421,$A85,Documents!$C$2:$C$1421,"other")),"")</f>
        <v/>
      </c>
      <c r="U85">
        <f>IFERROR(IF(_xlfn.MAXIFS(Documents!$E$2:$E$1421,Documents!$A$2:$A$1421,$A85,Documents!$C$2:$C$1421,"obsolete")=0,"",_xlfn.MAXIFS(Documents!$E$2:$E$1421,Documents!$A$2:$A$1421,$A85,Documents!$C$2:$C$1421,"obsolete")),"")</f>
        <v/>
      </c>
      <c r="V85">
        <f>COUNTIFS(Documents!$A$2:$A$1421,$A85)</f>
        <v/>
      </c>
      <c r="W85">
        <f>COUNTIFS(Documents!$A$2:$A$1421,$A85,Documents!$R$2:$R$1421,"current")</f>
        <v/>
      </c>
      <c r="X85" t="inlineStr"/>
      <c r="Y85" t="inlineStr">
        <is>
          <t>factsheet, wedding, events</t>
        </is>
      </c>
      <c r="Z85" t="inlineStr"/>
    </row>
    <row r="86">
      <c r="A86" t="n">
        <v>85</v>
      </c>
      <c r="B86" t="inlineStr">
        <is>
          <t>Centara Mirage Lagoon Maldives &amp; Centara Grand Lagoon Maldives</t>
        </is>
      </c>
      <c r="C86" t="inlineStr">
        <is>
          <t>not crawled</t>
        </is>
      </c>
      <c r="D86">
        <f>IFERROR(IF(_xlfn.MAXIFS(Documents!$E$2:$E$1421,Documents!$A$2:$A$1421,$A86,Documents!$C$2:$C$1421,"factsheet")=0,"",_xlfn.MAXIFS(Documents!$E$2:$E$1421,Documents!$A$2:$A$1421,$A86,Documents!$C$2:$C$1421,"factsheet")),"")</f>
        <v/>
      </c>
      <c r="E86">
        <f>IFERROR(IF(_xlfn.MAXIFS(Documents!$E$2:$E$1421,Documents!$A$2:$A$1421,$A86,Documents!$C$2:$C$1421,"wedding")=0,"",_xlfn.MAXIFS(Documents!$E$2:$E$1421,Documents!$A$2:$A$1421,$A86,Documents!$C$2:$C$1421,"wedding")),"")</f>
        <v/>
      </c>
      <c r="F86">
        <f>IFERROR(IF(_xlfn.MAXIFS(Documents!$E$2:$E$1421,Documents!$A$2:$A$1421,$A86,Documents!$C$2:$C$1421,"events")=0,"",_xlfn.MAXIFS(Documents!$E$2:$E$1421,Documents!$A$2:$A$1421,$A86,Documents!$C$2:$C$1421,"events")),"")</f>
        <v/>
      </c>
      <c r="G86">
        <f>IFERROR(IF(_xlfn.MAXIFS(Documents!$E$2:$E$1421,Documents!$A$2:$A$1421,$A86,Documents!$C$2:$C$1421,"map")=0,"",_xlfn.MAXIFS(Documents!$E$2:$E$1421,Documents!$A$2:$A$1421,$A86,Documents!$C$2:$C$1421,"map")),"")</f>
        <v/>
      </c>
      <c r="H86">
        <f>IFERROR(IF(_xlfn.MAXIFS(Documents!$E$2:$E$1421,Documents!$A$2:$A$1421,$A86,Documents!$C$2:$C$1421,"dive_map")=0,"",_xlfn.MAXIFS(Documents!$E$2:$E$1421,Documents!$A$2:$A$1421,$A86,Documents!$C$2:$C$1421,"dive_map")),"")</f>
        <v/>
      </c>
      <c r="I86">
        <f>IFERROR(IF(_xlfn.MAXIFS(Documents!$E$2:$E$1421,Documents!$A$2:$A$1421,$A86,Documents!$C$2:$C$1421,"spa_menu")=0,"",_xlfn.MAXIFS(Documents!$E$2:$E$1421,Documents!$A$2:$A$1421,$A86,Documents!$C$2:$C$1421,"spa_menu")),"")</f>
        <v/>
      </c>
      <c r="J86">
        <f>IFERROR(IF(_xlfn.MAXIFS(Documents!$E$2:$E$1421,Documents!$A$2:$A$1421,$A86,Documents!$C$2:$C$1421,"dining_menu")=0,"",_xlfn.MAXIFS(Documents!$E$2:$E$1421,Documents!$A$2:$A$1421,$A86,Documents!$C$2:$C$1421,"dining_menu")),"")</f>
        <v/>
      </c>
      <c r="K86">
        <f>IFERROR(IF(_xlfn.MAXIFS(Documents!$E$2:$E$1421,Documents!$A$2:$A$1421,$A86,Documents!$C$2:$C$1421,"dive_prices")=0,"",_xlfn.MAXIFS(Documents!$E$2:$E$1421,Documents!$A$2:$A$1421,$A86,Documents!$C$2:$C$1421,"dive_prices")),"")</f>
        <v/>
      </c>
      <c r="L86">
        <f>IFERROR(IF(_xlfn.MAXIFS(Documents!$E$2:$E$1421,Documents!$A$2:$A$1421,$A86,Documents!$C$2:$C$1421,"excursions")=0,"",_xlfn.MAXIFS(Documents!$E$2:$E$1421,Documents!$A$2:$A$1421,$A86,Documents!$C$2:$C$1421,"excursions")),"")</f>
        <v/>
      </c>
      <c r="M86">
        <f>IFERROR(IF(_xlfn.MAXIFS(Documents!$E$2:$E$1421,Documents!$A$2:$A$1421,$A86,Documents!$C$2:$C$1421,"kids")=0,"",_xlfn.MAXIFS(Documents!$E$2:$E$1421,Documents!$A$2:$A$1421,$A86,Documents!$C$2:$C$1421,"kids")),"")</f>
        <v/>
      </c>
      <c r="N86">
        <f>IFERROR(IF(_xlfn.MAXIFS(Documents!$E$2:$E$1421,Documents!$A$2:$A$1421,$A86,Documents!$C$2:$C$1421,"villa_plans")=0,"",_xlfn.MAXIFS(Documents!$E$2:$E$1421,Documents!$A$2:$A$1421,$A86,Documents!$C$2:$C$1421,"villa_plans")),"")</f>
        <v/>
      </c>
      <c r="O86">
        <f>IFERROR(IF(_xlfn.MAXIFS(Documents!$E$2:$E$1421,Documents!$A$2:$A$1421,$A86,Documents!$C$2:$C$1421,"all_inclusive")=0,"",_xlfn.MAXIFS(Documents!$E$2:$E$1421,Documents!$A$2:$A$1421,$A86,Documents!$C$2:$C$1421,"all_inclusive")),"")</f>
        <v/>
      </c>
      <c r="P86">
        <f>IFERROR(IF(_xlfn.MAXIFS(Documents!$E$2:$E$1421,Documents!$A$2:$A$1421,$A86,Documents!$C$2:$C$1421,"sustainability")=0,"",_xlfn.MAXIFS(Documents!$E$2:$E$1421,Documents!$A$2:$A$1421,$A86,Documents!$C$2:$C$1421,"sustainability")),"")</f>
        <v/>
      </c>
      <c r="Q86">
        <f>IFERROR(IF(_xlfn.MAXIFS(Documents!$E$2:$E$1421,Documents!$A$2:$A$1421,$A86,Documents!$C$2:$C$1421,"calendar")=0,"",_xlfn.MAXIFS(Documents!$E$2:$E$1421,Documents!$A$2:$A$1421,$A86,Documents!$C$2:$C$1421,"calendar")),"")</f>
        <v/>
      </c>
      <c r="R86">
        <f>IFERROR(IF(_xlfn.MAXIFS(Documents!$E$2:$E$1421,Documents!$A$2:$A$1421,$A86,Documents!$C$2:$C$1421,"brochure")=0,"",_xlfn.MAXIFS(Documents!$E$2:$E$1421,Documents!$A$2:$A$1421,$A86,Documents!$C$2:$C$1421,"brochure")),"")</f>
        <v/>
      </c>
      <c r="S86">
        <f>IFERROR(IF(_xlfn.MAXIFS(Documents!$E$2:$E$1421,Documents!$A$2:$A$1421,$A86,Documents!$C$2:$C$1421,"press_kit")=0,"",_xlfn.MAXIFS(Documents!$E$2:$E$1421,Documents!$A$2:$A$1421,$A86,Documents!$C$2:$C$1421,"press_kit")),"")</f>
        <v/>
      </c>
      <c r="T86">
        <f>IFERROR(IF(_xlfn.MAXIFS(Documents!$E$2:$E$1421,Documents!$A$2:$A$1421,$A86,Documents!$C$2:$C$1421,"other")=0,"",_xlfn.MAXIFS(Documents!$E$2:$E$1421,Documents!$A$2:$A$1421,$A86,Documents!$C$2:$C$1421,"other")),"")</f>
        <v/>
      </c>
      <c r="U86">
        <f>IFERROR(IF(_xlfn.MAXIFS(Documents!$E$2:$E$1421,Documents!$A$2:$A$1421,$A86,Documents!$C$2:$C$1421,"obsolete")=0,"",_xlfn.MAXIFS(Documents!$E$2:$E$1421,Documents!$A$2:$A$1421,$A86,Documents!$C$2:$C$1421,"obsolete")),"")</f>
        <v/>
      </c>
      <c r="V86">
        <f>COUNTIFS(Documents!$A$2:$A$1421,$A86)</f>
        <v/>
      </c>
      <c r="W86">
        <f>COUNTIFS(Documents!$A$2:$A$1421,$A86,Documents!$R$2:$R$1421,"current")</f>
        <v/>
      </c>
      <c r="X86">
        <f>HYPERLINK("https://www.neoscapesmaldives.com/wp-content/uploads/Centara-Mirage-Lagoon-Factsheet-October-2025.pdf","2025_Centara-Mirage-Lagoon-Factsheet-Oct")</f>
        <v/>
      </c>
      <c r="Y86" t="inlineStr">
        <is>
          <t>wedding, events</t>
        </is>
      </c>
      <c r="Z86" t="inlineStr">
        <is>
          <t>two resorts sharing one entry</t>
        </is>
      </c>
    </row>
    <row r="87">
      <c r="A87" t="n">
        <v>86</v>
      </c>
      <c r="B87" t="inlineStr">
        <is>
          <t>Four Seasons Private Island Maldives at Voavah</t>
        </is>
      </c>
      <c r="C87" t="inlineStr">
        <is>
          <t>not crawled</t>
        </is>
      </c>
      <c r="D87">
        <f>IFERROR(IF(_xlfn.MAXIFS(Documents!$E$2:$E$1421,Documents!$A$2:$A$1421,$A87,Documents!$C$2:$C$1421,"factsheet")=0,"",_xlfn.MAXIFS(Documents!$E$2:$E$1421,Documents!$A$2:$A$1421,$A87,Documents!$C$2:$C$1421,"factsheet")),"")</f>
        <v/>
      </c>
      <c r="E87">
        <f>IFERROR(IF(_xlfn.MAXIFS(Documents!$E$2:$E$1421,Documents!$A$2:$A$1421,$A87,Documents!$C$2:$C$1421,"wedding")=0,"",_xlfn.MAXIFS(Documents!$E$2:$E$1421,Documents!$A$2:$A$1421,$A87,Documents!$C$2:$C$1421,"wedding")),"")</f>
        <v/>
      </c>
      <c r="F87">
        <f>IFERROR(IF(_xlfn.MAXIFS(Documents!$E$2:$E$1421,Documents!$A$2:$A$1421,$A87,Documents!$C$2:$C$1421,"events")=0,"",_xlfn.MAXIFS(Documents!$E$2:$E$1421,Documents!$A$2:$A$1421,$A87,Documents!$C$2:$C$1421,"events")),"")</f>
        <v/>
      </c>
      <c r="G87">
        <f>IFERROR(IF(_xlfn.MAXIFS(Documents!$E$2:$E$1421,Documents!$A$2:$A$1421,$A87,Documents!$C$2:$C$1421,"map")=0,"",_xlfn.MAXIFS(Documents!$E$2:$E$1421,Documents!$A$2:$A$1421,$A87,Documents!$C$2:$C$1421,"map")),"")</f>
        <v/>
      </c>
      <c r="H87">
        <f>IFERROR(IF(_xlfn.MAXIFS(Documents!$E$2:$E$1421,Documents!$A$2:$A$1421,$A87,Documents!$C$2:$C$1421,"dive_map")=0,"",_xlfn.MAXIFS(Documents!$E$2:$E$1421,Documents!$A$2:$A$1421,$A87,Documents!$C$2:$C$1421,"dive_map")),"")</f>
        <v/>
      </c>
      <c r="I87">
        <f>IFERROR(IF(_xlfn.MAXIFS(Documents!$E$2:$E$1421,Documents!$A$2:$A$1421,$A87,Documents!$C$2:$C$1421,"spa_menu")=0,"",_xlfn.MAXIFS(Documents!$E$2:$E$1421,Documents!$A$2:$A$1421,$A87,Documents!$C$2:$C$1421,"spa_menu")),"")</f>
        <v/>
      </c>
      <c r="J87">
        <f>IFERROR(IF(_xlfn.MAXIFS(Documents!$E$2:$E$1421,Documents!$A$2:$A$1421,$A87,Documents!$C$2:$C$1421,"dining_menu")=0,"",_xlfn.MAXIFS(Documents!$E$2:$E$1421,Documents!$A$2:$A$1421,$A87,Documents!$C$2:$C$1421,"dining_menu")),"")</f>
        <v/>
      </c>
      <c r="K87">
        <f>IFERROR(IF(_xlfn.MAXIFS(Documents!$E$2:$E$1421,Documents!$A$2:$A$1421,$A87,Documents!$C$2:$C$1421,"dive_prices")=0,"",_xlfn.MAXIFS(Documents!$E$2:$E$1421,Documents!$A$2:$A$1421,$A87,Documents!$C$2:$C$1421,"dive_prices")),"")</f>
        <v/>
      </c>
      <c r="L87">
        <f>IFERROR(IF(_xlfn.MAXIFS(Documents!$E$2:$E$1421,Documents!$A$2:$A$1421,$A87,Documents!$C$2:$C$1421,"excursions")=0,"",_xlfn.MAXIFS(Documents!$E$2:$E$1421,Documents!$A$2:$A$1421,$A87,Documents!$C$2:$C$1421,"excursions")),"")</f>
        <v/>
      </c>
      <c r="M87">
        <f>IFERROR(IF(_xlfn.MAXIFS(Documents!$E$2:$E$1421,Documents!$A$2:$A$1421,$A87,Documents!$C$2:$C$1421,"kids")=0,"",_xlfn.MAXIFS(Documents!$E$2:$E$1421,Documents!$A$2:$A$1421,$A87,Documents!$C$2:$C$1421,"kids")),"")</f>
        <v/>
      </c>
      <c r="N87">
        <f>IFERROR(IF(_xlfn.MAXIFS(Documents!$E$2:$E$1421,Documents!$A$2:$A$1421,$A87,Documents!$C$2:$C$1421,"villa_plans")=0,"",_xlfn.MAXIFS(Documents!$E$2:$E$1421,Documents!$A$2:$A$1421,$A87,Documents!$C$2:$C$1421,"villa_plans")),"")</f>
        <v/>
      </c>
      <c r="O87">
        <f>IFERROR(IF(_xlfn.MAXIFS(Documents!$E$2:$E$1421,Documents!$A$2:$A$1421,$A87,Documents!$C$2:$C$1421,"all_inclusive")=0,"",_xlfn.MAXIFS(Documents!$E$2:$E$1421,Documents!$A$2:$A$1421,$A87,Documents!$C$2:$C$1421,"all_inclusive")),"")</f>
        <v/>
      </c>
      <c r="P87">
        <f>IFERROR(IF(_xlfn.MAXIFS(Documents!$E$2:$E$1421,Documents!$A$2:$A$1421,$A87,Documents!$C$2:$C$1421,"sustainability")=0,"",_xlfn.MAXIFS(Documents!$E$2:$E$1421,Documents!$A$2:$A$1421,$A87,Documents!$C$2:$C$1421,"sustainability")),"")</f>
        <v/>
      </c>
      <c r="Q87">
        <f>IFERROR(IF(_xlfn.MAXIFS(Documents!$E$2:$E$1421,Documents!$A$2:$A$1421,$A87,Documents!$C$2:$C$1421,"calendar")=0,"",_xlfn.MAXIFS(Documents!$E$2:$E$1421,Documents!$A$2:$A$1421,$A87,Documents!$C$2:$C$1421,"calendar")),"")</f>
        <v/>
      </c>
      <c r="R87">
        <f>IFERROR(IF(_xlfn.MAXIFS(Documents!$E$2:$E$1421,Documents!$A$2:$A$1421,$A87,Documents!$C$2:$C$1421,"brochure")=0,"",_xlfn.MAXIFS(Documents!$E$2:$E$1421,Documents!$A$2:$A$1421,$A87,Documents!$C$2:$C$1421,"brochure")),"")</f>
        <v/>
      </c>
      <c r="S87">
        <f>IFERROR(IF(_xlfn.MAXIFS(Documents!$E$2:$E$1421,Documents!$A$2:$A$1421,$A87,Documents!$C$2:$C$1421,"press_kit")=0,"",_xlfn.MAXIFS(Documents!$E$2:$E$1421,Documents!$A$2:$A$1421,$A87,Documents!$C$2:$C$1421,"press_kit")),"")</f>
        <v/>
      </c>
      <c r="T87">
        <f>IFERROR(IF(_xlfn.MAXIFS(Documents!$E$2:$E$1421,Documents!$A$2:$A$1421,$A87,Documents!$C$2:$C$1421,"other")=0,"",_xlfn.MAXIFS(Documents!$E$2:$E$1421,Documents!$A$2:$A$1421,$A87,Documents!$C$2:$C$1421,"other")),"")</f>
        <v/>
      </c>
      <c r="U87">
        <f>IFERROR(IF(_xlfn.MAXIFS(Documents!$E$2:$E$1421,Documents!$A$2:$A$1421,$A87,Documents!$C$2:$C$1421,"obsolete")=0,"",_xlfn.MAXIFS(Documents!$E$2:$E$1421,Documents!$A$2:$A$1421,$A87,Documents!$C$2:$C$1421,"obsolete")),"")</f>
        <v/>
      </c>
      <c r="V87">
        <f>COUNTIFS(Documents!$A$2:$A$1421,$A87)</f>
        <v/>
      </c>
      <c r="W87">
        <f>COUNTIFS(Documents!$A$2:$A$1421,$A87,Documents!$R$2:$R$1421,"current")</f>
        <v/>
      </c>
      <c r="X87" t="inlineStr"/>
      <c r="Y87" t="inlineStr">
        <is>
          <t>factsheet, wedding, events</t>
        </is>
      </c>
      <c r="Z87" t="inlineStr"/>
    </row>
    <row r="88">
      <c r="A88" t="n">
        <v>87</v>
      </c>
      <c r="B88" t="inlineStr">
        <is>
          <t>Four Seasons Resort Maldives at Landaa Giraavaru</t>
        </is>
      </c>
      <c r="C88" t="inlineStr">
        <is>
          <t>not crawled</t>
        </is>
      </c>
      <c r="D88">
        <f>IFERROR(IF(_xlfn.MAXIFS(Documents!$E$2:$E$1421,Documents!$A$2:$A$1421,$A88,Documents!$C$2:$C$1421,"factsheet")=0,"",_xlfn.MAXIFS(Documents!$E$2:$E$1421,Documents!$A$2:$A$1421,$A88,Documents!$C$2:$C$1421,"factsheet")),"")</f>
        <v/>
      </c>
      <c r="E88">
        <f>IFERROR(IF(_xlfn.MAXIFS(Documents!$E$2:$E$1421,Documents!$A$2:$A$1421,$A88,Documents!$C$2:$C$1421,"wedding")=0,"",_xlfn.MAXIFS(Documents!$E$2:$E$1421,Documents!$A$2:$A$1421,$A88,Documents!$C$2:$C$1421,"wedding")),"")</f>
        <v/>
      </c>
      <c r="F88">
        <f>IFERROR(IF(_xlfn.MAXIFS(Documents!$E$2:$E$1421,Documents!$A$2:$A$1421,$A88,Documents!$C$2:$C$1421,"events")=0,"",_xlfn.MAXIFS(Documents!$E$2:$E$1421,Documents!$A$2:$A$1421,$A88,Documents!$C$2:$C$1421,"events")),"")</f>
        <v/>
      </c>
      <c r="G88">
        <f>IFERROR(IF(_xlfn.MAXIFS(Documents!$E$2:$E$1421,Documents!$A$2:$A$1421,$A88,Documents!$C$2:$C$1421,"map")=0,"",_xlfn.MAXIFS(Documents!$E$2:$E$1421,Documents!$A$2:$A$1421,$A88,Documents!$C$2:$C$1421,"map")),"")</f>
        <v/>
      </c>
      <c r="H88">
        <f>IFERROR(IF(_xlfn.MAXIFS(Documents!$E$2:$E$1421,Documents!$A$2:$A$1421,$A88,Documents!$C$2:$C$1421,"dive_map")=0,"",_xlfn.MAXIFS(Documents!$E$2:$E$1421,Documents!$A$2:$A$1421,$A88,Documents!$C$2:$C$1421,"dive_map")),"")</f>
        <v/>
      </c>
      <c r="I88">
        <f>IFERROR(IF(_xlfn.MAXIFS(Documents!$E$2:$E$1421,Documents!$A$2:$A$1421,$A88,Documents!$C$2:$C$1421,"spa_menu")=0,"",_xlfn.MAXIFS(Documents!$E$2:$E$1421,Documents!$A$2:$A$1421,$A88,Documents!$C$2:$C$1421,"spa_menu")),"")</f>
        <v/>
      </c>
      <c r="J88">
        <f>IFERROR(IF(_xlfn.MAXIFS(Documents!$E$2:$E$1421,Documents!$A$2:$A$1421,$A88,Documents!$C$2:$C$1421,"dining_menu")=0,"",_xlfn.MAXIFS(Documents!$E$2:$E$1421,Documents!$A$2:$A$1421,$A88,Documents!$C$2:$C$1421,"dining_menu")),"")</f>
        <v/>
      </c>
      <c r="K88">
        <f>IFERROR(IF(_xlfn.MAXIFS(Documents!$E$2:$E$1421,Documents!$A$2:$A$1421,$A88,Documents!$C$2:$C$1421,"dive_prices")=0,"",_xlfn.MAXIFS(Documents!$E$2:$E$1421,Documents!$A$2:$A$1421,$A88,Documents!$C$2:$C$1421,"dive_prices")),"")</f>
        <v/>
      </c>
      <c r="L88">
        <f>IFERROR(IF(_xlfn.MAXIFS(Documents!$E$2:$E$1421,Documents!$A$2:$A$1421,$A88,Documents!$C$2:$C$1421,"excursions")=0,"",_xlfn.MAXIFS(Documents!$E$2:$E$1421,Documents!$A$2:$A$1421,$A88,Documents!$C$2:$C$1421,"excursions")),"")</f>
        <v/>
      </c>
      <c r="M88">
        <f>IFERROR(IF(_xlfn.MAXIFS(Documents!$E$2:$E$1421,Documents!$A$2:$A$1421,$A88,Documents!$C$2:$C$1421,"kids")=0,"",_xlfn.MAXIFS(Documents!$E$2:$E$1421,Documents!$A$2:$A$1421,$A88,Documents!$C$2:$C$1421,"kids")),"")</f>
        <v/>
      </c>
      <c r="N88">
        <f>IFERROR(IF(_xlfn.MAXIFS(Documents!$E$2:$E$1421,Documents!$A$2:$A$1421,$A88,Documents!$C$2:$C$1421,"villa_plans")=0,"",_xlfn.MAXIFS(Documents!$E$2:$E$1421,Documents!$A$2:$A$1421,$A88,Documents!$C$2:$C$1421,"villa_plans")),"")</f>
        <v/>
      </c>
      <c r="O88">
        <f>IFERROR(IF(_xlfn.MAXIFS(Documents!$E$2:$E$1421,Documents!$A$2:$A$1421,$A88,Documents!$C$2:$C$1421,"all_inclusive")=0,"",_xlfn.MAXIFS(Documents!$E$2:$E$1421,Documents!$A$2:$A$1421,$A88,Documents!$C$2:$C$1421,"all_inclusive")),"")</f>
        <v/>
      </c>
      <c r="P88">
        <f>IFERROR(IF(_xlfn.MAXIFS(Documents!$E$2:$E$1421,Documents!$A$2:$A$1421,$A88,Documents!$C$2:$C$1421,"sustainability")=0,"",_xlfn.MAXIFS(Documents!$E$2:$E$1421,Documents!$A$2:$A$1421,$A88,Documents!$C$2:$C$1421,"sustainability")),"")</f>
        <v/>
      </c>
      <c r="Q88">
        <f>IFERROR(IF(_xlfn.MAXIFS(Documents!$E$2:$E$1421,Documents!$A$2:$A$1421,$A88,Documents!$C$2:$C$1421,"calendar")=0,"",_xlfn.MAXIFS(Documents!$E$2:$E$1421,Documents!$A$2:$A$1421,$A88,Documents!$C$2:$C$1421,"calendar")),"")</f>
        <v/>
      </c>
      <c r="R88">
        <f>IFERROR(IF(_xlfn.MAXIFS(Documents!$E$2:$E$1421,Documents!$A$2:$A$1421,$A88,Documents!$C$2:$C$1421,"brochure")=0,"",_xlfn.MAXIFS(Documents!$E$2:$E$1421,Documents!$A$2:$A$1421,$A88,Documents!$C$2:$C$1421,"brochure")),"")</f>
        <v/>
      </c>
      <c r="S88">
        <f>IFERROR(IF(_xlfn.MAXIFS(Documents!$E$2:$E$1421,Documents!$A$2:$A$1421,$A88,Documents!$C$2:$C$1421,"press_kit")=0,"",_xlfn.MAXIFS(Documents!$E$2:$E$1421,Documents!$A$2:$A$1421,$A88,Documents!$C$2:$C$1421,"press_kit")),"")</f>
        <v/>
      </c>
      <c r="T88">
        <f>IFERROR(IF(_xlfn.MAXIFS(Documents!$E$2:$E$1421,Documents!$A$2:$A$1421,$A88,Documents!$C$2:$C$1421,"other")=0,"",_xlfn.MAXIFS(Documents!$E$2:$E$1421,Documents!$A$2:$A$1421,$A88,Documents!$C$2:$C$1421,"other")),"")</f>
        <v/>
      </c>
      <c r="U88">
        <f>IFERROR(IF(_xlfn.MAXIFS(Documents!$E$2:$E$1421,Documents!$A$2:$A$1421,$A88,Documents!$C$2:$C$1421,"obsolete")=0,"",_xlfn.MAXIFS(Documents!$E$2:$E$1421,Documents!$A$2:$A$1421,$A88,Documents!$C$2:$C$1421,"obsolete")),"")</f>
        <v/>
      </c>
      <c r="V88">
        <f>COUNTIFS(Documents!$A$2:$A$1421,$A88)</f>
        <v/>
      </c>
      <c r="W88">
        <f>COUNTIFS(Documents!$A$2:$A$1421,$A88,Documents!$R$2:$R$1421,"current")</f>
        <v/>
      </c>
      <c r="X88" t="inlineStr"/>
      <c r="Y88" t="inlineStr">
        <is>
          <t>factsheet, wedding, events</t>
        </is>
      </c>
      <c r="Z88" t="inlineStr"/>
    </row>
    <row r="89">
      <c r="A89" t="n">
        <v>88</v>
      </c>
      <c r="B89" t="inlineStr">
        <is>
          <t>Holiday Inn Resort Kandooma Maldives</t>
        </is>
      </c>
      <c r="C89" t="inlineStr">
        <is>
          <t>not crawled</t>
        </is>
      </c>
      <c r="D89">
        <f>IFERROR(IF(_xlfn.MAXIFS(Documents!$E$2:$E$1421,Documents!$A$2:$A$1421,$A89,Documents!$C$2:$C$1421,"factsheet")=0,"",_xlfn.MAXIFS(Documents!$E$2:$E$1421,Documents!$A$2:$A$1421,$A89,Documents!$C$2:$C$1421,"factsheet")),"")</f>
        <v/>
      </c>
      <c r="E89">
        <f>IFERROR(IF(_xlfn.MAXIFS(Documents!$E$2:$E$1421,Documents!$A$2:$A$1421,$A89,Documents!$C$2:$C$1421,"wedding")=0,"",_xlfn.MAXIFS(Documents!$E$2:$E$1421,Documents!$A$2:$A$1421,$A89,Documents!$C$2:$C$1421,"wedding")),"")</f>
        <v/>
      </c>
      <c r="F89">
        <f>IFERROR(IF(_xlfn.MAXIFS(Documents!$E$2:$E$1421,Documents!$A$2:$A$1421,$A89,Documents!$C$2:$C$1421,"events")=0,"",_xlfn.MAXIFS(Documents!$E$2:$E$1421,Documents!$A$2:$A$1421,$A89,Documents!$C$2:$C$1421,"events")),"")</f>
        <v/>
      </c>
      <c r="G89">
        <f>IFERROR(IF(_xlfn.MAXIFS(Documents!$E$2:$E$1421,Documents!$A$2:$A$1421,$A89,Documents!$C$2:$C$1421,"map")=0,"",_xlfn.MAXIFS(Documents!$E$2:$E$1421,Documents!$A$2:$A$1421,$A89,Documents!$C$2:$C$1421,"map")),"")</f>
        <v/>
      </c>
      <c r="H89">
        <f>IFERROR(IF(_xlfn.MAXIFS(Documents!$E$2:$E$1421,Documents!$A$2:$A$1421,$A89,Documents!$C$2:$C$1421,"dive_map")=0,"",_xlfn.MAXIFS(Documents!$E$2:$E$1421,Documents!$A$2:$A$1421,$A89,Documents!$C$2:$C$1421,"dive_map")),"")</f>
        <v/>
      </c>
      <c r="I89">
        <f>IFERROR(IF(_xlfn.MAXIFS(Documents!$E$2:$E$1421,Documents!$A$2:$A$1421,$A89,Documents!$C$2:$C$1421,"spa_menu")=0,"",_xlfn.MAXIFS(Documents!$E$2:$E$1421,Documents!$A$2:$A$1421,$A89,Documents!$C$2:$C$1421,"spa_menu")),"")</f>
        <v/>
      </c>
      <c r="J89">
        <f>IFERROR(IF(_xlfn.MAXIFS(Documents!$E$2:$E$1421,Documents!$A$2:$A$1421,$A89,Documents!$C$2:$C$1421,"dining_menu")=0,"",_xlfn.MAXIFS(Documents!$E$2:$E$1421,Documents!$A$2:$A$1421,$A89,Documents!$C$2:$C$1421,"dining_menu")),"")</f>
        <v/>
      </c>
      <c r="K89">
        <f>IFERROR(IF(_xlfn.MAXIFS(Documents!$E$2:$E$1421,Documents!$A$2:$A$1421,$A89,Documents!$C$2:$C$1421,"dive_prices")=0,"",_xlfn.MAXIFS(Documents!$E$2:$E$1421,Documents!$A$2:$A$1421,$A89,Documents!$C$2:$C$1421,"dive_prices")),"")</f>
        <v/>
      </c>
      <c r="L89">
        <f>IFERROR(IF(_xlfn.MAXIFS(Documents!$E$2:$E$1421,Documents!$A$2:$A$1421,$A89,Documents!$C$2:$C$1421,"excursions")=0,"",_xlfn.MAXIFS(Documents!$E$2:$E$1421,Documents!$A$2:$A$1421,$A89,Documents!$C$2:$C$1421,"excursions")),"")</f>
        <v/>
      </c>
      <c r="M89">
        <f>IFERROR(IF(_xlfn.MAXIFS(Documents!$E$2:$E$1421,Documents!$A$2:$A$1421,$A89,Documents!$C$2:$C$1421,"kids")=0,"",_xlfn.MAXIFS(Documents!$E$2:$E$1421,Documents!$A$2:$A$1421,$A89,Documents!$C$2:$C$1421,"kids")),"")</f>
        <v/>
      </c>
      <c r="N89">
        <f>IFERROR(IF(_xlfn.MAXIFS(Documents!$E$2:$E$1421,Documents!$A$2:$A$1421,$A89,Documents!$C$2:$C$1421,"villa_plans")=0,"",_xlfn.MAXIFS(Documents!$E$2:$E$1421,Documents!$A$2:$A$1421,$A89,Documents!$C$2:$C$1421,"villa_plans")),"")</f>
        <v/>
      </c>
      <c r="O89">
        <f>IFERROR(IF(_xlfn.MAXIFS(Documents!$E$2:$E$1421,Documents!$A$2:$A$1421,$A89,Documents!$C$2:$C$1421,"all_inclusive")=0,"",_xlfn.MAXIFS(Documents!$E$2:$E$1421,Documents!$A$2:$A$1421,$A89,Documents!$C$2:$C$1421,"all_inclusive")),"")</f>
        <v/>
      </c>
      <c r="P89">
        <f>IFERROR(IF(_xlfn.MAXIFS(Documents!$E$2:$E$1421,Documents!$A$2:$A$1421,$A89,Documents!$C$2:$C$1421,"sustainability")=0,"",_xlfn.MAXIFS(Documents!$E$2:$E$1421,Documents!$A$2:$A$1421,$A89,Documents!$C$2:$C$1421,"sustainability")),"")</f>
        <v/>
      </c>
      <c r="Q89">
        <f>IFERROR(IF(_xlfn.MAXIFS(Documents!$E$2:$E$1421,Documents!$A$2:$A$1421,$A89,Documents!$C$2:$C$1421,"calendar")=0,"",_xlfn.MAXIFS(Documents!$E$2:$E$1421,Documents!$A$2:$A$1421,$A89,Documents!$C$2:$C$1421,"calendar")),"")</f>
        <v/>
      </c>
      <c r="R89">
        <f>IFERROR(IF(_xlfn.MAXIFS(Documents!$E$2:$E$1421,Documents!$A$2:$A$1421,$A89,Documents!$C$2:$C$1421,"brochure")=0,"",_xlfn.MAXIFS(Documents!$E$2:$E$1421,Documents!$A$2:$A$1421,$A89,Documents!$C$2:$C$1421,"brochure")),"")</f>
        <v/>
      </c>
      <c r="S89">
        <f>IFERROR(IF(_xlfn.MAXIFS(Documents!$E$2:$E$1421,Documents!$A$2:$A$1421,$A89,Documents!$C$2:$C$1421,"press_kit")=0,"",_xlfn.MAXIFS(Documents!$E$2:$E$1421,Documents!$A$2:$A$1421,$A89,Documents!$C$2:$C$1421,"press_kit")),"")</f>
        <v/>
      </c>
      <c r="T89">
        <f>IFERROR(IF(_xlfn.MAXIFS(Documents!$E$2:$E$1421,Documents!$A$2:$A$1421,$A89,Documents!$C$2:$C$1421,"other")=0,"",_xlfn.MAXIFS(Documents!$E$2:$E$1421,Documents!$A$2:$A$1421,$A89,Documents!$C$2:$C$1421,"other")),"")</f>
        <v/>
      </c>
      <c r="U89">
        <f>IFERROR(IF(_xlfn.MAXIFS(Documents!$E$2:$E$1421,Documents!$A$2:$A$1421,$A89,Documents!$C$2:$C$1421,"obsolete")=0,"",_xlfn.MAXIFS(Documents!$E$2:$E$1421,Documents!$A$2:$A$1421,$A89,Documents!$C$2:$C$1421,"obsolete")),"")</f>
        <v/>
      </c>
      <c r="V89">
        <f>COUNTIFS(Documents!$A$2:$A$1421,$A89)</f>
        <v/>
      </c>
      <c r="W89">
        <f>COUNTIFS(Documents!$A$2:$A$1421,$A89,Documents!$R$2:$R$1421,"current")</f>
        <v/>
      </c>
      <c r="X89" t="inlineStr"/>
      <c r="Y89" t="inlineStr">
        <is>
          <t>factsheet, wedding, events</t>
        </is>
      </c>
      <c r="Z89" t="inlineStr"/>
    </row>
    <row r="90">
      <c r="A90" t="n">
        <v>89</v>
      </c>
      <c r="B90" t="inlineStr">
        <is>
          <t>Inter Continental Maldives Maamunagau</t>
        </is>
      </c>
      <c r="C90" t="inlineStr">
        <is>
          <t>not crawled</t>
        </is>
      </c>
      <c r="D90">
        <f>IFERROR(IF(_xlfn.MAXIFS(Documents!$E$2:$E$1421,Documents!$A$2:$A$1421,$A90,Documents!$C$2:$C$1421,"factsheet")=0,"",_xlfn.MAXIFS(Documents!$E$2:$E$1421,Documents!$A$2:$A$1421,$A90,Documents!$C$2:$C$1421,"factsheet")),"")</f>
        <v/>
      </c>
      <c r="E90">
        <f>IFERROR(IF(_xlfn.MAXIFS(Documents!$E$2:$E$1421,Documents!$A$2:$A$1421,$A90,Documents!$C$2:$C$1421,"wedding")=0,"",_xlfn.MAXIFS(Documents!$E$2:$E$1421,Documents!$A$2:$A$1421,$A90,Documents!$C$2:$C$1421,"wedding")),"")</f>
        <v/>
      </c>
      <c r="F90">
        <f>IFERROR(IF(_xlfn.MAXIFS(Documents!$E$2:$E$1421,Documents!$A$2:$A$1421,$A90,Documents!$C$2:$C$1421,"events")=0,"",_xlfn.MAXIFS(Documents!$E$2:$E$1421,Documents!$A$2:$A$1421,$A90,Documents!$C$2:$C$1421,"events")),"")</f>
        <v/>
      </c>
      <c r="G90">
        <f>IFERROR(IF(_xlfn.MAXIFS(Documents!$E$2:$E$1421,Documents!$A$2:$A$1421,$A90,Documents!$C$2:$C$1421,"map")=0,"",_xlfn.MAXIFS(Documents!$E$2:$E$1421,Documents!$A$2:$A$1421,$A90,Documents!$C$2:$C$1421,"map")),"")</f>
        <v/>
      </c>
      <c r="H90">
        <f>IFERROR(IF(_xlfn.MAXIFS(Documents!$E$2:$E$1421,Documents!$A$2:$A$1421,$A90,Documents!$C$2:$C$1421,"dive_map")=0,"",_xlfn.MAXIFS(Documents!$E$2:$E$1421,Documents!$A$2:$A$1421,$A90,Documents!$C$2:$C$1421,"dive_map")),"")</f>
        <v/>
      </c>
      <c r="I90">
        <f>IFERROR(IF(_xlfn.MAXIFS(Documents!$E$2:$E$1421,Documents!$A$2:$A$1421,$A90,Documents!$C$2:$C$1421,"spa_menu")=0,"",_xlfn.MAXIFS(Documents!$E$2:$E$1421,Documents!$A$2:$A$1421,$A90,Documents!$C$2:$C$1421,"spa_menu")),"")</f>
        <v/>
      </c>
      <c r="J90">
        <f>IFERROR(IF(_xlfn.MAXIFS(Documents!$E$2:$E$1421,Documents!$A$2:$A$1421,$A90,Documents!$C$2:$C$1421,"dining_menu")=0,"",_xlfn.MAXIFS(Documents!$E$2:$E$1421,Documents!$A$2:$A$1421,$A90,Documents!$C$2:$C$1421,"dining_menu")),"")</f>
        <v/>
      </c>
      <c r="K90">
        <f>IFERROR(IF(_xlfn.MAXIFS(Documents!$E$2:$E$1421,Documents!$A$2:$A$1421,$A90,Documents!$C$2:$C$1421,"dive_prices")=0,"",_xlfn.MAXIFS(Documents!$E$2:$E$1421,Documents!$A$2:$A$1421,$A90,Documents!$C$2:$C$1421,"dive_prices")),"")</f>
        <v/>
      </c>
      <c r="L90">
        <f>IFERROR(IF(_xlfn.MAXIFS(Documents!$E$2:$E$1421,Documents!$A$2:$A$1421,$A90,Documents!$C$2:$C$1421,"excursions")=0,"",_xlfn.MAXIFS(Documents!$E$2:$E$1421,Documents!$A$2:$A$1421,$A90,Documents!$C$2:$C$1421,"excursions")),"")</f>
        <v/>
      </c>
      <c r="M90">
        <f>IFERROR(IF(_xlfn.MAXIFS(Documents!$E$2:$E$1421,Documents!$A$2:$A$1421,$A90,Documents!$C$2:$C$1421,"kids")=0,"",_xlfn.MAXIFS(Documents!$E$2:$E$1421,Documents!$A$2:$A$1421,$A90,Documents!$C$2:$C$1421,"kids")),"")</f>
        <v/>
      </c>
      <c r="N90">
        <f>IFERROR(IF(_xlfn.MAXIFS(Documents!$E$2:$E$1421,Documents!$A$2:$A$1421,$A90,Documents!$C$2:$C$1421,"villa_plans")=0,"",_xlfn.MAXIFS(Documents!$E$2:$E$1421,Documents!$A$2:$A$1421,$A90,Documents!$C$2:$C$1421,"villa_plans")),"")</f>
        <v/>
      </c>
      <c r="O90">
        <f>IFERROR(IF(_xlfn.MAXIFS(Documents!$E$2:$E$1421,Documents!$A$2:$A$1421,$A90,Documents!$C$2:$C$1421,"all_inclusive")=0,"",_xlfn.MAXIFS(Documents!$E$2:$E$1421,Documents!$A$2:$A$1421,$A90,Documents!$C$2:$C$1421,"all_inclusive")),"")</f>
        <v/>
      </c>
      <c r="P90">
        <f>IFERROR(IF(_xlfn.MAXIFS(Documents!$E$2:$E$1421,Documents!$A$2:$A$1421,$A90,Documents!$C$2:$C$1421,"sustainability")=0,"",_xlfn.MAXIFS(Documents!$E$2:$E$1421,Documents!$A$2:$A$1421,$A90,Documents!$C$2:$C$1421,"sustainability")),"")</f>
        <v/>
      </c>
      <c r="Q90">
        <f>IFERROR(IF(_xlfn.MAXIFS(Documents!$E$2:$E$1421,Documents!$A$2:$A$1421,$A90,Documents!$C$2:$C$1421,"calendar")=0,"",_xlfn.MAXIFS(Documents!$E$2:$E$1421,Documents!$A$2:$A$1421,$A90,Documents!$C$2:$C$1421,"calendar")),"")</f>
        <v/>
      </c>
      <c r="R90">
        <f>IFERROR(IF(_xlfn.MAXIFS(Documents!$E$2:$E$1421,Documents!$A$2:$A$1421,$A90,Documents!$C$2:$C$1421,"brochure")=0,"",_xlfn.MAXIFS(Documents!$E$2:$E$1421,Documents!$A$2:$A$1421,$A90,Documents!$C$2:$C$1421,"brochure")),"")</f>
        <v/>
      </c>
      <c r="S90">
        <f>IFERROR(IF(_xlfn.MAXIFS(Documents!$E$2:$E$1421,Documents!$A$2:$A$1421,$A90,Documents!$C$2:$C$1421,"press_kit")=0,"",_xlfn.MAXIFS(Documents!$E$2:$E$1421,Documents!$A$2:$A$1421,$A90,Documents!$C$2:$C$1421,"press_kit")),"")</f>
        <v/>
      </c>
      <c r="T90">
        <f>IFERROR(IF(_xlfn.MAXIFS(Documents!$E$2:$E$1421,Documents!$A$2:$A$1421,$A90,Documents!$C$2:$C$1421,"other")=0,"",_xlfn.MAXIFS(Documents!$E$2:$E$1421,Documents!$A$2:$A$1421,$A90,Documents!$C$2:$C$1421,"other")),"")</f>
        <v/>
      </c>
      <c r="U90">
        <f>IFERROR(IF(_xlfn.MAXIFS(Documents!$E$2:$E$1421,Documents!$A$2:$A$1421,$A90,Documents!$C$2:$C$1421,"obsolete")=0,"",_xlfn.MAXIFS(Documents!$E$2:$E$1421,Documents!$A$2:$A$1421,$A90,Documents!$C$2:$C$1421,"obsolete")),"")</f>
        <v/>
      </c>
      <c r="V90">
        <f>COUNTIFS(Documents!$A$2:$A$1421,$A90)</f>
        <v/>
      </c>
      <c r="W90">
        <f>COUNTIFS(Documents!$A$2:$A$1421,$A90,Documents!$R$2:$R$1421,"current")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not crawled</t>
        </is>
      </c>
      <c r="D91">
        <f>IFERROR(IF(_xlfn.MAXIFS(Documents!$E$2:$E$1421,Documents!$A$2:$A$1421,$A91,Documents!$C$2:$C$1421,"factsheet")=0,"",_xlfn.MAXIFS(Documents!$E$2:$E$1421,Documents!$A$2:$A$1421,$A91,Documents!$C$2:$C$1421,"factsheet")),"")</f>
        <v/>
      </c>
      <c r="E91">
        <f>IFERROR(IF(_xlfn.MAXIFS(Documents!$E$2:$E$1421,Documents!$A$2:$A$1421,$A91,Documents!$C$2:$C$1421,"wedding")=0,"",_xlfn.MAXIFS(Documents!$E$2:$E$1421,Documents!$A$2:$A$1421,$A91,Documents!$C$2:$C$1421,"wedding")),"")</f>
        <v/>
      </c>
      <c r="F91">
        <f>IFERROR(IF(_xlfn.MAXIFS(Documents!$E$2:$E$1421,Documents!$A$2:$A$1421,$A91,Documents!$C$2:$C$1421,"events")=0,"",_xlfn.MAXIFS(Documents!$E$2:$E$1421,Documents!$A$2:$A$1421,$A91,Documents!$C$2:$C$1421,"events")),"")</f>
        <v/>
      </c>
      <c r="G91">
        <f>IFERROR(IF(_xlfn.MAXIFS(Documents!$E$2:$E$1421,Documents!$A$2:$A$1421,$A91,Documents!$C$2:$C$1421,"map")=0,"",_xlfn.MAXIFS(Documents!$E$2:$E$1421,Documents!$A$2:$A$1421,$A91,Documents!$C$2:$C$1421,"map")),"")</f>
        <v/>
      </c>
      <c r="H91">
        <f>IFERROR(IF(_xlfn.MAXIFS(Documents!$E$2:$E$1421,Documents!$A$2:$A$1421,$A91,Documents!$C$2:$C$1421,"dive_map")=0,"",_xlfn.MAXIFS(Documents!$E$2:$E$1421,Documents!$A$2:$A$1421,$A91,Documents!$C$2:$C$1421,"dive_map")),"")</f>
        <v/>
      </c>
      <c r="I91">
        <f>IFERROR(IF(_xlfn.MAXIFS(Documents!$E$2:$E$1421,Documents!$A$2:$A$1421,$A91,Documents!$C$2:$C$1421,"spa_menu")=0,"",_xlfn.MAXIFS(Documents!$E$2:$E$1421,Documents!$A$2:$A$1421,$A91,Documents!$C$2:$C$1421,"spa_menu")),"")</f>
        <v/>
      </c>
      <c r="J91">
        <f>IFERROR(IF(_xlfn.MAXIFS(Documents!$E$2:$E$1421,Documents!$A$2:$A$1421,$A91,Documents!$C$2:$C$1421,"dining_menu")=0,"",_xlfn.MAXIFS(Documents!$E$2:$E$1421,Documents!$A$2:$A$1421,$A91,Documents!$C$2:$C$1421,"dining_menu")),"")</f>
        <v/>
      </c>
      <c r="K91">
        <f>IFERROR(IF(_xlfn.MAXIFS(Documents!$E$2:$E$1421,Documents!$A$2:$A$1421,$A91,Documents!$C$2:$C$1421,"dive_prices")=0,"",_xlfn.MAXIFS(Documents!$E$2:$E$1421,Documents!$A$2:$A$1421,$A91,Documents!$C$2:$C$1421,"dive_prices")),"")</f>
        <v/>
      </c>
      <c r="L91">
        <f>IFERROR(IF(_xlfn.MAXIFS(Documents!$E$2:$E$1421,Documents!$A$2:$A$1421,$A91,Documents!$C$2:$C$1421,"excursions")=0,"",_xlfn.MAXIFS(Documents!$E$2:$E$1421,Documents!$A$2:$A$1421,$A91,Documents!$C$2:$C$1421,"excursions")),"")</f>
        <v/>
      </c>
      <c r="M91">
        <f>IFERROR(IF(_xlfn.MAXIFS(Documents!$E$2:$E$1421,Documents!$A$2:$A$1421,$A91,Documents!$C$2:$C$1421,"kids")=0,"",_xlfn.MAXIFS(Documents!$E$2:$E$1421,Documents!$A$2:$A$1421,$A91,Documents!$C$2:$C$1421,"kids")),"")</f>
        <v/>
      </c>
      <c r="N91">
        <f>IFERROR(IF(_xlfn.MAXIFS(Documents!$E$2:$E$1421,Documents!$A$2:$A$1421,$A91,Documents!$C$2:$C$1421,"villa_plans")=0,"",_xlfn.MAXIFS(Documents!$E$2:$E$1421,Documents!$A$2:$A$1421,$A91,Documents!$C$2:$C$1421,"villa_plans")),"")</f>
        <v/>
      </c>
      <c r="O91">
        <f>IFERROR(IF(_xlfn.MAXIFS(Documents!$E$2:$E$1421,Documents!$A$2:$A$1421,$A91,Documents!$C$2:$C$1421,"all_inclusive")=0,"",_xlfn.MAXIFS(Documents!$E$2:$E$1421,Documents!$A$2:$A$1421,$A91,Documents!$C$2:$C$1421,"all_inclusive")),"")</f>
        <v/>
      </c>
      <c r="P91">
        <f>IFERROR(IF(_xlfn.MAXIFS(Documents!$E$2:$E$1421,Documents!$A$2:$A$1421,$A91,Documents!$C$2:$C$1421,"sustainability")=0,"",_xlfn.MAXIFS(Documents!$E$2:$E$1421,Documents!$A$2:$A$1421,$A91,Documents!$C$2:$C$1421,"sustainability")),"")</f>
        <v/>
      </c>
      <c r="Q91">
        <f>IFERROR(IF(_xlfn.MAXIFS(Documents!$E$2:$E$1421,Documents!$A$2:$A$1421,$A91,Documents!$C$2:$C$1421,"calendar")=0,"",_xlfn.MAXIFS(Documents!$E$2:$E$1421,Documents!$A$2:$A$1421,$A91,Documents!$C$2:$C$1421,"calendar")),"")</f>
        <v/>
      </c>
      <c r="R91">
        <f>IFERROR(IF(_xlfn.MAXIFS(Documents!$E$2:$E$1421,Documents!$A$2:$A$1421,$A91,Documents!$C$2:$C$1421,"brochure")=0,"",_xlfn.MAXIFS(Documents!$E$2:$E$1421,Documents!$A$2:$A$1421,$A91,Documents!$C$2:$C$1421,"brochure")),"")</f>
        <v/>
      </c>
      <c r="S91">
        <f>IFERROR(IF(_xlfn.MAXIFS(Documents!$E$2:$E$1421,Documents!$A$2:$A$1421,$A91,Documents!$C$2:$C$1421,"press_kit")=0,"",_xlfn.MAXIFS(Documents!$E$2:$E$1421,Documents!$A$2:$A$1421,$A91,Documents!$C$2:$C$1421,"press_kit")),"")</f>
        <v/>
      </c>
      <c r="T91">
        <f>IFERROR(IF(_xlfn.MAXIFS(Documents!$E$2:$E$1421,Documents!$A$2:$A$1421,$A91,Documents!$C$2:$C$1421,"other")=0,"",_xlfn.MAXIFS(Documents!$E$2:$E$1421,Documents!$A$2:$A$1421,$A91,Documents!$C$2:$C$1421,"other")),"")</f>
        <v/>
      </c>
      <c r="U91">
        <f>IFERROR(IF(_xlfn.MAXIFS(Documents!$E$2:$E$1421,Documents!$A$2:$A$1421,$A91,Documents!$C$2:$C$1421,"obsolete")=0,"",_xlfn.MAXIFS(Documents!$E$2:$E$1421,Documents!$A$2:$A$1421,$A91,Documents!$C$2:$C$1421,"obsolete")),"")</f>
        <v/>
      </c>
      <c r="V91">
        <f>COUNTIFS(Documents!$A$2:$A$1421,$A91)</f>
        <v/>
      </c>
      <c r="W91">
        <f>COUNTIFS(Documents!$A$2:$A$1421,$A91,Documents!$R$2:$R$1421,"current")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not crawled</t>
        </is>
      </c>
      <c r="D92">
        <f>IFERROR(IF(_xlfn.MAXIFS(Documents!$E$2:$E$1421,Documents!$A$2:$A$1421,$A92,Documents!$C$2:$C$1421,"factsheet")=0,"",_xlfn.MAXIFS(Documents!$E$2:$E$1421,Documents!$A$2:$A$1421,$A92,Documents!$C$2:$C$1421,"factsheet")),"")</f>
        <v/>
      </c>
      <c r="E92">
        <f>IFERROR(IF(_xlfn.MAXIFS(Documents!$E$2:$E$1421,Documents!$A$2:$A$1421,$A92,Documents!$C$2:$C$1421,"wedding")=0,"",_xlfn.MAXIFS(Documents!$E$2:$E$1421,Documents!$A$2:$A$1421,$A92,Documents!$C$2:$C$1421,"wedding")),"")</f>
        <v/>
      </c>
      <c r="F92">
        <f>IFERROR(IF(_xlfn.MAXIFS(Documents!$E$2:$E$1421,Documents!$A$2:$A$1421,$A92,Documents!$C$2:$C$1421,"events")=0,"",_xlfn.MAXIFS(Documents!$E$2:$E$1421,Documents!$A$2:$A$1421,$A92,Documents!$C$2:$C$1421,"events")),"")</f>
        <v/>
      </c>
      <c r="G92">
        <f>IFERROR(IF(_xlfn.MAXIFS(Documents!$E$2:$E$1421,Documents!$A$2:$A$1421,$A92,Documents!$C$2:$C$1421,"map")=0,"",_xlfn.MAXIFS(Documents!$E$2:$E$1421,Documents!$A$2:$A$1421,$A92,Documents!$C$2:$C$1421,"map")),"")</f>
        <v/>
      </c>
      <c r="H92">
        <f>IFERROR(IF(_xlfn.MAXIFS(Documents!$E$2:$E$1421,Documents!$A$2:$A$1421,$A92,Documents!$C$2:$C$1421,"dive_map")=0,"",_xlfn.MAXIFS(Documents!$E$2:$E$1421,Documents!$A$2:$A$1421,$A92,Documents!$C$2:$C$1421,"dive_map")),"")</f>
        <v/>
      </c>
      <c r="I92">
        <f>IFERROR(IF(_xlfn.MAXIFS(Documents!$E$2:$E$1421,Documents!$A$2:$A$1421,$A92,Documents!$C$2:$C$1421,"spa_menu")=0,"",_xlfn.MAXIFS(Documents!$E$2:$E$1421,Documents!$A$2:$A$1421,$A92,Documents!$C$2:$C$1421,"spa_menu")),"")</f>
        <v/>
      </c>
      <c r="J92">
        <f>IFERROR(IF(_xlfn.MAXIFS(Documents!$E$2:$E$1421,Documents!$A$2:$A$1421,$A92,Documents!$C$2:$C$1421,"dining_menu")=0,"",_xlfn.MAXIFS(Documents!$E$2:$E$1421,Documents!$A$2:$A$1421,$A92,Documents!$C$2:$C$1421,"dining_menu")),"")</f>
        <v/>
      </c>
      <c r="K92">
        <f>IFERROR(IF(_xlfn.MAXIFS(Documents!$E$2:$E$1421,Documents!$A$2:$A$1421,$A92,Documents!$C$2:$C$1421,"dive_prices")=0,"",_xlfn.MAXIFS(Documents!$E$2:$E$1421,Documents!$A$2:$A$1421,$A92,Documents!$C$2:$C$1421,"dive_prices")),"")</f>
        <v/>
      </c>
      <c r="L92">
        <f>IFERROR(IF(_xlfn.MAXIFS(Documents!$E$2:$E$1421,Documents!$A$2:$A$1421,$A92,Documents!$C$2:$C$1421,"excursions")=0,"",_xlfn.MAXIFS(Documents!$E$2:$E$1421,Documents!$A$2:$A$1421,$A92,Documents!$C$2:$C$1421,"excursions")),"")</f>
        <v/>
      </c>
      <c r="M92">
        <f>IFERROR(IF(_xlfn.MAXIFS(Documents!$E$2:$E$1421,Documents!$A$2:$A$1421,$A92,Documents!$C$2:$C$1421,"kids")=0,"",_xlfn.MAXIFS(Documents!$E$2:$E$1421,Documents!$A$2:$A$1421,$A92,Documents!$C$2:$C$1421,"kids")),"")</f>
        <v/>
      </c>
      <c r="N92">
        <f>IFERROR(IF(_xlfn.MAXIFS(Documents!$E$2:$E$1421,Documents!$A$2:$A$1421,$A92,Documents!$C$2:$C$1421,"villa_plans")=0,"",_xlfn.MAXIFS(Documents!$E$2:$E$1421,Documents!$A$2:$A$1421,$A92,Documents!$C$2:$C$1421,"villa_plans")),"")</f>
        <v/>
      </c>
      <c r="O92">
        <f>IFERROR(IF(_xlfn.MAXIFS(Documents!$E$2:$E$1421,Documents!$A$2:$A$1421,$A92,Documents!$C$2:$C$1421,"all_inclusive")=0,"",_xlfn.MAXIFS(Documents!$E$2:$E$1421,Documents!$A$2:$A$1421,$A92,Documents!$C$2:$C$1421,"all_inclusive")),"")</f>
        <v/>
      </c>
      <c r="P92">
        <f>IFERROR(IF(_xlfn.MAXIFS(Documents!$E$2:$E$1421,Documents!$A$2:$A$1421,$A92,Documents!$C$2:$C$1421,"sustainability")=0,"",_xlfn.MAXIFS(Documents!$E$2:$E$1421,Documents!$A$2:$A$1421,$A92,Documents!$C$2:$C$1421,"sustainability")),"")</f>
        <v/>
      </c>
      <c r="Q92">
        <f>IFERROR(IF(_xlfn.MAXIFS(Documents!$E$2:$E$1421,Documents!$A$2:$A$1421,$A92,Documents!$C$2:$C$1421,"calendar")=0,"",_xlfn.MAXIFS(Documents!$E$2:$E$1421,Documents!$A$2:$A$1421,$A92,Documents!$C$2:$C$1421,"calendar")),"")</f>
        <v/>
      </c>
      <c r="R92">
        <f>IFERROR(IF(_xlfn.MAXIFS(Documents!$E$2:$E$1421,Documents!$A$2:$A$1421,$A92,Documents!$C$2:$C$1421,"brochure")=0,"",_xlfn.MAXIFS(Documents!$E$2:$E$1421,Documents!$A$2:$A$1421,$A92,Documents!$C$2:$C$1421,"brochure")),"")</f>
        <v/>
      </c>
      <c r="S92">
        <f>IFERROR(IF(_xlfn.MAXIFS(Documents!$E$2:$E$1421,Documents!$A$2:$A$1421,$A92,Documents!$C$2:$C$1421,"press_kit")=0,"",_xlfn.MAXIFS(Documents!$E$2:$E$1421,Documents!$A$2:$A$1421,$A92,Documents!$C$2:$C$1421,"press_kit")),"")</f>
        <v/>
      </c>
      <c r="T92">
        <f>IFERROR(IF(_xlfn.MAXIFS(Documents!$E$2:$E$1421,Documents!$A$2:$A$1421,$A92,Documents!$C$2:$C$1421,"other")=0,"",_xlfn.MAXIFS(Documents!$E$2:$E$1421,Documents!$A$2:$A$1421,$A92,Documents!$C$2:$C$1421,"other")),"")</f>
        <v/>
      </c>
      <c r="U92">
        <f>IFERROR(IF(_xlfn.MAXIFS(Documents!$E$2:$E$1421,Documents!$A$2:$A$1421,$A92,Documents!$C$2:$C$1421,"obsolete")=0,"",_xlfn.MAXIFS(Documents!$E$2:$E$1421,Documents!$A$2:$A$1421,$A92,Documents!$C$2:$C$1421,"obsolete")),"")</f>
        <v/>
      </c>
      <c r="V92">
        <f>COUNTIFS(Documents!$A$2:$A$1421,$A92)</f>
        <v/>
      </c>
      <c r="W92">
        <f>COUNTIFS(Documents!$A$2:$A$1421,$A92,Documents!$R$2:$R$1421,"current")</f>
        <v/>
      </c>
      <c r="X92">
        <f>HYPERLINK("https://www.neoscapesmaldives.com/wp-content/uploads/LilyBeach-Factsheet-Resort-NEO.pdf","2020_LilyBeach-Factsheet-Resort-NEO.pdf")</f>
        <v/>
      </c>
      <c r="Y92" t="inlineStr">
        <is>
          <t>wedding, events</t>
        </is>
      </c>
      <c r="Z92" t="inlineStr"/>
    </row>
    <row r="93">
      <c r="A93" t="n">
        <v>92</v>
      </c>
      <c r="B93" t="inlineStr">
        <is>
          <t>Amaya Kuda Rah Maldives</t>
        </is>
      </c>
      <c r="C93" t="inlineStr">
        <is>
          <t>not crawled</t>
        </is>
      </c>
      <c r="D93">
        <f>IFERROR(IF(_xlfn.MAXIFS(Documents!$E$2:$E$1421,Documents!$A$2:$A$1421,$A93,Documents!$C$2:$C$1421,"factsheet")=0,"",_xlfn.MAXIFS(Documents!$E$2:$E$1421,Documents!$A$2:$A$1421,$A93,Documents!$C$2:$C$1421,"factsheet")),"")</f>
        <v/>
      </c>
      <c r="E93">
        <f>IFERROR(IF(_xlfn.MAXIFS(Documents!$E$2:$E$1421,Documents!$A$2:$A$1421,$A93,Documents!$C$2:$C$1421,"wedding")=0,"",_xlfn.MAXIFS(Documents!$E$2:$E$1421,Documents!$A$2:$A$1421,$A93,Documents!$C$2:$C$1421,"wedding")),"")</f>
        <v/>
      </c>
      <c r="F93">
        <f>IFERROR(IF(_xlfn.MAXIFS(Documents!$E$2:$E$1421,Documents!$A$2:$A$1421,$A93,Documents!$C$2:$C$1421,"events")=0,"",_xlfn.MAXIFS(Documents!$E$2:$E$1421,Documents!$A$2:$A$1421,$A93,Documents!$C$2:$C$1421,"events")),"")</f>
        <v/>
      </c>
      <c r="G93">
        <f>IFERROR(IF(_xlfn.MAXIFS(Documents!$E$2:$E$1421,Documents!$A$2:$A$1421,$A93,Documents!$C$2:$C$1421,"map")=0,"",_xlfn.MAXIFS(Documents!$E$2:$E$1421,Documents!$A$2:$A$1421,$A93,Documents!$C$2:$C$1421,"map")),"")</f>
        <v/>
      </c>
      <c r="H93">
        <f>IFERROR(IF(_xlfn.MAXIFS(Documents!$E$2:$E$1421,Documents!$A$2:$A$1421,$A93,Documents!$C$2:$C$1421,"dive_map")=0,"",_xlfn.MAXIFS(Documents!$E$2:$E$1421,Documents!$A$2:$A$1421,$A93,Documents!$C$2:$C$1421,"dive_map")),"")</f>
        <v/>
      </c>
      <c r="I93">
        <f>IFERROR(IF(_xlfn.MAXIFS(Documents!$E$2:$E$1421,Documents!$A$2:$A$1421,$A93,Documents!$C$2:$C$1421,"spa_menu")=0,"",_xlfn.MAXIFS(Documents!$E$2:$E$1421,Documents!$A$2:$A$1421,$A93,Documents!$C$2:$C$1421,"spa_menu")),"")</f>
        <v/>
      </c>
      <c r="J93">
        <f>IFERROR(IF(_xlfn.MAXIFS(Documents!$E$2:$E$1421,Documents!$A$2:$A$1421,$A93,Documents!$C$2:$C$1421,"dining_menu")=0,"",_xlfn.MAXIFS(Documents!$E$2:$E$1421,Documents!$A$2:$A$1421,$A93,Documents!$C$2:$C$1421,"dining_menu")),"")</f>
        <v/>
      </c>
      <c r="K93">
        <f>IFERROR(IF(_xlfn.MAXIFS(Documents!$E$2:$E$1421,Documents!$A$2:$A$1421,$A93,Documents!$C$2:$C$1421,"dive_prices")=0,"",_xlfn.MAXIFS(Documents!$E$2:$E$1421,Documents!$A$2:$A$1421,$A93,Documents!$C$2:$C$1421,"dive_prices")),"")</f>
        <v/>
      </c>
      <c r="L93">
        <f>IFERROR(IF(_xlfn.MAXIFS(Documents!$E$2:$E$1421,Documents!$A$2:$A$1421,$A93,Documents!$C$2:$C$1421,"excursions")=0,"",_xlfn.MAXIFS(Documents!$E$2:$E$1421,Documents!$A$2:$A$1421,$A93,Documents!$C$2:$C$1421,"excursions")),"")</f>
        <v/>
      </c>
      <c r="M93">
        <f>IFERROR(IF(_xlfn.MAXIFS(Documents!$E$2:$E$1421,Documents!$A$2:$A$1421,$A93,Documents!$C$2:$C$1421,"kids")=0,"",_xlfn.MAXIFS(Documents!$E$2:$E$1421,Documents!$A$2:$A$1421,$A93,Documents!$C$2:$C$1421,"kids")),"")</f>
        <v/>
      </c>
      <c r="N93">
        <f>IFERROR(IF(_xlfn.MAXIFS(Documents!$E$2:$E$1421,Documents!$A$2:$A$1421,$A93,Documents!$C$2:$C$1421,"villa_plans")=0,"",_xlfn.MAXIFS(Documents!$E$2:$E$1421,Documents!$A$2:$A$1421,$A93,Documents!$C$2:$C$1421,"villa_plans")),"")</f>
        <v/>
      </c>
      <c r="O93">
        <f>IFERROR(IF(_xlfn.MAXIFS(Documents!$E$2:$E$1421,Documents!$A$2:$A$1421,$A93,Documents!$C$2:$C$1421,"all_inclusive")=0,"",_xlfn.MAXIFS(Documents!$E$2:$E$1421,Documents!$A$2:$A$1421,$A93,Documents!$C$2:$C$1421,"all_inclusive")),"")</f>
        <v/>
      </c>
      <c r="P93">
        <f>IFERROR(IF(_xlfn.MAXIFS(Documents!$E$2:$E$1421,Documents!$A$2:$A$1421,$A93,Documents!$C$2:$C$1421,"sustainability")=0,"",_xlfn.MAXIFS(Documents!$E$2:$E$1421,Documents!$A$2:$A$1421,$A93,Documents!$C$2:$C$1421,"sustainability")),"")</f>
        <v/>
      </c>
      <c r="Q93">
        <f>IFERROR(IF(_xlfn.MAXIFS(Documents!$E$2:$E$1421,Documents!$A$2:$A$1421,$A93,Documents!$C$2:$C$1421,"calendar")=0,"",_xlfn.MAXIFS(Documents!$E$2:$E$1421,Documents!$A$2:$A$1421,$A93,Documents!$C$2:$C$1421,"calendar")),"")</f>
        <v/>
      </c>
      <c r="R93">
        <f>IFERROR(IF(_xlfn.MAXIFS(Documents!$E$2:$E$1421,Documents!$A$2:$A$1421,$A93,Documents!$C$2:$C$1421,"brochure")=0,"",_xlfn.MAXIFS(Documents!$E$2:$E$1421,Documents!$A$2:$A$1421,$A93,Documents!$C$2:$C$1421,"brochure")),"")</f>
        <v/>
      </c>
      <c r="S93">
        <f>IFERROR(IF(_xlfn.MAXIFS(Documents!$E$2:$E$1421,Documents!$A$2:$A$1421,$A93,Documents!$C$2:$C$1421,"press_kit")=0,"",_xlfn.MAXIFS(Documents!$E$2:$E$1421,Documents!$A$2:$A$1421,$A93,Documents!$C$2:$C$1421,"press_kit")),"")</f>
        <v/>
      </c>
      <c r="T93">
        <f>IFERROR(IF(_xlfn.MAXIFS(Documents!$E$2:$E$1421,Documents!$A$2:$A$1421,$A93,Documents!$C$2:$C$1421,"other")=0,"",_xlfn.MAXIFS(Documents!$E$2:$E$1421,Documents!$A$2:$A$1421,$A93,Documents!$C$2:$C$1421,"other")),"")</f>
        <v/>
      </c>
      <c r="U93">
        <f>IFERROR(IF(_xlfn.MAXIFS(Documents!$E$2:$E$1421,Documents!$A$2:$A$1421,$A93,Documents!$C$2:$C$1421,"obsolete")=0,"",_xlfn.MAXIFS(Documents!$E$2:$E$1421,Documents!$A$2:$A$1421,$A93,Documents!$C$2:$C$1421,"obsolete")),"")</f>
        <v/>
      </c>
      <c r="V93">
        <f>COUNTIFS(Documents!$A$2:$A$1421,$A93)</f>
        <v/>
      </c>
      <c r="W93">
        <f>COUNTIFS(Documents!$A$2:$A$1421,$A93,Documents!$R$2:$R$1421,"current")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not crawled</t>
        </is>
      </c>
      <c r="D94">
        <f>IFERROR(IF(_xlfn.MAXIFS(Documents!$E$2:$E$1421,Documents!$A$2:$A$1421,$A94,Documents!$C$2:$C$1421,"factsheet")=0,"",_xlfn.MAXIFS(Documents!$E$2:$E$1421,Documents!$A$2:$A$1421,$A94,Documents!$C$2:$C$1421,"factsheet")),"")</f>
        <v/>
      </c>
      <c r="E94">
        <f>IFERROR(IF(_xlfn.MAXIFS(Documents!$E$2:$E$1421,Documents!$A$2:$A$1421,$A94,Documents!$C$2:$C$1421,"wedding")=0,"",_xlfn.MAXIFS(Documents!$E$2:$E$1421,Documents!$A$2:$A$1421,$A94,Documents!$C$2:$C$1421,"wedding")),"")</f>
        <v/>
      </c>
      <c r="F94">
        <f>IFERROR(IF(_xlfn.MAXIFS(Documents!$E$2:$E$1421,Documents!$A$2:$A$1421,$A94,Documents!$C$2:$C$1421,"events")=0,"",_xlfn.MAXIFS(Documents!$E$2:$E$1421,Documents!$A$2:$A$1421,$A94,Documents!$C$2:$C$1421,"events")),"")</f>
        <v/>
      </c>
      <c r="G94">
        <f>IFERROR(IF(_xlfn.MAXIFS(Documents!$E$2:$E$1421,Documents!$A$2:$A$1421,$A94,Documents!$C$2:$C$1421,"map")=0,"",_xlfn.MAXIFS(Documents!$E$2:$E$1421,Documents!$A$2:$A$1421,$A94,Documents!$C$2:$C$1421,"map")),"")</f>
        <v/>
      </c>
      <c r="H94">
        <f>IFERROR(IF(_xlfn.MAXIFS(Documents!$E$2:$E$1421,Documents!$A$2:$A$1421,$A94,Documents!$C$2:$C$1421,"dive_map")=0,"",_xlfn.MAXIFS(Documents!$E$2:$E$1421,Documents!$A$2:$A$1421,$A94,Documents!$C$2:$C$1421,"dive_map")),"")</f>
        <v/>
      </c>
      <c r="I94">
        <f>IFERROR(IF(_xlfn.MAXIFS(Documents!$E$2:$E$1421,Documents!$A$2:$A$1421,$A94,Documents!$C$2:$C$1421,"spa_menu")=0,"",_xlfn.MAXIFS(Documents!$E$2:$E$1421,Documents!$A$2:$A$1421,$A94,Documents!$C$2:$C$1421,"spa_menu")),"")</f>
        <v/>
      </c>
      <c r="J94">
        <f>IFERROR(IF(_xlfn.MAXIFS(Documents!$E$2:$E$1421,Documents!$A$2:$A$1421,$A94,Documents!$C$2:$C$1421,"dining_menu")=0,"",_xlfn.MAXIFS(Documents!$E$2:$E$1421,Documents!$A$2:$A$1421,$A94,Documents!$C$2:$C$1421,"dining_menu")),"")</f>
        <v/>
      </c>
      <c r="K94">
        <f>IFERROR(IF(_xlfn.MAXIFS(Documents!$E$2:$E$1421,Documents!$A$2:$A$1421,$A94,Documents!$C$2:$C$1421,"dive_prices")=0,"",_xlfn.MAXIFS(Documents!$E$2:$E$1421,Documents!$A$2:$A$1421,$A94,Documents!$C$2:$C$1421,"dive_prices")),"")</f>
        <v/>
      </c>
      <c r="L94">
        <f>IFERROR(IF(_xlfn.MAXIFS(Documents!$E$2:$E$1421,Documents!$A$2:$A$1421,$A94,Documents!$C$2:$C$1421,"excursions")=0,"",_xlfn.MAXIFS(Documents!$E$2:$E$1421,Documents!$A$2:$A$1421,$A94,Documents!$C$2:$C$1421,"excursions")),"")</f>
        <v/>
      </c>
      <c r="M94">
        <f>IFERROR(IF(_xlfn.MAXIFS(Documents!$E$2:$E$1421,Documents!$A$2:$A$1421,$A94,Documents!$C$2:$C$1421,"kids")=0,"",_xlfn.MAXIFS(Documents!$E$2:$E$1421,Documents!$A$2:$A$1421,$A94,Documents!$C$2:$C$1421,"kids")),"")</f>
        <v/>
      </c>
      <c r="N94">
        <f>IFERROR(IF(_xlfn.MAXIFS(Documents!$E$2:$E$1421,Documents!$A$2:$A$1421,$A94,Documents!$C$2:$C$1421,"villa_plans")=0,"",_xlfn.MAXIFS(Documents!$E$2:$E$1421,Documents!$A$2:$A$1421,$A94,Documents!$C$2:$C$1421,"villa_plans")),"")</f>
        <v/>
      </c>
      <c r="O94">
        <f>IFERROR(IF(_xlfn.MAXIFS(Documents!$E$2:$E$1421,Documents!$A$2:$A$1421,$A94,Documents!$C$2:$C$1421,"all_inclusive")=0,"",_xlfn.MAXIFS(Documents!$E$2:$E$1421,Documents!$A$2:$A$1421,$A94,Documents!$C$2:$C$1421,"all_inclusive")),"")</f>
        <v/>
      </c>
      <c r="P94">
        <f>IFERROR(IF(_xlfn.MAXIFS(Documents!$E$2:$E$1421,Documents!$A$2:$A$1421,$A94,Documents!$C$2:$C$1421,"sustainability")=0,"",_xlfn.MAXIFS(Documents!$E$2:$E$1421,Documents!$A$2:$A$1421,$A94,Documents!$C$2:$C$1421,"sustainability")),"")</f>
        <v/>
      </c>
      <c r="Q94">
        <f>IFERROR(IF(_xlfn.MAXIFS(Documents!$E$2:$E$1421,Documents!$A$2:$A$1421,$A94,Documents!$C$2:$C$1421,"calendar")=0,"",_xlfn.MAXIFS(Documents!$E$2:$E$1421,Documents!$A$2:$A$1421,$A94,Documents!$C$2:$C$1421,"calendar")),"")</f>
        <v/>
      </c>
      <c r="R94">
        <f>IFERROR(IF(_xlfn.MAXIFS(Documents!$E$2:$E$1421,Documents!$A$2:$A$1421,$A94,Documents!$C$2:$C$1421,"brochure")=0,"",_xlfn.MAXIFS(Documents!$E$2:$E$1421,Documents!$A$2:$A$1421,$A94,Documents!$C$2:$C$1421,"brochure")),"")</f>
        <v/>
      </c>
      <c r="S94">
        <f>IFERROR(IF(_xlfn.MAXIFS(Documents!$E$2:$E$1421,Documents!$A$2:$A$1421,$A94,Documents!$C$2:$C$1421,"press_kit")=0,"",_xlfn.MAXIFS(Documents!$E$2:$E$1421,Documents!$A$2:$A$1421,$A94,Documents!$C$2:$C$1421,"press_kit")),"")</f>
        <v/>
      </c>
      <c r="T94">
        <f>IFERROR(IF(_xlfn.MAXIFS(Documents!$E$2:$E$1421,Documents!$A$2:$A$1421,$A94,Documents!$C$2:$C$1421,"other")=0,"",_xlfn.MAXIFS(Documents!$E$2:$E$1421,Documents!$A$2:$A$1421,$A94,Documents!$C$2:$C$1421,"other")),"")</f>
        <v/>
      </c>
      <c r="U94">
        <f>IFERROR(IF(_xlfn.MAXIFS(Documents!$E$2:$E$1421,Documents!$A$2:$A$1421,$A94,Documents!$C$2:$C$1421,"obsolete")=0,"",_xlfn.MAXIFS(Documents!$E$2:$E$1421,Documents!$A$2:$A$1421,$A94,Documents!$C$2:$C$1421,"obsolete")),"")</f>
        <v/>
      </c>
      <c r="V94">
        <f>COUNTIFS(Documents!$A$2:$A$1421,$A94)</f>
        <v/>
      </c>
      <c r="W94">
        <f>COUNTIFS(Documents!$A$2:$A$1421,$A94,Documents!$R$2:$R$1421,"current")</f>
        <v/>
      </c>
      <c r="X94" t="inlineStr"/>
      <c r="Y94" t="inlineStr">
        <is>
          <t>factsheet, wedding, events</t>
        </is>
      </c>
      <c r="Z94" t="inlineStr"/>
    </row>
    <row r="95">
      <c r="A95" t="n">
        <v>94</v>
      </c>
      <c r="B95" t="inlineStr">
        <is>
          <t>Reethi Faru Resort</t>
        </is>
      </c>
      <c r="C95" t="inlineStr">
        <is>
          <t>not crawled</t>
        </is>
      </c>
      <c r="D95">
        <f>IFERROR(IF(_xlfn.MAXIFS(Documents!$E$2:$E$1421,Documents!$A$2:$A$1421,$A95,Documents!$C$2:$C$1421,"factsheet")=0,"",_xlfn.MAXIFS(Documents!$E$2:$E$1421,Documents!$A$2:$A$1421,$A95,Documents!$C$2:$C$1421,"factsheet")),"")</f>
        <v/>
      </c>
      <c r="E95">
        <f>IFERROR(IF(_xlfn.MAXIFS(Documents!$E$2:$E$1421,Documents!$A$2:$A$1421,$A95,Documents!$C$2:$C$1421,"wedding")=0,"",_xlfn.MAXIFS(Documents!$E$2:$E$1421,Documents!$A$2:$A$1421,$A95,Documents!$C$2:$C$1421,"wedding")),"")</f>
        <v/>
      </c>
      <c r="F95">
        <f>IFERROR(IF(_xlfn.MAXIFS(Documents!$E$2:$E$1421,Documents!$A$2:$A$1421,$A95,Documents!$C$2:$C$1421,"events")=0,"",_xlfn.MAXIFS(Documents!$E$2:$E$1421,Documents!$A$2:$A$1421,$A95,Documents!$C$2:$C$1421,"events")),"")</f>
        <v/>
      </c>
      <c r="G95">
        <f>IFERROR(IF(_xlfn.MAXIFS(Documents!$E$2:$E$1421,Documents!$A$2:$A$1421,$A95,Documents!$C$2:$C$1421,"map")=0,"",_xlfn.MAXIFS(Documents!$E$2:$E$1421,Documents!$A$2:$A$1421,$A95,Documents!$C$2:$C$1421,"map")),"")</f>
        <v/>
      </c>
      <c r="H95">
        <f>IFERROR(IF(_xlfn.MAXIFS(Documents!$E$2:$E$1421,Documents!$A$2:$A$1421,$A95,Documents!$C$2:$C$1421,"dive_map")=0,"",_xlfn.MAXIFS(Documents!$E$2:$E$1421,Documents!$A$2:$A$1421,$A95,Documents!$C$2:$C$1421,"dive_map")),"")</f>
        <v/>
      </c>
      <c r="I95">
        <f>IFERROR(IF(_xlfn.MAXIFS(Documents!$E$2:$E$1421,Documents!$A$2:$A$1421,$A95,Documents!$C$2:$C$1421,"spa_menu")=0,"",_xlfn.MAXIFS(Documents!$E$2:$E$1421,Documents!$A$2:$A$1421,$A95,Documents!$C$2:$C$1421,"spa_menu")),"")</f>
        <v/>
      </c>
      <c r="J95">
        <f>IFERROR(IF(_xlfn.MAXIFS(Documents!$E$2:$E$1421,Documents!$A$2:$A$1421,$A95,Documents!$C$2:$C$1421,"dining_menu")=0,"",_xlfn.MAXIFS(Documents!$E$2:$E$1421,Documents!$A$2:$A$1421,$A95,Documents!$C$2:$C$1421,"dining_menu")),"")</f>
        <v/>
      </c>
      <c r="K95">
        <f>IFERROR(IF(_xlfn.MAXIFS(Documents!$E$2:$E$1421,Documents!$A$2:$A$1421,$A95,Documents!$C$2:$C$1421,"dive_prices")=0,"",_xlfn.MAXIFS(Documents!$E$2:$E$1421,Documents!$A$2:$A$1421,$A95,Documents!$C$2:$C$1421,"dive_prices")),"")</f>
        <v/>
      </c>
      <c r="L95">
        <f>IFERROR(IF(_xlfn.MAXIFS(Documents!$E$2:$E$1421,Documents!$A$2:$A$1421,$A95,Documents!$C$2:$C$1421,"excursions")=0,"",_xlfn.MAXIFS(Documents!$E$2:$E$1421,Documents!$A$2:$A$1421,$A95,Documents!$C$2:$C$1421,"excursions")),"")</f>
        <v/>
      </c>
      <c r="M95">
        <f>IFERROR(IF(_xlfn.MAXIFS(Documents!$E$2:$E$1421,Documents!$A$2:$A$1421,$A95,Documents!$C$2:$C$1421,"kids")=0,"",_xlfn.MAXIFS(Documents!$E$2:$E$1421,Documents!$A$2:$A$1421,$A95,Documents!$C$2:$C$1421,"kids")),"")</f>
        <v/>
      </c>
      <c r="N95">
        <f>IFERROR(IF(_xlfn.MAXIFS(Documents!$E$2:$E$1421,Documents!$A$2:$A$1421,$A95,Documents!$C$2:$C$1421,"villa_plans")=0,"",_xlfn.MAXIFS(Documents!$E$2:$E$1421,Documents!$A$2:$A$1421,$A95,Documents!$C$2:$C$1421,"villa_plans")),"")</f>
        <v/>
      </c>
      <c r="O95">
        <f>IFERROR(IF(_xlfn.MAXIFS(Documents!$E$2:$E$1421,Documents!$A$2:$A$1421,$A95,Documents!$C$2:$C$1421,"all_inclusive")=0,"",_xlfn.MAXIFS(Documents!$E$2:$E$1421,Documents!$A$2:$A$1421,$A95,Documents!$C$2:$C$1421,"all_inclusive")),"")</f>
        <v/>
      </c>
      <c r="P95">
        <f>IFERROR(IF(_xlfn.MAXIFS(Documents!$E$2:$E$1421,Documents!$A$2:$A$1421,$A95,Documents!$C$2:$C$1421,"sustainability")=0,"",_xlfn.MAXIFS(Documents!$E$2:$E$1421,Documents!$A$2:$A$1421,$A95,Documents!$C$2:$C$1421,"sustainability")),"")</f>
        <v/>
      </c>
      <c r="Q95">
        <f>IFERROR(IF(_xlfn.MAXIFS(Documents!$E$2:$E$1421,Documents!$A$2:$A$1421,$A95,Documents!$C$2:$C$1421,"calendar")=0,"",_xlfn.MAXIFS(Documents!$E$2:$E$1421,Documents!$A$2:$A$1421,$A95,Documents!$C$2:$C$1421,"calendar")),"")</f>
        <v/>
      </c>
      <c r="R95">
        <f>IFERROR(IF(_xlfn.MAXIFS(Documents!$E$2:$E$1421,Documents!$A$2:$A$1421,$A95,Documents!$C$2:$C$1421,"brochure")=0,"",_xlfn.MAXIFS(Documents!$E$2:$E$1421,Documents!$A$2:$A$1421,$A95,Documents!$C$2:$C$1421,"brochure")),"")</f>
        <v/>
      </c>
      <c r="S95">
        <f>IFERROR(IF(_xlfn.MAXIFS(Documents!$E$2:$E$1421,Documents!$A$2:$A$1421,$A95,Documents!$C$2:$C$1421,"press_kit")=0,"",_xlfn.MAXIFS(Documents!$E$2:$E$1421,Documents!$A$2:$A$1421,$A95,Documents!$C$2:$C$1421,"press_kit")),"")</f>
        <v/>
      </c>
      <c r="T95">
        <f>IFERROR(IF(_xlfn.MAXIFS(Documents!$E$2:$E$1421,Documents!$A$2:$A$1421,$A95,Documents!$C$2:$C$1421,"other")=0,"",_xlfn.MAXIFS(Documents!$E$2:$E$1421,Documents!$A$2:$A$1421,$A95,Documents!$C$2:$C$1421,"other")),"")</f>
        <v/>
      </c>
      <c r="U95">
        <f>IFERROR(IF(_xlfn.MAXIFS(Documents!$E$2:$E$1421,Documents!$A$2:$A$1421,$A95,Documents!$C$2:$C$1421,"obsolete")=0,"",_xlfn.MAXIFS(Documents!$E$2:$E$1421,Documents!$A$2:$A$1421,$A95,Documents!$C$2:$C$1421,"obsolete")),"")</f>
        <v/>
      </c>
      <c r="V95">
        <f>COUNTIFS(Documents!$A$2:$A$1421,$A95)</f>
        <v/>
      </c>
      <c r="W95">
        <f>COUNTIFS(Documents!$A$2:$A$1421,$A95,Documents!$R$2:$R$1421,"current")</f>
        <v/>
      </c>
      <c r="X95" t="inlineStr"/>
      <c r="Y95" t="inlineStr">
        <is>
          <t>factsheet, wedding, events</t>
        </is>
      </c>
      <c r="Z95" t="inlineStr"/>
    </row>
    <row r="96">
      <c r="A96" t="n">
        <v>95</v>
      </c>
      <c r="B96" t="inlineStr">
        <is>
          <t>Malahini Kuda Bandos</t>
        </is>
      </c>
      <c r="C96" t="inlineStr">
        <is>
          <t>not crawled</t>
        </is>
      </c>
      <c r="D96">
        <f>IFERROR(IF(_xlfn.MAXIFS(Documents!$E$2:$E$1421,Documents!$A$2:$A$1421,$A96,Documents!$C$2:$C$1421,"factsheet")=0,"",_xlfn.MAXIFS(Documents!$E$2:$E$1421,Documents!$A$2:$A$1421,$A96,Documents!$C$2:$C$1421,"factsheet")),"")</f>
        <v/>
      </c>
      <c r="E96">
        <f>IFERROR(IF(_xlfn.MAXIFS(Documents!$E$2:$E$1421,Documents!$A$2:$A$1421,$A96,Documents!$C$2:$C$1421,"wedding")=0,"",_xlfn.MAXIFS(Documents!$E$2:$E$1421,Documents!$A$2:$A$1421,$A96,Documents!$C$2:$C$1421,"wedding")),"")</f>
        <v/>
      </c>
      <c r="F96">
        <f>IFERROR(IF(_xlfn.MAXIFS(Documents!$E$2:$E$1421,Documents!$A$2:$A$1421,$A96,Documents!$C$2:$C$1421,"events")=0,"",_xlfn.MAXIFS(Documents!$E$2:$E$1421,Documents!$A$2:$A$1421,$A96,Documents!$C$2:$C$1421,"events")),"")</f>
        <v/>
      </c>
      <c r="G96">
        <f>IFERROR(IF(_xlfn.MAXIFS(Documents!$E$2:$E$1421,Documents!$A$2:$A$1421,$A96,Documents!$C$2:$C$1421,"map")=0,"",_xlfn.MAXIFS(Documents!$E$2:$E$1421,Documents!$A$2:$A$1421,$A96,Documents!$C$2:$C$1421,"map")),"")</f>
        <v/>
      </c>
      <c r="H96">
        <f>IFERROR(IF(_xlfn.MAXIFS(Documents!$E$2:$E$1421,Documents!$A$2:$A$1421,$A96,Documents!$C$2:$C$1421,"dive_map")=0,"",_xlfn.MAXIFS(Documents!$E$2:$E$1421,Documents!$A$2:$A$1421,$A96,Documents!$C$2:$C$1421,"dive_map")),"")</f>
        <v/>
      </c>
      <c r="I96">
        <f>IFERROR(IF(_xlfn.MAXIFS(Documents!$E$2:$E$1421,Documents!$A$2:$A$1421,$A96,Documents!$C$2:$C$1421,"spa_menu")=0,"",_xlfn.MAXIFS(Documents!$E$2:$E$1421,Documents!$A$2:$A$1421,$A96,Documents!$C$2:$C$1421,"spa_menu")),"")</f>
        <v/>
      </c>
      <c r="J96">
        <f>IFERROR(IF(_xlfn.MAXIFS(Documents!$E$2:$E$1421,Documents!$A$2:$A$1421,$A96,Documents!$C$2:$C$1421,"dining_menu")=0,"",_xlfn.MAXIFS(Documents!$E$2:$E$1421,Documents!$A$2:$A$1421,$A96,Documents!$C$2:$C$1421,"dining_menu")),"")</f>
        <v/>
      </c>
      <c r="K96">
        <f>IFERROR(IF(_xlfn.MAXIFS(Documents!$E$2:$E$1421,Documents!$A$2:$A$1421,$A96,Documents!$C$2:$C$1421,"dive_prices")=0,"",_xlfn.MAXIFS(Documents!$E$2:$E$1421,Documents!$A$2:$A$1421,$A96,Documents!$C$2:$C$1421,"dive_prices")),"")</f>
        <v/>
      </c>
      <c r="L96">
        <f>IFERROR(IF(_xlfn.MAXIFS(Documents!$E$2:$E$1421,Documents!$A$2:$A$1421,$A96,Documents!$C$2:$C$1421,"excursions")=0,"",_xlfn.MAXIFS(Documents!$E$2:$E$1421,Documents!$A$2:$A$1421,$A96,Documents!$C$2:$C$1421,"excursions")),"")</f>
        <v/>
      </c>
      <c r="M96">
        <f>IFERROR(IF(_xlfn.MAXIFS(Documents!$E$2:$E$1421,Documents!$A$2:$A$1421,$A96,Documents!$C$2:$C$1421,"kids")=0,"",_xlfn.MAXIFS(Documents!$E$2:$E$1421,Documents!$A$2:$A$1421,$A96,Documents!$C$2:$C$1421,"kids")),"")</f>
        <v/>
      </c>
      <c r="N96">
        <f>IFERROR(IF(_xlfn.MAXIFS(Documents!$E$2:$E$1421,Documents!$A$2:$A$1421,$A96,Documents!$C$2:$C$1421,"villa_plans")=0,"",_xlfn.MAXIFS(Documents!$E$2:$E$1421,Documents!$A$2:$A$1421,$A96,Documents!$C$2:$C$1421,"villa_plans")),"")</f>
        <v/>
      </c>
      <c r="O96">
        <f>IFERROR(IF(_xlfn.MAXIFS(Documents!$E$2:$E$1421,Documents!$A$2:$A$1421,$A96,Documents!$C$2:$C$1421,"all_inclusive")=0,"",_xlfn.MAXIFS(Documents!$E$2:$E$1421,Documents!$A$2:$A$1421,$A96,Documents!$C$2:$C$1421,"all_inclusive")),"")</f>
        <v/>
      </c>
      <c r="P96">
        <f>IFERROR(IF(_xlfn.MAXIFS(Documents!$E$2:$E$1421,Documents!$A$2:$A$1421,$A96,Documents!$C$2:$C$1421,"sustainability")=0,"",_xlfn.MAXIFS(Documents!$E$2:$E$1421,Documents!$A$2:$A$1421,$A96,Documents!$C$2:$C$1421,"sustainability")),"")</f>
        <v/>
      </c>
      <c r="Q96">
        <f>IFERROR(IF(_xlfn.MAXIFS(Documents!$E$2:$E$1421,Documents!$A$2:$A$1421,$A96,Documents!$C$2:$C$1421,"calendar")=0,"",_xlfn.MAXIFS(Documents!$E$2:$E$1421,Documents!$A$2:$A$1421,$A96,Documents!$C$2:$C$1421,"calendar")),"")</f>
        <v/>
      </c>
      <c r="R96">
        <f>IFERROR(IF(_xlfn.MAXIFS(Documents!$E$2:$E$1421,Documents!$A$2:$A$1421,$A96,Documents!$C$2:$C$1421,"brochure")=0,"",_xlfn.MAXIFS(Documents!$E$2:$E$1421,Documents!$A$2:$A$1421,$A96,Documents!$C$2:$C$1421,"brochure")),"")</f>
        <v/>
      </c>
      <c r="S96">
        <f>IFERROR(IF(_xlfn.MAXIFS(Documents!$E$2:$E$1421,Documents!$A$2:$A$1421,$A96,Documents!$C$2:$C$1421,"press_kit")=0,"",_xlfn.MAXIFS(Documents!$E$2:$E$1421,Documents!$A$2:$A$1421,$A96,Documents!$C$2:$C$1421,"press_kit")),"")</f>
        <v/>
      </c>
      <c r="T96">
        <f>IFERROR(IF(_xlfn.MAXIFS(Documents!$E$2:$E$1421,Documents!$A$2:$A$1421,$A96,Documents!$C$2:$C$1421,"other")=0,"",_xlfn.MAXIFS(Documents!$E$2:$E$1421,Documents!$A$2:$A$1421,$A96,Documents!$C$2:$C$1421,"other")),"")</f>
        <v/>
      </c>
      <c r="U96">
        <f>IFERROR(IF(_xlfn.MAXIFS(Documents!$E$2:$E$1421,Documents!$A$2:$A$1421,$A96,Documents!$C$2:$C$1421,"obsolete")=0,"",_xlfn.MAXIFS(Documents!$E$2:$E$1421,Documents!$A$2:$A$1421,$A96,Documents!$C$2:$C$1421,"obsolete")),"")</f>
        <v/>
      </c>
      <c r="V96">
        <f>COUNTIFS(Documents!$A$2:$A$1421,$A96)</f>
        <v/>
      </c>
      <c r="W96">
        <f>COUNTIFS(Documents!$A$2:$A$1421,$A96,Documents!$R$2:$R$1421,"current")</f>
        <v/>
      </c>
      <c r="X96">
        <f>HYPERLINK("https://www.neoscapesmaldives.com/wp-content/uploads/Malahini-Kuda-Bandos-E-factsheet_2017.pdf","2017_Malahini-Kuda-Bandos-E-factsheet_20")</f>
        <v/>
      </c>
      <c r="Y96" t="inlineStr">
        <is>
          <t>wedding, events</t>
        </is>
      </c>
      <c r="Z96" t="inlineStr"/>
    </row>
    <row r="97">
      <c r="A97" t="n">
        <v>96</v>
      </c>
      <c r="B97" t="inlineStr">
        <is>
          <t>Dhawa Ihuru</t>
        </is>
      </c>
      <c r="C97" t="inlineStr">
        <is>
          <t>not crawled</t>
        </is>
      </c>
      <c r="D97">
        <f>IFERROR(IF(_xlfn.MAXIFS(Documents!$E$2:$E$1421,Documents!$A$2:$A$1421,$A97,Documents!$C$2:$C$1421,"factsheet")=0,"",_xlfn.MAXIFS(Documents!$E$2:$E$1421,Documents!$A$2:$A$1421,$A97,Documents!$C$2:$C$1421,"factsheet")),"")</f>
        <v/>
      </c>
      <c r="E97">
        <f>IFERROR(IF(_xlfn.MAXIFS(Documents!$E$2:$E$1421,Documents!$A$2:$A$1421,$A97,Documents!$C$2:$C$1421,"wedding")=0,"",_xlfn.MAXIFS(Documents!$E$2:$E$1421,Documents!$A$2:$A$1421,$A97,Documents!$C$2:$C$1421,"wedding")),"")</f>
        <v/>
      </c>
      <c r="F97">
        <f>IFERROR(IF(_xlfn.MAXIFS(Documents!$E$2:$E$1421,Documents!$A$2:$A$1421,$A97,Documents!$C$2:$C$1421,"events")=0,"",_xlfn.MAXIFS(Documents!$E$2:$E$1421,Documents!$A$2:$A$1421,$A97,Documents!$C$2:$C$1421,"events")),"")</f>
        <v/>
      </c>
      <c r="G97">
        <f>IFERROR(IF(_xlfn.MAXIFS(Documents!$E$2:$E$1421,Documents!$A$2:$A$1421,$A97,Documents!$C$2:$C$1421,"map")=0,"",_xlfn.MAXIFS(Documents!$E$2:$E$1421,Documents!$A$2:$A$1421,$A97,Documents!$C$2:$C$1421,"map")),"")</f>
        <v/>
      </c>
      <c r="H97">
        <f>IFERROR(IF(_xlfn.MAXIFS(Documents!$E$2:$E$1421,Documents!$A$2:$A$1421,$A97,Documents!$C$2:$C$1421,"dive_map")=0,"",_xlfn.MAXIFS(Documents!$E$2:$E$1421,Documents!$A$2:$A$1421,$A97,Documents!$C$2:$C$1421,"dive_map")),"")</f>
        <v/>
      </c>
      <c r="I97">
        <f>IFERROR(IF(_xlfn.MAXIFS(Documents!$E$2:$E$1421,Documents!$A$2:$A$1421,$A97,Documents!$C$2:$C$1421,"spa_menu")=0,"",_xlfn.MAXIFS(Documents!$E$2:$E$1421,Documents!$A$2:$A$1421,$A97,Documents!$C$2:$C$1421,"spa_menu")),"")</f>
        <v/>
      </c>
      <c r="J97">
        <f>IFERROR(IF(_xlfn.MAXIFS(Documents!$E$2:$E$1421,Documents!$A$2:$A$1421,$A97,Documents!$C$2:$C$1421,"dining_menu")=0,"",_xlfn.MAXIFS(Documents!$E$2:$E$1421,Documents!$A$2:$A$1421,$A97,Documents!$C$2:$C$1421,"dining_menu")),"")</f>
        <v/>
      </c>
      <c r="K97">
        <f>IFERROR(IF(_xlfn.MAXIFS(Documents!$E$2:$E$1421,Documents!$A$2:$A$1421,$A97,Documents!$C$2:$C$1421,"dive_prices")=0,"",_xlfn.MAXIFS(Documents!$E$2:$E$1421,Documents!$A$2:$A$1421,$A97,Documents!$C$2:$C$1421,"dive_prices")),"")</f>
        <v/>
      </c>
      <c r="L97">
        <f>IFERROR(IF(_xlfn.MAXIFS(Documents!$E$2:$E$1421,Documents!$A$2:$A$1421,$A97,Documents!$C$2:$C$1421,"excursions")=0,"",_xlfn.MAXIFS(Documents!$E$2:$E$1421,Documents!$A$2:$A$1421,$A97,Documents!$C$2:$C$1421,"excursions")),"")</f>
        <v/>
      </c>
      <c r="M97">
        <f>IFERROR(IF(_xlfn.MAXIFS(Documents!$E$2:$E$1421,Documents!$A$2:$A$1421,$A97,Documents!$C$2:$C$1421,"kids")=0,"",_xlfn.MAXIFS(Documents!$E$2:$E$1421,Documents!$A$2:$A$1421,$A97,Documents!$C$2:$C$1421,"kids")),"")</f>
        <v/>
      </c>
      <c r="N97">
        <f>IFERROR(IF(_xlfn.MAXIFS(Documents!$E$2:$E$1421,Documents!$A$2:$A$1421,$A97,Documents!$C$2:$C$1421,"villa_plans")=0,"",_xlfn.MAXIFS(Documents!$E$2:$E$1421,Documents!$A$2:$A$1421,$A97,Documents!$C$2:$C$1421,"villa_plans")),"")</f>
        <v/>
      </c>
      <c r="O97">
        <f>IFERROR(IF(_xlfn.MAXIFS(Documents!$E$2:$E$1421,Documents!$A$2:$A$1421,$A97,Documents!$C$2:$C$1421,"all_inclusive")=0,"",_xlfn.MAXIFS(Documents!$E$2:$E$1421,Documents!$A$2:$A$1421,$A97,Documents!$C$2:$C$1421,"all_inclusive")),"")</f>
        <v/>
      </c>
      <c r="P97">
        <f>IFERROR(IF(_xlfn.MAXIFS(Documents!$E$2:$E$1421,Documents!$A$2:$A$1421,$A97,Documents!$C$2:$C$1421,"sustainability")=0,"",_xlfn.MAXIFS(Documents!$E$2:$E$1421,Documents!$A$2:$A$1421,$A97,Documents!$C$2:$C$1421,"sustainability")),"")</f>
        <v/>
      </c>
      <c r="Q97">
        <f>IFERROR(IF(_xlfn.MAXIFS(Documents!$E$2:$E$1421,Documents!$A$2:$A$1421,$A97,Documents!$C$2:$C$1421,"calendar")=0,"",_xlfn.MAXIFS(Documents!$E$2:$E$1421,Documents!$A$2:$A$1421,$A97,Documents!$C$2:$C$1421,"calendar")),"")</f>
        <v/>
      </c>
      <c r="R97">
        <f>IFERROR(IF(_xlfn.MAXIFS(Documents!$E$2:$E$1421,Documents!$A$2:$A$1421,$A97,Documents!$C$2:$C$1421,"brochure")=0,"",_xlfn.MAXIFS(Documents!$E$2:$E$1421,Documents!$A$2:$A$1421,$A97,Documents!$C$2:$C$1421,"brochure")),"")</f>
        <v/>
      </c>
      <c r="S97">
        <f>IFERROR(IF(_xlfn.MAXIFS(Documents!$E$2:$E$1421,Documents!$A$2:$A$1421,$A97,Documents!$C$2:$C$1421,"press_kit")=0,"",_xlfn.MAXIFS(Documents!$E$2:$E$1421,Documents!$A$2:$A$1421,$A97,Documents!$C$2:$C$1421,"press_kit")),"")</f>
        <v/>
      </c>
      <c r="T97">
        <f>IFERROR(IF(_xlfn.MAXIFS(Documents!$E$2:$E$1421,Documents!$A$2:$A$1421,$A97,Documents!$C$2:$C$1421,"other")=0,"",_xlfn.MAXIFS(Documents!$E$2:$E$1421,Documents!$A$2:$A$1421,$A97,Documents!$C$2:$C$1421,"other")),"")</f>
        <v/>
      </c>
      <c r="U97">
        <f>IFERROR(IF(_xlfn.MAXIFS(Documents!$E$2:$E$1421,Documents!$A$2:$A$1421,$A97,Documents!$C$2:$C$1421,"obsolete")=0,"",_xlfn.MAXIFS(Documents!$E$2:$E$1421,Documents!$A$2:$A$1421,$A97,Documents!$C$2:$C$1421,"obsolete")),"")</f>
        <v/>
      </c>
      <c r="V97">
        <f>COUNTIFS(Documents!$A$2:$A$1421,$A97)</f>
        <v/>
      </c>
      <c r="W97">
        <f>COUNTIFS(Documents!$A$2:$A$1421,$A97,Documents!$R$2:$R$1421,"current")</f>
        <v/>
      </c>
      <c r="X97">
        <f>HYPERLINK("https://www.neoscapesmaldives.com/wp-content/uploads/DHMVIH-Fact-Sheet.pdf","2025_DHMVIH-Fact-Sheet.pdf")</f>
        <v/>
      </c>
      <c r="Y97" t="inlineStr">
        <is>
          <t>wedding, events</t>
        </is>
      </c>
      <c r="Z97" t="inlineStr">
        <is>
          <t>Angsana Ihuru (older name), file code DHMVIH</t>
        </is>
      </c>
    </row>
    <row r="98">
      <c r="A98" t="n">
        <v>97</v>
      </c>
      <c r="B98" t="inlineStr">
        <is>
          <t>Angsana Resort &amp; Spa Maldives - Velavaru</t>
        </is>
      </c>
      <c r="C98" t="inlineStr">
        <is>
          <t>not crawled</t>
        </is>
      </c>
      <c r="D98">
        <f>IFERROR(IF(_xlfn.MAXIFS(Documents!$E$2:$E$1421,Documents!$A$2:$A$1421,$A98,Documents!$C$2:$C$1421,"factsheet")=0,"",_xlfn.MAXIFS(Documents!$E$2:$E$1421,Documents!$A$2:$A$1421,$A98,Documents!$C$2:$C$1421,"factsheet")),"")</f>
        <v/>
      </c>
      <c r="E98">
        <f>IFERROR(IF(_xlfn.MAXIFS(Documents!$E$2:$E$1421,Documents!$A$2:$A$1421,$A98,Documents!$C$2:$C$1421,"wedding")=0,"",_xlfn.MAXIFS(Documents!$E$2:$E$1421,Documents!$A$2:$A$1421,$A98,Documents!$C$2:$C$1421,"wedding")),"")</f>
        <v/>
      </c>
      <c r="F98">
        <f>IFERROR(IF(_xlfn.MAXIFS(Documents!$E$2:$E$1421,Documents!$A$2:$A$1421,$A98,Documents!$C$2:$C$1421,"events")=0,"",_xlfn.MAXIFS(Documents!$E$2:$E$1421,Documents!$A$2:$A$1421,$A98,Documents!$C$2:$C$1421,"events")),"")</f>
        <v/>
      </c>
      <c r="G98">
        <f>IFERROR(IF(_xlfn.MAXIFS(Documents!$E$2:$E$1421,Documents!$A$2:$A$1421,$A98,Documents!$C$2:$C$1421,"map")=0,"",_xlfn.MAXIFS(Documents!$E$2:$E$1421,Documents!$A$2:$A$1421,$A98,Documents!$C$2:$C$1421,"map")),"")</f>
        <v/>
      </c>
      <c r="H98">
        <f>IFERROR(IF(_xlfn.MAXIFS(Documents!$E$2:$E$1421,Documents!$A$2:$A$1421,$A98,Documents!$C$2:$C$1421,"dive_map")=0,"",_xlfn.MAXIFS(Documents!$E$2:$E$1421,Documents!$A$2:$A$1421,$A98,Documents!$C$2:$C$1421,"dive_map")),"")</f>
        <v/>
      </c>
      <c r="I98">
        <f>IFERROR(IF(_xlfn.MAXIFS(Documents!$E$2:$E$1421,Documents!$A$2:$A$1421,$A98,Documents!$C$2:$C$1421,"spa_menu")=0,"",_xlfn.MAXIFS(Documents!$E$2:$E$1421,Documents!$A$2:$A$1421,$A98,Documents!$C$2:$C$1421,"spa_menu")),"")</f>
        <v/>
      </c>
      <c r="J98">
        <f>IFERROR(IF(_xlfn.MAXIFS(Documents!$E$2:$E$1421,Documents!$A$2:$A$1421,$A98,Documents!$C$2:$C$1421,"dining_menu")=0,"",_xlfn.MAXIFS(Documents!$E$2:$E$1421,Documents!$A$2:$A$1421,$A98,Documents!$C$2:$C$1421,"dining_menu")),"")</f>
        <v/>
      </c>
      <c r="K98">
        <f>IFERROR(IF(_xlfn.MAXIFS(Documents!$E$2:$E$1421,Documents!$A$2:$A$1421,$A98,Documents!$C$2:$C$1421,"dive_prices")=0,"",_xlfn.MAXIFS(Documents!$E$2:$E$1421,Documents!$A$2:$A$1421,$A98,Documents!$C$2:$C$1421,"dive_prices")),"")</f>
        <v/>
      </c>
      <c r="L98">
        <f>IFERROR(IF(_xlfn.MAXIFS(Documents!$E$2:$E$1421,Documents!$A$2:$A$1421,$A98,Documents!$C$2:$C$1421,"excursions")=0,"",_xlfn.MAXIFS(Documents!$E$2:$E$1421,Documents!$A$2:$A$1421,$A98,Documents!$C$2:$C$1421,"excursions")),"")</f>
        <v/>
      </c>
      <c r="M98">
        <f>IFERROR(IF(_xlfn.MAXIFS(Documents!$E$2:$E$1421,Documents!$A$2:$A$1421,$A98,Documents!$C$2:$C$1421,"kids")=0,"",_xlfn.MAXIFS(Documents!$E$2:$E$1421,Documents!$A$2:$A$1421,$A98,Documents!$C$2:$C$1421,"kids")),"")</f>
        <v/>
      </c>
      <c r="N98">
        <f>IFERROR(IF(_xlfn.MAXIFS(Documents!$E$2:$E$1421,Documents!$A$2:$A$1421,$A98,Documents!$C$2:$C$1421,"villa_plans")=0,"",_xlfn.MAXIFS(Documents!$E$2:$E$1421,Documents!$A$2:$A$1421,$A98,Documents!$C$2:$C$1421,"villa_plans")),"")</f>
        <v/>
      </c>
      <c r="O98">
        <f>IFERROR(IF(_xlfn.MAXIFS(Documents!$E$2:$E$1421,Documents!$A$2:$A$1421,$A98,Documents!$C$2:$C$1421,"all_inclusive")=0,"",_xlfn.MAXIFS(Documents!$E$2:$E$1421,Documents!$A$2:$A$1421,$A98,Documents!$C$2:$C$1421,"all_inclusive")),"")</f>
        <v/>
      </c>
      <c r="P98">
        <f>IFERROR(IF(_xlfn.MAXIFS(Documents!$E$2:$E$1421,Documents!$A$2:$A$1421,$A98,Documents!$C$2:$C$1421,"sustainability")=0,"",_xlfn.MAXIFS(Documents!$E$2:$E$1421,Documents!$A$2:$A$1421,$A98,Documents!$C$2:$C$1421,"sustainability")),"")</f>
        <v/>
      </c>
      <c r="Q98">
        <f>IFERROR(IF(_xlfn.MAXIFS(Documents!$E$2:$E$1421,Documents!$A$2:$A$1421,$A98,Documents!$C$2:$C$1421,"calendar")=0,"",_xlfn.MAXIFS(Documents!$E$2:$E$1421,Documents!$A$2:$A$1421,$A98,Documents!$C$2:$C$1421,"calendar")),"")</f>
        <v/>
      </c>
      <c r="R98">
        <f>IFERROR(IF(_xlfn.MAXIFS(Documents!$E$2:$E$1421,Documents!$A$2:$A$1421,$A98,Documents!$C$2:$C$1421,"brochure")=0,"",_xlfn.MAXIFS(Documents!$E$2:$E$1421,Documents!$A$2:$A$1421,$A98,Documents!$C$2:$C$1421,"brochure")),"")</f>
        <v/>
      </c>
      <c r="S98">
        <f>IFERROR(IF(_xlfn.MAXIFS(Documents!$E$2:$E$1421,Documents!$A$2:$A$1421,$A98,Documents!$C$2:$C$1421,"press_kit")=0,"",_xlfn.MAXIFS(Documents!$E$2:$E$1421,Documents!$A$2:$A$1421,$A98,Documents!$C$2:$C$1421,"press_kit")),"")</f>
        <v/>
      </c>
      <c r="T98">
        <f>IFERROR(IF(_xlfn.MAXIFS(Documents!$E$2:$E$1421,Documents!$A$2:$A$1421,$A98,Documents!$C$2:$C$1421,"other")=0,"",_xlfn.MAXIFS(Documents!$E$2:$E$1421,Documents!$A$2:$A$1421,$A98,Documents!$C$2:$C$1421,"other")),"")</f>
        <v/>
      </c>
      <c r="U98">
        <f>IFERROR(IF(_xlfn.MAXIFS(Documents!$E$2:$E$1421,Documents!$A$2:$A$1421,$A98,Documents!$C$2:$C$1421,"obsolete")=0,"",_xlfn.MAXIFS(Documents!$E$2:$E$1421,Documents!$A$2:$A$1421,$A98,Documents!$C$2:$C$1421,"obsolete")),"")</f>
        <v/>
      </c>
      <c r="V98">
        <f>COUNTIFS(Documents!$A$2:$A$1421,$A98)</f>
        <v/>
      </c>
      <c r="W98">
        <f>COUNTIFS(Documents!$A$2:$A$1421,$A98,Documents!$R$2:$R$1421,"current")</f>
        <v/>
      </c>
      <c r="X98">
        <f>HYPERLINK("https://www.neoscapesmaldives.com/wp-content/uploads/Fact-Sheet-Angsana-Velavaru.pdf","2023_Fact-Sheet-Angsana-Velavaru.pdf")</f>
        <v/>
      </c>
      <c r="Y98" t="inlineStr">
        <is>
          <t>wedding, events</t>
        </is>
      </c>
      <c r="Z98" t="inlineStr"/>
    </row>
    <row r="99">
      <c r="A99" t="n">
        <v>98</v>
      </c>
      <c r="B99" t="inlineStr">
        <is>
          <t>Madifushi Private Island</t>
        </is>
      </c>
      <c r="C99" t="inlineStr">
        <is>
          <t>not crawled</t>
        </is>
      </c>
      <c r="D99">
        <f>IFERROR(IF(_xlfn.MAXIFS(Documents!$E$2:$E$1421,Documents!$A$2:$A$1421,$A99,Documents!$C$2:$C$1421,"factsheet")=0,"",_xlfn.MAXIFS(Documents!$E$2:$E$1421,Documents!$A$2:$A$1421,$A99,Documents!$C$2:$C$1421,"factsheet")),"")</f>
        <v/>
      </c>
      <c r="E99">
        <f>IFERROR(IF(_xlfn.MAXIFS(Documents!$E$2:$E$1421,Documents!$A$2:$A$1421,$A99,Documents!$C$2:$C$1421,"wedding")=0,"",_xlfn.MAXIFS(Documents!$E$2:$E$1421,Documents!$A$2:$A$1421,$A99,Documents!$C$2:$C$1421,"wedding")),"")</f>
        <v/>
      </c>
      <c r="F99">
        <f>IFERROR(IF(_xlfn.MAXIFS(Documents!$E$2:$E$1421,Documents!$A$2:$A$1421,$A99,Documents!$C$2:$C$1421,"events")=0,"",_xlfn.MAXIFS(Documents!$E$2:$E$1421,Documents!$A$2:$A$1421,$A99,Documents!$C$2:$C$1421,"events")),"")</f>
        <v/>
      </c>
      <c r="G99">
        <f>IFERROR(IF(_xlfn.MAXIFS(Documents!$E$2:$E$1421,Documents!$A$2:$A$1421,$A99,Documents!$C$2:$C$1421,"map")=0,"",_xlfn.MAXIFS(Documents!$E$2:$E$1421,Documents!$A$2:$A$1421,$A99,Documents!$C$2:$C$1421,"map")),"")</f>
        <v/>
      </c>
      <c r="H99">
        <f>IFERROR(IF(_xlfn.MAXIFS(Documents!$E$2:$E$1421,Documents!$A$2:$A$1421,$A99,Documents!$C$2:$C$1421,"dive_map")=0,"",_xlfn.MAXIFS(Documents!$E$2:$E$1421,Documents!$A$2:$A$1421,$A99,Documents!$C$2:$C$1421,"dive_map")),"")</f>
        <v/>
      </c>
      <c r="I99">
        <f>IFERROR(IF(_xlfn.MAXIFS(Documents!$E$2:$E$1421,Documents!$A$2:$A$1421,$A99,Documents!$C$2:$C$1421,"spa_menu")=0,"",_xlfn.MAXIFS(Documents!$E$2:$E$1421,Documents!$A$2:$A$1421,$A99,Documents!$C$2:$C$1421,"spa_menu")),"")</f>
        <v/>
      </c>
      <c r="J99">
        <f>IFERROR(IF(_xlfn.MAXIFS(Documents!$E$2:$E$1421,Documents!$A$2:$A$1421,$A99,Documents!$C$2:$C$1421,"dining_menu")=0,"",_xlfn.MAXIFS(Documents!$E$2:$E$1421,Documents!$A$2:$A$1421,$A99,Documents!$C$2:$C$1421,"dining_menu")),"")</f>
        <v/>
      </c>
      <c r="K99">
        <f>IFERROR(IF(_xlfn.MAXIFS(Documents!$E$2:$E$1421,Documents!$A$2:$A$1421,$A99,Documents!$C$2:$C$1421,"dive_prices")=0,"",_xlfn.MAXIFS(Documents!$E$2:$E$1421,Documents!$A$2:$A$1421,$A99,Documents!$C$2:$C$1421,"dive_prices")),"")</f>
        <v/>
      </c>
      <c r="L99">
        <f>IFERROR(IF(_xlfn.MAXIFS(Documents!$E$2:$E$1421,Documents!$A$2:$A$1421,$A99,Documents!$C$2:$C$1421,"excursions")=0,"",_xlfn.MAXIFS(Documents!$E$2:$E$1421,Documents!$A$2:$A$1421,$A99,Documents!$C$2:$C$1421,"excursions")),"")</f>
        <v/>
      </c>
      <c r="M99">
        <f>IFERROR(IF(_xlfn.MAXIFS(Documents!$E$2:$E$1421,Documents!$A$2:$A$1421,$A99,Documents!$C$2:$C$1421,"kids")=0,"",_xlfn.MAXIFS(Documents!$E$2:$E$1421,Documents!$A$2:$A$1421,$A99,Documents!$C$2:$C$1421,"kids")),"")</f>
        <v/>
      </c>
      <c r="N99">
        <f>IFERROR(IF(_xlfn.MAXIFS(Documents!$E$2:$E$1421,Documents!$A$2:$A$1421,$A99,Documents!$C$2:$C$1421,"villa_plans")=0,"",_xlfn.MAXIFS(Documents!$E$2:$E$1421,Documents!$A$2:$A$1421,$A99,Documents!$C$2:$C$1421,"villa_plans")),"")</f>
        <v/>
      </c>
      <c r="O99">
        <f>IFERROR(IF(_xlfn.MAXIFS(Documents!$E$2:$E$1421,Documents!$A$2:$A$1421,$A99,Documents!$C$2:$C$1421,"all_inclusive")=0,"",_xlfn.MAXIFS(Documents!$E$2:$E$1421,Documents!$A$2:$A$1421,$A99,Documents!$C$2:$C$1421,"all_inclusive")),"")</f>
        <v/>
      </c>
      <c r="P99">
        <f>IFERROR(IF(_xlfn.MAXIFS(Documents!$E$2:$E$1421,Documents!$A$2:$A$1421,$A99,Documents!$C$2:$C$1421,"sustainability")=0,"",_xlfn.MAXIFS(Documents!$E$2:$E$1421,Documents!$A$2:$A$1421,$A99,Documents!$C$2:$C$1421,"sustainability")),"")</f>
        <v/>
      </c>
      <c r="Q99">
        <f>IFERROR(IF(_xlfn.MAXIFS(Documents!$E$2:$E$1421,Documents!$A$2:$A$1421,$A99,Documents!$C$2:$C$1421,"calendar")=0,"",_xlfn.MAXIFS(Documents!$E$2:$E$1421,Documents!$A$2:$A$1421,$A99,Documents!$C$2:$C$1421,"calendar")),"")</f>
        <v/>
      </c>
      <c r="R99">
        <f>IFERROR(IF(_xlfn.MAXIFS(Documents!$E$2:$E$1421,Documents!$A$2:$A$1421,$A99,Documents!$C$2:$C$1421,"brochure")=0,"",_xlfn.MAXIFS(Documents!$E$2:$E$1421,Documents!$A$2:$A$1421,$A99,Documents!$C$2:$C$1421,"brochure")),"")</f>
        <v/>
      </c>
      <c r="S99">
        <f>IFERROR(IF(_xlfn.MAXIFS(Documents!$E$2:$E$1421,Documents!$A$2:$A$1421,$A99,Documents!$C$2:$C$1421,"press_kit")=0,"",_xlfn.MAXIFS(Documents!$E$2:$E$1421,Documents!$A$2:$A$1421,$A99,Documents!$C$2:$C$1421,"press_kit")),"")</f>
        <v/>
      </c>
      <c r="T99">
        <f>IFERROR(IF(_xlfn.MAXIFS(Documents!$E$2:$E$1421,Documents!$A$2:$A$1421,$A99,Documents!$C$2:$C$1421,"other")=0,"",_xlfn.MAXIFS(Documents!$E$2:$E$1421,Documents!$A$2:$A$1421,$A99,Documents!$C$2:$C$1421,"other")),"")</f>
        <v/>
      </c>
      <c r="U99">
        <f>IFERROR(IF(_xlfn.MAXIFS(Documents!$E$2:$E$1421,Documents!$A$2:$A$1421,$A99,Documents!$C$2:$C$1421,"obsolete")=0,"",_xlfn.MAXIFS(Documents!$E$2:$E$1421,Documents!$A$2:$A$1421,$A99,Documents!$C$2:$C$1421,"obsolete")),"")</f>
        <v/>
      </c>
      <c r="V99">
        <f>COUNTIFS(Documents!$A$2:$A$1421,$A99)</f>
        <v/>
      </c>
      <c r="W99">
        <f>COUNTIFS(Documents!$A$2:$A$1421,$A99,Documents!$R$2:$R$1421,"current")</f>
        <v/>
      </c>
      <c r="X99" t="inlineStr"/>
      <c r="Y99" t="inlineStr">
        <is>
          <t>factsheet, wedding, events</t>
        </is>
      </c>
      <c r="Z99" t="inlineStr"/>
    </row>
    <row r="100">
      <c r="A100" t="n">
        <v>99</v>
      </c>
      <c r="B100" t="inlineStr">
        <is>
          <t>Conrad Maldives Rangali Island</t>
        </is>
      </c>
      <c r="C100" t="inlineStr">
        <is>
          <t>not crawled</t>
        </is>
      </c>
      <c r="D100">
        <f>IFERROR(IF(_xlfn.MAXIFS(Documents!$E$2:$E$1421,Documents!$A$2:$A$1421,$A100,Documents!$C$2:$C$1421,"factsheet")=0,"",_xlfn.MAXIFS(Documents!$E$2:$E$1421,Documents!$A$2:$A$1421,$A100,Documents!$C$2:$C$1421,"factsheet")),"")</f>
        <v/>
      </c>
      <c r="E100">
        <f>IFERROR(IF(_xlfn.MAXIFS(Documents!$E$2:$E$1421,Documents!$A$2:$A$1421,$A100,Documents!$C$2:$C$1421,"wedding")=0,"",_xlfn.MAXIFS(Documents!$E$2:$E$1421,Documents!$A$2:$A$1421,$A100,Documents!$C$2:$C$1421,"wedding")),"")</f>
        <v/>
      </c>
      <c r="F100">
        <f>IFERROR(IF(_xlfn.MAXIFS(Documents!$E$2:$E$1421,Documents!$A$2:$A$1421,$A100,Documents!$C$2:$C$1421,"events")=0,"",_xlfn.MAXIFS(Documents!$E$2:$E$1421,Documents!$A$2:$A$1421,$A100,Documents!$C$2:$C$1421,"events")),"")</f>
        <v/>
      </c>
      <c r="G100">
        <f>IFERROR(IF(_xlfn.MAXIFS(Documents!$E$2:$E$1421,Documents!$A$2:$A$1421,$A100,Documents!$C$2:$C$1421,"map")=0,"",_xlfn.MAXIFS(Documents!$E$2:$E$1421,Documents!$A$2:$A$1421,$A100,Documents!$C$2:$C$1421,"map")),"")</f>
        <v/>
      </c>
      <c r="H100">
        <f>IFERROR(IF(_xlfn.MAXIFS(Documents!$E$2:$E$1421,Documents!$A$2:$A$1421,$A100,Documents!$C$2:$C$1421,"dive_map")=0,"",_xlfn.MAXIFS(Documents!$E$2:$E$1421,Documents!$A$2:$A$1421,$A100,Documents!$C$2:$C$1421,"dive_map")),"")</f>
        <v/>
      </c>
      <c r="I100">
        <f>IFERROR(IF(_xlfn.MAXIFS(Documents!$E$2:$E$1421,Documents!$A$2:$A$1421,$A100,Documents!$C$2:$C$1421,"spa_menu")=0,"",_xlfn.MAXIFS(Documents!$E$2:$E$1421,Documents!$A$2:$A$1421,$A100,Documents!$C$2:$C$1421,"spa_menu")),"")</f>
        <v/>
      </c>
      <c r="J100">
        <f>IFERROR(IF(_xlfn.MAXIFS(Documents!$E$2:$E$1421,Documents!$A$2:$A$1421,$A100,Documents!$C$2:$C$1421,"dining_menu")=0,"",_xlfn.MAXIFS(Documents!$E$2:$E$1421,Documents!$A$2:$A$1421,$A100,Documents!$C$2:$C$1421,"dining_menu")),"")</f>
        <v/>
      </c>
      <c r="K100">
        <f>IFERROR(IF(_xlfn.MAXIFS(Documents!$E$2:$E$1421,Documents!$A$2:$A$1421,$A100,Documents!$C$2:$C$1421,"dive_prices")=0,"",_xlfn.MAXIFS(Documents!$E$2:$E$1421,Documents!$A$2:$A$1421,$A100,Documents!$C$2:$C$1421,"dive_prices")),"")</f>
        <v/>
      </c>
      <c r="L100">
        <f>IFERROR(IF(_xlfn.MAXIFS(Documents!$E$2:$E$1421,Documents!$A$2:$A$1421,$A100,Documents!$C$2:$C$1421,"excursions")=0,"",_xlfn.MAXIFS(Documents!$E$2:$E$1421,Documents!$A$2:$A$1421,$A100,Documents!$C$2:$C$1421,"excursions")),"")</f>
        <v/>
      </c>
      <c r="M100">
        <f>IFERROR(IF(_xlfn.MAXIFS(Documents!$E$2:$E$1421,Documents!$A$2:$A$1421,$A100,Documents!$C$2:$C$1421,"kids")=0,"",_xlfn.MAXIFS(Documents!$E$2:$E$1421,Documents!$A$2:$A$1421,$A100,Documents!$C$2:$C$1421,"kids")),"")</f>
        <v/>
      </c>
      <c r="N100">
        <f>IFERROR(IF(_xlfn.MAXIFS(Documents!$E$2:$E$1421,Documents!$A$2:$A$1421,$A100,Documents!$C$2:$C$1421,"villa_plans")=0,"",_xlfn.MAXIFS(Documents!$E$2:$E$1421,Documents!$A$2:$A$1421,$A100,Documents!$C$2:$C$1421,"villa_plans")),"")</f>
        <v/>
      </c>
      <c r="O100">
        <f>IFERROR(IF(_xlfn.MAXIFS(Documents!$E$2:$E$1421,Documents!$A$2:$A$1421,$A100,Documents!$C$2:$C$1421,"all_inclusive")=0,"",_xlfn.MAXIFS(Documents!$E$2:$E$1421,Documents!$A$2:$A$1421,$A100,Documents!$C$2:$C$1421,"all_inclusive")),"")</f>
        <v/>
      </c>
      <c r="P100">
        <f>IFERROR(IF(_xlfn.MAXIFS(Documents!$E$2:$E$1421,Documents!$A$2:$A$1421,$A100,Documents!$C$2:$C$1421,"sustainability")=0,"",_xlfn.MAXIFS(Documents!$E$2:$E$1421,Documents!$A$2:$A$1421,$A100,Documents!$C$2:$C$1421,"sustainability")),"")</f>
        <v/>
      </c>
      <c r="Q100">
        <f>IFERROR(IF(_xlfn.MAXIFS(Documents!$E$2:$E$1421,Documents!$A$2:$A$1421,$A100,Documents!$C$2:$C$1421,"calendar")=0,"",_xlfn.MAXIFS(Documents!$E$2:$E$1421,Documents!$A$2:$A$1421,$A100,Documents!$C$2:$C$1421,"calendar")),"")</f>
        <v/>
      </c>
      <c r="R100">
        <f>IFERROR(IF(_xlfn.MAXIFS(Documents!$E$2:$E$1421,Documents!$A$2:$A$1421,$A100,Documents!$C$2:$C$1421,"brochure")=0,"",_xlfn.MAXIFS(Documents!$E$2:$E$1421,Documents!$A$2:$A$1421,$A100,Documents!$C$2:$C$1421,"brochure")),"")</f>
        <v/>
      </c>
      <c r="S100">
        <f>IFERROR(IF(_xlfn.MAXIFS(Documents!$E$2:$E$1421,Documents!$A$2:$A$1421,$A100,Documents!$C$2:$C$1421,"press_kit")=0,"",_xlfn.MAXIFS(Documents!$E$2:$E$1421,Documents!$A$2:$A$1421,$A100,Documents!$C$2:$C$1421,"press_kit")),"")</f>
        <v/>
      </c>
      <c r="T100">
        <f>IFERROR(IF(_xlfn.MAXIFS(Documents!$E$2:$E$1421,Documents!$A$2:$A$1421,$A100,Documents!$C$2:$C$1421,"other")=0,"",_xlfn.MAXIFS(Documents!$E$2:$E$1421,Documents!$A$2:$A$1421,$A100,Documents!$C$2:$C$1421,"other")),"")</f>
        <v/>
      </c>
      <c r="U100">
        <f>IFERROR(IF(_xlfn.MAXIFS(Documents!$E$2:$E$1421,Documents!$A$2:$A$1421,$A100,Documents!$C$2:$C$1421,"obsolete")=0,"",_xlfn.MAXIFS(Documents!$E$2:$E$1421,Documents!$A$2:$A$1421,$A100,Documents!$C$2:$C$1421,"obsolete")),"")</f>
        <v/>
      </c>
      <c r="V100">
        <f>COUNTIFS(Documents!$A$2:$A$1421,$A100)</f>
        <v/>
      </c>
      <c r="W100">
        <f>COUNTIFS(Documents!$A$2:$A$1421,$A100,Documents!$R$2:$R$1421,"current")</f>
        <v/>
      </c>
      <c r="X100">
        <f>HYPERLINK("https://www.neoscapesmaldives.com/wp-content/uploads/CMRI-Villa-Factsheet.pdf","2025_CMRI-Villa-Factsheet.pdf")</f>
        <v/>
      </c>
      <c r="Y100" t="inlineStr">
        <is>
          <t>wedding, events</t>
        </is>
      </c>
      <c r="Z100" t="inlineStr"/>
    </row>
    <row r="101">
      <c r="A101" t="n">
        <v>100</v>
      </c>
      <c r="B101" t="inlineStr">
        <is>
          <t>Club Med Kanifinolhu</t>
        </is>
      </c>
      <c r="C101" t="inlineStr">
        <is>
          <t>not crawled</t>
        </is>
      </c>
      <c r="D101">
        <f>IFERROR(IF(_xlfn.MAXIFS(Documents!$E$2:$E$1421,Documents!$A$2:$A$1421,$A101,Documents!$C$2:$C$1421,"factsheet")=0,"",_xlfn.MAXIFS(Documents!$E$2:$E$1421,Documents!$A$2:$A$1421,$A101,Documents!$C$2:$C$1421,"factsheet")),"")</f>
        <v/>
      </c>
      <c r="E101">
        <f>IFERROR(IF(_xlfn.MAXIFS(Documents!$E$2:$E$1421,Documents!$A$2:$A$1421,$A101,Documents!$C$2:$C$1421,"wedding")=0,"",_xlfn.MAXIFS(Documents!$E$2:$E$1421,Documents!$A$2:$A$1421,$A101,Documents!$C$2:$C$1421,"wedding")),"")</f>
        <v/>
      </c>
      <c r="F101">
        <f>IFERROR(IF(_xlfn.MAXIFS(Documents!$E$2:$E$1421,Documents!$A$2:$A$1421,$A101,Documents!$C$2:$C$1421,"events")=0,"",_xlfn.MAXIFS(Documents!$E$2:$E$1421,Documents!$A$2:$A$1421,$A101,Documents!$C$2:$C$1421,"events")),"")</f>
        <v/>
      </c>
      <c r="G101">
        <f>IFERROR(IF(_xlfn.MAXIFS(Documents!$E$2:$E$1421,Documents!$A$2:$A$1421,$A101,Documents!$C$2:$C$1421,"map")=0,"",_xlfn.MAXIFS(Documents!$E$2:$E$1421,Documents!$A$2:$A$1421,$A101,Documents!$C$2:$C$1421,"map")),"")</f>
        <v/>
      </c>
      <c r="H101">
        <f>IFERROR(IF(_xlfn.MAXIFS(Documents!$E$2:$E$1421,Documents!$A$2:$A$1421,$A101,Documents!$C$2:$C$1421,"dive_map")=0,"",_xlfn.MAXIFS(Documents!$E$2:$E$1421,Documents!$A$2:$A$1421,$A101,Documents!$C$2:$C$1421,"dive_map")),"")</f>
        <v/>
      </c>
      <c r="I101">
        <f>IFERROR(IF(_xlfn.MAXIFS(Documents!$E$2:$E$1421,Documents!$A$2:$A$1421,$A101,Documents!$C$2:$C$1421,"spa_menu")=0,"",_xlfn.MAXIFS(Documents!$E$2:$E$1421,Documents!$A$2:$A$1421,$A101,Documents!$C$2:$C$1421,"spa_menu")),"")</f>
        <v/>
      </c>
      <c r="J101">
        <f>IFERROR(IF(_xlfn.MAXIFS(Documents!$E$2:$E$1421,Documents!$A$2:$A$1421,$A101,Documents!$C$2:$C$1421,"dining_menu")=0,"",_xlfn.MAXIFS(Documents!$E$2:$E$1421,Documents!$A$2:$A$1421,$A101,Documents!$C$2:$C$1421,"dining_menu")),"")</f>
        <v/>
      </c>
      <c r="K101">
        <f>IFERROR(IF(_xlfn.MAXIFS(Documents!$E$2:$E$1421,Documents!$A$2:$A$1421,$A101,Documents!$C$2:$C$1421,"dive_prices")=0,"",_xlfn.MAXIFS(Documents!$E$2:$E$1421,Documents!$A$2:$A$1421,$A101,Documents!$C$2:$C$1421,"dive_prices")),"")</f>
        <v/>
      </c>
      <c r="L101">
        <f>IFERROR(IF(_xlfn.MAXIFS(Documents!$E$2:$E$1421,Documents!$A$2:$A$1421,$A101,Documents!$C$2:$C$1421,"excursions")=0,"",_xlfn.MAXIFS(Documents!$E$2:$E$1421,Documents!$A$2:$A$1421,$A101,Documents!$C$2:$C$1421,"excursions")),"")</f>
        <v/>
      </c>
      <c r="M101">
        <f>IFERROR(IF(_xlfn.MAXIFS(Documents!$E$2:$E$1421,Documents!$A$2:$A$1421,$A101,Documents!$C$2:$C$1421,"kids")=0,"",_xlfn.MAXIFS(Documents!$E$2:$E$1421,Documents!$A$2:$A$1421,$A101,Documents!$C$2:$C$1421,"kids")),"")</f>
        <v/>
      </c>
      <c r="N101">
        <f>IFERROR(IF(_xlfn.MAXIFS(Documents!$E$2:$E$1421,Documents!$A$2:$A$1421,$A101,Documents!$C$2:$C$1421,"villa_plans")=0,"",_xlfn.MAXIFS(Documents!$E$2:$E$1421,Documents!$A$2:$A$1421,$A101,Documents!$C$2:$C$1421,"villa_plans")),"")</f>
        <v/>
      </c>
      <c r="O101">
        <f>IFERROR(IF(_xlfn.MAXIFS(Documents!$E$2:$E$1421,Documents!$A$2:$A$1421,$A101,Documents!$C$2:$C$1421,"all_inclusive")=0,"",_xlfn.MAXIFS(Documents!$E$2:$E$1421,Documents!$A$2:$A$1421,$A101,Documents!$C$2:$C$1421,"all_inclusive")),"")</f>
        <v/>
      </c>
      <c r="P101">
        <f>IFERROR(IF(_xlfn.MAXIFS(Documents!$E$2:$E$1421,Documents!$A$2:$A$1421,$A101,Documents!$C$2:$C$1421,"sustainability")=0,"",_xlfn.MAXIFS(Documents!$E$2:$E$1421,Documents!$A$2:$A$1421,$A101,Documents!$C$2:$C$1421,"sustainability")),"")</f>
        <v/>
      </c>
      <c r="Q101">
        <f>IFERROR(IF(_xlfn.MAXIFS(Documents!$E$2:$E$1421,Documents!$A$2:$A$1421,$A101,Documents!$C$2:$C$1421,"calendar")=0,"",_xlfn.MAXIFS(Documents!$E$2:$E$1421,Documents!$A$2:$A$1421,$A101,Documents!$C$2:$C$1421,"calendar")),"")</f>
        <v/>
      </c>
      <c r="R101">
        <f>IFERROR(IF(_xlfn.MAXIFS(Documents!$E$2:$E$1421,Documents!$A$2:$A$1421,$A101,Documents!$C$2:$C$1421,"brochure")=0,"",_xlfn.MAXIFS(Documents!$E$2:$E$1421,Documents!$A$2:$A$1421,$A101,Documents!$C$2:$C$1421,"brochure")),"")</f>
        <v/>
      </c>
      <c r="S101">
        <f>IFERROR(IF(_xlfn.MAXIFS(Documents!$E$2:$E$1421,Documents!$A$2:$A$1421,$A101,Documents!$C$2:$C$1421,"press_kit")=0,"",_xlfn.MAXIFS(Documents!$E$2:$E$1421,Documents!$A$2:$A$1421,$A101,Documents!$C$2:$C$1421,"press_kit")),"")</f>
        <v/>
      </c>
      <c r="T101">
        <f>IFERROR(IF(_xlfn.MAXIFS(Documents!$E$2:$E$1421,Documents!$A$2:$A$1421,$A101,Documents!$C$2:$C$1421,"other")=0,"",_xlfn.MAXIFS(Documents!$E$2:$E$1421,Documents!$A$2:$A$1421,$A101,Documents!$C$2:$C$1421,"other")),"")</f>
        <v/>
      </c>
      <c r="U101">
        <f>IFERROR(IF(_xlfn.MAXIFS(Documents!$E$2:$E$1421,Documents!$A$2:$A$1421,$A101,Documents!$C$2:$C$1421,"obsolete")=0,"",_xlfn.MAXIFS(Documents!$E$2:$E$1421,Documents!$A$2:$A$1421,$A101,Documents!$C$2:$C$1421,"obsolete")),"")</f>
        <v/>
      </c>
      <c r="V101">
        <f>COUNTIFS(Documents!$A$2:$A$1421,$A101)</f>
        <v/>
      </c>
      <c r="W101">
        <f>COUNTIFS(Documents!$A$2:$A$1421,$A101,Documents!$R$2:$R$1421,"current")</f>
        <v/>
      </c>
      <c r="X101" t="inlineStr"/>
      <c r="Y101" t="inlineStr">
        <is>
          <t>factsheet, wedding, events</t>
        </is>
      </c>
      <c r="Z101" t="inlineStr"/>
    </row>
    <row r="102">
      <c r="A102" t="n">
        <v>101</v>
      </c>
      <c r="B102" t="inlineStr">
        <is>
          <t>Club Med Finolhu Villas</t>
        </is>
      </c>
      <c r="C102" t="inlineStr">
        <is>
          <t>not crawled</t>
        </is>
      </c>
      <c r="D102">
        <f>IFERROR(IF(_xlfn.MAXIFS(Documents!$E$2:$E$1421,Documents!$A$2:$A$1421,$A102,Documents!$C$2:$C$1421,"factsheet")=0,"",_xlfn.MAXIFS(Documents!$E$2:$E$1421,Documents!$A$2:$A$1421,$A102,Documents!$C$2:$C$1421,"factsheet")),"")</f>
        <v/>
      </c>
      <c r="E102">
        <f>IFERROR(IF(_xlfn.MAXIFS(Documents!$E$2:$E$1421,Documents!$A$2:$A$1421,$A102,Documents!$C$2:$C$1421,"wedding")=0,"",_xlfn.MAXIFS(Documents!$E$2:$E$1421,Documents!$A$2:$A$1421,$A102,Documents!$C$2:$C$1421,"wedding")),"")</f>
        <v/>
      </c>
      <c r="F102">
        <f>IFERROR(IF(_xlfn.MAXIFS(Documents!$E$2:$E$1421,Documents!$A$2:$A$1421,$A102,Documents!$C$2:$C$1421,"events")=0,"",_xlfn.MAXIFS(Documents!$E$2:$E$1421,Documents!$A$2:$A$1421,$A102,Documents!$C$2:$C$1421,"events")),"")</f>
        <v/>
      </c>
      <c r="G102">
        <f>IFERROR(IF(_xlfn.MAXIFS(Documents!$E$2:$E$1421,Documents!$A$2:$A$1421,$A102,Documents!$C$2:$C$1421,"map")=0,"",_xlfn.MAXIFS(Documents!$E$2:$E$1421,Documents!$A$2:$A$1421,$A102,Documents!$C$2:$C$1421,"map")),"")</f>
        <v/>
      </c>
      <c r="H102">
        <f>IFERROR(IF(_xlfn.MAXIFS(Documents!$E$2:$E$1421,Documents!$A$2:$A$1421,$A102,Documents!$C$2:$C$1421,"dive_map")=0,"",_xlfn.MAXIFS(Documents!$E$2:$E$1421,Documents!$A$2:$A$1421,$A102,Documents!$C$2:$C$1421,"dive_map")),"")</f>
        <v/>
      </c>
      <c r="I102">
        <f>IFERROR(IF(_xlfn.MAXIFS(Documents!$E$2:$E$1421,Documents!$A$2:$A$1421,$A102,Documents!$C$2:$C$1421,"spa_menu")=0,"",_xlfn.MAXIFS(Documents!$E$2:$E$1421,Documents!$A$2:$A$1421,$A102,Documents!$C$2:$C$1421,"spa_menu")),"")</f>
        <v/>
      </c>
      <c r="J102">
        <f>IFERROR(IF(_xlfn.MAXIFS(Documents!$E$2:$E$1421,Documents!$A$2:$A$1421,$A102,Documents!$C$2:$C$1421,"dining_menu")=0,"",_xlfn.MAXIFS(Documents!$E$2:$E$1421,Documents!$A$2:$A$1421,$A102,Documents!$C$2:$C$1421,"dining_menu")),"")</f>
        <v/>
      </c>
      <c r="K102">
        <f>IFERROR(IF(_xlfn.MAXIFS(Documents!$E$2:$E$1421,Documents!$A$2:$A$1421,$A102,Documents!$C$2:$C$1421,"dive_prices")=0,"",_xlfn.MAXIFS(Documents!$E$2:$E$1421,Documents!$A$2:$A$1421,$A102,Documents!$C$2:$C$1421,"dive_prices")),"")</f>
        <v/>
      </c>
      <c r="L102">
        <f>IFERROR(IF(_xlfn.MAXIFS(Documents!$E$2:$E$1421,Documents!$A$2:$A$1421,$A102,Documents!$C$2:$C$1421,"excursions")=0,"",_xlfn.MAXIFS(Documents!$E$2:$E$1421,Documents!$A$2:$A$1421,$A102,Documents!$C$2:$C$1421,"excursions")),"")</f>
        <v/>
      </c>
      <c r="M102">
        <f>IFERROR(IF(_xlfn.MAXIFS(Documents!$E$2:$E$1421,Documents!$A$2:$A$1421,$A102,Documents!$C$2:$C$1421,"kids")=0,"",_xlfn.MAXIFS(Documents!$E$2:$E$1421,Documents!$A$2:$A$1421,$A102,Documents!$C$2:$C$1421,"kids")),"")</f>
        <v/>
      </c>
      <c r="N102">
        <f>IFERROR(IF(_xlfn.MAXIFS(Documents!$E$2:$E$1421,Documents!$A$2:$A$1421,$A102,Documents!$C$2:$C$1421,"villa_plans")=0,"",_xlfn.MAXIFS(Documents!$E$2:$E$1421,Documents!$A$2:$A$1421,$A102,Documents!$C$2:$C$1421,"villa_plans")),"")</f>
        <v/>
      </c>
      <c r="O102">
        <f>IFERROR(IF(_xlfn.MAXIFS(Documents!$E$2:$E$1421,Documents!$A$2:$A$1421,$A102,Documents!$C$2:$C$1421,"all_inclusive")=0,"",_xlfn.MAXIFS(Documents!$E$2:$E$1421,Documents!$A$2:$A$1421,$A102,Documents!$C$2:$C$1421,"all_inclusive")),"")</f>
        <v/>
      </c>
      <c r="P102">
        <f>IFERROR(IF(_xlfn.MAXIFS(Documents!$E$2:$E$1421,Documents!$A$2:$A$1421,$A102,Documents!$C$2:$C$1421,"sustainability")=0,"",_xlfn.MAXIFS(Documents!$E$2:$E$1421,Documents!$A$2:$A$1421,$A102,Documents!$C$2:$C$1421,"sustainability")),"")</f>
        <v/>
      </c>
      <c r="Q102">
        <f>IFERROR(IF(_xlfn.MAXIFS(Documents!$E$2:$E$1421,Documents!$A$2:$A$1421,$A102,Documents!$C$2:$C$1421,"calendar")=0,"",_xlfn.MAXIFS(Documents!$E$2:$E$1421,Documents!$A$2:$A$1421,$A102,Documents!$C$2:$C$1421,"calendar")),"")</f>
        <v/>
      </c>
      <c r="R102">
        <f>IFERROR(IF(_xlfn.MAXIFS(Documents!$E$2:$E$1421,Documents!$A$2:$A$1421,$A102,Documents!$C$2:$C$1421,"brochure")=0,"",_xlfn.MAXIFS(Documents!$E$2:$E$1421,Documents!$A$2:$A$1421,$A102,Documents!$C$2:$C$1421,"brochure")),"")</f>
        <v/>
      </c>
      <c r="S102">
        <f>IFERROR(IF(_xlfn.MAXIFS(Documents!$E$2:$E$1421,Documents!$A$2:$A$1421,$A102,Documents!$C$2:$C$1421,"press_kit")=0,"",_xlfn.MAXIFS(Documents!$E$2:$E$1421,Documents!$A$2:$A$1421,$A102,Documents!$C$2:$C$1421,"press_kit")),"")</f>
        <v/>
      </c>
      <c r="T102">
        <f>IFERROR(IF(_xlfn.MAXIFS(Documents!$E$2:$E$1421,Documents!$A$2:$A$1421,$A102,Documents!$C$2:$C$1421,"other")=0,"",_xlfn.MAXIFS(Documents!$E$2:$E$1421,Documents!$A$2:$A$1421,$A102,Documents!$C$2:$C$1421,"other")),"")</f>
        <v/>
      </c>
      <c r="U102">
        <f>IFERROR(IF(_xlfn.MAXIFS(Documents!$E$2:$E$1421,Documents!$A$2:$A$1421,$A102,Documents!$C$2:$C$1421,"obsolete")=0,"",_xlfn.MAXIFS(Documents!$E$2:$E$1421,Documents!$A$2:$A$1421,$A102,Documents!$C$2:$C$1421,"obsolete")),"")</f>
        <v/>
      </c>
      <c r="V102">
        <f>COUNTIFS(Documents!$A$2:$A$1421,$A102)</f>
        <v/>
      </c>
      <c r="W102">
        <f>COUNTIFS(Documents!$A$2:$A$1421,$A102,Documents!$R$2:$R$1421,"current")</f>
        <v/>
      </c>
      <c r="X102" t="inlineStr"/>
      <c r="Y102" t="inlineStr">
        <is>
          <t>factsheet, wedding, events</t>
        </is>
      </c>
      <c r="Z102" t="inlineStr"/>
    </row>
    <row r="103">
      <c r="A103" t="n">
        <v>102</v>
      </c>
      <c r="B103" t="inlineStr">
        <is>
          <t>W Maldives</t>
        </is>
      </c>
      <c r="C103" t="inlineStr">
        <is>
          <t>not crawled</t>
        </is>
      </c>
      <c r="D103">
        <f>IFERROR(IF(_xlfn.MAXIFS(Documents!$E$2:$E$1421,Documents!$A$2:$A$1421,$A103,Documents!$C$2:$C$1421,"factsheet")=0,"",_xlfn.MAXIFS(Documents!$E$2:$E$1421,Documents!$A$2:$A$1421,$A103,Documents!$C$2:$C$1421,"factsheet")),"")</f>
        <v/>
      </c>
      <c r="E103">
        <f>IFERROR(IF(_xlfn.MAXIFS(Documents!$E$2:$E$1421,Documents!$A$2:$A$1421,$A103,Documents!$C$2:$C$1421,"wedding")=0,"",_xlfn.MAXIFS(Documents!$E$2:$E$1421,Documents!$A$2:$A$1421,$A103,Documents!$C$2:$C$1421,"wedding")),"")</f>
        <v/>
      </c>
      <c r="F103">
        <f>IFERROR(IF(_xlfn.MAXIFS(Documents!$E$2:$E$1421,Documents!$A$2:$A$1421,$A103,Documents!$C$2:$C$1421,"events")=0,"",_xlfn.MAXIFS(Documents!$E$2:$E$1421,Documents!$A$2:$A$1421,$A103,Documents!$C$2:$C$1421,"events")),"")</f>
        <v/>
      </c>
      <c r="G103">
        <f>IFERROR(IF(_xlfn.MAXIFS(Documents!$E$2:$E$1421,Documents!$A$2:$A$1421,$A103,Documents!$C$2:$C$1421,"map")=0,"",_xlfn.MAXIFS(Documents!$E$2:$E$1421,Documents!$A$2:$A$1421,$A103,Documents!$C$2:$C$1421,"map")),"")</f>
        <v/>
      </c>
      <c r="H103">
        <f>IFERROR(IF(_xlfn.MAXIFS(Documents!$E$2:$E$1421,Documents!$A$2:$A$1421,$A103,Documents!$C$2:$C$1421,"dive_map")=0,"",_xlfn.MAXIFS(Documents!$E$2:$E$1421,Documents!$A$2:$A$1421,$A103,Documents!$C$2:$C$1421,"dive_map")),"")</f>
        <v/>
      </c>
      <c r="I103">
        <f>IFERROR(IF(_xlfn.MAXIFS(Documents!$E$2:$E$1421,Documents!$A$2:$A$1421,$A103,Documents!$C$2:$C$1421,"spa_menu")=0,"",_xlfn.MAXIFS(Documents!$E$2:$E$1421,Documents!$A$2:$A$1421,$A103,Documents!$C$2:$C$1421,"spa_menu")),"")</f>
        <v/>
      </c>
      <c r="J103">
        <f>IFERROR(IF(_xlfn.MAXIFS(Documents!$E$2:$E$1421,Documents!$A$2:$A$1421,$A103,Documents!$C$2:$C$1421,"dining_menu")=0,"",_xlfn.MAXIFS(Documents!$E$2:$E$1421,Documents!$A$2:$A$1421,$A103,Documents!$C$2:$C$1421,"dining_menu")),"")</f>
        <v/>
      </c>
      <c r="K103">
        <f>IFERROR(IF(_xlfn.MAXIFS(Documents!$E$2:$E$1421,Documents!$A$2:$A$1421,$A103,Documents!$C$2:$C$1421,"dive_prices")=0,"",_xlfn.MAXIFS(Documents!$E$2:$E$1421,Documents!$A$2:$A$1421,$A103,Documents!$C$2:$C$1421,"dive_prices")),"")</f>
        <v/>
      </c>
      <c r="L103">
        <f>IFERROR(IF(_xlfn.MAXIFS(Documents!$E$2:$E$1421,Documents!$A$2:$A$1421,$A103,Documents!$C$2:$C$1421,"excursions")=0,"",_xlfn.MAXIFS(Documents!$E$2:$E$1421,Documents!$A$2:$A$1421,$A103,Documents!$C$2:$C$1421,"excursions")),"")</f>
        <v/>
      </c>
      <c r="M103">
        <f>IFERROR(IF(_xlfn.MAXIFS(Documents!$E$2:$E$1421,Documents!$A$2:$A$1421,$A103,Documents!$C$2:$C$1421,"kids")=0,"",_xlfn.MAXIFS(Documents!$E$2:$E$1421,Documents!$A$2:$A$1421,$A103,Documents!$C$2:$C$1421,"kids")),"")</f>
        <v/>
      </c>
      <c r="N103">
        <f>IFERROR(IF(_xlfn.MAXIFS(Documents!$E$2:$E$1421,Documents!$A$2:$A$1421,$A103,Documents!$C$2:$C$1421,"villa_plans")=0,"",_xlfn.MAXIFS(Documents!$E$2:$E$1421,Documents!$A$2:$A$1421,$A103,Documents!$C$2:$C$1421,"villa_plans")),"")</f>
        <v/>
      </c>
      <c r="O103">
        <f>IFERROR(IF(_xlfn.MAXIFS(Documents!$E$2:$E$1421,Documents!$A$2:$A$1421,$A103,Documents!$C$2:$C$1421,"all_inclusive")=0,"",_xlfn.MAXIFS(Documents!$E$2:$E$1421,Documents!$A$2:$A$1421,$A103,Documents!$C$2:$C$1421,"all_inclusive")),"")</f>
        <v/>
      </c>
      <c r="P103">
        <f>IFERROR(IF(_xlfn.MAXIFS(Documents!$E$2:$E$1421,Documents!$A$2:$A$1421,$A103,Documents!$C$2:$C$1421,"sustainability")=0,"",_xlfn.MAXIFS(Documents!$E$2:$E$1421,Documents!$A$2:$A$1421,$A103,Documents!$C$2:$C$1421,"sustainability")),"")</f>
        <v/>
      </c>
      <c r="Q103">
        <f>IFERROR(IF(_xlfn.MAXIFS(Documents!$E$2:$E$1421,Documents!$A$2:$A$1421,$A103,Documents!$C$2:$C$1421,"calendar")=0,"",_xlfn.MAXIFS(Documents!$E$2:$E$1421,Documents!$A$2:$A$1421,$A103,Documents!$C$2:$C$1421,"calendar")),"")</f>
        <v/>
      </c>
      <c r="R103">
        <f>IFERROR(IF(_xlfn.MAXIFS(Documents!$E$2:$E$1421,Documents!$A$2:$A$1421,$A103,Documents!$C$2:$C$1421,"brochure")=0,"",_xlfn.MAXIFS(Documents!$E$2:$E$1421,Documents!$A$2:$A$1421,$A103,Documents!$C$2:$C$1421,"brochure")),"")</f>
        <v/>
      </c>
      <c r="S103">
        <f>IFERROR(IF(_xlfn.MAXIFS(Documents!$E$2:$E$1421,Documents!$A$2:$A$1421,$A103,Documents!$C$2:$C$1421,"press_kit")=0,"",_xlfn.MAXIFS(Documents!$E$2:$E$1421,Documents!$A$2:$A$1421,$A103,Documents!$C$2:$C$1421,"press_kit")),"")</f>
        <v/>
      </c>
      <c r="T103">
        <f>IFERROR(IF(_xlfn.MAXIFS(Documents!$E$2:$E$1421,Documents!$A$2:$A$1421,$A103,Documents!$C$2:$C$1421,"other")=0,"",_xlfn.MAXIFS(Documents!$E$2:$E$1421,Documents!$A$2:$A$1421,$A103,Documents!$C$2:$C$1421,"other")),"")</f>
        <v/>
      </c>
      <c r="U103">
        <f>IFERROR(IF(_xlfn.MAXIFS(Documents!$E$2:$E$1421,Documents!$A$2:$A$1421,$A103,Documents!$C$2:$C$1421,"obsolete")=0,"",_xlfn.MAXIFS(Documents!$E$2:$E$1421,Documents!$A$2:$A$1421,$A103,Documents!$C$2:$C$1421,"obsolete")),"")</f>
        <v/>
      </c>
      <c r="V103">
        <f>COUNTIFS(Documents!$A$2:$A$1421,$A103)</f>
        <v/>
      </c>
      <c r="W103">
        <f>COUNTIFS(Documents!$A$2:$A$1421,$A103,Documents!$R$2:$R$1421,"current")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not crawled</t>
        </is>
      </c>
      <c r="D104">
        <f>IFERROR(IF(_xlfn.MAXIFS(Documents!$E$2:$E$1421,Documents!$A$2:$A$1421,$A104,Documents!$C$2:$C$1421,"factsheet")=0,"",_xlfn.MAXIFS(Documents!$E$2:$E$1421,Documents!$A$2:$A$1421,$A104,Documents!$C$2:$C$1421,"factsheet")),"")</f>
        <v/>
      </c>
      <c r="E104">
        <f>IFERROR(IF(_xlfn.MAXIFS(Documents!$E$2:$E$1421,Documents!$A$2:$A$1421,$A104,Documents!$C$2:$C$1421,"wedding")=0,"",_xlfn.MAXIFS(Documents!$E$2:$E$1421,Documents!$A$2:$A$1421,$A104,Documents!$C$2:$C$1421,"wedding")),"")</f>
        <v/>
      </c>
      <c r="F104">
        <f>IFERROR(IF(_xlfn.MAXIFS(Documents!$E$2:$E$1421,Documents!$A$2:$A$1421,$A104,Documents!$C$2:$C$1421,"events")=0,"",_xlfn.MAXIFS(Documents!$E$2:$E$1421,Documents!$A$2:$A$1421,$A104,Documents!$C$2:$C$1421,"events")),"")</f>
        <v/>
      </c>
      <c r="G104">
        <f>IFERROR(IF(_xlfn.MAXIFS(Documents!$E$2:$E$1421,Documents!$A$2:$A$1421,$A104,Documents!$C$2:$C$1421,"map")=0,"",_xlfn.MAXIFS(Documents!$E$2:$E$1421,Documents!$A$2:$A$1421,$A104,Documents!$C$2:$C$1421,"map")),"")</f>
        <v/>
      </c>
      <c r="H104">
        <f>IFERROR(IF(_xlfn.MAXIFS(Documents!$E$2:$E$1421,Documents!$A$2:$A$1421,$A104,Documents!$C$2:$C$1421,"dive_map")=0,"",_xlfn.MAXIFS(Documents!$E$2:$E$1421,Documents!$A$2:$A$1421,$A104,Documents!$C$2:$C$1421,"dive_map")),"")</f>
        <v/>
      </c>
      <c r="I104">
        <f>IFERROR(IF(_xlfn.MAXIFS(Documents!$E$2:$E$1421,Documents!$A$2:$A$1421,$A104,Documents!$C$2:$C$1421,"spa_menu")=0,"",_xlfn.MAXIFS(Documents!$E$2:$E$1421,Documents!$A$2:$A$1421,$A104,Documents!$C$2:$C$1421,"spa_menu")),"")</f>
        <v/>
      </c>
      <c r="J104">
        <f>IFERROR(IF(_xlfn.MAXIFS(Documents!$E$2:$E$1421,Documents!$A$2:$A$1421,$A104,Documents!$C$2:$C$1421,"dining_menu")=0,"",_xlfn.MAXIFS(Documents!$E$2:$E$1421,Documents!$A$2:$A$1421,$A104,Documents!$C$2:$C$1421,"dining_menu")),"")</f>
        <v/>
      </c>
      <c r="K104">
        <f>IFERROR(IF(_xlfn.MAXIFS(Documents!$E$2:$E$1421,Documents!$A$2:$A$1421,$A104,Documents!$C$2:$C$1421,"dive_prices")=0,"",_xlfn.MAXIFS(Documents!$E$2:$E$1421,Documents!$A$2:$A$1421,$A104,Documents!$C$2:$C$1421,"dive_prices")),"")</f>
        <v/>
      </c>
      <c r="L104">
        <f>IFERROR(IF(_xlfn.MAXIFS(Documents!$E$2:$E$1421,Documents!$A$2:$A$1421,$A104,Documents!$C$2:$C$1421,"excursions")=0,"",_xlfn.MAXIFS(Documents!$E$2:$E$1421,Documents!$A$2:$A$1421,$A104,Documents!$C$2:$C$1421,"excursions")),"")</f>
        <v/>
      </c>
      <c r="M104">
        <f>IFERROR(IF(_xlfn.MAXIFS(Documents!$E$2:$E$1421,Documents!$A$2:$A$1421,$A104,Documents!$C$2:$C$1421,"kids")=0,"",_xlfn.MAXIFS(Documents!$E$2:$E$1421,Documents!$A$2:$A$1421,$A104,Documents!$C$2:$C$1421,"kids")),"")</f>
        <v/>
      </c>
      <c r="N104">
        <f>IFERROR(IF(_xlfn.MAXIFS(Documents!$E$2:$E$1421,Documents!$A$2:$A$1421,$A104,Documents!$C$2:$C$1421,"villa_plans")=0,"",_xlfn.MAXIFS(Documents!$E$2:$E$1421,Documents!$A$2:$A$1421,$A104,Documents!$C$2:$C$1421,"villa_plans")),"")</f>
        <v/>
      </c>
      <c r="O104">
        <f>IFERROR(IF(_xlfn.MAXIFS(Documents!$E$2:$E$1421,Documents!$A$2:$A$1421,$A104,Documents!$C$2:$C$1421,"all_inclusive")=0,"",_xlfn.MAXIFS(Documents!$E$2:$E$1421,Documents!$A$2:$A$1421,$A104,Documents!$C$2:$C$1421,"all_inclusive")),"")</f>
        <v/>
      </c>
      <c r="P104">
        <f>IFERROR(IF(_xlfn.MAXIFS(Documents!$E$2:$E$1421,Documents!$A$2:$A$1421,$A104,Documents!$C$2:$C$1421,"sustainability")=0,"",_xlfn.MAXIFS(Documents!$E$2:$E$1421,Documents!$A$2:$A$1421,$A104,Documents!$C$2:$C$1421,"sustainability")),"")</f>
        <v/>
      </c>
      <c r="Q104">
        <f>IFERROR(IF(_xlfn.MAXIFS(Documents!$E$2:$E$1421,Documents!$A$2:$A$1421,$A104,Documents!$C$2:$C$1421,"calendar")=0,"",_xlfn.MAXIFS(Documents!$E$2:$E$1421,Documents!$A$2:$A$1421,$A104,Documents!$C$2:$C$1421,"calendar")),"")</f>
        <v/>
      </c>
      <c r="R104">
        <f>IFERROR(IF(_xlfn.MAXIFS(Documents!$E$2:$E$1421,Documents!$A$2:$A$1421,$A104,Documents!$C$2:$C$1421,"brochure")=0,"",_xlfn.MAXIFS(Documents!$E$2:$E$1421,Documents!$A$2:$A$1421,$A104,Documents!$C$2:$C$1421,"brochure")),"")</f>
        <v/>
      </c>
      <c r="S104">
        <f>IFERROR(IF(_xlfn.MAXIFS(Documents!$E$2:$E$1421,Documents!$A$2:$A$1421,$A104,Documents!$C$2:$C$1421,"press_kit")=0,"",_xlfn.MAXIFS(Documents!$E$2:$E$1421,Documents!$A$2:$A$1421,$A104,Documents!$C$2:$C$1421,"press_kit")),"")</f>
        <v/>
      </c>
      <c r="T104">
        <f>IFERROR(IF(_xlfn.MAXIFS(Documents!$E$2:$E$1421,Documents!$A$2:$A$1421,$A104,Documents!$C$2:$C$1421,"other")=0,"",_xlfn.MAXIFS(Documents!$E$2:$E$1421,Documents!$A$2:$A$1421,$A104,Documents!$C$2:$C$1421,"other")),"")</f>
        <v/>
      </c>
      <c r="U104">
        <f>IFERROR(IF(_xlfn.MAXIFS(Documents!$E$2:$E$1421,Documents!$A$2:$A$1421,$A104,Documents!$C$2:$C$1421,"obsolete")=0,"",_xlfn.MAXIFS(Documents!$E$2:$E$1421,Documents!$A$2:$A$1421,$A104,Documents!$C$2:$C$1421,"obsolete")),"")</f>
        <v/>
      </c>
      <c r="V104">
        <f>COUNTIFS(Documents!$A$2:$A$1421,$A104)</f>
        <v/>
      </c>
      <c r="W104">
        <f>COUNTIFS(Documents!$A$2:$A$1421,$A104,Documents!$R$2:$R$1421,"current")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not crawled</t>
        </is>
      </c>
      <c r="D105">
        <f>IFERROR(IF(_xlfn.MAXIFS(Documents!$E$2:$E$1421,Documents!$A$2:$A$1421,$A105,Documents!$C$2:$C$1421,"factsheet")=0,"",_xlfn.MAXIFS(Documents!$E$2:$E$1421,Documents!$A$2:$A$1421,$A105,Documents!$C$2:$C$1421,"factsheet")),"")</f>
        <v/>
      </c>
      <c r="E105">
        <f>IFERROR(IF(_xlfn.MAXIFS(Documents!$E$2:$E$1421,Documents!$A$2:$A$1421,$A105,Documents!$C$2:$C$1421,"wedding")=0,"",_xlfn.MAXIFS(Documents!$E$2:$E$1421,Documents!$A$2:$A$1421,$A105,Documents!$C$2:$C$1421,"wedding")),"")</f>
        <v/>
      </c>
      <c r="F105">
        <f>IFERROR(IF(_xlfn.MAXIFS(Documents!$E$2:$E$1421,Documents!$A$2:$A$1421,$A105,Documents!$C$2:$C$1421,"events")=0,"",_xlfn.MAXIFS(Documents!$E$2:$E$1421,Documents!$A$2:$A$1421,$A105,Documents!$C$2:$C$1421,"events")),"")</f>
        <v/>
      </c>
      <c r="G105">
        <f>IFERROR(IF(_xlfn.MAXIFS(Documents!$E$2:$E$1421,Documents!$A$2:$A$1421,$A105,Documents!$C$2:$C$1421,"map")=0,"",_xlfn.MAXIFS(Documents!$E$2:$E$1421,Documents!$A$2:$A$1421,$A105,Documents!$C$2:$C$1421,"map")),"")</f>
        <v/>
      </c>
      <c r="H105">
        <f>IFERROR(IF(_xlfn.MAXIFS(Documents!$E$2:$E$1421,Documents!$A$2:$A$1421,$A105,Documents!$C$2:$C$1421,"dive_map")=0,"",_xlfn.MAXIFS(Documents!$E$2:$E$1421,Documents!$A$2:$A$1421,$A105,Documents!$C$2:$C$1421,"dive_map")),"")</f>
        <v/>
      </c>
      <c r="I105">
        <f>IFERROR(IF(_xlfn.MAXIFS(Documents!$E$2:$E$1421,Documents!$A$2:$A$1421,$A105,Documents!$C$2:$C$1421,"spa_menu")=0,"",_xlfn.MAXIFS(Documents!$E$2:$E$1421,Documents!$A$2:$A$1421,$A105,Documents!$C$2:$C$1421,"spa_menu")),"")</f>
        <v/>
      </c>
      <c r="J105">
        <f>IFERROR(IF(_xlfn.MAXIFS(Documents!$E$2:$E$1421,Documents!$A$2:$A$1421,$A105,Documents!$C$2:$C$1421,"dining_menu")=0,"",_xlfn.MAXIFS(Documents!$E$2:$E$1421,Documents!$A$2:$A$1421,$A105,Documents!$C$2:$C$1421,"dining_menu")),"")</f>
        <v/>
      </c>
      <c r="K105">
        <f>IFERROR(IF(_xlfn.MAXIFS(Documents!$E$2:$E$1421,Documents!$A$2:$A$1421,$A105,Documents!$C$2:$C$1421,"dive_prices")=0,"",_xlfn.MAXIFS(Documents!$E$2:$E$1421,Documents!$A$2:$A$1421,$A105,Documents!$C$2:$C$1421,"dive_prices")),"")</f>
        <v/>
      </c>
      <c r="L105">
        <f>IFERROR(IF(_xlfn.MAXIFS(Documents!$E$2:$E$1421,Documents!$A$2:$A$1421,$A105,Documents!$C$2:$C$1421,"excursions")=0,"",_xlfn.MAXIFS(Documents!$E$2:$E$1421,Documents!$A$2:$A$1421,$A105,Documents!$C$2:$C$1421,"excursions")),"")</f>
        <v/>
      </c>
      <c r="M105">
        <f>IFERROR(IF(_xlfn.MAXIFS(Documents!$E$2:$E$1421,Documents!$A$2:$A$1421,$A105,Documents!$C$2:$C$1421,"kids")=0,"",_xlfn.MAXIFS(Documents!$E$2:$E$1421,Documents!$A$2:$A$1421,$A105,Documents!$C$2:$C$1421,"kids")),"")</f>
        <v/>
      </c>
      <c r="N105">
        <f>IFERROR(IF(_xlfn.MAXIFS(Documents!$E$2:$E$1421,Documents!$A$2:$A$1421,$A105,Documents!$C$2:$C$1421,"villa_plans")=0,"",_xlfn.MAXIFS(Documents!$E$2:$E$1421,Documents!$A$2:$A$1421,$A105,Documents!$C$2:$C$1421,"villa_plans")),"")</f>
        <v/>
      </c>
      <c r="O105">
        <f>IFERROR(IF(_xlfn.MAXIFS(Documents!$E$2:$E$1421,Documents!$A$2:$A$1421,$A105,Documents!$C$2:$C$1421,"all_inclusive")=0,"",_xlfn.MAXIFS(Documents!$E$2:$E$1421,Documents!$A$2:$A$1421,$A105,Documents!$C$2:$C$1421,"all_inclusive")),"")</f>
        <v/>
      </c>
      <c r="P105">
        <f>IFERROR(IF(_xlfn.MAXIFS(Documents!$E$2:$E$1421,Documents!$A$2:$A$1421,$A105,Documents!$C$2:$C$1421,"sustainability")=0,"",_xlfn.MAXIFS(Documents!$E$2:$E$1421,Documents!$A$2:$A$1421,$A105,Documents!$C$2:$C$1421,"sustainability")),"")</f>
        <v/>
      </c>
      <c r="Q105">
        <f>IFERROR(IF(_xlfn.MAXIFS(Documents!$E$2:$E$1421,Documents!$A$2:$A$1421,$A105,Documents!$C$2:$C$1421,"calendar")=0,"",_xlfn.MAXIFS(Documents!$E$2:$E$1421,Documents!$A$2:$A$1421,$A105,Documents!$C$2:$C$1421,"calendar")),"")</f>
        <v/>
      </c>
      <c r="R105">
        <f>IFERROR(IF(_xlfn.MAXIFS(Documents!$E$2:$E$1421,Documents!$A$2:$A$1421,$A105,Documents!$C$2:$C$1421,"brochure")=0,"",_xlfn.MAXIFS(Documents!$E$2:$E$1421,Documents!$A$2:$A$1421,$A105,Documents!$C$2:$C$1421,"brochure")),"")</f>
        <v/>
      </c>
      <c r="S105">
        <f>IFERROR(IF(_xlfn.MAXIFS(Documents!$E$2:$E$1421,Documents!$A$2:$A$1421,$A105,Documents!$C$2:$C$1421,"press_kit")=0,"",_xlfn.MAXIFS(Documents!$E$2:$E$1421,Documents!$A$2:$A$1421,$A105,Documents!$C$2:$C$1421,"press_kit")),"")</f>
        <v/>
      </c>
      <c r="T105">
        <f>IFERROR(IF(_xlfn.MAXIFS(Documents!$E$2:$E$1421,Documents!$A$2:$A$1421,$A105,Documents!$C$2:$C$1421,"other")=0,"",_xlfn.MAXIFS(Documents!$E$2:$E$1421,Documents!$A$2:$A$1421,$A105,Documents!$C$2:$C$1421,"other")),"")</f>
        <v/>
      </c>
      <c r="U105">
        <f>IFERROR(IF(_xlfn.MAXIFS(Documents!$E$2:$E$1421,Documents!$A$2:$A$1421,$A105,Documents!$C$2:$C$1421,"obsolete")=0,"",_xlfn.MAXIFS(Documents!$E$2:$E$1421,Documents!$A$2:$A$1421,$A105,Documents!$C$2:$C$1421,"obsolete")),"")</f>
        <v/>
      </c>
      <c r="V105">
        <f>COUNTIFS(Documents!$A$2:$A$1421,$A105)</f>
        <v/>
      </c>
      <c r="W105">
        <f>COUNTIFS(Documents!$A$2:$A$1421,$A105,Documents!$R$2:$R$1421,"current")</f>
        <v/>
      </c>
      <c r="X105" t="inlineStr"/>
      <c r="Y105" t="inlineStr">
        <is>
          <t>factsheet, wedding, events</t>
        </is>
      </c>
      <c r="Z105" t="inlineStr"/>
    </row>
    <row r="106">
      <c r="A106" t="n">
        <v>105</v>
      </c>
      <c r="B106" t="inlineStr">
        <is>
          <t>Kuda Villingili Resort Maldives</t>
        </is>
      </c>
      <c r="C106" t="inlineStr">
        <is>
          <t>not crawled</t>
        </is>
      </c>
      <c r="D106">
        <f>IFERROR(IF(_xlfn.MAXIFS(Documents!$E$2:$E$1421,Documents!$A$2:$A$1421,$A106,Documents!$C$2:$C$1421,"factsheet")=0,"",_xlfn.MAXIFS(Documents!$E$2:$E$1421,Documents!$A$2:$A$1421,$A106,Documents!$C$2:$C$1421,"factsheet")),"")</f>
        <v/>
      </c>
      <c r="E106">
        <f>IFERROR(IF(_xlfn.MAXIFS(Documents!$E$2:$E$1421,Documents!$A$2:$A$1421,$A106,Documents!$C$2:$C$1421,"wedding")=0,"",_xlfn.MAXIFS(Documents!$E$2:$E$1421,Documents!$A$2:$A$1421,$A106,Documents!$C$2:$C$1421,"wedding")),"")</f>
        <v/>
      </c>
      <c r="F106">
        <f>IFERROR(IF(_xlfn.MAXIFS(Documents!$E$2:$E$1421,Documents!$A$2:$A$1421,$A106,Documents!$C$2:$C$1421,"events")=0,"",_xlfn.MAXIFS(Documents!$E$2:$E$1421,Documents!$A$2:$A$1421,$A106,Documents!$C$2:$C$1421,"events")),"")</f>
        <v/>
      </c>
      <c r="G106">
        <f>IFERROR(IF(_xlfn.MAXIFS(Documents!$E$2:$E$1421,Documents!$A$2:$A$1421,$A106,Documents!$C$2:$C$1421,"map")=0,"",_xlfn.MAXIFS(Documents!$E$2:$E$1421,Documents!$A$2:$A$1421,$A106,Documents!$C$2:$C$1421,"map")),"")</f>
        <v/>
      </c>
      <c r="H106">
        <f>IFERROR(IF(_xlfn.MAXIFS(Documents!$E$2:$E$1421,Documents!$A$2:$A$1421,$A106,Documents!$C$2:$C$1421,"dive_map")=0,"",_xlfn.MAXIFS(Documents!$E$2:$E$1421,Documents!$A$2:$A$1421,$A106,Documents!$C$2:$C$1421,"dive_map")),"")</f>
        <v/>
      </c>
      <c r="I106">
        <f>IFERROR(IF(_xlfn.MAXIFS(Documents!$E$2:$E$1421,Documents!$A$2:$A$1421,$A106,Documents!$C$2:$C$1421,"spa_menu")=0,"",_xlfn.MAXIFS(Documents!$E$2:$E$1421,Documents!$A$2:$A$1421,$A106,Documents!$C$2:$C$1421,"spa_menu")),"")</f>
        <v/>
      </c>
      <c r="J106">
        <f>IFERROR(IF(_xlfn.MAXIFS(Documents!$E$2:$E$1421,Documents!$A$2:$A$1421,$A106,Documents!$C$2:$C$1421,"dining_menu")=0,"",_xlfn.MAXIFS(Documents!$E$2:$E$1421,Documents!$A$2:$A$1421,$A106,Documents!$C$2:$C$1421,"dining_menu")),"")</f>
        <v/>
      </c>
      <c r="K106">
        <f>IFERROR(IF(_xlfn.MAXIFS(Documents!$E$2:$E$1421,Documents!$A$2:$A$1421,$A106,Documents!$C$2:$C$1421,"dive_prices")=0,"",_xlfn.MAXIFS(Documents!$E$2:$E$1421,Documents!$A$2:$A$1421,$A106,Documents!$C$2:$C$1421,"dive_prices")),"")</f>
        <v/>
      </c>
      <c r="L106">
        <f>IFERROR(IF(_xlfn.MAXIFS(Documents!$E$2:$E$1421,Documents!$A$2:$A$1421,$A106,Documents!$C$2:$C$1421,"excursions")=0,"",_xlfn.MAXIFS(Documents!$E$2:$E$1421,Documents!$A$2:$A$1421,$A106,Documents!$C$2:$C$1421,"excursions")),"")</f>
        <v/>
      </c>
      <c r="M106">
        <f>IFERROR(IF(_xlfn.MAXIFS(Documents!$E$2:$E$1421,Documents!$A$2:$A$1421,$A106,Documents!$C$2:$C$1421,"kids")=0,"",_xlfn.MAXIFS(Documents!$E$2:$E$1421,Documents!$A$2:$A$1421,$A106,Documents!$C$2:$C$1421,"kids")),"")</f>
        <v/>
      </c>
      <c r="N106">
        <f>IFERROR(IF(_xlfn.MAXIFS(Documents!$E$2:$E$1421,Documents!$A$2:$A$1421,$A106,Documents!$C$2:$C$1421,"villa_plans")=0,"",_xlfn.MAXIFS(Documents!$E$2:$E$1421,Documents!$A$2:$A$1421,$A106,Documents!$C$2:$C$1421,"villa_plans")),"")</f>
        <v/>
      </c>
      <c r="O106">
        <f>IFERROR(IF(_xlfn.MAXIFS(Documents!$E$2:$E$1421,Documents!$A$2:$A$1421,$A106,Documents!$C$2:$C$1421,"all_inclusive")=0,"",_xlfn.MAXIFS(Documents!$E$2:$E$1421,Documents!$A$2:$A$1421,$A106,Documents!$C$2:$C$1421,"all_inclusive")),"")</f>
        <v/>
      </c>
      <c r="P106">
        <f>IFERROR(IF(_xlfn.MAXIFS(Documents!$E$2:$E$1421,Documents!$A$2:$A$1421,$A106,Documents!$C$2:$C$1421,"sustainability")=0,"",_xlfn.MAXIFS(Documents!$E$2:$E$1421,Documents!$A$2:$A$1421,$A106,Documents!$C$2:$C$1421,"sustainability")),"")</f>
        <v/>
      </c>
      <c r="Q106">
        <f>IFERROR(IF(_xlfn.MAXIFS(Documents!$E$2:$E$1421,Documents!$A$2:$A$1421,$A106,Documents!$C$2:$C$1421,"calendar")=0,"",_xlfn.MAXIFS(Documents!$E$2:$E$1421,Documents!$A$2:$A$1421,$A106,Documents!$C$2:$C$1421,"calendar")),"")</f>
        <v/>
      </c>
      <c r="R106">
        <f>IFERROR(IF(_xlfn.MAXIFS(Documents!$E$2:$E$1421,Documents!$A$2:$A$1421,$A106,Documents!$C$2:$C$1421,"brochure")=0,"",_xlfn.MAXIFS(Documents!$E$2:$E$1421,Documents!$A$2:$A$1421,$A106,Documents!$C$2:$C$1421,"brochure")),"")</f>
        <v/>
      </c>
      <c r="S106">
        <f>IFERROR(IF(_xlfn.MAXIFS(Documents!$E$2:$E$1421,Documents!$A$2:$A$1421,$A106,Documents!$C$2:$C$1421,"press_kit")=0,"",_xlfn.MAXIFS(Documents!$E$2:$E$1421,Documents!$A$2:$A$1421,$A106,Documents!$C$2:$C$1421,"press_kit")),"")</f>
        <v/>
      </c>
      <c r="T106">
        <f>IFERROR(IF(_xlfn.MAXIFS(Documents!$E$2:$E$1421,Documents!$A$2:$A$1421,$A106,Documents!$C$2:$C$1421,"other")=0,"",_xlfn.MAXIFS(Documents!$E$2:$E$1421,Documents!$A$2:$A$1421,$A106,Documents!$C$2:$C$1421,"other")),"")</f>
        <v/>
      </c>
      <c r="U106">
        <f>IFERROR(IF(_xlfn.MAXIFS(Documents!$E$2:$E$1421,Documents!$A$2:$A$1421,$A106,Documents!$C$2:$C$1421,"obsolete")=0,"",_xlfn.MAXIFS(Documents!$E$2:$E$1421,Documents!$A$2:$A$1421,$A106,Documents!$C$2:$C$1421,"obsolete")),"")</f>
        <v/>
      </c>
      <c r="V106">
        <f>COUNTIFS(Documents!$A$2:$A$1421,$A106)</f>
        <v/>
      </c>
      <c r="W106">
        <f>COUNTIFS(Documents!$A$2:$A$1421,$A106,Documents!$R$2:$R$1421,"current")</f>
        <v/>
      </c>
      <c r="X106">
        <f>HYPERLINK("https://www.neoscapesmaldives.com/wp-content/uploads/241220_-_Factsheet.pdf","2025_241220_-_Factsheet.pdf")</f>
        <v/>
      </c>
      <c r="Y106" t="inlineStr">
        <is>
          <t>wedding, events</t>
        </is>
      </c>
      <c r="Z106" t="inlineStr"/>
    </row>
    <row r="107">
      <c r="A107" t="n">
        <v>106</v>
      </c>
      <c r="B107" t="inlineStr">
        <is>
          <t>Anantara Kihavah Villas</t>
        </is>
      </c>
      <c r="C107" t="inlineStr">
        <is>
          <t>not crawled</t>
        </is>
      </c>
      <c r="D107">
        <f>IFERROR(IF(_xlfn.MAXIFS(Documents!$E$2:$E$1421,Documents!$A$2:$A$1421,$A107,Documents!$C$2:$C$1421,"factsheet")=0,"",_xlfn.MAXIFS(Documents!$E$2:$E$1421,Documents!$A$2:$A$1421,$A107,Documents!$C$2:$C$1421,"factsheet")),"")</f>
        <v/>
      </c>
      <c r="E107">
        <f>IFERROR(IF(_xlfn.MAXIFS(Documents!$E$2:$E$1421,Documents!$A$2:$A$1421,$A107,Documents!$C$2:$C$1421,"wedding")=0,"",_xlfn.MAXIFS(Documents!$E$2:$E$1421,Documents!$A$2:$A$1421,$A107,Documents!$C$2:$C$1421,"wedding")),"")</f>
        <v/>
      </c>
      <c r="F107">
        <f>IFERROR(IF(_xlfn.MAXIFS(Documents!$E$2:$E$1421,Documents!$A$2:$A$1421,$A107,Documents!$C$2:$C$1421,"events")=0,"",_xlfn.MAXIFS(Documents!$E$2:$E$1421,Documents!$A$2:$A$1421,$A107,Documents!$C$2:$C$1421,"events")),"")</f>
        <v/>
      </c>
      <c r="G107">
        <f>IFERROR(IF(_xlfn.MAXIFS(Documents!$E$2:$E$1421,Documents!$A$2:$A$1421,$A107,Documents!$C$2:$C$1421,"map")=0,"",_xlfn.MAXIFS(Documents!$E$2:$E$1421,Documents!$A$2:$A$1421,$A107,Documents!$C$2:$C$1421,"map")),"")</f>
        <v/>
      </c>
      <c r="H107">
        <f>IFERROR(IF(_xlfn.MAXIFS(Documents!$E$2:$E$1421,Documents!$A$2:$A$1421,$A107,Documents!$C$2:$C$1421,"dive_map")=0,"",_xlfn.MAXIFS(Documents!$E$2:$E$1421,Documents!$A$2:$A$1421,$A107,Documents!$C$2:$C$1421,"dive_map")),"")</f>
        <v/>
      </c>
      <c r="I107">
        <f>IFERROR(IF(_xlfn.MAXIFS(Documents!$E$2:$E$1421,Documents!$A$2:$A$1421,$A107,Documents!$C$2:$C$1421,"spa_menu")=0,"",_xlfn.MAXIFS(Documents!$E$2:$E$1421,Documents!$A$2:$A$1421,$A107,Documents!$C$2:$C$1421,"spa_menu")),"")</f>
        <v/>
      </c>
      <c r="J107">
        <f>IFERROR(IF(_xlfn.MAXIFS(Documents!$E$2:$E$1421,Documents!$A$2:$A$1421,$A107,Documents!$C$2:$C$1421,"dining_menu")=0,"",_xlfn.MAXIFS(Documents!$E$2:$E$1421,Documents!$A$2:$A$1421,$A107,Documents!$C$2:$C$1421,"dining_menu")),"")</f>
        <v/>
      </c>
      <c r="K107">
        <f>IFERROR(IF(_xlfn.MAXIFS(Documents!$E$2:$E$1421,Documents!$A$2:$A$1421,$A107,Documents!$C$2:$C$1421,"dive_prices")=0,"",_xlfn.MAXIFS(Documents!$E$2:$E$1421,Documents!$A$2:$A$1421,$A107,Documents!$C$2:$C$1421,"dive_prices")),"")</f>
        <v/>
      </c>
      <c r="L107">
        <f>IFERROR(IF(_xlfn.MAXIFS(Documents!$E$2:$E$1421,Documents!$A$2:$A$1421,$A107,Documents!$C$2:$C$1421,"excursions")=0,"",_xlfn.MAXIFS(Documents!$E$2:$E$1421,Documents!$A$2:$A$1421,$A107,Documents!$C$2:$C$1421,"excursions")),"")</f>
        <v/>
      </c>
      <c r="M107">
        <f>IFERROR(IF(_xlfn.MAXIFS(Documents!$E$2:$E$1421,Documents!$A$2:$A$1421,$A107,Documents!$C$2:$C$1421,"kids")=0,"",_xlfn.MAXIFS(Documents!$E$2:$E$1421,Documents!$A$2:$A$1421,$A107,Documents!$C$2:$C$1421,"kids")),"")</f>
        <v/>
      </c>
      <c r="N107">
        <f>IFERROR(IF(_xlfn.MAXIFS(Documents!$E$2:$E$1421,Documents!$A$2:$A$1421,$A107,Documents!$C$2:$C$1421,"villa_plans")=0,"",_xlfn.MAXIFS(Documents!$E$2:$E$1421,Documents!$A$2:$A$1421,$A107,Documents!$C$2:$C$1421,"villa_plans")),"")</f>
        <v/>
      </c>
      <c r="O107">
        <f>IFERROR(IF(_xlfn.MAXIFS(Documents!$E$2:$E$1421,Documents!$A$2:$A$1421,$A107,Documents!$C$2:$C$1421,"all_inclusive")=0,"",_xlfn.MAXIFS(Documents!$E$2:$E$1421,Documents!$A$2:$A$1421,$A107,Documents!$C$2:$C$1421,"all_inclusive")),"")</f>
        <v/>
      </c>
      <c r="P107">
        <f>IFERROR(IF(_xlfn.MAXIFS(Documents!$E$2:$E$1421,Documents!$A$2:$A$1421,$A107,Documents!$C$2:$C$1421,"sustainability")=0,"",_xlfn.MAXIFS(Documents!$E$2:$E$1421,Documents!$A$2:$A$1421,$A107,Documents!$C$2:$C$1421,"sustainability")),"")</f>
        <v/>
      </c>
      <c r="Q107">
        <f>IFERROR(IF(_xlfn.MAXIFS(Documents!$E$2:$E$1421,Documents!$A$2:$A$1421,$A107,Documents!$C$2:$C$1421,"calendar")=0,"",_xlfn.MAXIFS(Documents!$E$2:$E$1421,Documents!$A$2:$A$1421,$A107,Documents!$C$2:$C$1421,"calendar")),"")</f>
        <v/>
      </c>
      <c r="R107">
        <f>IFERROR(IF(_xlfn.MAXIFS(Documents!$E$2:$E$1421,Documents!$A$2:$A$1421,$A107,Documents!$C$2:$C$1421,"brochure")=0,"",_xlfn.MAXIFS(Documents!$E$2:$E$1421,Documents!$A$2:$A$1421,$A107,Documents!$C$2:$C$1421,"brochure")),"")</f>
        <v/>
      </c>
      <c r="S107">
        <f>IFERROR(IF(_xlfn.MAXIFS(Documents!$E$2:$E$1421,Documents!$A$2:$A$1421,$A107,Documents!$C$2:$C$1421,"press_kit")=0,"",_xlfn.MAXIFS(Documents!$E$2:$E$1421,Documents!$A$2:$A$1421,$A107,Documents!$C$2:$C$1421,"press_kit")),"")</f>
        <v/>
      </c>
      <c r="T107">
        <f>IFERROR(IF(_xlfn.MAXIFS(Documents!$E$2:$E$1421,Documents!$A$2:$A$1421,$A107,Documents!$C$2:$C$1421,"other")=0,"",_xlfn.MAXIFS(Documents!$E$2:$E$1421,Documents!$A$2:$A$1421,$A107,Documents!$C$2:$C$1421,"other")),"")</f>
        <v/>
      </c>
      <c r="U107">
        <f>IFERROR(IF(_xlfn.MAXIFS(Documents!$E$2:$E$1421,Documents!$A$2:$A$1421,$A107,Documents!$C$2:$C$1421,"obsolete")=0,"",_xlfn.MAXIFS(Documents!$E$2:$E$1421,Documents!$A$2:$A$1421,$A107,Documents!$C$2:$C$1421,"obsolete")),"")</f>
        <v/>
      </c>
      <c r="V107">
        <f>COUNTIFS(Documents!$A$2:$A$1421,$A107)</f>
        <v/>
      </c>
      <c r="W107">
        <f>COUNTIFS(Documents!$A$2:$A$1421,$A107,Documents!$R$2:$R$1421,"current")</f>
        <v/>
      </c>
      <c r="X107">
        <f>HYPERLINK("https://www.neoscapesmaldives.com/wp-content/uploads/Anantara_Kihavah_Maldives_Villas_Factsheet_Resort.pdf","2021_Anantara_Kihavah_Maldives_Villas_Fa")</f>
        <v/>
      </c>
      <c r="Y107" t="inlineStr">
        <is>
          <t>wedding, events</t>
        </is>
      </c>
      <c r="Z107" t="inlineStr"/>
    </row>
    <row r="108">
      <c r="A108" t="n">
        <v>107</v>
      </c>
      <c r="B108" t="inlineStr">
        <is>
          <t>The Westin Maldives Miriandhoo Resort</t>
        </is>
      </c>
      <c r="C108" t="inlineStr">
        <is>
          <t>not crawled</t>
        </is>
      </c>
      <c r="D108">
        <f>IFERROR(IF(_xlfn.MAXIFS(Documents!$E$2:$E$1421,Documents!$A$2:$A$1421,$A108,Documents!$C$2:$C$1421,"factsheet")=0,"",_xlfn.MAXIFS(Documents!$E$2:$E$1421,Documents!$A$2:$A$1421,$A108,Documents!$C$2:$C$1421,"factsheet")),"")</f>
        <v/>
      </c>
      <c r="E108">
        <f>IFERROR(IF(_xlfn.MAXIFS(Documents!$E$2:$E$1421,Documents!$A$2:$A$1421,$A108,Documents!$C$2:$C$1421,"wedding")=0,"",_xlfn.MAXIFS(Documents!$E$2:$E$1421,Documents!$A$2:$A$1421,$A108,Documents!$C$2:$C$1421,"wedding")),"")</f>
        <v/>
      </c>
      <c r="F108">
        <f>IFERROR(IF(_xlfn.MAXIFS(Documents!$E$2:$E$1421,Documents!$A$2:$A$1421,$A108,Documents!$C$2:$C$1421,"events")=0,"",_xlfn.MAXIFS(Documents!$E$2:$E$1421,Documents!$A$2:$A$1421,$A108,Documents!$C$2:$C$1421,"events")),"")</f>
        <v/>
      </c>
      <c r="G108">
        <f>IFERROR(IF(_xlfn.MAXIFS(Documents!$E$2:$E$1421,Documents!$A$2:$A$1421,$A108,Documents!$C$2:$C$1421,"map")=0,"",_xlfn.MAXIFS(Documents!$E$2:$E$1421,Documents!$A$2:$A$1421,$A108,Documents!$C$2:$C$1421,"map")),"")</f>
        <v/>
      </c>
      <c r="H108">
        <f>IFERROR(IF(_xlfn.MAXIFS(Documents!$E$2:$E$1421,Documents!$A$2:$A$1421,$A108,Documents!$C$2:$C$1421,"dive_map")=0,"",_xlfn.MAXIFS(Documents!$E$2:$E$1421,Documents!$A$2:$A$1421,$A108,Documents!$C$2:$C$1421,"dive_map")),"")</f>
        <v/>
      </c>
      <c r="I108">
        <f>IFERROR(IF(_xlfn.MAXIFS(Documents!$E$2:$E$1421,Documents!$A$2:$A$1421,$A108,Documents!$C$2:$C$1421,"spa_menu")=0,"",_xlfn.MAXIFS(Documents!$E$2:$E$1421,Documents!$A$2:$A$1421,$A108,Documents!$C$2:$C$1421,"spa_menu")),"")</f>
        <v/>
      </c>
      <c r="J108">
        <f>IFERROR(IF(_xlfn.MAXIFS(Documents!$E$2:$E$1421,Documents!$A$2:$A$1421,$A108,Documents!$C$2:$C$1421,"dining_menu")=0,"",_xlfn.MAXIFS(Documents!$E$2:$E$1421,Documents!$A$2:$A$1421,$A108,Documents!$C$2:$C$1421,"dining_menu")),"")</f>
        <v/>
      </c>
      <c r="K108">
        <f>IFERROR(IF(_xlfn.MAXIFS(Documents!$E$2:$E$1421,Documents!$A$2:$A$1421,$A108,Documents!$C$2:$C$1421,"dive_prices")=0,"",_xlfn.MAXIFS(Documents!$E$2:$E$1421,Documents!$A$2:$A$1421,$A108,Documents!$C$2:$C$1421,"dive_prices")),"")</f>
        <v/>
      </c>
      <c r="L108">
        <f>IFERROR(IF(_xlfn.MAXIFS(Documents!$E$2:$E$1421,Documents!$A$2:$A$1421,$A108,Documents!$C$2:$C$1421,"excursions")=0,"",_xlfn.MAXIFS(Documents!$E$2:$E$1421,Documents!$A$2:$A$1421,$A108,Documents!$C$2:$C$1421,"excursions")),"")</f>
        <v/>
      </c>
      <c r="M108">
        <f>IFERROR(IF(_xlfn.MAXIFS(Documents!$E$2:$E$1421,Documents!$A$2:$A$1421,$A108,Documents!$C$2:$C$1421,"kids")=0,"",_xlfn.MAXIFS(Documents!$E$2:$E$1421,Documents!$A$2:$A$1421,$A108,Documents!$C$2:$C$1421,"kids")),"")</f>
        <v/>
      </c>
      <c r="N108">
        <f>IFERROR(IF(_xlfn.MAXIFS(Documents!$E$2:$E$1421,Documents!$A$2:$A$1421,$A108,Documents!$C$2:$C$1421,"villa_plans")=0,"",_xlfn.MAXIFS(Documents!$E$2:$E$1421,Documents!$A$2:$A$1421,$A108,Documents!$C$2:$C$1421,"villa_plans")),"")</f>
        <v/>
      </c>
      <c r="O108">
        <f>IFERROR(IF(_xlfn.MAXIFS(Documents!$E$2:$E$1421,Documents!$A$2:$A$1421,$A108,Documents!$C$2:$C$1421,"all_inclusive")=0,"",_xlfn.MAXIFS(Documents!$E$2:$E$1421,Documents!$A$2:$A$1421,$A108,Documents!$C$2:$C$1421,"all_inclusive")),"")</f>
        <v/>
      </c>
      <c r="P108">
        <f>IFERROR(IF(_xlfn.MAXIFS(Documents!$E$2:$E$1421,Documents!$A$2:$A$1421,$A108,Documents!$C$2:$C$1421,"sustainability")=0,"",_xlfn.MAXIFS(Documents!$E$2:$E$1421,Documents!$A$2:$A$1421,$A108,Documents!$C$2:$C$1421,"sustainability")),"")</f>
        <v/>
      </c>
      <c r="Q108">
        <f>IFERROR(IF(_xlfn.MAXIFS(Documents!$E$2:$E$1421,Documents!$A$2:$A$1421,$A108,Documents!$C$2:$C$1421,"calendar")=0,"",_xlfn.MAXIFS(Documents!$E$2:$E$1421,Documents!$A$2:$A$1421,$A108,Documents!$C$2:$C$1421,"calendar")),"")</f>
        <v/>
      </c>
      <c r="R108">
        <f>IFERROR(IF(_xlfn.MAXIFS(Documents!$E$2:$E$1421,Documents!$A$2:$A$1421,$A108,Documents!$C$2:$C$1421,"brochure")=0,"",_xlfn.MAXIFS(Documents!$E$2:$E$1421,Documents!$A$2:$A$1421,$A108,Documents!$C$2:$C$1421,"brochure")),"")</f>
        <v/>
      </c>
      <c r="S108">
        <f>IFERROR(IF(_xlfn.MAXIFS(Documents!$E$2:$E$1421,Documents!$A$2:$A$1421,$A108,Documents!$C$2:$C$1421,"press_kit")=0,"",_xlfn.MAXIFS(Documents!$E$2:$E$1421,Documents!$A$2:$A$1421,$A108,Documents!$C$2:$C$1421,"press_kit")),"")</f>
        <v/>
      </c>
      <c r="T108">
        <f>IFERROR(IF(_xlfn.MAXIFS(Documents!$E$2:$E$1421,Documents!$A$2:$A$1421,$A108,Documents!$C$2:$C$1421,"other")=0,"",_xlfn.MAXIFS(Documents!$E$2:$E$1421,Documents!$A$2:$A$1421,$A108,Documents!$C$2:$C$1421,"other")),"")</f>
        <v/>
      </c>
      <c r="U108">
        <f>IFERROR(IF(_xlfn.MAXIFS(Documents!$E$2:$E$1421,Documents!$A$2:$A$1421,$A108,Documents!$C$2:$C$1421,"obsolete")=0,"",_xlfn.MAXIFS(Documents!$E$2:$E$1421,Documents!$A$2:$A$1421,$A108,Documents!$C$2:$C$1421,"obsolete")),"")</f>
        <v/>
      </c>
      <c r="V108">
        <f>COUNTIFS(Documents!$A$2:$A$1421,$A108)</f>
        <v/>
      </c>
      <c r="W108">
        <f>COUNTIFS(Documents!$A$2:$A$1421,$A108,Documents!$R$2:$R$1421,"current")</f>
        <v/>
      </c>
      <c r="X108" t="inlineStr"/>
      <c r="Y108" t="inlineStr">
        <is>
          <t>factsheet, wedding, events</t>
        </is>
      </c>
      <c r="Z108" t="inlineStr"/>
    </row>
    <row r="109">
      <c r="A109" t="n">
        <v>108</v>
      </c>
      <c r="B109" t="inlineStr">
        <is>
          <t>Rahaa Resort</t>
        </is>
      </c>
      <c r="C109" t="inlineStr">
        <is>
          <t>not crawled</t>
        </is>
      </c>
      <c r="D109">
        <f>IFERROR(IF(_xlfn.MAXIFS(Documents!$E$2:$E$1421,Documents!$A$2:$A$1421,$A109,Documents!$C$2:$C$1421,"factsheet")=0,"",_xlfn.MAXIFS(Documents!$E$2:$E$1421,Documents!$A$2:$A$1421,$A109,Documents!$C$2:$C$1421,"factsheet")),"")</f>
        <v/>
      </c>
      <c r="E109">
        <f>IFERROR(IF(_xlfn.MAXIFS(Documents!$E$2:$E$1421,Documents!$A$2:$A$1421,$A109,Documents!$C$2:$C$1421,"wedding")=0,"",_xlfn.MAXIFS(Documents!$E$2:$E$1421,Documents!$A$2:$A$1421,$A109,Documents!$C$2:$C$1421,"wedding")),"")</f>
        <v/>
      </c>
      <c r="F109">
        <f>IFERROR(IF(_xlfn.MAXIFS(Documents!$E$2:$E$1421,Documents!$A$2:$A$1421,$A109,Documents!$C$2:$C$1421,"events")=0,"",_xlfn.MAXIFS(Documents!$E$2:$E$1421,Documents!$A$2:$A$1421,$A109,Documents!$C$2:$C$1421,"events")),"")</f>
        <v/>
      </c>
      <c r="G109">
        <f>IFERROR(IF(_xlfn.MAXIFS(Documents!$E$2:$E$1421,Documents!$A$2:$A$1421,$A109,Documents!$C$2:$C$1421,"map")=0,"",_xlfn.MAXIFS(Documents!$E$2:$E$1421,Documents!$A$2:$A$1421,$A109,Documents!$C$2:$C$1421,"map")),"")</f>
        <v/>
      </c>
      <c r="H109">
        <f>IFERROR(IF(_xlfn.MAXIFS(Documents!$E$2:$E$1421,Documents!$A$2:$A$1421,$A109,Documents!$C$2:$C$1421,"dive_map")=0,"",_xlfn.MAXIFS(Documents!$E$2:$E$1421,Documents!$A$2:$A$1421,$A109,Documents!$C$2:$C$1421,"dive_map")),"")</f>
        <v/>
      </c>
      <c r="I109">
        <f>IFERROR(IF(_xlfn.MAXIFS(Documents!$E$2:$E$1421,Documents!$A$2:$A$1421,$A109,Documents!$C$2:$C$1421,"spa_menu")=0,"",_xlfn.MAXIFS(Documents!$E$2:$E$1421,Documents!$A$2:$A$1421,$A109,Documents!$C$2:$C$1421,"spa_menu")),"")</f>
        <v/>
      </c>
      <c r="J109">
        <f>IFERROR(IF(_xlfn.MAXIFS(Documents!$E$2:$E$1421,Documents!$A$2:$A$1421,$A109,Documents!$C$2:$C$1421,"dining_menu")=0,"",_xlfn.MAXIFS(Documents!$E$2:$E$1421,Documents!$A$2:$A$1421,$A109,Documents!$C$2:$C$1421,"dining_menu")),"")</f>
        <v/>
      </c>
      <c r="K109">
        <f>IFERROR(IF(_xlfn.MAXIFS(Documents!$E$2:$E$1421,Documents!$A$2:$A$1421,$A109,Documents!$C$2:$C$1421,"dive_prices")=0,"",_xlfn.MAXIFS(Documents!$E$2:$E$1421,Documents!$A$2:$A$1421,$A109,Documents!$C$2:$C$1421,"dive_prices")),"")</f>
        <v/>
      </c>
      <c r="L109">
        <f>IFERROR(IF(_xlfn.MAXIFS(Documents!$E$2:$E$1421,Documents!$A$2:$A$1421,$A109,Documents!$C$2:$C$1421,"excursions")=0,"",_xlfn.MAXIFS(Documents!$E$2:$E$1421,Documents!$A$2:$A$1421,$A109,Documents!$C$2:$C$1421,"excursions")),"")</f>
        <v/>
      </c>
      <c r="M109">
        <f>IFERROR(IF(_xlfn.MAXIFS(Documents!$E$2:$E$1421,Documents!$A$2:$A$1421,$A109,Documents!$C$2:$C$1421,"kids")=0,"",_xlfn.MAXIFS(Documents!$E$2:$E$1421,Documents!$A$2:$A$1421,$A109,Documents!$C$2:$C$1421,"kids")),"")</f>
        <v/>
      </c>
      <c r="N109">
        <f>IFERROR(IF(_xlfn.MAXIFS(Documents!$E$2:$E$1421,Documents!$A$2:$A$1421,$A109,Documents!$C$2:$C$1421,"villa_plans")=0,"",_xlfn.MAXIFS(Documents!$E$2:$E$1421,Documents!$A$2:$A$1421,$A109,Documents!$C$2:$C$1421,"villa_plans")),"")</f>
        <v/>
      </c>
      <c r="O109">
        <f>IFERROR(IF(_xlfn.MAXIFS(Documents!$E$2:$E$1421,Documents!$A$2:$A$1421,$A109,Documents!$C$2:$C$1421,"all_inclusive")=0,"",_xlfn.MAXIFS(Documents!$E$2:$E$1421,Documents!$A$2:$A$1421,$A109,Documents!$C$2:$C$1421,"all_inclusive")),"")</f>
        <v/>
      </c>
      <c r="P109">
        <f>IFERROR(IF(_xlfn.MAXIFS(Documents!$E$2:$E$1421,Documents!$A$2:$A$1421,$A109,Documents!$C$2:$C$1421,"sustainability")=0,"",_xlfn.MAXIFS(Documents!$E$2:$E$1421,Documents!$A$2:$A$1421,$A109,Documents!$C$2:$C$1421,"sustainability")),"")</f>
        <v/>
      </c>
      <c r="Q109">
        <f>IFERROR(IF(_xlfn.MAXIFS(Documents!$E$2:$E$1421,Documents!$A$2:$A$1421,$A109,Documents!$C$2:$C$1421,"calendar")=0,"",_xlfn.MAXIFS(Documents!$E$2:$E$1421,Documents!$A$2:$A$1421,$A109,Documents!$C$2:$C$1421,"calendar")),"")</f>
        <v/>
      </c>
      <c r="R109">
        <f>IFERROR(IF(_xlfn.MAXIFS(Documents!$E$2:$E$1421,Documents!$A$2:$A$1421,$A109,Documents!$C$2:$C$1421,"brochure")=0,"",_xlfn.MAXIFS(Documents!$E$2:$E$1421,Documents!$A$2:$A$1421,$A109,Documents!$C$2:$C$1421,"brochure")),"")</f>
        <v/>
      </c>
      <c r="S109">
        <f>IFERROR(IF(_xlfn.MAXIFS(Documents!$E$2:$E$1421,Documents!$A$2:$A$1421,$A109,Documents!$C$2:$C$1421,"press_kit")=0,"",_xlfn.MAXIFS(Documents!$E$2:$E$1421,Documents!$A$2:$A$1421,$A109,Documents!$C$2:$C$1421,"press_kit")),"")</f>
        <v/>
      </c>
      <c r="T109">
        <f>IFERROR(IF(_xlfn.MAXIFS(Documents!$E$2:$E$1421,Documents!$A$2:$A$1421,$A109,Documents!$C$2:$C$1421,"other")=0,"",_xlfn.MAXIFS(Documents!$E$2:$E$1421,Documents!$A$2:$A$1421,$A109,Documents!$C$2:$C$1421,"other")),"")</f>
        <v/>
      </c>
      <c r="U109">
        <f>IFERROR(IF(_xlfn.MAXIFS(Documents!$E$2:$E$1421,Documents!$A$2:$A$1421,$A109,Documents!$C$2:$C$1421,"obsolete")=0,"",_xlfn.MAXIFS(Documents!$E$2:$E$1421,Documents!$A$2:$A$1421,$A109,Documents!$C$2:$C$1421,"obsolete")),"")</f>
        <v/>
      </c>
      <c r="V109">
        <f>COUNTIFS(Documents!$A$2:$A$1421,$A109)</f>
        <v/>
      </c>
      <c r="W109">
        <f>COUNTIFS(Documents!$A$2:$A$1421,$A109,Documents!$R$2:$R$1421,"current")</f>
        <v/>
      </c>
      <c r="X109" t="inlineStr"/>
      <c r="Y109" t="inlineStr">
        <is>
          <t>factsheet, wedding, events</t>
        </is>
      </c>
      <c r="Z109" t="inlineStr"/>
    </row>
    <row r="110">
      <c r="A110" t="n">
        <v>109</v>
      </c>
      <c r="B110" t="inlineStr">
        <is>
          <t>Constance Moofushi Resort</t>
        </is>
      </c>
      <c r="C110" t="inlineStr">
        <is>
          <t>not crawled</t>
        </is>
      </c>
      <c r="D110">
        <f>IFERROR(IF(_xlfn.MAXIFS(Documents!$E$2:$E$1421,Documents!$A$2:$A$1421,$A110,Documents!$C$2:$C$1421,"factsheet")=0,"",_xlfn.MAXIFS(Documents!$E$2:$E$1421,Documents!$A$2:$A$1421,$A110,Documents!$C$2:$C$1421,"factsheet")),"")</f>
        <v/>
      </c>
      <c r="E110">
        <f>IFERROR(IF(_xlfn.MAXIFS(Documents!$E$2:$E$1421,Documents!$A$2:$A$1421,$A110,Documents!$C$2:$C$1421,"wedding")=0,"",_xlfn.MAXIFS(Documents!$E$2:$E$1421,Documents!$A$2:$A$1421,$A110,Documents!$C$2:$C$1421,"wedding")),"")</f>
        <v/>
      </c>
      <c r="F110">
        <f>IFERROR(IF(_xlfn.MAXIFS(Documents!$E$2:$E$1421,Documents!$A$2:$A$1421,$A110,Documents!$C$2:$C$1421,"events")=0,"",_xlfn.MAXIFS(Documents!$E$2:$E$1421,Documents!$A$2:$A$1421,$A110,Documents!$C$2:$C$1421,"events")),"")</f>
        <v/>
      </c>
      <c r="G110">
        <f>IFERROR(IF(_xlfn.MAXIFS(Documents!$E$2:$E$1421,Documents!$A$2:$A$1421,$A110,Documents!$C$2:$C$1421,"map")=0,"",_xlfn.MAXIFS(Documents!$E$2:$E$1421,Documents!$A$2:$A$1421,$A110,Documents!$C$2:$C$1421,"map")),"")</f>
        <v/>
      </c>
      <c r="H110">
        <f>IFERROR(IF(_xlfn.MAXIFS(Documents!$E$2:$E$1421,Documents!$A$2:$A$1421,$A110,Documents!$C$2:$C$1421,"dive_map")=0,"",_xlfn.MAXIFS(Documents!$E$2:$E$1421,Documents!$A$2:$A$1421,$A110,Documents!$C$2:$C$1421,"dive_map")),"")</f>
        <v/>
      </c>
      <c r="I110">
        <f>IFERROR(IF(_xlfn.MAXIFS(Documents!$E$2:$E$1421,Documents!$A$2:$A$1421,$A110,Documents!$C$2:$C$1421,"spa_menu")=0,"",_xlfn.MAXIFS(Documents!$E$2:$E$1421,Documents!$A$2:$A$1421,$A110,Documents!$C$2:$C$1421,"spa_menu")),"")</f>
        <v/>
      </c>
      <c r="J110">
        <f>IFERROR(IF(_xlfn.MAXIFS(Documents!$E$2:$E$1421,Documents!$A$2:$A$1421,$A110,Documents!$C$2:$C$1421,"dining_menu")=0,"",_xlfn.MAXIFS(Documents!$E$2:$E$1421,Documents!$A$2:$A$1421,$A110,Documents!$C$2:$C$1421,"dining_menu")),"")</f>
        <v/>
      </c>
      <c r="K110">
        <f>IFERROR(IF(_xlfn.MAXIFS(Documents!$E$2:$E$1421,Documents!$A$2:$A$1421,$A110,Documents!$C$2:$C$1421,"dive_prices")=0,"",_xlfn.MAXIFS(Documents!$E$2:$E$1421,Documents!$A$2:$A$1421,$A110,Documents!$C$2:$C$1421,"dive_prices")),"")</f>
        <v/>
      </c>
      <c r="L110">
        <f>IFERROR(IF(_xlfn.MAXIFS(Documents!$E$2:$E$1421,Documents!$A$2:$A$1421,$A110,Documents!$C$2:$C$1421,"excursions")=0,"",_xlfn.MAXIFS(Documents!$E$2:$E$1421,Documents!$A$2:$A$1421,$A110,Documents!$C$2:$C$1421,"excursions")),"")</f>
        <v/>
      </c>
      <c r="M110">
        <f>IFERROR(IF(_xlfn.MAXIFS(Documents!$E$2:$E$1421,Documents!$A$2:$A$1421,$A110,Documents!$C$2:$C$1421,"kids")=0,"",_xlfn.MAXIFS(Documents!$E$2:$E$1421,Documents!$A$2:$A$1421,$A110,Documents!$C$2:$C$1421,"kids")),"")</f>
        <v/>
      </c>
      <c r="N110">
        <f>IFERROR(IF(_xlfn.MAXIFS(Documents!$E$2:$E$1421,Documents!$A$2:$A$1421,$A110,Documents!$C$2:$C$1421,"villa_plans")=0,"",_xlfn.MAXIFS(Documents!$E$2:$E$1421,Documents!$A$2:$A$1421,$A110,Documents!$C$2:$C$1421,"villa_plans")),"")</f>
        <v/>
      </c>
      <c r="O110">
        <f>IFERROR(IF(_xlfn.MAXIFS(Documents!$E$2:$E$1421,Documents!$A$2:$A$1421,$A110,Documents!$C$2:$C$1421,"all_inclusive")=0,"",_xlfn.MAXIFS(Documents!$E$2:$E$1421,Documents!$A$2:$A$1421,$A110,Documents!$C$2:$C$1421,"all_inclusive")),"")</f>
        <v/>
      </c>
      <c r="P110">
        <f>IFERROR(IF(_xlfn.MAXIFS(Documents!$E$2:$E$1421,Documents!$A$2:$A$1421,$A110,Documents!$C$2:$C$1421,"sustainability")=0,"",_xlfn.MAXIFS(Documents!$E$2:$E$1421,Documents!$A$2:$A$1421,$A110,Documents!$C$2:$C$1421,"sustainability")),"")</f>
        <v/>
      </c>
      <c r="Q110">
        <f>IFERROR(IF(_xlfn.MAXIFS(Documents!$E$2:$E$1421,Documents!$A$2:$A$1421,$A110,Documents!$C$2:$C$1421,"calendar")=0,"",_xlfn.MAXIFS(Documents!$E$2:$E$1421,Documents!$A$2:$A$1421,$A110,Documents!$C$2:$C$1421,"calendar")),"")</f>
        <v/>
      </c>
      <c r="R110">
        <f>IFERROR(IF(_xlfn.MAXIFS(Documents!$E$2:$E$1421,Documents!$A$2:$A$1421,$A110,Documents!$C$2:$C$1421,"brochure")=0,"",_xlfn.MAXIFS(Documents!$E$2:$E$1421,Documents!$A$2:$A$1421,$A110,Documents!$C$2:$C$1421,"brochure")),"")</f>
        <v/>
      </c>
      <c r="S110">
        <f>IFERROR(IF(_xlfn.MAXIFS(Documents!$E$2:$E$1421,Documents!$A$2:$A$1421,$A110,Documents!$C$2:$C$1421,"press_kit")=0,"",_xlfn.MAXIFS(Documents!$E$2:$E$1421,Documents!$A$2:$A$1421,$A110,Documents!$C$2:$C$1421,"press_kit")),"")</f>
        <v/>
      </c>
      <c r="T110">
        <f>IFERROR(IF(_xlfn.MAXIFS(Documents!$E$2:$E$1421,Documents!$A$2:$A$1421,$A110,Documents!$C$2:$C$1421,"other")=0,"",_xlfn.MAXIFS(Documents!$E$2:$E$1421,Documents!$A$2:$A$1421,$A110,Documents!$C$2:$C$1421,"other")),"")</f>
        <v/>
      </c>
      <c r="U110">
        <f>IFERROR(IF(_xlfn.MAXIFS(Documents!$E$2:$E$1421,Documents!$A$2:$A$1421,$A110,Documents!$C$2:$C$1421,"obsolete")=0,"",_xlfn.MAXIFS(Documents!$E$2:$E$1421,Documents!$A$2:$A$1421,$A110,Documents!$C$2:$C$1421,"obsolete")),"")</f>
        <v/>
      </c>
      <c r="V110">
        <f>COUNTIFS(Documents!$A$2:$A$1421,$A110)</f>
        <v/>
      </c>
      <c r="W110">
        <f>COUNTIFS(Documents!$A$2:$A$1421,$A110,Documents!$R$2:$R$1421,"current")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not crawled</t>
        </is>
      </c>
      <c r="D111">
        <f>IFERROR(IF(_xlfn.MAXIFS(Documents!$E$2:$E$1421,Documents!$A$2:$A$1421,$A111,Documents!$C$2:$C$1421,"factsheet")=0,"",_xlfn.MAXIFS(Documents!$E$2:$E$1421,Documents!$A$2:$A$1421,$A111,Documents!$C$2:$C$1421,"factsheet")),"")</f>
        <v/>
      </c>
      <c r="E111">
        <f>IFERROR(IF(_xlfn.MAXIFS(Documents!$E$2:$E$1421,Documents!$A$2:$A$1421,$A111,Documents!$C$2:$C$1421,"wedding")=0,"",_xlfn.MAXIFS(Documents!$E$2:$E$1421,Documents!$A$2:$A$1421,$A111,Documents!$C$2:$C$1421,"wedding")),"")</f>
        <v/>
      </c>
      <c r="F111">
        <f>IFERROR(IF(_xlfn.MAXIFS(Documents!$E$2:$E$1421,Documents!$A$2:$A$1421,$A111,Documents!$C$2:$C$1421,"events")=0,"",_xlfn.MAXIFS(Documents!$E$2:$E$1421,Documents!$A$2:$A$1421,$A111,Documents!$C$2:$C$1421,"events")),"")</f>
        <v/>
      </c>
      <c r="G111">
        <f>IFERROR(IF(_xlfn.MAXIFS(Documents!$E$2:$E$1421,Documents!$A$2:$A$1421,$A111,Documents!$C$2:$C$1421,"map")=0,"",_xlfn.MAXIFS(Documents!$E$2:$E$1421,Documents!$A$2:$A$1421,$A111,Documents!$C$2:$C$1421,"map")),"")</f>
        <v/>
      </c>
      <c r="H111">
        <f>IFERROR(IF(_xlfn.MAXIFS(Documents!$E$2:$E$1421,Documents!$A$2:$A$1421,$A111,Documents!$C$2:$C$1421,"dive_map")=0,"",_xlfn.MAXIFS(Documents!$E$2:$E$1421,Documents!$A$2:$A$1421,$A111,Documents!$C$2:$C$1421,"dive_map")),"")</f>
        <v/>
      </c>
      <c r="I111">
        <f>IFERROR(IF(_xlfn.MAXIFS(Documents!$E$2:$E$1421,Documents!$A$2:$A$1421,$A111,Documents!$C$2:$C$1421,"spa_menu")=0,"",_xlfn.MAXIFS(Documents!$E$2:$E$1421,Documents!$A$2:$A$1421,$A111,Documents!$C$2:$C$1421,"spa_menu")),"")</f>
        <v/>
      </c>
      <c r="J111">
        <f>IFERROR(IF(_xlfn.MAXIFS(Documents!$E$2:$E$1421,Documents!$A$2:$A$1421,$A111,Documents!$C$2:$C$1421,"dining_menu")=0,"",_xlfn.MAXIFS(Documents!$E$2:$E$1421,Documents!$A$2:$A$1421,$A111,Documents!$C$2:$C$1421,"dining_menu")),"")</f>
        <v/>
      </c>
      <c r="K111">
        <f>IFERROR(IF(_xlfn.MAXIFS(Documents!$E$2:$E$1421,Documents!$A$2:$A$1421,$A111,Documents!$C$2:$C$1421,"dive_prices")=0,"",_xlfn.MAXIFS(Documents!$E$2:$E$1421,Documents!$A$2:$A$1421,$A111,Documents!$C$2:$C$1421,"dive_prices")),"")</f>
        <v/>
      </c>
      <c r="L111">
        <f>IFERROR(IF(_xlfn.MAXIFS(Documents!$E$2:$E$1421,Documents!$A$2:$A$1421,$A111,Documents!$C$2:$C$1421,"excursions")=0,"",_xlfn.MAXIFS(Documents!$E$2:$E$1421,Documents!$A$2:$A$1421,$A111,Documents!$C$2:$C$1421,"excursions")),"")</f>
        <v/>
      </c>
      <c r="M111">
        <f>IFERROR(IF(_xlfn.MAXIFS(Documents!$E$2:$E$1421,Documents!$A$2:$A$1421,$A111,Documents!$C$2:$C$1421,"kids")=0,"",_xlfn.MAXIFS(Documents!$E$2:$E$1421,Documents!$A$2:$A$1421,$A111,Documents!$C$2:$C$1421,"kids")),"")</f>
        <v/>
      </c>
      <c r="N111">
        <f>IFERROR(IF(_xlfn.MAXIFS(Documents!$E$2:$E$1421,Documents!$A$2:$A$1421,$A111,Documents!$C$2:$C$1421,"villa_plans")=0,"",_xlfn.MAXIFS(Documents!$E$2:$E$1421,Documents!$A$2:$A$1421,$A111,Documents!$C$2:$C$1421,"villa_plans")),"")</f>
        <v/>
      </c>
      <c r="O111">
        <f>IFERROR(IF(_xlfn.MAXIFS(Documents!$E$2:$E$1421,Documents!$A$2:$A$1421,$A111,Documents!$C$2:$C$1421,"all_inclusive")=0,"",_xlfn.MAXIFS(Documents!$E$2:$E$1421,Documents!$A$2:$A$1421,$A111,Documents!$C$2:$C$1421,"all_inclusive")),"")</f>
        <v/>
      </c>
      <c r="P111">
        <f>IFERROR(IF(_xlfn.MAXIFS(Documents!$E$2:$E$1421,Documents!$A$2:$A$1421,$A111,Documents!$C$2:$C$1421,"sustainability")=0,"",_xlfn.MAXIFS(Documents!$E$2:$E$1421,Documents!$A$2:$A$1421,$A111,Documents!$C$2:$C$1421,"sustainability")),"")</f>
        <v/>
      </c>
      <c r="Q111">
        <f>IFERROR(IF(_xlfn.MAXIFS(Documents!$E$2:$E$1421,Documents!$A$2:$A$1421,$A111,Documents!$C$2:$C$1421,"calendar")=0,"",_xlfn.MAXIFS(Documents!$E$2:$E$1421,Documents!$A$2:$A$1421,$A111,Documents!$C$2:$C$1421,"calendar")),"")</f>
        <v/>
      </c>
      <c r="R111">
        <f>IFERROR(IF(_xlfn.MAXIFS(Documents!$E$2:$E$1421,Documents!$A$2:$A$1421,$A111,Documents!$C$2:$C$1421,"brochure")=0,"",_xlfn.MAXIFS(Documents!$E$2:$E$1421,Documents!$A$2:$A$1421,$A111,Documents!$C$2:$C$1421,"brochure")),"")</f>
        <v/>
      </c>
      <c r="S111">
        <f>IFERROR(IF(_xlfn.MAXIFS(Documents!$E$2:$E$1421,Documents!$A$2:$A$1421,$A111,Documents!$C$2:$C$1421,"press_kit")=0,"",_xlfn.MAXIFS(Documents!$E$2:$E$1421,Documents!$A$2:$A$1421,$A111,Documents!$C$2:$C$1421,"press_kit")),"")</f>
        <v/>
      </c>
      <c r="T111">
        <f>IFERROR(IF(_xlfn.MAXIFS(Documents!$E$2:$E$1421,Documents!$A$2:$A$1421,$A111,Documents!$C$2:$C$1421,"other")=0,"",_xlfn.MAXIFS(Documents!$E$2:$E$1421,Documents!$A$2:$A$1421,$A111,Documents!$C$2:$C$1421,"other")),"")</f>
        <v/>
      </c>
      <c r="U111">
        <f>IFERROR(IF(_xlfn.MAXIFS(Documents!$E$2:$E$1421,Documents!$A$2:$A$1421,$A111,Documents!$C$2:$C$1421,"obsolete")=0,"",_xlfn.MAXIFS(Documents!$E$2:$E$1421,Documents!$A$2:$A$1421,$A111,Documents!$C$2:$C$1421,"obsolete")),"")</f>
        <v/>
      </c>
      <c r="V111">
        <f>COUNTIFS(Documents!$A$2:$A$1421,$A111)</f>
        <v/>
      </c>
      <c r="W111">
        <f>COUNTIFS(Documents!$A$2:$A$1421,$A111,Documents!$R$2:$R$1421,"current")</f>
        <v/>
      </c>
      <c r="X111" t="inlineStr"/>
      <c r="Y111" t="inlineStr">
        <is>
          <t>factsheet, wedding, events</t>
        </is>
      </c>
      <c r="Z111" t="inlineStr"/>
    </row>
    <row r="112">
      <c r="A112" t="n">
        <v>111</v>
      </c>
      <c r="B112" t="inlineStr">
        <is>
          <t>Huvafenfushi Maldives</t>
        </is>
      </c>
      <c r="C112" t="inlineStr">
        <is>
          <t>not crawled</t>
        </is>
      </c>
      <c r="D112">
        <f>IFERROR(IF(_xlfn.MAXIFS(Documents!$E$2:$E$1421,Documents!$A$2:$A$1421,$A112,Documents!$C$2:$C$1421,"factsheet")=0,"",_xlfn.MAXIFS(Documents!$E$2:$E$1421,Documents!$A$2:$A$1421,$A112,Documents!$C$2:$C$1421,"factsheet")),"")</f>
        <v/>
      </c>
      <c r="E112">
        <f>IFERROR(IF(_xlfn.MAXIFS(Documents!$E$2:$E$1421,Documents!$A$2:$A$1421,$A112,Documents!$C$2:$C$1421,"wedding")=0,"",_xlfn.MAXIFS(Documents!$E$2:$E$1421,Documents!$A$2:$A$1421,$A112,Documents!$C$2:$C$1421,"wedding")),"")</f>
        <v/>
      </c>
      <c r="F112">
        <f>IFERROR(IF(_xlfn.MAXIFS(Documents!$E$2:$E$1421,Documents!$A$2:$A$1421,$A112,Documents!$C$2:$C$1421,"events")=0,"",_xlfn.MAXIFS(Documents!$E$2:$E$1421,Documents!$A$2:$A$1421,$A112,Documents!$C$2:$C$1421,"events")),"")</f>
        <v/>
      </c>
      <c r="G112">
        <f>IFERROR(IF(_xlfn.MAXIFS(Documents!$E$2:$E$1421,Documents!$A$2:$A$1421,$A112,Documents!$C$2:$C$1421,"map")=0,"",_xlfn.MAXIFS(Documents!$E$2:$E$1421,Documents!$A$2:$A$1421,$A112,Documents!$C$2:$C$1421,"map")),"")</f>
        <v/>
      </c>
      <c r="H112">
        <f>IFERROR(IF(_xlfn.MAXIFS(Documents!$E$2:$E$1421,Documents!$A$2:$A$1421,$A112,Documents!$C$2:$C$1421,"dive_map")=0,"",_xlfn.MAXIFS(Documents!$E$2:$E$1421,Documents!$A$2:$A$1421,$A112,Documents!$C$2:$C$1421,"dive_map")),"")</f>
        <v/>
      </c>
      <c r="I112">
        <f>IFERROR(IF(_xlfn.MAXIFS(Documents!$E$2:$E$1421,Documents!$A$2:$A$1421,$A112,Documents!$C$2:$C$1421,"spa_menu")=0,"",_xlfn.MAXIFS(Documents!$E$2:$E$1421,Documents!$A$2:$A$1421,$A112,Documents!$C$2:$C$1421,"spa_menu")),"")</f>
        <v/>
      </c>
      <c r="J112">
        <f>IFERROR(IF(_xlfn.MAXIFS(Documents!$E$2:$E$1421,Documents!$A$2:$A$1421,$A112,Documents!$C$2:$C$1421,"dining_menu")=0,"",_xlfn.MAXIFS(Documents!$E$2:$E$1421,Documents!$A$2:$A$1421,$A112,Documents!$C$2:$C$1421,"dining_menu")),"")</f>
        <v/>
      </c>
      <c r="K112">
        <f>IFERROR(IF(_xlfn.MAXIFS(Documents!$E$2:$E$1421,Documents!$A$2:$A$1421,$A112,Documents!$C$2:$C$1421,"dive_prices")=0,"",_xlfn.MAXIFS(Documents!$E$2:$E$1421,Documents!$A$2:$A$1421,$A112,Documents!$C$2:$C$1421,"dive_prices")),"")</f>
        <v/>
      </c>
      <c r="L112">
        <f>IFERROR(IF(_xlfn.MAXIFS(Documents!$E$2:$E$1421,Documents!$A$2:$A$1421,$A112,Documents!$C$2:$C$1421,"excursions")=0,"",_xlfn.MAXIFS(Documents!$E$2:$E$1421,Documents!$A$2:$A$1421,$A112,Documents!$C$2:$C$1421,"excursions")),"")</f>
        <v/>
      </c>
      <c r="M112">
        <f>IFERROR(IF(_xlfn.MAXIFS(Documents!$E$2:$E$1421,Documents!$A$2:$A$1421,$A112,Documents!$C$2:$C$1421,"kids")=0,"",_xlfn.MAXIFS(Documents!$E$2:$E$1421,Documents!$A$2:$A$1421,$A112,Documents!$C$2:$C$1421,"kids")),"")</f>
        <v/>
      </c>
      <c r="N112">
        <f>IFERROR(IF(_xlfn.MAXIFS(Documents!$E$2:$E$1421,Documents!$A$2:$A$1421,$A112,Documents!$C$2:$C$1421,"villa_plans")=0,"",_xlfn.MAXIFS(Documents!$E$2:$E$1421,Documents!$A$2:$A$1421,$A112,Documents!$C$2:$C$1421,"villa_plans")),"")</f>
        <v/>
      </c>
      <c r="O112">
        <f>IFERROR(IF(_xlfn.MAXIFS(Documents!$E$2:$E$1421,Documents!$A$2:$A$1421,$A112,Documents!$C$2:$C$1421,"all_inclusive")=0,"",_xlfn.MAXIFS(Documents!$E$2:$E$1421,Documents!$A$2:$A$1421,$A112,Documents!$C$2:$C$1421,"all_inclusive")),"")</f>
        <v/>
      </c>
      <c r="P112">
        <f>IFERROR(IF(_xlfn.MAXIFS(Documents!$E$2:$E$1421,Documents!$A$2:$A$1421,$A112,Documents!$C$2:$C$1421,"sustainability")=0,"",_xlfn.MAXIFS(Documents!$E$2:$E$1421,Documents!$A$2:$A$1421,$A112,Documents!$C$2:$C$1421,"sustainability")),"")</f>
        <v/>
      </c>
      <c r="Q112">
        <f>IFERROR(IF(_xlfn.MAXIFS(Documents!$E$2:$E$1421,Documents!$A$2:$A$1421,$A112,Documents!$C$2:$C$1421,"calendar")=0,"",_xlfn.MAXIFS(Documents!$E$2:$E$1421,Documents!$A$2:$A$1421,$A112,Documents!$C$2:$C$1421,"calendar")),"")</f>
        <v/>
      </c>
      <c r="R112">
        <f>IFERROR(IF(_xlfn.MAXIFS(Documents!$E$2:$E$1421,Documents!$A$2:$A$1421,$A112,Documents!$C$2:$C$1421,"brochure")=0,"",_xlfn.MAXIFS(Documents!$E$2:$E$1421,Documents!$A$2:$A$1421,$A112,Documents!$C$2:$C$1421,"brochure")),"")</f>
        <v/>
      </c>
      <c r="S112">
        <f>IFERROR(IF(_xlfn.MAXIFS(Documents!$E$2:$E$1421,Documents!$A$2:$A$1421,$A112,Documents!$C$2:$C$1421,"press_kit")=0,"",_xlfn.MAXIFS(Documents!$E$2:$E$1421,Documents!$A$2:$A$1421,$A112,Documents!$C$2:$C$1421,"press_kit")),"")</f>
        <v/>
      </c>
      <c r="T112">
        <f>IFERROR(IF(_xlfn.MAXIFS(Documents!$E$2:$E$1421,Documents!$A$2:$A$1421,$A112,Documents!$C$2:$C$1421,"other")=0,"",_xlfn.MAXIFS(Documents!$E$2:$E$1421,Documents!$A$2:$A$1421,$A112,Documents!$C$2:$C$1421,"other")),"")</f>
        <v/>
      </c>
      <c r="U112">
        <f>IFERROR(IF(_xlfn.MAXIFS(Documents!$E$2:$E$1421,Documents!$A$2:$A$1421,$A112,Documents!$C$2:$C$1421,"obsolete")=0,"",_xlfn.MAXIFS(Documents!$E$2:$E$1421,Documents!$A$2:$A$1421,$A112,Documents!$C$2:$C$1421,"obsolete")),"")</f>
        <v/>
      </c>
      <c r="V112">
        <f>COUNTIFS(Documents!$A$2:$A$1421,$A112)</f>
        <v/>
      </c>
      <c r="W112">
        <f>COUNTIFS(Documents!$A$2:$A$1421,$A112,Documents!$R$2:$R$1421,"current")</f>
        <v/>
      </c>
      <c r="X112">
        <f>HYPERLINK("https://www.neoscapesmaldives.com/wp-content/uploads/Huvafen-Fushi-Factsheet-2020-Digital_rdc.pdf","2020_Huvafen-Fushi-Factsheet-2020-Digita")</f>
        <v/>
      </c>
      <c r="Y112" t="inlineStr">
        <is>
          <t>wedding, events</t>
        </is>
      </c>
      <c r="Z112" t="inlineStr"/>
    </row>
    <row r="113">
      <c r="A113" t="n">
        <v>112</v>
      </c>
      <c r="B113" t="inlineStr">
        <is>
          <t>Nika Island Resort and Spa</t>
        </is>
      </c>
      <c r="C113" t="inlineStr">
        <is>
          <t>not crawled</t>
        </is>
      </c>
      <c r="D113">
        <f>IFERROR(IF(_xlfn.MAXIFS(Documents!$E$2:$E$1421,Documents!$A$2:$A$1421,$A113,Documents!$C$2:$C$1421,"factsheet")=0,"",_xlfn.MAXIFS(Documents!$E$2:$E$1421,Documents!$A$2:$A$1421,$A113,Documents!$C$2:$C$1421,"factsheet")),"")</f>
        <v/>
      </c>
      <c r="E113">
        <f>IFERROR(IF(_xlfn.MAXIFS(Documents!$E$2:$E$1421,Documents!$A$2:$A$1421,$A113,Documents!$C$2:$C$1421,"wedding")=0,"",_xlfn.MAXIFS(Documents!$E$2:$E$1421,Documents!$A$2:$A$1421,$A113,Documents!$C$2:$C$1421,"wedding")),"")</f>
        <v/>
      </c>
      <c r="F113">
        <f>IFERROR(IF(_xlfn.MAXIFS(Documents!$E$2:$E$1421,Documents!$A$2:$A$1421,$A113,Documents!$C$2:$C$1421,"events")=0,"",_xlfn.MAXIFS(Documents!$E$2:$E$1421,Documents!$A$2:$A$1421,$A113,Documents!$C$2:$C$1421,"events")),"")</f>
        <v/>
      </c>
      <c r="G113">
        <f>IFERROR(IF(_xlfn.MAXIFS(Documents!$E$2:$E$1421,Documents!$A$2:$A$1421,$A113,Documents!$C$2:$C$1421,"map")=0,"",_xlfn.MAXIFS(Documents!$E$2:$E$1421,Documents!$A$2:$A$1421,$A113,Documents!$C$2:$C$1421,"map")),"")</f>
        <v/>
      </c>
      <c r="H113">
        <f>IFERROR(IF(_xlfn.MAXIFS(Documents!$E$2:$E$1421,Documents!$A$2:$A$1421,$A113,Documents!$C$2:$C$1421,"dive_map")=0,"",_xlfn.MAXIFS(Documents!$E$2:$E$1421,Documents!$A$2:$A$1421,$A113,Documents!$C$2:$C$1421,"dive_map")),"")</f>
        <v/>
      </c>
      <c r="I113">
        <f>IFERROR(IF(_xlfn.MAXIFS(Documents!$E$2:$E$1421,Documents!$A$2:$A$1421,$A113,Documents!$C$2:$C$1421,"spa_menu")=0,"",_xlfn.MAXIFS(Documents!$E$2:$E$1421,Documents!$A$2:$A$1421,$A113,Documents!$C$2:$C$1421,"spa_menu")),"")</f>
        <v/>
      </c>
      <c r="J113">
        <f>IFERROR(IF(_xlfn.MAXIFS(Documents!$E$2:$E$1421,Documents!$A$2:$A$1421,$A113,Documents!$C$2:$C$1421,"dining_menu")=0,"",_xlfn.MAXIFS(Documents!$E$2:$E$1421,Documents!$A$2:$A$1421,$A113,Documents!$C$2:$C$1421,"dining_menu")),"")</f>
        <v/>
      </c>
      <c r="K113">
        <f>IFERROR(IF(_xlfn.MAXIFS(Documents!$E$2:$E$1421,Documents!$A$2:$A$1421,$A113,Documents!$C$2:$C$1421,"dive_prices")=0,"",_xlfn.MAXIFS(Documents!$E$2:$E$1421,Documents!$A$2:$A$1421,$A113,Documents!$C$2:$C$1421,"dive_prices")),"")</f>
        <v/>
      </c>
      <c r="L113">
        <f>IFERROR(IF(_xlfn.MAXIFS(Documents!$E$2:$E$1421,Documents!$A$2:$A$1421,$A113,Documents!$C$2:$C$1421,"excursions")=0,"",_xlfn.MAXIFS(Documents!$E$2:$E$1421,Documents!$A$2:$A$1421,$A113,Documents!$C$2:$C$1421,"excursions")),"")</f>
        <v/>
      </c>
      <c r="M113">
        <f>IFERROR(IF(_xlfn.MAXIFS(Documents!$E$2:$E$1421,Documents!$A$2:$A$1421,$A113,Documents!$C$2:$C$1421,"kids")=0,"",_xlfn.MAXIFS(Documents!$E$2:$E$1421,Documents!$A$2:$A$1421,$A113,Documents!$C$2:$C$1421,"kids")),"")</f>
        <v/>
      </c>
      <c r="N113">
        <f>IFERROR(IF(_xlfn.MAXIFS(Documents!$E$2:$E$1421,Documents!$A$2:$A$1421,$A113,Documents!$C$2:$C$1421,"villa_plans")=0,"",_xlfn.MAXIFS(Documents!$E$2:$E$1421,Documents!$A$2:$A$1421,$A113,Documents!$C$2:$C$1421,"villa_plans")),"")</f>
        <v/>
      </c>
      <c r="O113">
        <f>IFERROR(IF(_xlfn.MAXIFS(Documents!$E$2:$E$1421,Documents!$A$2:$A$1421,$A113,Documents!$C$2:$C$1421,"all_inclusive")=0,"",_xlfn.MAXIFS(Documents!$E$2:$E$1421,Documents!$A$2:$A$1421,$A113,Documents!$C$2:$C$1421,"all_inclusive")),"")</f>
        <v/>
      </c>
      <c r="P113">
        <f>IFERROR(IF(_xlfn.MAXIFS(Documents!$E$2:$E$1421,Documents!$A$2:$A$1421,$A113,Documents!$C$2:$C$1421,"sustainability")=0,"",_xlfn.MAXIFS(Documents!$E$2:$E$1421,Documents!$A$2:$A$1421,$A113,Documents!$C$2:$C$1421,"sustainability")),"")</f>
        <v/>
      </c>
      <c r="Q113">
        <f>IFERROR(IF(_xlfn.MAXIFS(Documents!$E$2:$E$1421,Documents!$A$2:$A$1421,$A113,Documents!$C$2:$C$1421,"calendar")=0,"",_xlfn.MAXIFS(Documents!$E$2:$E$1421,Documents!$A$2:$A$1421,$A113,Documents!$C$2:$C$1421,"calendar")),"")</f>
        <v/>
      </c>
      <c r="R113">
        <f>IFERROR(IF(_xlfn.MAXIFS(Documents!$E$2:$E$1421,Documents!$A$2:$A$1421,$A113,Documents!$C$2:$C$1421,"brochure")=0,"",_xlfn.MAXIFS(Documents!$E$2:$E$1421,Documents!$A$2:$A$1421,$A113,Documents!$C$2:$C$1421,"brochure")),"")</f>
        <v/>
      </c>
      <c r="S113">
        <f>IFERROR(IF(_xlfn.MAXIFS(Documents!$E$2:$E$1421,Documents!$A$2:$A$1421,$A113,Documents!$C$2:$C$1421,"press_kit")=0,"",_xlfn.MAXIFS(Documents!$E$2:$E$1421,Documents!$A$2:$A$1421,$A113,Documents!$C$2:$C$1421,"press_kit")),"")</f>
        <v/>
      </c>
      <c r="T113">
        <f>IFERROR(IF(_xlfn.MAXIFS(Documents!$E$2:$E$1421,Documents!$A$2:$A$1421,$A113,Documents!$C$2:$C$1421,"other")=0,"",_xlfn.MAXIFS(Documents!$E$2:$E$1421,Documents!$A$2:$A$1421,$A113,Documents!$C$2:$C$1421,"other")),"")</f>
        <v/>
      </c>
      <c r="U113">
        <f>IFERROR(IF(_xlfn.MAXIFS(Documents!$E$2:$E$1421,Documents!$A$2:$A$1421,$A113,Documents!$C$2:$C$1421,"obsolete")=0,"",_xlfn.MAXIFS(Documents!$E$2:$E$1421,Documents!$A$2:$A$1421,$A113,Documents!$C$2:$C$1421,"obsolete")),"")</f>
        <v/>
      </c>
      <c r="V113">
        <f>COUNTIFS(Documents!$A$2:$A$1421,$A113)</f>
        <v/>
      </c>
      <c r="W113">
        <f>COUNTIFS(Documents!$A$2:$A$1421,$A113,Documents!$R$2:$R$1421,"current")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not crawled</t>
        </is>
      </c>
      <c r="D114">
        <f>IFERROR(IF(_xlfn.MAXIFS(Documents!$E$2:$E$1421,Documents!$A$2:$A$1421,$A114,Documents!$C$2:$C$1421,"factsheet")=0,"",_xlfn.MAXIFS(Documents!$E$2:$E$1421,Documents!$A$2:$A$1421,$A114,Documents!$C$2:$C$1421,"factsheet")),"")</f>
        <v/>
      </c>
      <c r="E114">
        <f>IFERROR(IF(_xlfn.MAXIFS(Documents!$E$2:$E$1421,Documents!$A$2:$A$1421,$A114,Documents!$C$2:$C$1421,"wedding")=0,"",_xlfn.MAXIFS(Documents!$E$2:$E$1421,Documents!$A$2:$A$1421,$A114,Documents!$C$2:$C$1421,"wedding")),"")</f>
        <v/>
      </c>
      <c r="F114">
        <f>IFERROR(IF(_xlfn.MAXIFS(Documents!$E$2:$E$1421,Documents!$A$2:$A$1421,$A114,Documents!$C$2:$C$1421,"events")=0,"",_xlfn.MAXIFS(Documents!$E$2:$E$1421,Documents!$A$2:$A$1421,$A114,Documents!$C$2:$C$1421,"events")),"")</f>
        <v/>
      </c>
      <c r="G114">
        <f>IFERROR(IF(_xlfn.MAXIFS(Documents!$E$2:$E$1421,Documents!$A$2:$A$1421,$A114,Documents!$C$2:$C$1421,"map")=0,"",_xlfn.MAXIFS(Documents!$E$2:$E$1421,Documents!$A$2:$A$1421,$A114,Documents!$C$2:$C$1421,"map")),"")</f>
        <v/>
      </c>
      <c r="H114">
        <f>IFERROR(IF(_xlfn.MAXIFS(Documents!$E$2:$E$1421,Documents!$A$2:$A$1421,$A114,Documents!$C$2:$C$1421,"dive_map")=0,"",_xlfn.MAXIFS(Documents!$E$2:$E$1421,Documents!$A$2:$A$1421,$A114,Documents!$C$2:$C$1421,"dive_map")),"")</f>
        <v/>
      </c>
      <c r="I114">
        <f>IFERROR(IF(_xlfn.MAXIFS(Documents!$E$2:$E$1421,Documents!$A$2:$A$1421,$A114,Documents!$C$2:$C$1421,"spa_menu")=0,"",_xlfn.MAXIFS(Documents!$E$2:$E$1421,Documents!$A$2:$A$1421,$A114,Documents!$C$2:$C$1421,"spa_menu")),"")</f>
        <v/>
      </c>
      <c r="J114">
        <f>IFERROR(IF(_xlfn.MAXIFS(Documents!$E$2:$E$1421,Documents!$A$2:$A$1421,$A114,Documents!$C$2:$C$1421,"dining_menu")=0,"",_xlfn.MAXIFS(Documents!$E$2:$E$1421,Documents!$A$2:$A$1421,$A114,Documents!$C$2:$C$1421,"dining_menu")),"")</f>
        <v/>
      </c>
      <c r="K114">
        <f>IFERROR(IF(_xlfn.MAXIFS(Documents!$E$2:$E$1421,Documents!$A$2:$A$1421,$A114,Documents!$C$2:$C$1421,"dive_prices")=0,"",_xlfn.MAXIFS(Documents!$E$2:$E$1421,Documents!$A$2:$A$1421,$A114,Documents!$C$2:$C$1421,"dive_prices")),"")</f>
        <v/>
      </c>
      <c r="L114">
        <f>IFERROR(IF(_xlfn.MAXIFS(Documents!$E$2:$E$1421,Documents!$A$2:$A$1421,$A114,Documents!$C$2:$C$1421,"excursions")=0,"",_xlfn.MAXIFS(Documents!$E$2:$E$1421,Documents!$A$2:$A$1421,$A114,Documents!$C$2:$C$1421,"excursions")),"")</f>
        <v/>
      </c>
      <c r="M114">
        <f>IFERROR(IF(_xlfn.MAXIFS(Documents!$E$2:$E$1421,Documents!$A$2:$A$1421,$A114,Documents!$C$2:$C$1421,"kids")=0,"",_xlfn.MAXIFS(Documents!$E$2:$E$1421,Documents!$A$2:$A$1421,$A114,Documents!$C$2:$C$1421,"kids")),"")</f>
        <v/>
      </c>
      <c r="N114">
        <f>IFERROR(IF(_xlfn.MAXIFS(Documents!$E$2:$E$1421,Documents!$A$2:$A$1421,$A114,Documents!$C$2:$C$1421,"villa_plans")=0,"",_xlfn.MAXIFS(Documents!$E$2:$E$1421,Documents!$A$2:$A$1421,$A114,Documents!$C$2:$C$1421,"villa_plans")),"")</f>
        <v/>
      </c>
      <c r="O114">
        <f>IFERROR(IF(_xlfn.MAXIFS(Documents!$E$2:$E$1421,Documents!$A$2:$A$1421,$A114,Documents!$C$2:$C$1421,"all_inclusive")=0,"",_xlfn.MAXIFS(Documents!$E$2:$E$1421,Documents!$A$2:$A$1421,$A114,Documents!$C$2:$C$1421,"all_inclusive")),"")</f>
        <v/>
      </c>
      <c r="P114">
        <f>IFERROR(IF(_xlfn.MAXIFS(Documents!$E$2:$E$1421,Documents!$A$2:$A$1421,$A114,Documents!$C$2:$C$1421,"sustainability")=0,"",_xlfn.MAXIFS(Documents!$E$2:$E$1421,Documents!$A$2:$A$1421,$A114,Documents!$C$2:$C$1421,"sustainability")),"")</f>
        <v/>
      </c>
      <c r="Q114">
        <f>IFERROR(IF(_xlfn.MAXIFS(Documents!$E$2:$E$1421,Documents!$A$2:$A$1421,$A114,Documents!$C$2:$C$1421,"calendar")=0,"",_xlfn.MAXIFS(Documents!$E$2:$E$1421,Documents!$A$2:$A$1421,$A114,Documents!$C$2:$C$1421,"calendar")),"")</f>
        <v/>
      </c>
      <c r="R114">
        <f>IFERROR(IF(_xlfn.MAXIFS(Documents!$E$2:$E$1421,Documents!$A$2:$A$1421,$A114,Documents!$C$2:$C$1421,"brochure")=0,"",_xlfn.MAXIFS(Documents!$E$2:$E$1421,Documents!$A$2:$A$1421,$A114,Documents!$C$2:$C$1421,"brochure")),"")</f>
        <v/>
      </c>
      <c r="S114">
        <f>IFERROR(IF(_xlfn.MAXIFS(Documents!$E$2:$E$1421,Documents!$A$2:$A$1421,$A114,Documents!$C$2:$C$1421,"press_kit")=0,"",_xlfn.MAXIFS(Documents!$E$2:$E$1421,Documents!$A$2:$A$1421,$A114,Documents!$C$2:$C$1421,"press_kit")),"")</f>
        <v/>
      </c>
      <c r="T114">
        <f>IFERROR(IF(_xlfn.MAXIFS(Documents!$E$2:$E$1421,Documents!$A$2:$A$1421,$A114,Documents!$C$2:$C$1421,"other")=0,"",_xlfn.MAXIFS(Documents!$E$2:$E$1421,Documents!$A$2:$A$1421,$A114,Documents!$C$2:$C$1421,"other")),"")</f>
        <v/>
      </c>
      <c r="U114">
        <f>IFERROR(IF(_xlfn.MAXIFS(Documents!$E$2:$E$1421,Documents!$A$2:$A$1421,$A114,Documents!$C$2:$C$1421,"obsolete")=0,"",_xlfn.MAXIFS(Documents!$E$2:$E$1421,Documents!$A$2:$A$1421,$A114,Documents!$C$2:$C$1421,"obsolete")),"")</f>
        <v/>
      </c>
      <c r="V114">
        <f>COUNTIFS(Documents!$A$2:$A$1421,$A114)</f>
        <v/>
      </c>
      <c r="W114">
        <f>COUNTIFS(Documents!$A$2:$A$1421,$A114,Documents!$R$2:$R$1421,"current")</f>
        <v/>
      </c>
      <c r="X114" t="inlineStr"/>
      <c r="Y114" t="inlineStr">
        <is>
          <t>factsheet, wedding, events</t>
        </is>
      </c>
      <c r="Z114" t="inlineStr"/>
    </row>
    <row r="115">
      <c r="A115" t="n">
        <v>114</v>
      </c>
      <c r="B115" t="inlineStr">
        <is>
          <t>Gangehi Island Resort</t>
        </is>
      </c>
      <c r="C115" t="inlineStr">
        <is>
          <t>not crawled</t>
        </is>
      </c>
      <c r="D115">
        <f>IFERROR(IF(_xlfn.MAXIFS(Documents!$E$2:$E$1421,Documents!$A$2:$A$1421,$A115,Documents!$C$2:$C$1421,"factsheet")=0,"",_xlfn.MAXIFS(Documents!$E$2:$E$1421,Documents!$A$2:$A$1421,$A115,Documents!$C$2:$C$1421,"factsheet")),"")</f>
        <v/>
      </c>
      <c r="E115">
        <f>IFERROR(IF(_xlfn.MAXIFS(Documents!$E$2:$E$1421,Documents!$A$2:$A$1421,$A115,Documents!$C$2:$C$1421,"wedding")=0,"",_xlfn.MAXIFS(Documents!$E$2:$E$1421,Documents!$A$2:$A$1421,$A115,Documents!$C$2:$C$1421,"wedding")),"")</f>
        <v/>
      </c>
      <c r="F115">
        <f>IFERROR(IF(_xlfn.MAXIFS(Documents!$E$2:$E$1421,Documents!$A$2:$A$1421,$A115,Documents!$C$2:$C$1421,"events")=0,"",_xlfn.MAXIFS(Documents!$E$2:$E$1421,Documents!$A$2:$A$1421,$A115,Documents!$C$2:$C$1421,"events")),"")</f>
        <v/>
      </c>
      <c r="G115">
        <f>IFERROR(IF(_xlfn.MAXIFS(Documents!$E$2:$E$1421,Documents!$A$2:$A$1421,$A115,Documents!$C$2:$C$1421,"map")=0,"",_xlfn.MAXIFS(Documents!$E$2:$E$1421,Documents!$A$2:$A$1421,$A115,Documents!$C$2:$C$1421,"map")),"")</f>
        <v/>
      </c>
      <c r="H115">
        <f>IFERROR(IF(_xlfn.MAXIFS(Documents!$E$2:$E$1421,Documents!$A$2:$A$1421,$A115,Documents!$C$2:$C$1421,"dive_map")=0,"",_xlfn.MAXIFS(Documents!$E$2:$E$1421,Documents!$A$2:$A$1421,$A115,Documents!$C$2:$C$1421,"dive_map")),"")</f>
        <v/>
      </c>
      <c r="I115">
        <f>IFERROR(IF(_xlfn.MAXIFS(Documents!$E$2:$E$1421,Documents!$A$2:$A$1421,$A115,Documents!$C$2:$C$1421,"spa_menu")=0,"",_xlfn.MAXIFS(Documents!$E$2:$E$1421,Documents!$A$2:$A$1421,$A115,Documents!$C$2:$C$1421,"spa_menu")),"")</f>
        <v/>
      </c>
      <c r="J115">
        <f>IFERROR(IF(_xlfn.MAXIFS(Documents!$E$2:$E$1421,Documents!$A$2:$A$1421,$A115,Documents!$C$2:$C$1421,"dining_menu")=0,"",_xlfn.MAXIFS(Documents!$E$2:$E$1421,Documents!$A$2:$A$1421,$A115,Documents!$C$2:$C$1421,"dining_menu")),"")</f>
        <v/>
      </c>
      <c r="K115">
        <f>IFERROR(IF(_xlfn.MAXIFS(Documents!$E$2:$E$1421,Documents!$A$2:$A$1421,$A115,Documents!$C$2:$C$1421,"dive_prices")=0,"",_xlfn.MAXIFS(Documents!$E$2:$E$1421,Documents!$A$2:$A$1421,$A115,Documents!$C$2:$C$1421,"dive_prices")),"")</f>
        <v/>
      </c>
      <c r="L115">
        <f>IFERROR(IF(_xlfn.MAXIFS(Documents!$E$2:$E$1421,Documents!$A$2:$A$1421,$A115,Documents!$C$2:$C$1421,"excursions")=0,"",_xlfn.MAXIFS(Documents!$E$2:$E$1421,Documents!$A$2:$A$1421,$A115,Documents!$C$2:$C$1421,"excursions")),"")</f>
        <v/>
      </c>
      <c r="M115">
        <f>IFERROR(IF(_xlfn.MAXIFS(Documents!$E$2:$E$1421,Documents!$A$2:$A$1421,$A115,Documents!$C$2:$C$1421,"kids")=0,"",_xlfn.MAXIFS(Documents!$E$2:$E$1421,Documents!$A$2:$A$1421,$A115,Documents!$C$2:$C$1421,"kids")),"")</f>
        <v/>
      </c>
      <c r="N115">
        <f>IFERROR(IF(_xlfn.MAXIFS(Documents!$E$2:$E$1421,Documents!$A$2:$A$1421,$A115,Documents!$C$2:$C$1421,"villa_plans")=0,"",_xlfn.MAXIFS(Documents!$E$2:$E$1421,Documents!$A$2:$A$1421,$A115,Documents!$C$2:$C$1421,"villa_plans")),"")</f>
        <v/>
      </c>
      <c r="O115">
        <f>IFERROR(IF(_xlfn.MAXIFS(Documents!$E$2:$E$1421,Documents!$A$2:$A$1421,$A115,Documents!$C$2:$C$1421,"all_inclusive")=0,"",_xlfn.MAXIFS(Documents!$E$2:$E$1421,Documents!$A$2:$A$1421,$A115,Documents!$C$2:$C$1421,"all_inclusive")),"")</f>
        <v/>
      </c>
      <c r="P115">
        <f>IFERROR(IF(_xlfn.MAXIFS(Documents!$E$2:$E$1421,Documents!$A$2:$A$1421,$A115,Documents!$C$2:$C$1421,"sustainability")=0,"",_xlfn.MAXIFS(Documents!$E$2:$E$1421,Documents!$A$2:$A$1421,$A115,Documents!$C$2:$C$1421,"sustainability")),"")</f>
        <v/>
      </c>
      <c r="Q115">
        <f>IFERROR(IF(_xlfn.MAXIFS(Documents!$E$2:$E$1421,Documents!$A$2:$A$1421,$A115,Documents!$C$2:$C$1421,"calendar")=0,"",_xlfn.MAXIFS(Documents!$E$2:$E$1421,Documents!$A$2:$A$1421,$A115,Documents!$C$2:$C$1421,"calendar")),"")</f>
        <v/>
      </c>
      <c r="R115">
        <f>IFERROR(IF(_xlfn.MAXIFS(Documents!$E$2:$E$1421,Documents!$A$2:$A$1421,$A115,Documents!$C$2:$C$1421,"brochure")=0,"",_xlfn.MAXIFS(Documents!$E$2:$E$1421,Documents!$A$2:$A$1421,$A115,Documents!$C$2:$C$1421,"brochure")),"")</f>
        <v/>
      </c>
      <c r="S115">
        <f>IFERROR(IF(_xlfn.MAXIFS(Documents!$E$2:$E$1421,Documents!$A$2:$A$1421,$A115,Documents!$C$2:$C$1421,"press_kit")=0,"",_xlfn.MAXIFS(Documents!$E$2:$E$1421,Documents!$A$2:$A$1421,$A115,Documents!$C$2:$C$1421,"press_kit")),"")</f>
        <v/>
      </c>
      <c r="T115">
        <f>IFERROR(IF(_xlfn.MAXIFS(Documents!$E$2:$E$1421,Documents!$A$2:$A$1421,$A115,Documents!$C$2:$C$1421,"other")=0,"",_xlfn.MAXIFS(Documents!$E$2:$E$1421,Documents!$A$2:$A$1421,$A115,Documents!$C$2:$C$1421,"other")),"")</f>
        <v/>
      </c>
      <c r="U115">
        <f>IFERROR(IF(_xlfn.MAXIFS(Documents!$E$2:$E$1421,Documents!$A$2:$A$1421,$A115,Documents!$C$2:$C$1421,"obsolete")=0,"",_xlfn.MAXIFS(Documents!$E$2:$E$1421,Documents!$A$2:$A$1421,$A115,Documents!$C$2:$C$1421,"obsolete")),"")</f>
        <v/>
      </c>
      <c r="V115">
        <f>COUNTIFS(Documents!$A$2:$A$1421,$A115)</f>
        <v/>
      </c>
      <c r="W115">
        <f>COUNTIFS(Documents!$A$2:$A$1421,$A115,Documents!$R$2:$R$1421,"current")</f>
        <v/>
      </c>
      <c r="X115" t="inlineStr"/>
      <c r="Y115" t="inlineStr">
        <is>
          <t>factsheet, wedding, events</t>
        </is>
      </c>
      <c r="Z115" t="inlineStr"/>
    </row>
    <row r="116">
      <c r="A116" t="n">
        <v>115</v>
      </c>
      <c r="B116" t="inlineStr">
        <is>
          <t>Oblu Select by Atmosphere at Sangeli</t>
        </is>
      </c>
      <c r="C116" t="inlineStr">
        <is>
          <t>not crawled</t>
        </is>
      </c>
      <c r="D116">
        <f>IFERROR(IF(_xlfn.MAXIFS(Documents!$E$2:$E$1421,Documents!$A$2:$A$1421,$A116,Documents!$C$2:$C$1421,"factsheet")=0,"",_xlfn.MAXIFS(Documents!$E$2:$E$1421,Documents!$A$2:$A$1421,$A116,Documents!$C$2:$C$1421,"factsheet")),"")</f>
        <v/>
      </c>
      <c r="E116">
        <f>IFERROR(IF(_xlfn.MAXIFS(Documents!$E$2:$E$1421,Documents!$A$2:$A$1421,$A116,Documents!$C$2:$C$1421,"wedding")=0,"",_xlfn.MAXIFS(Documents!$E$2:$E$1421,Documents!$A$2:$A$1421,$A116,Documents!$C$2:$C$1421,"wedding")),"")</f>
        <v/>
      </c>
      <c r="F116">
        <f>IFERROR(IF(_xlfn.MAXIFS(Documents!$E$2:$E$1421,Documents!$A$2:$A$1421,$A116,Documents!$C$2:$C$1421,"events")=0,"",_xlfn.MAXIFS(Documents!$E$2:$E$1421,Documents!$A$2:$A$1421,$A116,Documents!$C$2:$C$1421,"events")),"")</f>
        <v/>
      </c>
      <c r="G116">
        <f>IFERROR(IF(_xlfn.MAXIFS(Documents!$E$2:$E$1421,Documents!$A$2:$A$1421,$A116,Documents!$C$2:$C$1421,"map")=0,"",_xlfn.MAXIFS(Documents!$E$2:$E$1421,Documents!$A$2:$A$1421,$A116,Documents!$C$2:$C$1421,"map")),"")</f>
        <v/>
      </c>
      <c r="H116">
        <f>IFERROR(IF(_xlfn.MAXIFS(Documents!$E$2:$E$1421,Documents!$A$2:$A$1421,$A116,Documents!$C$2:$C$1421,"dive_map")=0,"",_xlfn.MAXIFS(Documents!$E$2:$E$1421,Documents!$A$2:$A$1421,$A116,Documents!$C$2:$C$1421,"dive_map")),"")</f>
        <v/>
      </c>
      <c r="I116">
        <f>IFERROR(IF(_xlfn.MAXIFS(Documents!$E$2:$E$1421,Documents!$A$2:$A$1421,$A116,Documents!$C$2:$C$1421,"spa_menu")=0,"",_xlfn.MAXIFS(Documents!$E$2:$E$1421,Documents!$A$2:$A$1421,$A116,Documents!$C$2:$C$1421,"spa_menu")),"")</f>
        <v/>
      </c>
      <c r="J116">
        <f>IFERROR(IF(_xlfn.MAXIFS(Documents!$E$2:$E$1421,Documents!$A$2:$A$1421,$A116,Documents!$C$2:$C$1421,"dining_menu")=0,"",_xlfn.MAXIFS(Documents!$E$2:$E$1421,Documents!$A$2:$A$1421,$A116,Documents!$C$2:$C$1421,"dining_menu")),"")</f>
        <v/>
      </c>
      <c r="K116">
        <f>IFERROR(IF(_xlfn.MAXIFS(Documents!$E$2:$E$1421,Documents!$A$2:$A$1421,$A116,Documents!$C$2:$C$1421,"dive_prices")=0,"",_xlfn.MAXIFS(Documents!$E$2:$E$1421,Documents!$A$2:$A$1421,$A116,Documents!$C$2:$C$1421,"dive_prices")),"")</f>
        <v/>
      </c>
      <c r="L116">
        <f>IFERROR(IF(_xlfn.MAXIFS(Documents!$E$2:$E$1421,Documents!$A$2:$A$1421,$A116,Documents!$C$2:$C$1421,"excursions")=0,"",_xlfn.MAXIFS(Documents!$E$2:$E$1421,Documents!$A$2:$A$1421,$A116,Documents!$C$2:$C$1421,"excursions")),"")</f>
        <v/>
      </c>
      <c r="M116">
        <f>IFERROR(IF(_xlfn.MAXIFS(Documents!$E$2:$E$1421,Documents!$A$2:$A$1421,$A116,Documents!$C$2:$C$1421,"kids")=0,"",_xlfn.MAXIFS(Documents!$E$2:$E$1421,Documents!$A$2:$A$1421,$A116,Documents!$C$2:$C$1421,"kids")),"")</f>
        <v/>
      </c>
      <c r="N116">
        <f>IFERROR(IF(_xlfn.MAXIFS(Documents!$E$2:$E$1421,Documents!$A$2:$A$1421,$A116,Documents!$C$2:$C$1421,"villa_plans")=0,"",_xlfn.MAXIFS(Documents!$E$2:$E$1421,Documents!$A$2:$A$1421,$A116,Documents!$C$2:$C$1421,"villa_plans")),"")</f>
        <v/>
      </c>
      <c r="O116">
        <f>IFERROR(IF(_xlfn.MAXIFS(Documents!$E$2:$E$1421,Documents!$A$2:$A$1421,$A116,Documents!$C$2:$C$1421,"all_inclusive")=0,"",_xlfn.MAXIFS(Documents!$E$2:$E$1421,Documents!$A$2:$A$1421,$A116,Documents!$C$2:$C$1421,"all_inclusive")),"")</f>
        <v/>
      </c>
      <c r="P116">
        <f>IFERROR(IF(_xlfn.MAXIFS(Documents!$E$2:$E$1421,Documents!$A$2:$A$1421,$A116,Documents!$C$2:$C$1421,"sustainability")=0,"",_xlfn.MAXIFS(Documents!$E$2:$E$1421,Documents!$A$2:$A$1421,$A116,Documents!$C$2:$C$1421,"sustainability")),"")</f>
        <v/>
      </c>
      <c r="Q116">
        <f>IFERROR(IF(_xlfn.MAXIFS(Documents!$E$2:$E$1421,Documents!$A$2:$A$1421,$A116,Documents!$C$2:$C$1421,"calendar")=0,"",_xlfn.MAXIFS(Documents!$E$2:$E$1421,Documents!$A$2:$A$1421,$A116,Documents!$C$2:$C$1421,"calendar")),"")</f>
        <v/>
      </c>
      <c r="R116">
        <f>IFERROR(IF(_xlfn.MAXIFS(Documents!$E$2:$E$1421,Documents!$A$2:$A$1421,$A116,Documents!$C$2:$C$1421,"brochure")=0,"",_xlfn.MAXIFS(Documents!$E$2:$E$1421,Documents!$A$2:$A$1421,$A116,Documents!$C$2:$C$1421,"brochure")),"")</f>
        <v/>
      </c>
      <c r="S116">
        <f>IFERROR(IF(_xlfn.MAXIFS(Documents!$E$2:$E$1421,Documents!$A$2:$A$1421,$A116,Documents!$C$2:$C$1421,"press_kit")=0,"",_xlfn.MAXIFS(Documents!$E$2:$E$1421,Documents!$A$2:$A$1421,$A116,Documents!$C$2:$C$1421,"press_kit")),"")</f>
        <v/>
      </c>
      <c r="T116">
        <f>IFERROR(IF(_xlfn.MAXIFS(Documents!$E$2:$E$1421,Documents!$A$2:$A$1421,$A116,Documents!$C$2:$C$1421,"other")=0,"",_xlfn.MAXIFS(Documents!$E$2:$E$1421,Documents!$A$2:$A$1421,$A116,Documents!$C$2:$C$1421,"other")),"")</f>
        <v/>
      </c>
      <c r="U116">
        <f>IFERROR(IF(_xlfn.MAXIFS(Documents!$E$2:$E$1421,Documents!$A$2:$A$1421,$A116,Documents!$C$2:$C$1421,"obsolete")=0,"",_xlfn.MAXIFS(Documents!$E$2:$E$1421,Documents!$A$2:$A$1421,$A116,Documents!$C$2:$C$1421,"obsolete")),"")</f>
        <v/>
      </c>
      <c r="V116">
        <f>COUNTIFS(Documents!$A$2:$A$1421,$A116)</f>
        <v/>
      </c>
      <c r="W116">
        <f>COUNTIFS(Documents!$A$2:$A$1421,$A116,Documents!$R$2:$R$1421,"current")</f>
        <v/>
      </c>
      <c r="X116" t="inlineStr"/>
      <c r="Y116" t="inlineStr">
        <is>
          <t>factsheet, wedding, events</t>
        </is>
      </c>
      <c r="Z116" t="inlineStr"/>
    </row>
    <row r="117">
      <c r="A117" t="n">
        <v>116</v>
      </c>
      <c r="B117" t="inlineStr">
        <is>
          <t>Nova Maldives</t>
        </is>
      </c>
      <c r="C117" t="inlineStr">
        <is>
          <t>not crawled</t>
        </is>
      </c>
      <c r="D117">
        <f>IFERROR(IF(_xlfn.MAXIFS(Documents!$E$2:$E$1421,Documents!$A$2:$A$1421,$A117,Documents!$C$2:$C$1421,"factsheet")=0,"",_xlfn.MAXIFS(Documents!$E$2:$E$1421,Documents!$A$2:$A$1421,$A117,Documents!$C$2:$C$1421,"factsheet")),"")</f>
        <v/>
      </c>
      <c r="E117">
        <f>IFERROR(IF(_xlfn.MAXIFS(Documents!$E$2:$E$1421,Documents!$A$2:$A$1421,$A117,Documents!$C$2:$C$1421,"wedding")=0,"",_xlfn.MAXIFS(Documents!$E$2:$E$1421,Documents!$A$2:$A$1421,$A117,Documents!$C$2:$C$1421,"wedding")),"")</f>
        <v/>
      </c>
      <c r="F117">
        <f>IFERROR(IF(_xlfn.MAXIFS(Documents!$E$2:$E$1421,Documents!$A$2:$A$1421,$A117,Documents!$C$2:$C$1421,"events")=0,"",_xlfn.MAXIFS(Documents!$E$2:$E$1421,Documents!$A$2:$A$1421,$A117,Documents!$C$2:$C$1421,"events")),"")</f>
        <v/>
      </c>
      <c r="G117">
        <f>IFERROR(IF(_xlfn.MAXIFS(Documents!$E$2:$E$1421,Documents!$A$2:$A$1421,$A117,Documents!$C$2:$C$1421,"map")=0,"",_xlfn.MAXIFS(Documents!$E$2:$E$1421,Documents!$A$2:$A$1421,$A117,Documents!$C$2:$C$1421,"map")),"")</f>
        <v/>
      </c>
      <c r="H117">
        <f>IFERROR(IF(_xlfn.MAXIFS(Documents!$E$2:$E$1421,Documents!$A$2:$A$1421,$A117,Documents!$C$2:$C$1421,"dive_map")=0,"",_xlfn.MAXIFS(Documents!$E$2:$E$1421,Documents!$A$2:$A$1421,$A117,Documents!$C$2:$C$1421,"dive_map")),"")</f>
        <v/>
      </c>
      <c r="I117">
        <f>IFERROR(IF(_xlfn.MAXIFS(Documents!$E$2:$E$1421,Documents!$A$2:$A$1421,$A117,Documents!$C$2:$C$1421,"spa_menu")=0,"",_xlfn.MAXIFS(Documents!$E$2:$E$1421,Documents!$A$2:$A$1421,$A117,Documents!$C$2:$C$1421,"spa_menu")),"")</f>
        <v/>
      </c>
      <c r="J117">
        <f>IFERROR(IF(_xlfn.MAXIFS(Documents!$E$2:$E$1421,Documents!$A$2:$A$1421,$A117,Documents!$C$2:$C$1421,"dining_menu")=0,"",_xlfn.MAXIFS(Documents!$E$2:$E$1421,Documents!$A$2:$A$1421,$A117,Documents!$C$2:$C$1421,"dining_menu")),"")</f>
        <v/>
      </c>
      <c r="K117">
        <f>IFERROR(IF(_xlfn.MAXIFS(Documents!$E$2:$E$1421,Documents!$A$2:$A$1421,$A117,Documents!$C$2:$C$1421,"dive_prices")=0,"",_xlfn.MAXIFS(Documents!$E$2:$E$1421,Documents!$A$2:$A$1421,$A117,Documents!$C$2:$C$1421,"dive_prices")),"")</f>
        <v/>
      </c>
      <c r="L117">
        <f>IFERROR(IF(_xlfn.MAXIFS(Documents!$E$2:$E$1421,Documents!$A$2:$A$1421,$A117,Documents!$C$2:$C$1421,"excursions")=0,"",_xlfn.MAXIFS(Documents!$E$2:$E$1421,Documents!$A$2:$A$1421,$A117,Documents!$C$2:$C$1421,"excursions")),"")</f>
        <v/>
      </c>
      <c r="M117">
        <f>IFERROR(IF(_xlfn.MAXIFS(Documents!$E$2:$E$1421,Documents!$A$2:$A$1421,$A117,Documents!$C$2:$C$1421,"kids")=0,"",_xlfn.MAXIFS(Documents!$E$2:$E$1421,Documents!$A$2:$A$1421,$A117,Documents!$C$2:$C$1421,"kids")),"")</f>
        <v/>
      </c>
      <c r="N117">
        <f>IFERROR(IF(_xlfn.MAXIFS(Documents!$E$2:$E$1421,Documents!$A$2:$A$1421,$A117,Documents!$C$2:$C$1421,"villa_plans")=0,"",_xlfn.MAXIFS(Documents!$E$2:$E$1421,Documents!$A$2:$A$1421,$A117,Documents!$C$2:$C$1421,"villa_plans")),"")</f>
        <v/>
      </c>
      <c r="O117">
        <f>IFERROR(IF(_xlfn.MAXIFS(Documents!$E$2:$E$1421,Documents!$A$2:$A$1421,$A117,Documents!$C$2:$C$1421,"all_inclusive")=0,"",_xlfn.MAXIFS(Documents!$E$2:$E$1421,Documents!$A$2:$A$1421,$A117,Documents!$C$2:$C$1421,"all_inclusive")),"")</f>
        <v/>
      </c>
      <c r="P117">
        <f>IFERROR(IF(_xlfn.MAXIFS(Documents!$E$2:$E$1421,Documents!$A$2:$A$1421,$A117,Documents!$C$2:$C$1421,"sustainability")=0,"",_xlfn.MAXIFS(Documents!$E$2:$E$1421,Documents!$A$2:$A$1421,$A117,Documents!$C$2:$C$1421,"sustainability")),"")</f>
        <v/>
      </c>
      <c r="Q117">
        <f>IFERROR(IF(_xlfn.MAXIFS(Documents!$E$2:$E$1421,Documents!$A$2:$A$1421,$A117,Documents!$C$2:$C$1421,"calendar")=0,"",_xlfn.MAXIFS(Documents!$E$2:$E$1421,Documents!$A$2:$A$1421,$A117,Documents!$C$2:$C$1421,"calendar")),"")</f>
        <v/>
      </c>
      <c r="R117">
        <f>IFERROR(IF(_xlfn.MAXIFS(Documents!$E$2:$E$1421,Documents!$A$2:$A$1421,$A117,Documents!$C$2:$C$1421,"brochure")=0,"",_xlfn.MAXIFS(Documents!$E$2:$E$1421,Documents!$A$2:$A$1421,$A117,Documents!$C$2:$C$1421,"brochure")),"")</f>
        <v/>
      </c>
      <c r="S117">
        <f>IFERROR(IF(_xlfn.MAXIFS(Documents!$E$2:$E$1421,Documents!$A$2:$A$1421,$A117,Documents!$C$2:$C$1421,"press_kit")=0,"",_xlfn.MAXIFS(Documents!$E$2:$E$1421,Documents!$A$2:$A$1421,$A117,Documents!$C$2:$C$1421,"press_kit")),"")</f>
        <v/>
      </c>
      <c r="T117">
        <f>IFERROR(IF(_xlfn.MAXIFS(Documents!$E$2:$E$1421,Documents!$A$2:$A$1421,$A117,Documents!$C$2:$C$1421,"other")=0,"",_xlfn.MAXIFS(Documents!$E$2:$E$1421,Documents!$A$2:$A$1421,$A117,Documents!$C$2:$C$1421,"other")),"")</f>
        <v/>
      </c>
      <c r="U117">
        <f>IFERROR(IF(_xlfn.MAXIFS(Documents!$E$2:$E$1421,Documents!$A$2:$A$1421,$A117,Documents!$C$2:$C$1421,"obsolete")=0,"",_xlfn.MAXIFS(Documents!$E$2:$E$1421,Documents!$A$2:$A$1421,$A117,Documents!$C$2:$C$1421,"obsolete")),"")</f>
        <v/>
      </c>
      <c r="V117">
        <f>COUNTIFS(Documents!$A$2:$A$1421,$A117)</f>
        <v/>
      </c>
      <c r="W117">
        <f>COUNTIFS(Documents!$A$2:$A$1421,$A117,Documents!$R$2:$R$1421,"current")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not crawled</t>
        </is>
      </c>
      <c r="D118">
        <f>IFERROR(IF(_xlfn.MAXIFS(Documents!$E$2:$E$1421,Documents!$A$2:$A$1421,$A118,Documents!$C$2:$C$1421,"factsheet")=0,"",_xlfn.MAXIFS(Documents!$E$2:$E$1421,Documents!$A$2:$A$1421,$A118,Documents!$C$2:$C$1421,"factsheet")),"")</f>
        <v/>
      </c>
      <c r="E118">
        <f>IFERROR(IF(_xlfn.MAXIFS(Documents!$E$2:$E$1421,Documents!$A$2:$A$1421,$A118,Documents!$C$2:$C$1421,"wedding")=0,"",_xlfn.MAXIFS(Documents!$E$2:$E$1421,Documents!$A$2:$A$1421,$A118,Documents!$C$2:$C$1421,"wedding")),"")</f>
        <v/>
      </c>
      <c r="F118">
        <f>IFERROR(IF(_xlfn.MAXIFS(Documents!$E$2:$E$1421,Documents!$A$2:$A$1421,$A118,Documents!$C$2:$C$1421,"events")=0,"",_xlfn.MAXIFS(Documents!$E$2:$E$1421,Documents!$A$2:$A$1421,$A118,Documents!$C$2:$C$1421,"events")),"")</f>
        <v/>
      </c>
      <c r="G118">
        <f>IFERROR(IF(_xlfn.MAXIFS(Documents!$E$2:$E$1421,Documents!$A$2:$A$1421,$A118,Documents!$C$2:$C$1421,"map")=0,"",_xlfn.MAXIFS(Documents!$E$2:$E$1421,Documents!$A$2:$A$1421,$A118,Documents!$C$2:$C$1421,"map")),"")</f>
        <v/>
      </c>
      <c r="H118">
        <f>IFERROR(IF(_xlfn.MAXIFS(Documents!$E$2:$E$1421,Documents!$A$2:$A$1421,$A118,Documents!$C$2:$C$1421,"dive_map")=0,"",_xlfn.MAXIFS(Documents!$E$2:$E$1421,Documents!$A$2:$A$1421,$A118,Documents!$C$2:$C$1421,"dive_map")),"")</f>
        <v/>
      </c>
      <c r="I118">
        <f>IFERROR(IF(_xlfn.MAXIFS(Documents!$E$2:$E$1421,Documents!$A$2:$A$1421,$A118,Documents!$C$2:$C$1421,"spa_menu")=0,"",_xlfn.MAXIFS(Documents!$E$2:$E$1421,Documents!$A$2:$A$1421,$A118,Documents!$C$2:$C$1421,"spa_menu")),"")</f>
        <v/>
      </c>
      <c r="J118">
        <f>IFERROR(IF(_xlfn.MAXIFS(Documents!$E$2:$E$1421,Documents!$A$2:$A$1421,$A118,Documents!$C$2:$C$1421,"dining_menu")=0,"",_xlfn.MAXIFS(Documents!$E$2:$E$1421,Documents!$A$2:$A$1421,$A118,Documents!$C$2:$C$1421,"dining_menu")),"")</f>
        <v/>
      </c>
      <c r="K118">
        <f>IFERROR(IF(_xlfn.MAXIFS(Documents!$E$2:$E$1421,Documents!$A$2:$A$1421,$A118,Documents!$C$2:$C$1421,"dive_prices")=0,"",_xlfn.MAXIFS(Documents!$E$2:$E$1421,Documents!$A$2:$A$1421,$A118,Documents!$C$2:$C$1421,"dive_prices")),"")</f>
        <v/>
      </c>
      <c r="L118">
        <f>IFERROR(IF(_xlfn.MAXIFS(Documents!$E$2:$E$1421,Documents!$A$2:$A$1421,$A118,Documents!$C$2:$C$1421,"excursions")=0,"",_xlfn.MAXIFS(Documents!$E$2:$E$1421,Documents!$A$2:$A$1421,$A118,Documents!$C$2:$C$1421,"excursions")),"")</f>
        <v/>
      </c>
      <c r="M118">
        <f>IFERROR(IF(_xlfn.MAXIFS(Documents!$E$2:$E$1421,Documents!$A$2:$A$1421,$A118,Documents!$C$2:$C$1421,"kids")=0,"",_xlfn.MAXIFS(Documents!$E$2:$E$1421,Documents!$A$2:$A$1421,$A118,Documents!$C$2:$C$1421,"kids")),"")</f>
        <v/>
      </c>
      <c r="N118">
        <f>IFERROR(IF(_xlfn.MAXIFS(Documents!$E$2:$E$1421,Documents!$A$2:$A$1421,$A118,Documents!$C$2:$C$1421,"villa_plans")=0,"",_xlfn.MAXIFS(Documents!$E$2:$E$1421,Documents!$A$2:$A$1421,$A118,Documents!$C$2:$C$1421,"villa_plans")),"")</f>
        <v/>
      </c>
      <c r="O118">
        <f>IFERROR(IF(_xlfn.MAXIFS(Documents!$E$2:$E$1421,Documents!$A$2:$A$1421,$A118,Documents!$C$2:$C$1421,"all_inclusive")=0,"",_xlfn.MAXIFS(Documents!$E$2:$E$1421,Documents!$A$2:$A$1421,$A118,Documents!$C$2:$C$1421,"all_inclusive")),"")</f>
        <v/>
      </c>
      <c r="P118">
        <f>IFERROR(IF(_xlfn.MAXIFS(Documents!$E$2:$E$1421,Documents!$A$2:$A$1421,$A118,Documents!$C$2:$C$1421,"sustainability")=0,"",_xlfn.MAXIFS(Documents!$E$2:$E$1421,Documents!$A$2:$A$1421,$A118,Documents!$C$2:$C$1421,"sustainability")),"")</f>
        <v/>
      </c>
      <c r="Q118">
        <f>IFERROR(IF(_xlfn.MAXIFS(Documents!$E$2:$E$1421,Documents!$A$2:$A$1421,$A118,Documents!$C$2:$C$1421,"calendar")=0,"",_xlfn.MAXIFS(Documents!$E$2:$E$1421,Documents!$A$2:$A$1421,$A118,Documents!$C$2:$C$1421,"calendar")),"")</f>
        <v/>
      </c>
      <c r="R118">
        <f>IFERROR(IF(_xlfn.MAXIFS(Documents!$E$2:$E$1421,Documents!$A$2:$A$1421,$A118,Documents!$C$2:$C$1421,"brochure")=0,"",_xlfn.MAXIFS(Documents!$E$2:$E$1421,Documents!$A$2:$A$1421,$A118,Documents!$C$2:$C$1421,"brochure")),"")</f>
        <v/>
      </c>
      <c r="S118">
        <f>IFERROR(IF(_xlfn.MAXIFS(Documents!$E$2:$E$1421,Documents!$A$2:$A$1421,$A118,Documents!$C$2:$C$1421,"press_kit")=0,"",_xlfn.MAXIFS(Documents!$E$2:$E$1421,Documents!$A$2:$A$1421,$A118,Documents!$C$2:$C$1421,"press_kit")),"")</f>
        <v/>
      </c>
      <c r="T118">
        <f>IFERROR(IF(_xlfn.MAXIFS(Documents!$E$2:$E$1421,Documents!$A$2:$A$1421,$A118,Documents!$C$2:$C$1421,"other")=0,"",_xlfn.MAXIFS(Documents!$E$2:$E$1421,Documents!$A$2:$A$1421,$A118,Documents!$C$2:$C$1421,"other")),"")</f>
        <v/>
      </c>
      <c r="U118">
        <f>IFERROR(IF(_xlfn.MAXIFS(Documents!$E$2:$E$1421,Documents!$A$2:$A$1421,$A118,Documents!$C$2:$C$1421,"obsolete")=0,"",_xlfn.MAXIFS(Documents!$E$2:$E$1421,Documents!$A$2:$A$1421,$A118,Documents!$C$2:$C$1421,"obsolete")),"")</f>
        <v/>
      </c>
      <c r="V118">
        <f>COUNTIFS(Documents!$A$2:$A$1421,$A118)</f>
        <v/>
      </c>
      <c r="W118">
        <f>COUNTIFS(Documents!$A$2:$A$1421,$A118,Documents!$R$2:$R$1421,"current")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not crawled</t>
        </is>
      </c>
      <c r="D119">
        <f>IFERROR(IF(_xlfn.MAXIFS(Documents!$E$2:$E$1421,Documents!$A$2:$A$1421,$A119,Documents!$C$2:$C$1421,"factsheet")=0,"",_xlfn.MAXIFS(Documents!$E$2:$E$1421,Documents!$A$2:$A$1421,$A119,Documents!$C$2:$C$1421,"factsheet")),"")</f>
        <v/>
      </c>
      <c r="E119">
        <f>IFERROR(IF(_xlfn.MAXIFS(Documents!$E$2:$E$1421,Documents!$A$2:$A$1421,$A119,Documents!$C$2:$C$1421,"wedding")=0,"",_xlfn.MAXIFS(Documents!$E$2:$E$1421,Documents!$A$2:$A$1421,$A119,Documents!$C$2:$C$1421,"wedding")),"")</f>
        <v/>
      </c>
      <c r="F119">
        <f>IFERROR(IF(_xlfn.MAXIFS(Documents!$E$2:$E$1421,Documents!$A$2:$A$1421,$A119,Documents!$C$2:$C$1421,"events")=0,"",_xlfn.MAXIFS(Documents!$E$2:$E$1421,Documents!$A$2:$A$1421,$A119,Documents!$C$2:$C$1421,"events")),"")</f>
        <v/>
      </c>
      <c r="G119">
        <f>IFERROR(IF(_xlfn.MAXIFS(Documents!$E$2:$E$1421,Documents!$A$2:$A$1421,$A119,Documents!$C$2:$C$1421,"map")=0,"",_xlfn.MAXIFS(Documents!$E$2:$E$1421,Documents!$A$2:$A$1421,$A119,Documents!$C$2:$C$1421,"map")),"")</f>
        <v/>
      </c>
      <c r="H119">
        <f>IFERROR(IF(_xlfn.MAXIFS(Documents!$E$2:$E$1421,Documents!$A$2:$A$1421,$A119,Documents!$C$2:$C$1421,"dive_map")=0,"",_xlfn.MAXIFS(Documents!$E$2:$E$1421,Documents!$A$2:$A$1421,$A119,Documents!$C$2:$C$1421,"dive_map")),"")</f>
        <v/>
      </c>
      <c r="I119">
        <f>IFERROR(IF(_xlfn.MAXIFS(Documents!$E$2:$E$1421,Documents!$A$2:$A$1421,$A119,Documents!$C$2:$C$1421,"spa_menu")=0,"",_xlfn.MAXIFS(Documents!$E$2:$E$1421,Documents!$A$2:$A$1421,$A119,Documents!$C$2:$C$1421,"spa_menu")),"")</f>
        <v/>
      </c>
      <c r="J119">
        <f>IFERROR(IF(_xlfn.MAXIFS(Documents!$E$2:$E$1421,Documents!$A$2:$A$1421,$A119,Documents!$C$2:$C$1421,"dining_menu")=0,"",_xlfn.MAXIFS(Documents!$E$2:$E$1421,Documents!$A$2:$A$1421,$A119,Documents!$C$2:$C$1421,"dining_menu")),"")</f>
        <v/>
      </c>
      <c r="K119">
        <f>IFERROR(IF(_xlfn.MAXIFS(Documents!$E$2:$E$1421,Documents!$A$2:$A$1421,$A119,Documents!$C$2:$C$1421,"dive_prices")=0,"",_xlfn.MAXIFS(Documents!$E$2:$E$1421,Documents!$A$2:$A$1421,$A119,Documents!$C$2:$C$1421,"dive_prices")),"")</f>
        <v/>
      </c>
      <c r="L119">
        <f>IFERROR(IF(_xlfn.MAXIFS(Documents!$E$2:$E$1421,Documents!$A$2:$A$1421,$A119,Documents!$C$2:$C$1421,"excursions")=0,"",_xlfn.MAXIFS(Documents!$E$2:$E$1421,Documents!$A$2:$A$1421,$A119,Documents!$C$2:$C$1421,"excursions")),"")</f>
        <v/>
      </c>
      <c r="M119">
        <f>IFERROR(IF(_xlfn.MAXIFS(Documents!$E$2:$E$1421,Documents!$A$2:$A$1421,$A119,Documents!$C$2:$C$1421,"kids")=0,"",_xlfn.MAXIFS(Documents!$E$2:$E$1421,Documents!$A$2:$A$1421,$A119,Documents!$C$2:$C$1421,"kids")),"")</f>
        <v/>
      </c>
      <c r="N119">
        <f>IFERROR(IF(_xlfn.MAXIFS(Documents!$E$2:$E$1421,Documents!$A$2:$A$1421,$A119,Documents!$C$2:$C$1421,"villa_plans")=0,"",_xlfn.MAXIFS(Documents!$E$2:$E$1421,Documents!$A$2:$A$1421,$A119,Documents!$C$2:$C$1421,"villa_plans")),"")</f>
        <v/>
      </c>
      <c r="O119">
        <f>IFERROR(IF(_xlfn.MAXIFS(Documents!$E$2:$E$1421,Documents!$A$2:$A$1421,$A119,Documents!$C$2:$C$1421,"all_inclusive")=0,"",_xlfn.MAXIFS(Documents!$E$2:$E$1421,Documents!$A$2:$A$1421,$A119,Documents!$C$2:$C$1421,"all_inclusive")),"")</f>
        <v/>
      </c>
      <c r="P119">
        <f>IFERROR(IF(_xlfn.MAXIFS(Documents!$E$2:$E$1421,Documents!$A$2:$A$1421,$A119,Documents!$C$2:$C$1421,"sustainability")=0,"",_xlfn.MAXIFS(Documents!$E$2:$E$1421,Documents!$A$2:$A$1421,$A119,Documents!$C$2:$C$1421,"sustainability")),"")</f>
        <v/>
      </c>
      <c r="Q119">
        <f>IFERROR(IF(_xlfn.MAXIFS(Documents!$E$2:$E$1421,Documents!$A$2:$A$1421,$A119,Documents!$C$2:$C$1421,"calendar")=0,"",_xlfn.MAXIFS(Documents!$E$2:$E$1421,Documents!$A$2:$A$1421,$A119,Documents!$C$2:$C$1421,"calendar")),"")</f>
        <v/>
      </c>
      <c r="R119">
        <f>IFERROR(IF(_xlfn.MAXIFS(Documents!$E$2:$E$1421,Documents!$A$2:$A$1421,$A119,Documents!$C$2:$C$1421,"brochure")=0,"",_xlfn.MAXIFS(Documents!$E$2:$E$1421,Documents!$A$2:$A$1421,$A119,Documents!$C$2:$C$1421,"brochure")),"")</f>
        <v/>
      </c>
      <c r="S119">
        <f>IFERROR(IF(_xlfn.MAXIFS(Documents!$E$2:$E$1421,Documents!$A$2:$A$1421,$A119,Documents!$C$2:$C$1421,"press_kit")=0,"",_xlfn.MAXIFS(Documents!$E$2:$E$1421,Documents!$A$2:$A$1421,$A119,Documents!$C$2:$C$1421,"press_kit")),"")</f>
        <v/>
      </c>
      <c r="T119">
        <f>IFERROR(IF(_xlfn.MAXIFS(Documents!$E$2:$E$1421,Documents!$A$2:$A$1421,$A119,Documents!$C$2:$C$1421,"other")=0,"",_xlfn.MAXIFS(Documents!$E$2:$E$1421,Documents!$A$2:$A$1421,$A119,Documents!$C$2:$C$1421,"other")),"")</f>
        <v/>
      </c>
      <c r="U119">
        <f>IFERROR(IF(_xlfn.MAXIFS(Documents!$E$2:$E$1421,Documents!$A$2:$A$1421,$A119,Documents!$C$2:$C$1421,"obsolete")=0,"",_xlfn.MAXIFS(Documents!$E$2:$E$1421,Documents!$A$2:$A$1421,$A119,Documents!$C$2:$C$1421,"obsolete")),"")</f>
        <v/>
      </c>
      <c r="V119">
        <f>COUNTIFS(Documents!$A$2:$A$1421,$A119)</f>
        <v/>
      </c>
      <c r="W119">
        <f>COUNTIFS(Documents!$A$2:$A$1421,$A119,Documents!$R$2:$R$1421,"current")</f>
        <v/>
      </c>
      <c r="X119">
        <f>HYPERLINK("https://www.neoscapesmaldives.com/wp-content/uploads/Iru-Veli-Factsheet-EN.pdf","2021_Iru-Veli-Factsheet-EN.pdf")</f>
        <v/>
      </c>
      <c r="Y119" t="inlineStr">
        <is>
          <t>wedding, events</t>
        </is>
      </c>
      <c r="Z119" t="inlineStr"/>
    </row>
    <row r="120">
      <c r="A120" t="n">
        <v>119</v>
      </c>
      <c r="B120" t="inlineStr">
        <is>
          <t>Outrigger Maldives Maafushivaru Resort</t>
        </is>
      </c>
      <c r="C120" t="inlineStr">
        <is>
          <t>not crawled</t>
        </is>
      </c>
      <c r="D120">
        <f>IFERROR(IF(_xlfn.MAXIFS(Documents!$E$2:$E$1421,Documents!$A$2:$A$1421,$A120,Documents!$C$2:$C$1421,"factsheet")=0,"",_xlfn.MAXIFS(Documents!$E$2:$E$1421,Documents!$A$2:$A$1421,$A120,Documents!$C$2:$C$1421,"factsheet")),"")</f>
        <v/>
      </c>
      <c r="E120">
        <f>IFERROR(IF(_xlfn.MAXIFS(Documents!$E$2:$E$1421,Documents!$A$2:$A$1421,$A120,Documents!$C$2:$C$1421,"wedding")=0,"",_xlfn.MAXIFS(Documents!$E$2:$E$1421,Documents!$A$2:$A$1421,$A120,Documents!$C$2:$C$1421,"wedding")),"")</f>
        <v/>
      </c>
      <c r="F120">
        <f>IFERROR(IF(_xlfn.MAXIFS(Documents!$E$2:$E$1421,Documents!$A$2:$A$1421,$A120,Documents!$C$2:$C$1421,"events")=0,"",_xlfn.MAXIFS(Documents!$E$2:$E$1421,Documents!$A$2:$A$1421,$A120,Documents!$C$2:$C$1421,"events")),"")</f>
        <v/>
      </c>
      <c r="G120">
        <f>IFERROR(IF(_xlfn.MAXIFS(Documents!$E$2:$E$1421,Documents!$A$2:$A$1421,$A120,Documents!$C$2:$C$1421,"map")=0,"",_xlfn.MAXIFS(Documents!$E$2:$E$1421,Documents!$A$2:$A$1421,$A120,Documents!$C$2:$C$1421,"map")),"")</f>
        <v/>
      </c>
      <c r="H120">
        <f>IFERROR(IF(_xlfn.MAXIFS(Documents!$E$2:$E$1421,Documents!$A$2:$A$1421,$A120,Documents!$C$2:$C$1421,"dive_map")=0,"",_xlfn.MAXIFS(Documents!$E$2:$E$1421,Documents!$A$2:$A$1421,$A120,Documents!$C$2:$C$1421,"dive_map")),"")</f>
        <v/>
      </c>
      <c r="I120">
        <f>IFERROR(IF(_xlfn.MAXIFS(Documents!$E$2:$E$1421,Documents!$A$2:$A$1421,$A120,Documents!$C$2:$C$1421,"spa_menu")=0,"",_xlfn.MAXIFS(Documents!$E$2:$E$1421,Documents!$A$2:$A$1421,$A120,Documents!$C$2:$C$1421,"spa_menu")),"")</f>
        <v/>
      </c>
      <c r="J120">
        <f>IFERROR(IF(_xlfn.MAXIFS(Documents!$E$2:$E$1421,Documents!$A$2:$A$1421,$A120,Documents!$C$2:$C$1421,"dining_menu")=0,"",_xlfn.MAXIFS(Documents!$E$2:$E$1421,Documents!$A$2:$A$1421,$A120,Documents!$C$2:$C$1421,"dining_menu")),"")</f>
        <v/>
      </c>
      <c r="K120">
        <f>IFERROR(IF(_xlfn.MAXIFS(Documents!$E$2:$E$1421,Documents!$A$2:$A$1421,$A120,Documents!$C$2:$C$1421,"dive_prices")=0,"",_xlfn.MAXIFS(Documents!$E$2:$E$1421,Documents!$A$2:$A$1421,$A120,Documents!$C$2:$C$1421,"dive_prices")),"")</f>
        <v/>
      </c>
      <c r="L120">
        <f>IFERROR(IF(_xlfn.MAXIFS(Documents!$E$2:$E$1421,Documents!$A$2:$A$1421,$A120,Documents!$C$2:$C$1421,"excursions")=0,"",_xlfn.MAXIFS(Documents!$E$2:$E$1421,Documents!$A$2:$A$1421,$A120,Documents!$C$2:$C$1421,"excursions")),"")</f>
        <v/>
      </c>
      <c r="M120">
        <f>IFERROR(IF(_xlfn.MAXIFS(Documents!$E$2:$E$1421,Documents!$A$2:$A$1421,$A120,Documents!$C$2:$C$1421,"kids")=0,"",_xlfn.MAXIFS(Documents!$E$2:$E$1421,Documents!$A$2:$A$1421,$A120,Documents!$C$2:$C$1421,"kids")),"")</f>
        <v/>
      </c>
      <c r="N120">
        <f>IFERROR(IF(_xlfn.MAXIFS(Documents!$E$2:$E$1421,Documents!$A$2:$A$1421,$A120,Documents!$C$2:$C$1421,"villa_plans")=0,"",_xlfn.MAXIFS(Documents!$E$2:$E$1421,Documents!$A$2:$A$1421,$A120,Documents!$C$2:$C$1421,"villa_plans")),"")</f>
        <v/>
      </c>
      <c r="O120">
        <f>IFERROR(IF(_xlfn.MAXIFS(Documents!$E$2:$E$1421,Documents!$A$2:$A$1421,$A120,Documents!$C$2:$C$1421,"all_inclusive")=0,"",_xlfn.MAXIFS(Documents!$E$2:$E$1421,Documents!$A$2:$A$1421,$A120,Documents!$C$2:$C$1421,"all_inclusive")),"")</f>
        <v/>
      </c>
      <c r="P120">
        <f>IFERROR(IF(_xlfn.MAXIFS(Documents!$E$2:$E$1421,Documents!$A$2:$A$1421,$A120,Documents!$C$2:$C$1421,"sustainability")=0,"",_xlfn.MAXIFS(Documents!$E$2:$E$1421,Documents!$A$2:$A$1421,$A120,Documents!$C$2:$C$1421,"sustainability")),"")</f>
        <v/>
      </c>
      <c r="Q120">
        <f>IFERROR(IF(_xlfn.MAXIFS(Documents!$E$2:$E$1421,Documents!$A$2:$A$1421,$A120,Documents!$C$2:$C$1421,"calendar")=0,"",_xlfn.MAXIFS(Documents!$E$2:$E$1421,Documents!$A$2:$A$1421,$A120,Documents!$C$2:$C$1421,"calendar")),"")</f>
        <v/>
      </c>
      <c r="R120">
        <f>IFERROR(IF(_xlfn.MAXIFS(Documents!$E$2:$E$1421,Documents!$A$2:$A$1421,$A120,Documents!$C$2:$C$1421,"brochure")=0,"",_xlfn.MAXIFS(Documents!$E$2:$E$1421,Documents!$A$2:$A$1421,$A120,Documents!$C$2:$C$1421,"brochure")),"")</f>
        <v/>
      </c>
      <c r="S120">
        <f>IFERROR(IF(_xlfn.MAXIFS(Documents!$E$2:$E$1421,Documents!$A$2:$A$1421,$A120,Documents!$C$2:$C$1421,"press_kit")=0,"",_xlfn.MAXIFS(Documents!$E$2:$E$1421,Documents!$A$2:$A$1421,$A120,Documents!$C$2:$C$1421,"press_kit")),"")</f>
        <v/>
      </c>
      <c r="T120">
        <f>IFERROR(IF(_xlfn.MAXIFS(Documents!$E$2:$E$1421,Documents!$A$2:$A$1421,$A120,Documents!$C$2:$C$1421,"other")=0,"",_xlfn.MAXIFS(Documents!$E$2:$E$1421,Documents!$A$2:$A$1421,$A120,Documents!$C$2:$C$1421,"other")),"")</f>
        <v/>
      </c>
      <c r="U120">
        <f>IFERROR(IF(_xlfn.MAXIFS(Documents!$E$2:$E$1421,Documents!$A$2:$A$1421,$A120,Documents!$C$2:$C$1421,"obsolete")=0,"",_xlfn.MAXIFS(Documents!$E$2:$E$1421,Documents!$A$2:$A$1421,$A120,Documents!$C$2:$C$1421,"obsolete")),"")</f>
        <v/>
      </c>
      <c r="V120">
        <f>COUNTIFS(Documents!$A$2:$A$1421,$A120)</f>
        <v/>
      </c>
      <c r="W120">
        <f>COUNTIFS(Documents!$A$2:$A$1421,$A120,Documents!$R$2:$R$1421,"current")</f>
        <v/>
      </c>
      <c r="X120" t="inlineStr"/>
      <c r="Y120" t="inlineStr">
        <is>
          <t>factsheet, wedding, events</t>
        </is>
      </c>
      <c r="Z120" t="inlineStr">
        <is>
          <t>Lti Maafushivaru (older name)</t>
        </is>
      </c>
    </row>
    <row r="121">
      <c r="A121" t="n">
        <v>120</v>
      </c>
      <c r="B121" t="inlineStr">
        <is>
          <t>Bandos Maldives</t>
        </is>
      </c>
      <c r="C121" t="inlineStr">
        <is>
          <t>not crawled</t>
        </is>
      </c>
      <c r="D121">
        <f>IFERROR(IF(_xlfn.MAXIFS(Documents!$E$2:$E$1421,Documents!$A$2:$A$1421,$A121,Documents!$C$2:$C$1421,"factsheet")=0,"",_xlfn.MAXIFS(Documents!$E$2:$E$1421,Documents!$A$2:$A$1421,$A121,Documents!$C$2:$C$1421,"factsheet")),"")</f>
        <v/>
      </c>
      <c r="E121">
        <f>IFERROR(IF(_xlfn.MAXIFS(Documents!$E$2:$E$1421,Documents!$A$2:$A$1421,$A121,Documents!$C$2:$C$1421,"wedding")=0,"",_xlfn.MAXIFS(Documents!$E$2:$E$1421,Documents!$A$2:$A$1421,$A121,Documents!$C$2:$C$1421,"wedding")),"")</f>
        <v/>
      </c>
      <c r="F121">
        <f>IFERROR(IF(_xlfn.MAXIFS(Documents!$E$2:$E$1421,Documents!$A$2:$A$1421,$A121,Documents!$C$2:$C$1421,"events")=0,"",_xlfn.MAXIFS(Documents!$E$2:$E$1421,Documents!$A$2:$A$1421,$A121,Documents!$C$2:$C$1421,"events")),"")</f>
        <v/>
      </c>
      <c r="G121">
        <f>IFERROR(IF(_xlfn.MAXIFS(Documents!$E$2:$E$1421,Documents!$A$2:$A$1421,$A121,Documents!$C$2:$C$1421,"map")=0,"",_xlfn.MAXIFS(Documents!$E$2:$E$1421,Documents!$A$2:$A$1421,$A121,Documents!$C$2:$C$1421,"map")),"")</f>
        <v/>
      </c>
      <c r="H121">
        <f>IFERROR(IF(_xlfn.MAXIFS(Documents!$E$2:$E$1421,Documents!$A$2:$A$1421,$A121,Documents!$C$2:$C$1421,"dive_map")=0,"",_xlfn.MAXIFS(Documents!$E$2:$E$1421,Documents!$A$2:$A$1421,$A121,Documents!$C$2:$C$1421,"dive_map")),"")</f>
        <v/>
      </c>
      <c r="I121">
        <f>IFERROR(IF(_xlfn.MAXIFS(Documents!$E$2:$E$1421,Documents!$A$2:$A$1421,$A121,Documents!$C$2:$C$1421,"spa_menu")=0,"",_xlfn.MAXIFS(Documents!$E$2:$E$1421,Documents!$A$2:$A$1421,$A121,Documents!$C$2:$C$1421,"spa_menu")),"")</f>
        <v/>
      </c>
      <c r="J121">
        <f>IFERROR(IF(_xlfn.MAXIFS(Documents!$E$2:$E$1421,Documents!$A$2:$A$1421,$A121,Documents!$C$2:$C$1421,"dining_menu")=0,"",_xlfn.MAXIFS(Documents!$E$2:$E$1421,Documents!$A$2:$A$1421,$A121,Documents!$C$2:$C$1421,"dining_menu")),"")</f>
        <v/>
      </c>
      <c r="K121">
        <f>IFERROR(IF(_xlfn.MAXIFS(Documents!$E$2:$E$1421,Documents!$A$2:$A$1421,$A121,Documents!$C$2:$C$1421,"dive_prices")=0,"",_xlfn.MAXIFS(Documents!$E$2:$E$1421,Documents!$A$2:$A$1421,$A121,Documents!$C$2:$C$1421,"dive_prices")),"")</f>
        <v/>
      </c>
      <c r="L121">
        <f>IFERROR(IF(_xlfn.MAXIFS(Documents!$E$2:$E$1421,Documents!$A$2:$A$1421,$A121,Documents!$C$2:$C$1421,"excursions")=0,"",_xlfn.MAXIFS(Documents!$E$2:$E$1421,Documents!$A$2:$A$1421,$A121,Documents!$C$2:$C$1421,"excursions")),"")</f>
        <v/>
      </c>
      <c r="M121">
        <f>IFERROR(IF(_xlfn.MAXIFS(Documents!$E$2:$E$1421,Documents!$A$2:$A$1421,$A121,Documents!$C$2:$C$1421,"kids")=0,"",_xlfn.MAXIFS(Documents!$E$2:$E$1421,Documents!$A$2:$A$1421,$A121,Documents!$C$2:$C$1421,"kids")),"")</f>
        <v/>
      </c>
      <c r="N121">
        <f>IFERROR(IF(_xlfn.MAXIFS(Documents!$E$2:$E$1421,Documents!$A$2:$A$1421,$A121,Documents!$C$2:$C$1421,"villa_plans")=0,"",_xlfn.MAXIFS(Documents!$E$2:$E$1421,Documents!$A$2:$A$1421,$A121,Documents!$C$2:$C$1421,"villa_plans")),"")</f>
        <v/>
      </c>
      <c r="O121">
        <f>IFERROR(IF(_xlfn.MAXIFS(Documents!$E$2:$E$1421,Documents!$A$2:$A$1421,$A121,Documents!$C$2:$C$1421,"all_inclusive")=0,"",_xlfn.MAXIFS(Documents!$E$2:$E$1421,Documents!$A$2:$A$1421,$A121,Documents!$C$2:$C$1421,"all_inclusive")),"")</f>
        <v/>
      </c>
      <c r="P121">
        <f>IFERROR(IF(_xlfn.MAXIFS(Documents!$E$2:$E$1421,Documents!$A$2:$A$1421,$A121,Documents!$C$2:$C$1421,"sustainability")=0,"",_xlfn.MAXIFS(Documents!$E$2:$E$1421,Documents!$A$2:$A$1421,$A121,Documents!$C$2:$C$1421,"sustainability")),"")</f>
        <v/>
      </c>
      <c r="Q121">
        <f>IFERROR(IF(_xlfn.MAXIFS(Documents!$E$2:$E$1421,Documents!$A$2:$A$1421,$A121,Documents!$C$2:$C$1421,"calendar")=0,"",_xlfn.MAXIFS(Documents!$E$2:$E$1421,Documents!$A$2:$A$1421,$A121,Documents!$C$2:$C$1421,"calendar")),"")</f>
        <v/>
      </c>
      <c r="R121">
        <f>IFERROR(IF(_xlfn.MAXIFS(Documents!$E$2:$E$1421,Documents!$A$2:$A$1421,$A121,Documents!$C$2:$C$1421,"brochure")=0,"",_xlfn.MAXIFS(Documents!$E$2:$E$1421,Documents!$A$2:$A$1421,$A121,Documents!$C$2:$C$1421,"brochure")),"")</f>
        <v/>
      </c>
      <c r="S121">
        <f>IFERROR(IF(_xlfn.MAXIFS(Documents!$E$2:$E$1421,Documents!$A$2:$A$1421,$A121,Documents!$C$2:$C$1421,"press_kit")=0,"",_xlfn.MAXIFS(Documents!$E$2:$E$1421,Documents!$A$2:$A$1421,$A121,Documents!$C$2:$C$1421,"press_kit")),"")</f>
        <v/>
      </c>
      <c r="T121">
        <f>IFERROR(IF(_xlfn.MAXIFS(Documents!$E$2:$E$1421,Documents!$A$2:$A$1421,$A121,Documents!$C$2:$C$1421,"other")=0,"",_xlfn.MAXIFS(Documents!$E$2:$E$1421,Documents!$A$2:$A$1421,$A121,Documents!$C$2:$C$1421,"other")),"")</f>
        <v/>
      </c>
      <c r="U121">
        <f>IFERROR(IF(_xlfn.MAXIFS(Documents!$E$2:$E$1421,Documents!$A$2:$A$1421,$A121,Documents!$C$2:$C$1421,"obsolete")=0,"",_xlfn.MAXIFS(Documents!$E$2:$E$1421,Documents!$A$2:$A$1421,$A121,Documents!$C$2:$C$1421,"obsolete")),"")</f>
        <v/>
      </c>
      <c r="V121">
        <f>COUNTIFS(Documents!$A$2:$A$1421,$A121)</f>
        <v/>
      </c>
      <c r="W121">
        <f>COUNTIFS(Documents!$A$2:$A$1421,$A121,Documents!$R$2:$R$1421,"current")</f>
        <v/>
      </c>
      <c r="X121">
        <f>HYPERLINK("https://www.neoscapesmaldives.com/wp-content/uploads/BM_Factsheet-2026.pdf","2026_BM_Factsheet-2026.pdf")</f>
        <v/>
      </c>
      <c r="Y121" t="inlineStr">
        <is>
          <t>wedding, events</t>
        </is>
      </c>
      <c r="Z121" t="inlineStr"/>
    </row>
    <row r="122">
      <c r="A122" t="n">
        <v>121</v>
      </c>
      <c r="B122" t="inlineStr">
        <is>
          <t>Cocoa Island</t>
        </is>
      </c>
      <c r="C122" t="inlineStr">
        <is>
          <t>not crawled</t>
        </is>
      </c>
      <c r="D122">
        <f>IFERROR(IF(_xlfn.MAXIFS(Documents!$E$2:$E$1421,Documents!$A$2:$A$1421,$A122,Documents!$C$2:$C$1421,"factsheet")=0,"",_xlfn.MAXIFS(Documents!$E$2:$E$1421,Documents!$A$2:$A$1421,$A122,Documents!$C$2:$C$1421,"factsheet")),"")</f>
        <v/>
      </c>
      <c r="E122">
        <f>IFERROR(IF(_xlfn.MAXIFS(Documents!$E$2:$E$1421,Documents!$A$2:$A$1421,$A122,Documents!$C$2:$C$1421,"wedding")=0,"",_xlfn.MAXIFS(Documents!$E$2:$E$1421,Documents!$A$2:$A$1421,$A122,Documents!$C$2:$C$1421,"wedding")),"")</f>
        <v/>
      </c>
      <c r="F122">
        <f>IFERROR(IF(_xlfn.MAXIFS(Documents!$E$2:$E$1421,Documents!$A$2:$A$1421,$A122,Documents!$C$2:$C$1421,"events")=0,"",_xlfn.MAXIFS(Documents!$E$2:$E$1421,Documents!$A$2:$A$1421,$A122,Documents!$C$2:$C$1421,"events")),"")</f>
        <v/>
      </c>
      <c r="G122">
        <f>IFERROR(IF(_xlfn.MAXIFS(Documents!$E$2:$E$1421,Documents!$A$2:$A$1421,$A122,Documents!$C$2:$C$1421,"map")=0,"",_xlfn.MAXIFS(Documents!$E$2:$E$1421,Documents!$A$2:$A$1421,$A122,Documents!$C$2:$C$1421,"map")),"")</f>
        <v/>
      </c>
      <c r="H122">
        <f>IFERROR(IF(_xlfn.MAXIFS(Documents!$E$2:$E$1421,Documents!$A$2:$A$1421,$A122,Documents!$C$2:$C$1421,"dive_map")=0,"",_xlfn.MAXIFS(Documents!$E$2:$E$1421,Documents!$A$2:$A$1421,$A122,Documents!$C$2:$C$1421,"dive_map")),"")</f>
        <v/>
      </c>
      <c r="I122">
        <f>IFERROR(IF(_xlfn.MAXIFS(Documents!$E$2:$E$1421,Documents!$A$2:$A$1421,$A122,Documents!$C$2:$C$1421,"spa_menu")=0,"",_xlfn.MAXIFS(Documents!$E$2:$E$1421,Documents!$A$2:$A$1421,$A122,Documents!$C$2:$C$1421,"spa_menu")),"")</f>
        <v/>
      </c>
      <c r="J122">
        <f>IFERROR(IF(_xlfn.MAXIFS(Documents!$E$2:$E$1421,Documents!$A$2:$A$1421,$A122,Documents!$C$2:$C$1421,"dining_menu")=0,"",_xlfn.MAXIFS(Documents!$E$2:$E$1421,Documents!$A$2:$A$1421,$A122,Documents!$C$2:$C$1421,"dining_menu")),"")</f>
        <v/>
      </c>
      <c r="K122">
        <f>IFERROR(IF(_xlfn.MAXIFS(Documents!$E$2:$E$1421,Documents!$A$2:$A$1421,$A122,Documents!$C$2:$C$1421,"dive_prices")=0,"",_xlfn.MAXIFS(Documents!$E$2:$E$1421,Documents!$A$2:$A$1421,$A122,Documents!$C$2:$C$1421,"dive_prices")),"")</f>
        <v/>
      </c>
      <c r="L122">
        <f>IFERROR(IF(_xlfn.MAXIFS(Documents!$E$2:$E$1421,Documents!$A$2:$A$1421,$A122,Documents!$C$2:$C$1421,"excursions")=0,"",_xlfn.MAXIFS(Documents!$E$2:$E$1421,Documents!$A$2:$A$1421,$A122,Documents!$C$2:$C$1421,"excursions")),"")</f>
        <v/>
      </c>
      <c r="M122">
        <f>IFERROR(IF(_xlfn.MAXIFS(Documents!$E$2:$E$1421,Documents!$A$2:$A$1421,$A122,Documents!$C$2:$C$1421,"kids")=0,"",_xlfn.MAXIFS(Documents!$E$2:$E$1421,Documents!$A$2:$A$1421,$A122,Documents!$C$2:$C$1421,"kids")),"")</f>
        <v/>
      </c>
      <c r="N122">
        <f>IFERROR(IF(_xlfn.MAXIFS(Documents!$E$2:$E$1421,Documents!$A$2:$A$1421,$A122,Documents!$C$2:$C$1421,"villa_plans")=0,"",_xlfn.MAXIFS(Documents!$E$2:$E$1421,Documents!$A$2:$A$1421,$A122,Documents!$C$2:$C$1421,"villa_plans")),"")</f>
        <v/>
      </c>
      <c r="O122">
        <f>IFERROR(IF(_xlfn.MAXIFS(Documents!$E$2:$E$1421,Documents!$A$2:$A$1421,$A122,Documents!$C$2:$C$1421,"all_inclusive")=0,"",_xlfn.MAXIFS(Documents!$E$2:$E$1421,Documents!$A$2:$A$1421,$A122,Documents!$C$2:$C$1421,"all_inclusive")),"")</f>
        <v/>
      </c>
      <c r="P122">
        <f>IFERROR(IF(_xlfn.MAXIFS(Documents!$E$2:$E$1421,Documents!$A$2:$A$1421,$A122,Documents!$C$2:$C$1421,"sustainability")=0,"",_xlfn.MAXIFS(Documents!$E$2:$E$1421,Documents!$A$2:$A$1421,$A122,Documents!$C$2:$C$1421,"sustainability")),"")</f>
        <v/>
      </c>
      <c r="Q122">
        <f>IFERROR(IF(_xlfn.MAXIFS(Documents!$E$2:$E$1421,Documents!$A$2:$A$1421,$A122,Documents!$C$2:$C$1421,"calendar")=0,"",_xlfn.MAXIFS(Documents!$E$2:$E$1421,Documents!$A$2:$A$1421,$A122,Documents!$C$2:$C$1421,"calendar")),"")</f>
        <v/>
      </c>
      <c r="R122">
        <f>IFERROR(IF(_xlfn.MAXIFS(Documents!$E$2:$E$1421,Documents!$A$2:$A$1421,$A122,Documents!$C$2:$C$1421,"brochure")=0,"",_xlfn.MAXIFS(Documents!$E$2:$E$1421,Documents!$A$2:$A$1421,$A122,Documents!$C$2:$C$1421,"brochure")),"")</f>
        <v/>
      </c>
      <c r="S122">
        <f>IFERROR(IF(_xlfn.MAXIFS(Documents!$E$2:$E$1421,Documents!$A$2:$A$1421,$A122,Documents!$C$2:$C$1421,"press_kit")=0,"",_xlfn.MAXIFS(Documents!$E$2:$E$1421,Documents!$A$2:$A$1421,$A122,Documents!$C$2:$C$1421,"press_kit")),"")</f>
        <v/>
      </c>
      <c r="T122">
        <f>IFERROR(IF(_xlfn.MAXIFS(Documents!$E$2:$E$1421,Documents!$A$2:$A$1421,$A122,Documents!$C$2:$C$1421,"other")=0,"",_xlfn.MAXIFS(Documents!$E$2:$E$1421,Documents!$A$2:$A$1421,$A122,Documents!$C$2:$C$1421,"other")),"")</f>
        <v/>
      </c>
      <c r="U122">
        <f>IFERROR(IF(_xlfn.MAXIFS(Documents!$E$2:$E$1421,Documents!$A$2:$A$1421,$A122,Documents!$C$2:$C$1421,"obsolete")=0,"",_xlfn.MAXIFS(Documents!$E$2:$E$1421,Documents!$A$2:$A$1421,$A122,Documents!$C$2:$C$1421,"obsolete")),"")</f>
        <v/>
      </c>
      <c r="V122">
        <f>COUNTIFS(Documents!$A$2:$A$1421,$A122)</f>
        <v/>
      </c>
      <c r="W122">
        <f>COUNTIFS(Documents!$A$2:$A$1421,$A122,Documents!$R$2:$R$1421,"current")</f>
        <v/>
      </c>
      <c r="X122">
        <f>HYPERLINK("https://neoscapesmaldives.com/wp-content/uploads/COMO-Cocoa-Island-Fact-Sheet-2019.pdf","2019_COMO-Cocoa-Island-Fact-Sheet-2019.p")</f>
        <v/>
      </c>
      <c r="Y122" t="inlineStr">
        <is>
          <t>wedding, events</t>
        </is>
      </c>
      <c r="Z122" t="inlineStr"/>
    </row>
    <row r="123">
      <c r="A123" t="n">
        <v>122</v>
      </c>
      <c r="B123" t="inlineStr">
        <is>
          <t>Avani + Fares Maldives</t>
        </is>
      </c>
      <c r="C123" t="inlineStr">
        <is>
          <t>not crawled</t>
        </is>
      </c>
      <c r="D123">
        <f>IFERROR(IF(_xlfn.MAXIFS(Documents!$E$2:$E$1421,Documents!$A$2:$A$1421,$A123,Documents!$C$2:$C$1421,"factsheet")=0,"",_xlfn.MAXIFS(Documents!$E$2:$E$1421,Documents!$A$2:$A$1421,$A123,Documents!$C$2:$C$1421,"factsheet")),"")</f>
        <v/>
      </c>
      <c r="E123">
        <f>IFERROR(IF(_xlfn.MAXIFS(Documents!$E$2:$E$1421,Documents!$A$2:$A$1421,$A123,Documents!$C$2:$C$1421,"wedding")=0,"",_xlfn.MAXIFS(Documents!$E$2:$E$1421,Documents!$A$2:$A$1421,$A123,Documents!$C$2:$C$1421,"wedding")),"")</f>
        <v/>
      </c>
      <c r="F123">
        <f>IFERROR(IF(_xlfn.MAXIFS(Documents!$E$2:$E$1421,Documents!$A$2:$A$1421,$A123,Documents!$C$2:$C$1421,"events")=0,"",_xlfn.MAXIFS(Documents!$E$2:$E$1421,Documents!$A$2:$A$1421,$A123,Documents!$C$2:$C$1421,"events")),"")</f>
        <v/>
      </c>
      <c r="G123">
        <f>IFERROR(IF(_xlfn.MAXIFS(Documents!$E$2:$E$1421,Documents!$A$2:$A$1421,$A123,Documents!$C$2:$C$1421,"map")=0,"",_xlfn.MAXIFS(Documents!$E$2:$E$1421,Documents!$A$2:$A$1421,$A123,Documents!$C$2:$C$1421,"map")),"")</f>
        <v/>
      </c>
      <c r="H123">
        <f>IFERROR(IF(_xlfn.MAXIFS(Documents!$E$2:$E$1421,Documents!$A$2:$A$1421,$A123,Documents!$C$2:$C$1421,"dive_map")=0,"",_xlfn.MAXIFS(Documents!$E$2:$E$1421,Documents!$A$2:$A$1421,$A123,Documents!$C$2:$C$1421,"dive_map")),"")</f>
        <v/>
      </c>
      <c r="I123">
        <f>IFERROR(IF(_xlfn.MAXIFS(Documents!$E$2:$E$1421,Documents!$A$2:$A$1421,$A123,Documents!$C$2:$C$1421,"spa_menu")=0,"",_xlfn.MAXIFS(Documents!$E$2:$E$1421,Documents!$A$2:$A$1421,$A123,Documents!$C$2:$C$1421,"spa_menu")),"")</f>
        <v/>
      </c>
      <c r="J123">
        <f>IFERROR(IF(_xlfn.MAXIFS(Documents!$E$2:$E$1421,Documents!$A$2:$A$1421,$A123,Documents!$C$2:$C$1421,"dining_menu")=0,"",_xlfn.MAXIFS(Documents!$E$2:$E$1421,Documents!$A$2:$A$1421,$A123,Documents!$C$2:$C$1421,"dining_menu")),"")</f>
        <v/>
      </c>
      <c r="K123">
        <f>IFERROR(IF(_xlfn.MAXIFS(Documents!$E$2:$E$1421,Documents!$A$2:$A$1421,$A123,Documents!$C$2:$C$1421,"dive_prices")=0,"",_xlfn.MAXIFS(Documents!$E$2:$E$1421,Documents!$A$2:$A$1421,$A123,Documents!$C$2:$C$1421,"dive_prices")),"")</f>
        <v/>
      </c>
      <c r="L123">
        <f>IFERROR(IF(_xlfn.MAXIFS(Documents!$E$2:$E$1421,Documents!$A$2:$A$1421,$A123,Documents!$C$2:$C$1421,"excursions")=0,"",_xlfn.MAXIFS(Documents!$E$2:$E$1421,Documents!$A$2:$A$1421,$A123,Documents!$C$2:$C$1421,"excursions")),"")</f>
        <v/>
      </c>
      <c r="M123">
        <f>IFERROR(IF(_xlfn.MAXIFS(Documents!$E$2:$E$1421,Documents!$A$2:$A$1421,$A123,Documents!$C$2:$C$1421,"kids")=0,"",_xlfn.MAXIFS(Documents!$E$2:$E$1421,Documents!$A$2:$A$1421,$A123,Documents!$C$2:$C$1421,"kids")),"")</f>
        <v/>
      </c>
      <c r="N123">
        <f>IFERROR(IF(_xlfn.MAXIFS(Documents!$E$2:$E$1421,Documents!$A$2:$A$1421,$A123,Documents!$C$2:$C$1421,"villa_plans")=0,"",_xlfn.MAXIFS(Documents!$E$2:$E$1421,Documents!$A$2:$A$1421,$A123,Documents!$C$2:$C$1421,"villa_plans")),"")</f>
        <v/>
      </c>
      <c r="O123">
        <f>IFERROR(IF(_xlfn.MAXIFS(Documents!$E$2:$E$1421,Documents!$A$2:$A$1421,$A123,Documents!$C$2:$C$1421,"all_inclusive")=0,"",_xlfn.MAXIFS(Documents!$E$2:$E$1421,Documents!$A$2:$A$1421,$A123,Documents!$C$2:$C$1421,"all_inclusive")),"")</f>
        <v/>
      </c>
      <c r="P123">
        <f>IFERROR(IF(_xlfn.MAXIFS(Documents!$E$2:$E$1421,Documents!$A$2:$A$1421,$A123,Documents!$C$2:$C$1421,"sustainability")=0,"",_xlfn.MAXIFS(Documents!$E$2:$E$1421,Documents!$A$2:$A$1421,$A123,Documents!$C$2:$C$1421,"sustainability")),"")</f>
        <v/>
      </c>
      <c r="Q123">
        <f>IFERROR(IF(_xlfn.MAXIFS(Documents!$E$2:$E$1421,Documents!$A$2:$A$1421,$A123,Documents!$C$2:$C$1421,"calendar")=0,"",_xlfn.MAXIFS(Documents!$E$2:$E$1421,Documents!$A$2:$A$1421,$A123,Documents!$C$2:$C$1421,"calendar")),"")</f>
        <v/>
      </c>
      <c r="R123">
        <f>IFERROR(IF(_xlfn.MAXIFS(Documents!$E$2:$E$1421,Documents!$A$2:$A$1421,$A123,Documents!$C$2:$C$1421,"brochure")=0,"",_xlfn.MAXIFS(Documents!$E$2:$E$1421,Documents!$A$2:$A$1421,$A123,Documents!$C$2:$C$1421,"brochure")),"")</f>
        <v/>
      </c>
      <c r="S123">
        <f>IFERROR(IF(_xlfn.MAXIFS(Documents!$E$2:$E$1421,Documents!$A$2:$A$1421,$A123,Documents!$C$2:$C$1421,"press_kit")=0,"",_xlfn.MAXIFS(Documents!$E$2:$E$1421,Documents!$A$2:$A$1421,$A123,Documents!$C$2:$C$1421,"press_kit")),"")</f>
        <v/>
      </c>
      <c r="T123">
        <f>IFERROR(IF(_xlfn.MAXIFS(Documents!$E$2:$E$1421,Documents!$A$2:$A$1421,$A123,Documents!$C$2:$C$1421,"other")=0,"",_xlfn.MAXIFS(Documents!$E$2:$E$1421,Documents!$A$2:$A$1421,$A123,Documents!$C$2:$C$1421,"other")),"")</f>
        <v/>
      </c>
      <c r="U123">
        <f>IFERROR(IF(_xlfn.MAXIFS(Documents!$E$2:$E$1421,Documents!$A$2:$A$1421,$A123,Documents!$C$2:$C$1421,"obsolete")=0,"",_xlfn.MAXIFS(Documents!$E$2:$E$1421,Documents!$A$2:$A$1421,$A123,Documents!$C$2:$C$1421,"obsolete")),"")</f>
        <v/>
      </c>
      <c r="V123">
        <f>COUNTIFS(Documents!$A$2:$A$1421,$A123)</f>
        <v/>
      </c>
      <c r="W123">
        <f>COUNTIFS(Documents!$A$2:$A$1421,$A123,Documents!$R$2:$R$1421,"current")</f>
        <v/>
      </c>
      <c r="X123" t="inlineStr"/>
      <c r="Y123" t="inlineStr">
        <is>
          <t>factsheet, wedding, events</t>
        </is>
      </c>
      <c r="Z123" t="inlineStr"/>
    </row>
    <row r="124">
      <c r="A124" t="n">
        <v>123</v>
      </c>
      <c r="B124" t="inlineStr">
        <is>
          <t>Pullman Maldives Maamutaa Resort</t>
        </is>
      </c>
      <c r="C124" t="inlineStr">
        <is>
          <t>not crawled</t>
        </is>
      </c>
      <c r="D124">
        <f>IFERROR(IF(_xlfn.MAXIFS(Documents!$E$2:$E$1421,Documents!$A$2:$A$1421,$A124,Documents!$C$2:$C$1421,"factsheet")=0,"",_xlfn.MAXIFS(Documents!$E$2:$E$1421,Documents!$A$2:$A$1421,$A124,Documents!$C$2:$C$1421,"factsheet")),"")</f>
        <v/>
      </c>
      <c r="E124">
        <f>IFERROR(IF(_xlfn.MAXIFS(Documents!$E$2:$E$1421,Documents!$A$2:$A$1421,$A124,Documents!$C$2:$C$1421,"wedding")=0,"",_xlfn.MAXIFS(Documents!$E$2:$E$1421,Documents!$A$2:$A$1421,$A124,Documents!$C$2:$C$1421,"wedding")),"")</f>
        <v/>
      </c>
      <c r="F124">
        <f>IFERROR(IF(_xlfn.MAXIFS(Documents!$E$2:$E$1421,Documents!$A$2:$A$1421,$A124,Documents!$C$2:$C$1421,"events")=0,"",_xlfn.MAXIFS(Documents!$E$2:$E$1421,Documents!$A$2:$A$1421,$A124,Documents!$C$2:$C$1421,"events")),"")</f>
        <v/>
      </c>
      <c r="G124">
        <f>IFERROR(IF(_xlfn.MAXIFS(Documents!$E$2:$E$1421,Documents!$A$2:$A$1421,$A124,Documents!$C$2:$C$1421,"map")=0,"",_xlfn.MAXIFS(Documents!$E$2:$E$1421,Documents!$A$2:$A$1421,$A124,Documents!$C$2:$C$1421,"map")),"")</f>
        <v/>
      </c>
      <c r="H124">
        <f>IFERROR(IF(_xlfn.MAXIFS(Documents!$E$2:$E$1421,Documents!$A$2:$A$1421,$A124,Documents!$C$2:$C$1421,"dive_map")=0,"",_xlfn.MAXIFS(Documents!$E$2:$E$1421,Documents!$A$2:$A$1421,$A124,Documents!$C$2:$C$1421,"dive_map")),"")</f>
        <v/>
      </c>
      <c r="I124">
        <f>IFERROR(IF(_xlfn.MAXIFS(Documents!$E$2:$E$1421,Documents!$A$2:$A$1421,$A124,Documents!$C$2:$C$1421,"spa_menu")=0,"",_xlfn.MAXIFS(Documents!$E$2:$E$1421,Documents!$A$2:$A$1421,$A124,Documents!$C$2:$C$1421,"spa_menu")),"")</f>
        <v/>
      </c>
      <c r="J124">
        <f>IFERROR(IF(_xlfn.MAXIFS(Documents!$E$2:$E$1421,Documents!$A$2:$A$1421,$A124,Documents!$C$2:$C$1421,"dining_menu")=0,"",_xlfn.MAXIFS(Documents!$E$2:$E$1421,Documents!$A$2:$A$1421,$A124,Documents!$C$2:$C$1421,"dining_menu")),"")</f>
        <v/>
      </c>
      <c r="K124">
        <f>IFERROR(IF(_xlfn.MAXIFS(Documents!$E$2:$E$1421,Documents!$A$2:$A$1421,$A124,Documents!$C$2:$C$1421,"dive_prices")=0,"",_xlfn.MAXIFS(Documents!$E$2:$E$1421,Documents!$A$2:$A$1421,$A124,Documents!$C$2:$C$1421,"dive_prices")),"")</f>
        <v/>
      </c>
      <c r="L124">
        <f>IFERROR(IF(_xlfn.MAXIFS(Documents!$E$2:$E$1421,Documents!$A$2:$A$1421,$A124,Documents!$C$2:$C$1421,"excursions")=0,"",_xlfn.MAXIFS(Documents!$E$2:$E$1421,Documents!$A$2:$A$1421,$A124,Documents!$C$2:$C$1421,"excursions")),"")</f>
        <v/>
      </c>
      <c r="M124">
        <f>IFERROR(IF(_xlfn.MAXIFS(Documents!$E$2:$E$1421,Documents!$A$2:$A$1421,$A124,Documents!$C$2:$C$1421,"kids")=0,"",_xlfn.MAXIFS(Documents!$E$2:$E$1421,Documents!$A$2:$A$1421,$A124,Documents!$C$2:$C$1421,"kids")),"")</f>
        <v/>
      </c>
      <c r="N124">
        <f>IFERROR(IF(_xlfn.MAXIFS(Documents!$E$2:$E$1421,Documents!$A$2:$A$1421,$A124,Documents!$C$2:$C$1421,"villa_plans")=0,"",_xlfn.MAXIFS(Documents!$E$2:$E$1421,Documents!$A$2:$A$1421,$A124,Documents!$C$2:$C$1421,"villa_plans")),"")</f>
        <v/>
      </c>
      <c r="O124">
        <f>IFERROR(IF(_xlfn.MAXIFS(Documents!$E$2:$E$1421,Documents!$A$2:$A$1421,$A124,Documents!$C$2:$C$1421,"all_inclusive")=0,"",_xlfn.MAXIFS(Documents!$E$2:$E$1421,Documents!$A$2:$A$1421,$A124,Documents!$C$2:$C$1421,"all_inclusive")),"")</f>
        <v/>
      </c>
      <c r="P124">
        <f>IFERROR(IF(_xlfn.MAXIFS(Documents!$E$2:$E$1421,Documents!$A$2:$A$1421,$A124,Documents!$C$2:$C$1421,"sustainability")=0,"",_xlfn.MAXIFS(Documents!$E$2:$E$1421,Documents!$A$2:$A$1421,$A124,Documents!$C$2:$C$1421,"sustainability")),"")</f>
        <v/>
      </c>
      <c r="Q124">
        <f>IFERROR(IF(_xlfn.MAXIFS(Documents!$E$2:$E$1421,Documents!$A$2:$A$1421,$A124,Documents!$C$2:$C$1421,"calendar")=0,"",_xlfn.MAXIFS(Documents!$E$2:$E$1421,Documents!$A$2:$A$1421,$A124,Documents!$C$2:$C$1421,"calendar")),"")</f>
        <v/>
      </c>
      <c r="R124">
        <f>IFERROR(IF(_xlfn.MAXIFS(Documents!$E$2:$E$1421,Documents!$A$2:$A$1421,$A124,Documents!$C$2:$C$1421,"brochure")=0,"",_xlfn.MAXIFS(Documents!$E$2:$E$1421,Documents!$A$2:$A$1421,$A124,Documents!$C$2:$C$1421,"brochure")),"")</f>
        <v/>
      </c>
      <c r="S124">
        <f>IFERROR(IF(_xlfn.MAXIFS(Documents!$E$2:$E$1421,Documents!$A$2:$A$1421,$A124,Documents!$C$2:$C$1421,"press_kit")=0,"",_xlfn.MAXIFS(Documents!$E$2:$E$1421,Documents!$A$2:$A$1421,$A124,Documents!$C$2:$C$1421,"press_kit")),"")</f>
        <v/>
      </c>
      <c r="T124">
        <f>IFERROR(IF(_xlfn.MAXIFS(Documents!$E$2:$E$1421,Documents!$A$2:$A$1421,$A124,Documents!$C$2:$C$1421,"other")=0,"",_xlfn.MAXIFS(Documents!$E$2:$E$1421,Documents!$A$2:$A$1421,$A124,Documents!$C$2:$C$1421,"other")),"")</f>
        <v/>
      </c>
      <c r="U124">
        <f>IFERROR(IF(_xlfn.MAXIFS(Documents!$E$2:$E$1421,Documents!$A$2:$A$1421,$A124,Documents!$C$2:$C$1421,"obsolete")=0,"",_xlfn.MAXIFS(Documents!$E$2:$E$1421,Documents!$A$2:$A$1421,$A124,Documents!$C$2:$C$1421,"obsolete")),"")</f>
        <v/>
      </c>
      <c r="V124">
        <f>COUNTIFS(Documents!$A$2:$A$1421,$A124)</f>
        <v/>
      </c>
      <c r="W124">
        <f>COUNTIFS(Documents!$A$2:$A$1421,$A124,Documents!$R$2:$R$1421,"current")</f>
        <v/>
      </c>
      <c r="X124" t="inlineStr"/>
      <c r="Y124" t="inlineStr">
        <is>
          <t>factsheet, wedding, events</t>
        </is>
      </c>
      <c r="Z124" t="inlineStr"/>
    </row>
    <row r="125">
      <c r="A125" t="n">
        <v>124</v>
      </c>
      <c r="B125" t="inlineStr">
        <is>
          <t>Aanugandu Island Resort</t>
        </is>
      </c>
      <c r="C125" t="inlineStr">
        <is>
          <t>not crawled</t>
        </is>
      </c>
      <c r="D125">
        <f>IFERROR(IF(_xlfn.MAXIFS(Documents!$E$2:$E$1421,Documents!$A$2:$A$1421,$A125,Documents!$C$2:$C$1421,"factsheet")=0,"",_xlfn.MAXIFS(Documents!$E$2:$E$1421,Documents!$A$2:$A$1421,$A125,Documents!$C$2:$C$1421,"factsheet")),"")</f>
        <v/>
      </c>
      <c r="E125">
        <f>IFERROR(IF(_xlfn.MAXIFS(Documents!$E$2:$E$1421,Documents!$A$2:$A$1421,$A125,Documents!$C$2:$C$1421,"wedding")=0,"",_xlfn.MAXIFS(Documents!$E$2:$E$1421,Documents!$A$2:$A$1421,$A125,Documents!$C$2:$C$1421,"wedding")),"")</f>
        <v/>
      </c>
      <c r="F125">
        <f>IFERROR(IF(_xlfn.MAXIFS(Documents!$E$2:$E$1421,Documents!$A$2:$A$1421,$A125,Documents!$C$2:$C$1421,"events")=0,"",_xlfn.MAXIFS(Documents!$E$2:$E$1421,Documents!$A$2:$A$1421,$A125,Documents!$C$2:$C$1421,"events")),"")</f>
        <v/>
      </c>
      <c r="G125">
        <f>IFERROR(IF(_xlfn.MAXIFS(Documents!$E$2:$E$1421,Documents!$A$2:$A$1421,$A125,Documents!$C$2:$C$1421,"map")=0,"",_xlfn.MAXIFS(Documents!$E$2:$E$1421,Documents!$A$2:$A$1421,$A125,Documents!$C$2:$C$1421,"map")),"")</f>
        <v/>
      </c>
      <c r="H125">
        <f>IFERROR(IF(_xlfn.MAXIFS(Documents!$E$2:$E$1421,Documents!$A$2:$A$1421,$A125,Documents!$C$2:$C$1421,"dive_map")=0,"",_xlfn.MAXIFS(Documents!$E$2:$E$1421,Documents!$A$2:$A$1421,$A125,Documents!$C$2:$C$1421,"dive_map")),"")</f>
        <v/>
      </c>
      <c r="I125">
        <f>IFERROR(IF(_xlfn.MAXIFS(Documents!$E$2:$E$1421,Documents!$A$2:$A$1421,$A125,Documents!$C$2:$C$1421,"spa_menu")=0,"",_xlfn.MAXIFS(Documents!$E$2:$E$1421,Documents!$A$2:$A$1421,$A125,Documents!$C$2:$C$1421,"spa_menu")),"")</f>
        <v/>
      </c>
      <c r="J125">
        <f>IFERROR(IF(_xlfn.MAXIFS(Documents!$E$2:$E$1421,Documents!$A$2:$A$1421,$A125,Documents!$C$2:$C$1421,"dining_menu")=0,"",_xlfn.MAXIFS(Documents!$E$2:$E$1421,Documents!$A$2:$A$1421,$A125,Documents!$C$2:$C$1421,"dining_menu")),"")</f>
        <v/>
      </c>
      <c r="K125">
        <f>IFERROR(IF(_xlfn.MAXIFS(Documents!$E$2:$E$1421,Documents!$A$2:$A$1421,$A125,Documents!$C$2:$C$1421,"dive_prices")=0,"",_xlfn.MAXIFS(Documents!$E$2:$E$1421,Documents!$A$2:$A$1421,$A125,Documents!$C$2:$C$1421,"dive_prices")),"")</f>
        <v/>
      </c>
      <c r="L125">
        <f>IFERROR(IF(_xlfn.MAXIFS(Documents!$E$2:$E$1421,Documents!$A$2:$A$1421,$A125,Documents!$C$2:$C$1421,"excursions")=0,"",_xlfn.MAXIFS(Documents!$E$2:$E$1421,Documents!$A$2:$A$1421,$A125,Documents!$C$2:$C$1421,"excursions")),"")</f>
        <v/>
      </c>
      <c r="M125">
        <f>IFERROR(IF(_xlfn.MAXIFS(Documents!$E$2:$E$1421,Documents!$A$2:$A$1421,$A125,Documents!$C$2:$C$1421,"kids")=0,"",_xlfn.MAXIFS(Documents!$E$2:$E$1421,Documents!$A$2:$A$1421,$A125,Documents!$C$2:$C$1421,"kids")),"")</f>
        <v/>
      </c>
      <c r="N125">
        <f>IFERROR(IF(_xlfn.MAXIFS(Documents!$E$2:$E$1421,Documents!$A$2:$A$1421,$A125,Documents!$C$2:$C$1421,"villa_plans")=0,"",_xlfn.MAXIFS(Documents!$E$2:$E$1421,Documents!$A$2:$A$1421,$A125,Documents!$C$2:$C$1421,"villa_plans")),"")</f>
        <v/>
      </c>
      <c r="O125">
        <f>IFERROR(IF(_xlfn.MAXIFS(Documents!$E$2:$E$1421,Documents!$A$2:$A$1421,$A125,Documents!$C$2:$C$1421,"all_inclusive")=0,"",_xlfn.MAXIFS(Documents!$E$2:$E$1421,Documents!$A$2:$A$1421,$A125,Documents!$C$2:$C$1421,"all_inclusive")),"")</f>
        <v/>
      </c>
      <c r="P125">
        <f>IFERROR(IF(_xlfn.MAXIFS(Documents!$E$2:$E$1421,Documents!$A$2:$A$1421,$A125,Documents!$C$2:$C$1421,"sustainability")=0,"",_xlfn.MAXIFS(Documents!$E$2:$E$1421,Documents!$A$2:$A$1421,$A125,Documents!$C$2:$C$1421,"sustainability")),"")</f>
        <v/>
      </c>
      <c r="Q125">
        <f>IFERROR(IF(_xlfn.MAXIFS(Documents!$E$2:$E$1421,Documents!$A$2:$A$1421,$A125,Documents!$C$2:$C$1421,"calendar")=0,"",_xlfn.MAXIFS(Documents!$E$2:$E$1421,Documents!$A$2:$A$1421,$A125,Documents!$C$2:$C$1421,"calendar")),"")</f>
        <v/>
      </c>
      <c r="R125">
        <f>IFERROR(IF(_xlfn.MAXIFS(Documents!$E$2:$E$1421,Documents!$A$2:$A$1421,$A125,Documents!$C$2:$C$1421,"brochure")=0,"",_xlfn.MAXIFS(Documents!$E$2:$E$1421,Documents!$A$2:$A$1421,$A125,Documents!$C$2:$C$1421,"brochure")),"")</f>
        <v/>
      </c>
      <c r="S125">
        <f>IFERROR(IF(_xlfn.MAXIFS(Documents!$E$2:$E$1421,Documents!$A$2:$A$1421,$A125,Documents!$C$2:$C$1421,"press_kit")=0,"",_xlfn.MAXIFS(Documents!$E$2:$E$1421,Documents!$A$2:$A$1421,$A125,Documents!$C$2:$C$1421,"press_kit")),"")</f>
        <v/>
      </c>
      <c r="T125">
        <f>IFERROR(IF(_xlfn.MAXIFS(Documents!$E$2:$E$1421,Documents!$A$2:$A$1421,$A125,Documents!$C$2:$C$1421,"other")=0,"",_xlfn.MAXIFS(Documents!$E$2:$E$1421,Documents!$A$2:$A$1421,$A125,Documents!$C$2:$C$1421,"other")),"")</f>
        <v/>
      </c>
      <c r="U125">
        <f>IFERROR(IF(_xlfn.MAXIFS(Documents!$E$2:$E$1421,Documents!$A$2:$A$1421,$A125,Documents!$C$2:$C$1421,"obsolete")=0,"",_xlfn.MAXIFS(Documents!$E$2:$E$1421,Documents!$A$2:$A$1421,$A125,Documents!$C$2:$C$1421,"obsolete")),"")</f>
        <v/>
      </c>
      <c r="V125">
        <f>COUNTIFS(Documents!$A$2:$A$1421,$A125)</f>
        <v/>
      </c>
      <c r="W125">
        <f>COUNTIFS(Documents!$A$2:$A$1421,$A125,Documents!$R$2:$R$1421,"current")</f>
        <v/>
      </c>
      <c r="X125" t="inlineStr"/>
      <c r="Y125" t="inlineStr">
        <is>
          <t>factsheet, wedding, events</t>
        </is>
      </c>
      <c r="Z125" t="inlineStr"/>
    </row>
    <row r="126">
      <c r="A126" t="n">
        <v>125</v>
      </c>
      <c r="B126" t="inlineStr">
        <is>
          <t>Gili Lankanfushi</t>
        </is>
      </c>
      <c r="C126" t="inlineStr">
        <is>
          <t>not crawled</t>
        </is>
      </c>
      <c r="D126">
        <f>IFERROR(IF(_xlfn.MAXIFS(Documents!$E$2:$E$1421,Documents!$A$2:$A$1421,$A126,Documents!$C$2:$C$1421,"factsheet")=0,"",_xlfn.MAXIFS(Documents!$E$2:$E$1421,Documents!$A$2:$A$1421,$A126,Documents!$C$2:$C$1421,"factsheet")),"")</f>
        <v/>
      </c>
      <c r="E126">
        <f>IFERROR(IF(_xlfn.MAXIFS(Documents!$E$2:$E$1421,Documents!$A$2:$A$1421,$A126,Documents!$C$2:$C$1421,"wedding")=0,"",_xlfn.MAXIFS(Documents!$E$2:$E$1421,Documents!$A$2:$A$1421,$A126,Documents!$C$2:$C$1421,"wedding")),"")</f>
        <v/>
      </c>
      <c r="F126">
        <f>IFERROR(IF(_xlfn.MAXIFS(Documents!$E$2:$E$1421,Documents!$A$2:$A$1421,$A126,Documents!$C$2:$C$1421,"events")=0,"",_xlfn.MAXIFS(Documents!$E$2:$E$1421,Documents!$A$2:$A$1421,$A126,Documents!$C$2:$C$1421,"events")),"")</f>
        <v/>
      </c>
      <c r="G126">
        <f>IFERROR(IF(_xlfn.MAXIFS(Documents!$E$2:$E$1421,Documents!$A$2:$A$1421,$A126,Documents!$C$2:$C$1421,"map")=0,"",_xlfn.MAXIFS(Documents!$E$2:$E$1421,Documents!$A$2:$A$1421,$A126,Documents!$C$2:$C$1421,"map")),"")</f>
        <v/>
      </c>
      <c r="H126">
        <f>IFERROR(IF(_xlfn.MAXIFS(Documents!$E$2:$E$1421,Documents!$A$2:$A$1421,$A126,Documents!$C$2:$C$1421,"dive_map")=0,"",_xlfn.MAXIFS(Documents!$E$2:$E$1421,Documents!$A$2:$A$1421,$A126,Documents!$C$2:$C$1421,"dive_map")),"")</f>
        <v/>
      </c>
      <c r="I126">
        <f>IFERROR(IF(_xlfn.MAXIFS(Documents!$E$2:$E$1421,Documents!$A$2:$A$1421,$A126,Documents!$C$2:$C$1421,"spa_menu")=0,"",_xlfn.MAXIFS(Documents!$E$2:$E$1421,Documents!$A$2:$A$1421,$A126,Documents!$C$2:$C$1421,"spa_menu")),"")</f>
        <v/>
      </c>
      <c r="J126">
        <f>IFERROR(IF(_xlfn.MAXIFS(Documents!$E$2:$E$1421,Documents!$A$2:$A$1421,$A126,Documents!$C$2:$C$1421,"dining_menu")=0,"",_xlfn.MAXIFS(Documents!$E$2:$E$1421,Documents!$A$2:$A$1421,$A126,Documents!$C$2:$C$1421,"dining_menu")),"")</f>
        <v/>
      </c>
      <c r="K126">
        <f>IFERROR(IF(_xlfn.MAXIFS(Documents!$E$2:$E$1421,Documents!$A$2:$A$1421,$A126,Documents!$C$2:$C$1421,"dive_prices")=0,"",_xlfn.MAXIFS(Documents!$E$2:$E$1421,Documents!$A$2:$A$1421,$A126,Documents!$C$2:$C$1421,"dive_prices")),"")</f>
        <v/>
      </c>
      <c r="L126">
        <f>IFERROR(IF(_xlfn.MAXIFS(Documents!$E$2:$E$1421,Documents!$A$2:$A$1421,$A126,Documents!$C$2:$C$1421,"excursions")=0,"",_xlfn.MAXIFS(Documents!$E$2:$E$1421,Documents!$A$2:$A$1421,$A126,Documents!$C$2:$C$1421,"excursions")),"")</f>
        <v/>
      </c>
      <c r="M126">
        <f>IFERROR(IF(_xlfn.MAXIFS(Documents!$E$2:$E$1421,Documents!$A$2:$A$1421,$A126,Documents!$C$2:$C$1421,"kids")=0,"",_xlfn.MAXIFS(Documents!$E$2:$E$1421,Documents!$A$2:$A$1421,$A126,Documents!$C$2:$C$1421,"kids")),"")</f>
        <v/>
      </c>
      <c r="N126">
        <f>IFERROR(IF(_xlfn.MAXIFS(Documents!$E$2:$E$1421,Documents!$A$2:$A$1421,$A126,Documents!$C$2:$C$1421,"villa_plans")=0,"",_xlfn.MAXIFS(Documents!$E$2:$E$1421,Documents!$A$2:$A$1421,$A126,Documents!$C$2:$C$1421,"villa_plans")),"")</f>
        <v/>
      </c>
      <c r="O126">
        <f>IFERROR(IF(_xlfn.MAXIFS(Documents!$E$2:$E$1421,Documents!$A$2:$A$1421,$A126,Documents!$C$2:$C$1421,"all_inclusive")=0,"",_xlfn.MAXIFS(Documents!$E$2:$E$1421,Documents!$A$2:$A$1421,$A126,Documents!$C$2:$C$1421,"all_inclusive")),"")</f>
        <v/>
      </c>
      <c r="P126">
        <f>IFERROR(IF(_xlfn.MAXIFS(Documents!$E$2:$E$1421,Documents!$A$2:$A$1421,$A126,Documents!$C$2:$C$1421,"sustainability")=0,"",_xlfn.MAXIFS(Documents!$E$2:$E$1421,Documents!$A$2:$A$1421,$A126,Documents!$C$2:$C$1421,"sustainability")),"")</f>
        <v/>
      </c>
      <c r="Q126">
        <f>IFERROR(IF(_xlfn.MAXIFS(Documents!$E$2:$E$1421,Documents!$A$2:$A$1421,$A126,Documents!$C$2:$C$1421,"calendar")=0,"",_xlfn.MAXIFS(Documents!$E$2:$E$1421,Documents!$A$2:$A$1421,$A126,Documents!$C$2:$C$1421,"calendar")),"")</f>
        <v/>
      </c>
      <c r="R126">
        <f>IFERROR(IF(_xlfn.MAXIFS(Documents!$E$2:$E$1421,Documents!$A$2:$A$1421,$A126,Documents!$C$2:$C$1421,"brochure")=0,"",_xlfn.MAXIFS(Documents!$E$2:$E$1421,Documents!$A$2:$A$1421,$A126,Documents!$C$2:$C$1421,"brochure")),"")</f>
        <v/>
      </c>
      <c r="S126">
        <f>IFERROR(IF(_xlfn.MAXIFS(Documents!$E$2:$E$1421,Documents!$A$2:$A$1421,$A126,Documents!$C$2:$C$1421,"press_kit")=0,"",_xlfn.MAXIFS(Documents!$E$2:$E$1421,Documents!$A$2:$A$1421,$A126,Documents!$C$2:$C$1421,"press_kit")),"")</f>
        <v/>
      </c>
      <c r="T126">
        <f>IFERROR(IF(_xlfn.MAXIFS(Documents!$E$2:$E$1421,Documents!$A$2:$A$1421,$A126,Documents!$C$2:$C$1421,"other")=0,"",_xlfn.MAXIFS(Documents!$E$2:$E$1421,Documents!$A$2:$A$1421,$A126,Documents!$C$2:$C$1421,"other")),"")</f>
        <v/>
      </c>
      <c r="U126">
        <f>IFERROR(IF(_xlfn.MAXIFS(Documents!$E$2:$E$1421,Documents!$A$2:$A$1421,$A126,Documents!$C$2:$C$1421,"obsolete")=0,"",_xlfn.MAXIFS(Documents!$E$2:$E$1421,Documents!$A$2:$A$1421,$A126,Documents!$C$2:$C$1421,"obsolete")),"")</f>
        <v/>
      </c>
      <c r="V126">
        <f>COUNTIFS(Documents!$A$2:$A$1421,$A126)</f>
        <v/>
      </c>
      <c r="W126">
        <f>COUNTIFS(Documents!$A$2:$A$1421,$A126,Documents!$R$2:$R$1421,"current")</f>
        <v/>
      </c>
      <c r="X126" t="inlineStr"/>
      <c r="Y126" t="inlineStr">
        <is>
          <t>factsheet, wedding, events</t>
        </is>
      </c>
      <c r="Z126" t="inlineStr"/>
    </row>
    <row r="127">
      <c r="A127" t="n">
        <v>126</v>
      </c>
      <c r="B127" t="inlineStr">
        <is>
          <t>Centara Grand Island Resort &amp; Spa Maldives</t>
        </is>
      </c>
      <c r="C127" t="inlineStr">
        <is>
          <t>not crawled</t>
        </is>
      </c>
      <c r="D127">
        <f>IFERROR(IF(_xlfn.MAXIFS(Documents!$E$2:$E$1421,Documents!$A$2:$A$1421,$A127,Documents!$C$2:$C$1421,"factsheet")=0,"",_xlfn.MAXIFS(Documents!$E$2:$E$1421,Documents!$A$2:$A$1421,$A127,Documents!$C$2:$C$1421,"factsheet")),"")</f>
        <v/>
      </c>
      <c r="E127">
        <f>IFERROR(IF(_xlfn.MAXIFS(Documents!$E$2:$E$1421,Documents!$A$2:$A$1421,$A127,Documents!$C$2:$C$1421,"wedding")=0,"",_xlfn.MAXIFS(Documents!$E$2:$E$1421,Documents!$A$2:$A$1421,$A127,Documents!$C$2:$C$1421,"wedding")),"")</f>
        <v/>
      </c>
      <c r="F127">
        <f>IFERROR(IF(_xlfn.MAXIFS(Documents!$E$2:$E$1421,Documents!$A$2:$A$1421,$A127,Documents!$C$2:$C$1421,"events")=0,"",_xlfn.MAXIFS(Documents!$E$2:$E$1421,Documents!$A$2:$A$1421,$A127,Documents!$C$2:$C$1421,"events")),"")</f>
        <v/>
      </c>
      <c r="G127">
        <f>IFERROR(IF(_xlfn.MAXIFS(Documents!$E$2:$E$1421,Documents!$A$2:$A$1421,$A127,Documents!$C$2:$C$1421,"map")=0,"",_xlfn.MAXIFS(Documents!$E$2:$E$1421,Documents!$A$2:$A$1421,$A127,Documents!$C$2:$C$1421,"map")),"")</f>
        <v/>
      </c>
      <c r="H127">
        <f>IFERROR(IF(_xlfn.MAXIFS(Documents!$E$2:$E$1421,Documents!$A$2:$A$1421,$A127,Documents!$C$2:$C$1421,"dive_map")=0,"",_xlfn.MAXIFS(Documents!$E$2:$E$1421,Documents!$A$2:$A$1421,$A127,Documents!$C$2:$C$1421,"dive_map")),"")</f>
        <v/>
      </c>
      <c r="I127">
        <f>IFERROR(IF(_xlfn.MAXIFS(Documents!$E$2:$E$1421,Documents!$A$2:$A$1421,$A127,Documents!$C$2:$C$1421,"spa_menu")=0,"",_xlfn.MAXIFS(Documents!$E$2:$E$1421,Documents!$A$2:$A$1421,$A127,Documents!$C$2:$C$1421,"spa_menu")),"")</f>
        <v/>
      </c>
      <c r="J127">
        <f>IFERROR(IF(_xlfn.MAXIFS(Documents!$E$2:$E$1421,Documents!$A$2:$A$1421,$A127,Documents!$C$2:$C$1421,"dining_menu")=0,"",_xlfn.MAXIFS(Documents!$E$2:$E$1421,Documents!$A$2:$A$1421,$A127,Documents!$C$2:$C$1421,"dining_menu")),"")</f>
        <v/>
      </c>
      <c r="K127">
        <f>IFERROR(IF(_xlfn.MAXIFS(Documents!$E$2:$E$1421,Documents!$A$2:$A$1421,$A127,Documents!$C$2:$C$1421,"dive_prices")=0,"",_xlfn.MAXIFS(Documents!$E$2:$E$1421,Documents!$A$2:$A$1421,$A127,Documents!$C$2:$C$1421,"dive_prices")),"")</f>
        <v/>
      </c>
      <c r="L127">
        <f>IFERROR(IF(_xlfn.MAXIFS(Documents!$E$2:$E$1421,Documents!$A$2:$A$1421,$A127,Documents!$C$2:$C$1421,"excursions")=0,"",_xlfn.MAXIFS(Documents!$E$2:$E$1421,Documents!$A$2:$A$1421,$A127,Documents!$C$2:$C$1421,"excursions")),"")</f>
        <v/>
      </c>
      <c r="M127">
        <f>IFERROR(IF(_xlfn.MAXIFS(Documents!$E$2:$E$1421,Documents!$A$2:$A$1421,$A127,Documents!$C$2:$C$1421,"kids")=0,"",_xlfn.MAXIFS(Documents!$E$2:$E$1421,Documents!$A$2:$A$1421,$A127,Documents!$C$2:$C$1421,"kids")),"")</f>
        <v/>
      </c>
      <c r="N127">
        <f>IFERROR(IF(_xlfn.MAXIFS(Documents!$E$2:$E$1421,Documents!$A$2:$A$1421,$A127,Documents!$C$2:$C$1421,"villa_plans")=0,"",_xlfn.MAXIFS(Documents!$E$2:$E$1421,Documents!$A$2:$A$1421,$A127,Documents!$C$2:$C$1421,"villa_plans")),"")</f>
        <v/>
      </c>
      <c r="O127">
        <f>IFERROR(IF(_xlfn.MAXIFS(Documents!$E$2:$E$1421,Documents!$A$2:$A$1421,$A127,Documents!$C$2:$C$1421,"all_inclusive")=0,"",_xlfn.MAXIFS(Documents!$E$2:$E$1421,Documents!$A$2:$A$1421,$A127,Documents!$C$2:$C$1421,"all_inclusive")),"")</f>
        <v/>
      </c>
      <c r="P127">
        <f>IFERROR(IF(_xlfn.MAXIFS(Documents!$E$2:$E$1421,Documents!$A$2:$A$1421,$A127,Documents!$C$2:$C$1421,"sustainability")=0,"",_xlfn.MAXIFS(Documents!$E$2:$E$1421,Documents!$A$2:$A$1421,$A127,Documents!$C$2:$C$1421,"sustainability")),"")</f>
        <v/>
      </c>
      <c r="Q127">
        <f>IFERROR(IF(_xlfn.MAXIFS(Documents!$E$2:$E$1421,Documents!$A$2:$A$1421,$A127,Documents!$C$2:$C$1421,"calendar")=0,"",_xlfn.MAXIFS(Documents!$E$2:$E$1421,Documents!$A$2:$A$1421,$A127,Documents!$C$2:$C$1421,"calendar")),"")</f>
        <v/>
      </c>
      <c r="R127">
        <f>IFERROR(IF(_xlfn.MAXIFS(Documents!$E$2:$E$1421,Documents!$A$2:$A$1421,$A127,Documents!$C$2:$C$1421,"brochure")=0,"",_xlfn.MAXIFS(Documents!$E$2:$E$1421,Documents!$A$2:$A$1421,$A127,Documents!$C$2:$C$1421,"brochure")),"")</f>
        <v/>
      </c>
      <c r="S127">
        <f>IFERROR(IF(_xlfn.MAXIFS(Documents!$E$2:$E$1421,Documents!$A$2:$A$1421,$A127,Documents!$C$2:$C$1421,"press_kit")=0,"",_xlfn.MAXIFS(Documents!$E$2:$E$1421,Documents!$A$2:$A$1421,$A127,Documents!$C$2:$C$1421,"press_kit")),"")</f>
        <v/>
      </c>
      <c r="T127">
        <f>IFERROR(IF(_xlfn.MAXIFS(Documents!$E$2:$E$1421,Documents!$A$2:$A$1421,$A127,Documents!$C$2:$C$1421,"other")=0,"",_xlfn.MAXIFS(Documents!$E$2:$E$1421,Documents!$A$2:$A$1421,$A127,Documents!$C$2:$C$1421,"other")),"")</f>
        <v/>
      </c>
      <c r="U127">
        <f>IFERROR(IF(_xlfn.MAXIFS(Documents!$E$2:$E$1421,Documents!$A$2:$A$1421,$A127,Documents!$C$2:$C$1421,"obsolete")=0,"",_xlfn.MAXIFS(Documents!$E$2:$E$1421,Documents!$A$2:$A$1421,$A127,Documents!$C$2:$C$1421,"obsolete")),"")</f>
        <v/>
      </c>
      <c r="V127">
        <f>COUNTIFS(Documents!$A$2:$A$1421,$A127)</f>
        <v/>
      </c>
      <c r="W127">
        <f>COUNTIFS(Documents!$A$2:$A$1421,$A127,Documents!$R$2:$R$1421,"current")</f>
        <v/>
      </c>
      <c r="X127">
        <f>HYPERLINK("https://neoscapesmaldives.com/wp-content/uploads/cirm-factsheet-en.pdf","2019_cirm-factsheet-en.pdf")</f>
        <v/>
      </c>
      <c r="Y127" t="inlineStr">
        <is>
          <t>wedding, events</t>
        </is>
      </c>
      <c r="Z127" t="inlineStr"/>
    </row>
    <row r="128">
      <c r="A128" t="n">
        <v>127</v>
      </c>
      <c r="B128" t="inlineStr">
        <is>
          <t>Oaga Art Resort</t>
        </is>
      </c>
      <c r="C128" t="inlineStr">
        <is>
          <t>not crawled</t>
        </is>
      </c>
      <c r="D128">
        <f>IFERROR(IF(_xlfn.MAXIFS(Documents!$E$2:$E$1421,Documents!$A$2:$A$1421,$A128,Documents!$C$2:$C$1421,"factsheet")=0,"",_xlfn.MAXIFS(Documents!$E$2:$E$1421,Documents!$A$2:$A$1421,$A128,Documents!$C$2:$C$1421,"factsheet")),"")</f>
        <v/>
      </c>
      <c r="E128">
        <f>IFERROR(IF(_xlfn.MAXIFS(Documents!$E$2:$E$1421,Documents!$A$2:$A$1421,$A128,Documents!$C$2:$C$1421,"wedding")=0,"",_xlfn.MAXIFS(Documents!$E$2:$E$1421,Documents!$A$2:$A$1421,$A128,Documents!$C$2:$C$1421,"wedding")),"")</f>
        <v/>
      </c>
      <c r="F128">
        <f>IFERROR(IF(_xlfn.MAXIFS(Documents!$E$2:$E$1421,Documents!$A$2:$A$1421,$A128,Documents!$C$2:$C$1421,"events")=0,"",_xlfn.MAXIFS(Documents!$E$2:$E$1421,Documents!$A$2:$A$1421,$A128,Documents!$C$2:$C$1421,"events")),"")</f>
        <v/>
      </c>
      <c r="G128">
        <f>IFERROR(IF(_xlfn.MAXIFS(Documents!$E$2:$E$1421,Documents!$A$2:$A$1421,$A128,Documents!$C$2:$C$1421,"map")=0,"",_xlfn.MAXIFS(Documents!$E$2:$E$1421,Documents!$A$2:$A$1421,$A128,Documents!$C$2:$C$1421,"map")),"")</f>
        <v/>
      </c>
      <c r="H128">
        <f>IFERROR(IF(_xlfn.MAXIFS(Documents!$E$2:$E$1421,Documents!$A$2:$A$1421,$A128,Documents!$C$2:$C$1421,"dive_map")=0,"",_xlfn.MAXIFS(Documents!$E$2:$E$1421,Documents!$A$2:$A$1421,$A128,Documents!$C$2:$C$1421,"dive_map")),"")</f>
        <v/>
      </c>
      <c r="I128">
        <f>IFERROR(IF(_xlfn.MAXIFS(Documents!$E$2:$E$1421,Documents!$A$2:$A$1421,$A128,Documents!$C$2:$C$1421,"spa_menu")=0,"",_xlfn.MAXIFS(Documents!$E$2:$E$1421,Documents!$A$2:$A$1421,$A128,Documents!$C$2:$C$1421,"spa_menu")),"")</f>
        <v/>
      </c>
      <c r="J128">
        <f>IFERROR(IF(_xlfn.MAXIFS(Documents!$E$2:$E$1421,Documents!$A$2:$A$1421,$A128,Documents!$C$2:$C$1421,"dining_menu")=0,"",_xlfn.MAXIFS(Documents!$E$2:$E$1421,Documents!$A$2:$A$1421,$A128,Documents!$C$2:$C$1421,"dining_menu")),"")</f>
        <v/>
      </c>
      <c r="K128">
        <f>IFERROR(IF(_xlfn.MAXIFS(Documents!$E$2:$E$1421,Documents!$A$2:$A$1421,$A128,Documents!$C$2:$C$1421,"dive_prices")=0,"",_xlfn.MAXIFS(Documents!$E$2:$E$1421,Documents!$A$2:$A$1421,$A128,Documents!$C$2:$C$1421,"dive_prices")),"")</f>
        <v/>
      </c>
      <c r="L128">
        <f>IFERROR(IF(_xlfn.MAXIFS(Documents!$E$2:$E$1421,Documents!$A$2:$A$1421,$A128,Documents!$C$2:$C$1421,"excursions")=0,"",_xlfn.MAXIFS(Documents!$E$2:$E$1421,Documents!$A$2:$A$1421,$A128,Documents!$C$2:$C$1421,"excursions")),"")</f>
        <v/>
      </c>
      <c r="M128">
        <f>IFERROR(IF(_xlfn.MAXIFS(Documents!$E$2:$E$1421,Documents!$A$2:$A$1421,$A128,Documents!$C$2:$C$1421,"kids")=0,"",_xlfn.MAXIFS(Documents!$E$2:$E$1421,Documents!$A$2:$A$1421,$A128,Documents!$C$2:$C$1421,"kids")),"")</f>
        <v/>
      </c>
      <c r="N128">
        <f>IFERROR(IF(_xlfn.MAXIFS(Documents!$E$2:$E$1421,Documents!$A$2:$A$1421,$A128,Documents!$C$2:$C$1421,"villa_plans")=0,"",_xlfn.MAXIFS(Documents!$E$2:$E$1421,Documents!$A$2:$A$1421,$A128,Documents!$C$2:$C$1421,"villa_plans")),"")</f>
        <v/>
      </c>
      <c r="O128">
        <f>IFERROR(IF(_xlfn.MAXIFS(Documents!$E$2:$E$1421,Documents!$A$2:$A$1421,$A128,Documents!$C$2:$C$1421,"all_inclusive")=0,"",_xlfn.MAXIFS(Documents!$E$2:$E$1421,Documents!$A$2:$A$1421,$A128,Documents!$C$2:$C$1421,"all_inclusive")),"")</f>
        <v/>
      </c>
      <c r="P128">
        <f>IFERROR(IF(_xlfn.MAXIFS(Documents!$E$2:$E$1421,Documents!$A$2:$A$1421,$A128,Documents!$C$2:$C$1421,"sustainability")=0,"",_xlfn.MAXIFS(Documents!$E$2:$E$1421,Documents!$A$2:$A$1421,$A128,Documents!$C$2:$C$1421,"sustainability")),"")</f>
        <v/>
      </c>
      <c r="Q128">
        <f>IFERROR(IF(_xlfn.MAXIFS(Documents!$E$2:$E$1421,Documents!$A$2:$A$1421,$A128,Documents!$C$2:$C$1421,"calendar")=0,"",_xlfn.MAXIFS(Documents!$E$2:$E$1421,Documents!$A$2:$A$1421,$A128,Documents!$C$2:$C$1421,"calendar")),"")</f>
        <v/>
      </c>
      <c r="R128">
        <f>IFERROR(IF(_xlfn.MAXIFS(Documents!$E$2:$E$1421,Documents!$A$2:$A$1421,$A128,Documents!$C$2:$C$1421,"brochure")=0,"",_xlfn.MAXIFS(Documents!$E$2:$E$1421,Documents!$A$2:$A$1421,$A128,Documents!$C$2:$C$1421,"brochure")),"")</f>
        <v/>
      </c>
      <c r="S128">
        <f>IFERROR(IF(_xlfn.MAXIFS(Documents!$E$2:$E$1421,Documents!$A$2:$A$1421,$A128,Documents!$C$2:$C$1421,"press_kit")=0,"",_xlfn.MAXIFS(Documents!$E$2:$E$1421,Documents!$A$2:$A$1421,$A128,Documents!$C$2:$C$1421,"press_kit")),"")</f>
        <v/>
      </c>
      <c r="T128">
        <f>IFERROR(IF(_xlfn.MAXIFS(Documents!$E$2:$E$1421,Documents!$A$2:$A$1421,$A128,Documents!$C$2:$C$1421,"other")=0,"",_xlfn.MAXIFS(Documents!$E$2:$E$1421,Documents!$A$2:$A$1421,$A128,Documents!$C$2:$C$1421,"other")),"")</f>
        <v/>
      </c>
      <c r="U128">
        <f>IFERROR(IF(_xlfn.MAXIFS(Documents!$E$2:$E$1421,Documents!$A$2:$A$1421,$A128,Documents!$C$2:$C$1421,"obsolete")=0,"",_xlfn.MAXIFS(Documents!$E$2:$E$1421,Documents!$A$2:$A$1421,$A128,Documents!$C$2:$C$1421,"obsolete")),"")</f>
        <v/>
      </c>
      <c r="V128">
        <f>COUNTIFS(Documents!$A$2:$A$1421,$A128)</f>
        <v/>
      </c>
      <c r="W128">
        <f>COUNTIFS(Documents!$A$2:$A$1421,$A128,Documents!$R$2:$R$1421,"current")</f>
        <v/>
      </c>
      <c r="X128" t="inlineStr"/>
      <c r="Y128" t="inlineStr">
        <is>
          <t>factsheet, wedding, events</t>
        </is>
      </c>
      <c r="Z128" t="inlineStr"/>
    </row>
    <row r="129">
      <c r="A129" t="n">
        <v>128</v>
      </c>
      <c r="B129" t="inlineStr">
        <is>
          <t>One &amp; Only Reethi Rah, Maldives</t>
        </is>
      </c>
      <c r="C129" t="inlineStr">
        <is>
          <t>not crawled</t>
        </is>
      </c>
      <c r="D129">
        <f>IFERROR(IF(_xlfn.MAXIFS(Documents!$E$2:$E$1421,Documents!$A$2:$A$1421,$A129,Documents!$C$2:$C$1421,"factsheet")=0,"",_xlfn.MAXIFS(Documents!$E$2:$E$1421,Documents!$A$2:$A$1421,$A129,Documents!$C$2:$C$1421,"factsheet")),"")</f>
        <v/>
      </c>
      <c r="E129">
        <f>IFERROR(IF(_xlfn.MAXIFS(Documents!$E$2:$E$1421,Documents!$A$2:$A$1421,$A129,Documents!$C$2:$C$1421,"wedding")=0,"",_xlfn.MAXIFS(Documents!$E$2:$E$1421,Documents!$A$2:$A$1421,$A129,Documents!$C$2:$C$1421,"wedding")),"")</f>
        <v/>
      </c>
      <c r="F129">
        <f>IFERROR(IF(_xlfn.MAXIFS(Documents!$E$2:$E$1421,Documents!$A$2:$A$1421,$A129,Documents!$C$2:$C$1421,"events")=0,"",_xlfn.MAXIFS(Documents!$E$2:$E$1421,Documents!$A$2:$A$1421,$A129,Documents!$C$2:$C$1421,"events")),"")</f>
        <v/>
      </c>
      <c r="G129">
        <f>IFERROR(IF(_xlfn.MAXIFS(Documents!$E$2:$E$1421,Documents!$A$2:$A$1421,$A129,Documents!$C$2:$C$1421,"map")=0,"",_xlfn.MAXIFS(Documents!$E$2:$E$1421,Documents!$A$2:$A$1421,$A129,Documents!$C$2:$C$1421,"map")),"")</f>
        <v/>
      </c>
      <c r="H129">
        <f>IFERROR(IF(_xlfn.MAXIFS(Documents!$E$2:$E$1421,Documents!$A$2:$A$1421,$A129,Documents!$C$2:$C$1421,"dive_map")=0,"",_xlfn.MAXIFS(Documents!$E$2:$E$1421,Documents!$A$2:$A$1421,$A129,Documents!$C$2:$C$1421,"dive_map")),"")</f>
        <v/>
      </c>
      <c r="I129">
        <f>IFERROR(IF(_xlfn.MAXIFS(Documents!$E$2:$E$1421,Documents!$A$2:$A$1421,$A129,Documents!$C$2:$C$1421,"spa_menu")=0,"",_xlfn.MAXIFS(Documents!$E$2:$E$1421,Documents!$A$2:$A$1421,$A129,Documents!$C$2:$C$1421,"spa_menu")),"")</f>
        <v/>
      </c>
      <c r="J129">
        <f>IFERROR(IF(_xlfn.MAXIFS(Documents!$E$2:$E$1421,Documents!$A$2:$A$1421,$A129,Documents!$C$2:$C$1421,"dining_menu")=0,"",_xlfn.MAXIFS(Documents!$E$2:$E$1421,Documents!$A$2:$A$1421,$A129,Documents!$C$2:$C$1421,"dining_menu")),"")</f>
        <v/>
      </c>
      <c r="K129">
        <f>IFERROR(IF(_xlfn.MAXIFS(Documents!$E$2:$E$1421,Documents!$A$2:$A$1421,$A129,Documents!$C$2:$C$1421,"dive_prices")=0,"",_xlfn.MAXIFS(Documents!$E$2:$E$1421,Documents!$A$2:$A$1421,$A129,Documents!$C$2:$C$1421,"dive_prices")),"")</f>
        <v/>
      </c>
      <c r="L129">
        <f>IFERROR(IF(_xlfn.MAXIFS(Documents!$E$2:$E$1421,Documents!$A$2:$A$1421,$A129,Documents!$C$2:$C$1421,"excursions")=0,"",_xlfn.MAXIFS(Documents!$E$2:$E$1421,Documents!$A$2:$A$1421,$A129,Documents!$C$2:$C$1421,"excursions")),"")</f>
        <v/>
      </c>
      <c r="M129">
        <f>IFERROR(IF(_xlfn.MAXIFS(Documents!$E$2:$E$1421,Documents!$A$2:$A$1421,$A129,Documents!$C$2:$C$1421,"kids")=0,"",_xlfn.MAXIFS(Documents!$E$2:$E$1421,Documents!$A$2:$A$1421,$A129,Documents!$C$2:$C$1421,"kids")),"")</f>
        <v/>
      </c>
      <c r="N129">
        <f>IFERROR(IF(_xlfn.MAXIFS(Documents!$E$2:$E$1421,Documents!$A$2:$A$1421,$A129,Documents!$C$2:$C$1421,"villa_plans")=0,"",_xlfn.MAXIFS(Documents!$E$2:$E$1421,Documents!$A$2:$A$1421,$A129,Documents!$C$2:$C$1421,"villa_plans")),"")</f>
        <v/>
      </c>
      <c r="O129">
        <f>IFERROR(IF(_xlfn.MAXIFS(Documents!$E$2:$E$1421,Documents!$A$2:$A$1421,$A129,Documents!$C$2:$C$1421,"all_inclusive")=0,"",_xlfn.MAXIFS(Documents!$E$2:$E$1421,Documents!$A$2:$A$1421,$A129,Documents!$C$2:$C$1421,"all_inclusive")),"")</f>
        <v/>
      </c>
      <c r="P129">
        <f>IFERROR(IF(_xlfn.MAXIFS(Documents!$E$2:$E$1421,Documents!$A$2:$A$1421,$A129,Documents!$C$2:$C$1421,"sustainability")=0,"",_xlfn.MAXIFS(Documents!$E$2:$E$1421,Documents!$A$2:$A$1421,$A129,Documents!$C$2:$C$1421,"sustainability")),"")</f>
        <v/>
      </c>
      <c r="Q129">
        <f>IFERROR(IF(_xlfn.MAXIFS(Documents!$E$2:$E$1421,Documents!$A$2:$A$1421,$A129,Documents!$C$2:$C$1421,"calendar")=0,"",_xlfn.MAXIFS(Documents!$E$2:$E$1421,Documents!$A$2:$A$1421,$A129,Documents!$C$2:$C$1421,"calendar")),"")</f>
        <v/>
      </c>
      <c r="R129">
        <f>IFERROR(IF(_xlfn.MAXIFS(Documents!$E$2:$E$1421,Documents!$A$2:$A$1421,$A129,Documents!$C$2:$C$1421,"brochure")=0,"",_xlfn.MAXIFS(Documents!$E$2:$E$1421,Documents!$A$2:$A$1421,$A129,Documents!$C$2:$C$1421,"brochure")),"")</f>
        <v/>
      </c>
      <c r="S129">
        <f>IFERROR(IF(_xlfn.MAXIFS(Documents!$E$2:$E$1421,Documents!$A$2:$A$1421,$A129,Documents!$C$2:$C$1421,"press_kit")=0,"",_xlfn.MAXIFS(Documents!$E$2:$E$1421,Documents!$A$2:$A$1421,$A129,Documents!$C$2:$C$1421,"press_kit")),"")</f>
        <v/>
      </c>
      <c r="T129">
        <f>IFERROR(IF(_xlfn.MAXIFS(Documents!$E$2:$E$1421,Documents!$A$2:$A$1421,$A129,Documents!$C$2:$C$1421,"other")=0,"",_xlfn.MAXIFS(Documents!$E$2:$E$1421,Documents!$A$2:$A$1421,$A129,Documents!$C$2:$C$1421,"other")),"")</f>
        <v/>
      </c>
      <c r="U129">
        <f>IFERROR(IF(_xlfn.MAXIFS(Documents!$E$2:$E$1421,Documents!$A$2:$A$1421,$A129,Documents!$C$2:$C$1421,"obsolete")=0,"",_xlfn.MAXIFS(Documents!$E$2:$E$1421,Documents!$A$2:$A$1421,$A129,Documents!$C$2:$C$1421,"obsolete")),"")</f>
        <v/>
      </c>
      <c r="V129">
        <f>COUNTIFS(Documents!$A$2:$A$1421,$A129)</f>
        <v/>
      </c>
      <c r="W129">
        <f>COUNTIFS(Documents!$A$2:$A$1421,$A129,Documents!$R$2:$R$1421,"current")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not crawled</t>
        </is>
      </c>
      <c r="D130">
        <f>IFERROR(IF(_xlfn.MAXIFS(Documents!$E$2:$E$1421,Documents!$A$2:$A$1421,$A130,Documents!$C$2:$C$1421,"factsheet")=0,"",_xlfn.MAXIFS(Documents!$E$2:$E$1421,Documents!$A$2:$A$1421,$A130,Documents!$C$2:$C$1421,"factsheet")),"")</f>
        <v/>
      </c>
      <c r="E130">
        <f>IFERROR(IF(_xlfn.MAXIFS(Documents!$E$2:$E$1421,Documents!$A$2:$A$1421,$A130,Documents!$C$2:$C$1421,"wedding")=0,"",_xlfn.MAXIFS(Documents!$E$2:$E$1421,Documents!$A$2:$A$1421,$A130,Documents!$C$2:$C$1421,"wedding")),"")</f>
        <v/>
      </c>
      <c r="F130">
        <f>IFERROR(IF(_xlfn.MAXIFS(Documents!$E$2:$E$1421,Documents!$A$2:$A$1421,$A130,Documents!$C$2:$C$1421,"events")=0,"",_xlfn.MAXIFS(Documents!$E$2:$E$1421,Documents!$A$2:$A$1421,$A130,Documents!$C$2:$C$1421,"events")),"")</f>
        <v/>
      </c>
      <c r="G130">
        <f>IFERROR(IF(_xlfn.MAXIFS(Documents!$E$2:$E$1421,Documents!$A$2:$A$1421,$A130,Documents!$C$2:$C$1421,"map")=0,"",_xlfn.MAXIFS(Documents!$E$2:$E$1421,Documents!$A$2:$A$1421,$A130,Documents!$C$2:$C$1421,"map")),"")</f>
        <v/>
      </c>
      <c r="H130">
        <f>IFERROR(IF(_xlfn.MAXIFS(Documents!$E$2:$E$1421,Documents!$A$2:$A$1421,$A130,Documents!$C$2:$C$1421,"dive_map")=0,"",_xlfn.MAXIFS(Documents!$E$2:$E$1421,Documents!$A$2:$A$1421,$A130,Documents!$C$2:$C$1421,"dive_map")),"")</f>
        <v/>
      </c>
      <c r="I130">
        <f>IFERROR(IF(_xlfn.MAXIFS(Documents!$E$2:$E$1421,Documents!$A$2:$A$1421,$A130,Documents!$C$2:$C$1421,"spa_menu")=0,"",_xlfn.MAXIFS(Documents!$E$2:$E$1421,Documents!$A$2:$A$1421,$A130,Documents!$C$2:$C$1421,"spa_menu")),"")</f>
        <v/>
      </c>
      <c r="J130">
        <f>IFERROR(IF(_xlfn.MAXIFS(Documents!$E$2:$E$1421,Documents!$A$2:$A$1421,$A130,Documents!$C$2:$C$1421,"dining_menu")=0,"",_xlfn.MAXIFS(Documents!$E$2:$E$1421,Documents!$A$2:$A$1421,$A130,Documents!$C$2:$C$1421,"dining_menu")),"")</f>
        <v/>
      </c>
      <c r="K130">
        <f>IFERROR(IF(_xlfn.MAXIFS(Documents!$E$2:$E$1421,Documents!$A$2:$A$1421,$A130,Documents!$C$2:$C$1421,"dive_prices")=0,"",_xlfn.MAXIFS(Documents!$E$2:$E$1421,Documents!$A$2:$A$1421,$A130,Documents!$C$2:$C$1421,"dive_prices")),"")</f>
        <v/>
      </c>
      <c r="L130">
        <f>IFERROR(IF(_xlfn.MAXIFS(Documents!$E$2:$E$1421,Documents!$A$2:$A$1421,$A130,Documents!$C$2:$C$1421,"excursions")=0,"",_xlfn.MAXIFS(Documents!$E$2:$E$1421,Documents!$A$2:$A$1421,$A130,Documents!$C$2:$C$1421,"excursions")),"")</f>
        <v/>
      </c>
      <c r="M130">
        <f>IFERROR(IF(_xlfn.MAXIFS(Documents!$E$2:$E$1421,Documents!$A$2:$A$1421,$A130,Documents!$C$2:$C$1421,"kids")=0,"",_xlfn.MAXIFS(Documents!$E$2:$E$1421,Documents!$A$2:$A$1421,$A130,Documents!$C$2:$C$1421,"kids")),"")</f>
        <v/>
      </c>
      <c r="N130">
        <f>IFERROR(IF(_xlfn.MAXIFS(Documents!$E$2:$E$1421,Documents!$A$2:$A$1421,$A130,Documents!$C$2:$C$1421,"villa_plans")=0,"",_xlfn.MAXIFS(Documents!$E$2:$E$1421,Documents!$A$2:$A$1421,$A130,Documents!$C$2:$C$1421,"villa_plans")),"")</f>
        <v/>
      </c>
      <c r="O130">
        <f>IFERROR(IF(_xlfn.MAXIFS(Documents!$E$2:$E$1421,Documents!$A$2:$A$1421,$A130,Documents!$C$2:$C$1421,"all_inclusive")=0,"",_xlfn.MAXIFS(Documents!$E$2:$E$1421,Documents!$A$2:$A$1421,$A130,Documents!$C$2:$C$1421,"all_inclusive")),"")</f>
        <v/>
      </c>
      <c r="P130">
        <f>IFERROR(IF(_xlfn.MAXIFS(Documents!$E$2:$E$1421,Documents!$A$2:$A$1421,$A130,Documents!$C$2:$C$1421,"sustainability")=0,"",_xlfn.MAXIFS(Documents!$E$2:$E$1421,Documents!$A$2:$A$1421,$A130,Documents!$C$2:$C$1421,"sustainability")),"")</f>
        <v/>
      </c>
      <c r="Q130">
        <f>IFERROR(IF(_xlfn.MAXIFS(Documents!$E$2:$E$1421,Documents!$A$2:$A$1421,$A130,Documents!$C$2:$C$1421,"calendar")=0,"",_xlfn.MAXIFS(Documents!$E$2:$E$1421,Documents!$A$2:$A$1421,$A130,Documents!$C$2:$C$1421,"calendar")),"")</f>
        <v/>
      </c>
      <c r="R130">
        <f>IFERROR(IF(_xlfn.MAXIFS(Documents!$E$2:$E$1421,Documents!$A$2:$A$1421,$A130,Documents!$C$2:$C$1421,"brochure")=0,"",_xlfn.MAXIFS(Documents!$E$2:$E$1421,Documents!$A$2:$A$1421,$A130,Documents!$C$2:$C$1421,"brochure")),"")</f>
        <v/>
      </c>
      <c r="S130">
        <f>IFERROR(IF(_xlfn.MAXIFS(Documents!$E$2:$E$1421,Documents!$A$2:$A$1421,$A130,Documents!$C$2:$C$1421,"press_kit")=0,"",_xlfn.MAXIFS(Documents!$E$2:$E$1421,Documents!$A$2:$A$1421,$A130,Documents!$C$2:$C$1421,"press_kit")),"")</f>
        <v/>
      </c>
      <c r="T130">
        <f>IFERROR(IF(_xlfn.MAXIFS(Documents!$E$2:$E$1421,Documents!$A$2:$A$1421,$A130,Documents!$C$2:$C$1421,"other")=0,"",_xlfn.MAXIFS(Documents!$E$2:$E$1421,Documents!$A$2:$A$1421,$A130,Documents!$C$2:$C$1421,"other")),"")</f>
        <v/>
      </c>
      <c r="U130">
        <f>IFERROR(IF(_xlfn.MAXIFS(Documents!$E$2:$E$1421,Documents!$A$2:$A$1421,$A130,Documents!$C$2:$C$1421,"obsolete")=0,"",_xlfn.MAXIFS(Documents!$E$2:$E$1421,Documents!$A$2:$A$1421,$A130,Documents!$C$2:$C$1421,"obsolete")),"")</f>
        <v/>
      </c>
      <c r="V130">
        <f>COUNTIFS(Documents!$A$2:$A$1421,$A130)</f>
        <v/>
      </c>
      <c r="W130">
        <f>COUNTIFS(Documents!$A$2:$A$1421,$A130,Documents!$R$2:$R$1421,"current")</f>
        <v/>
      </c>
      <c r="X130" t="inlineStr"/>
      <c r="Y130" t="inlineStr">
        <is>
          <t>factsheet, wedding, events</t>
        </is>
      </c>
      <c r="Z130" t="inlineStr"/>
    </row>
    <row r="131">
      <c r="A131" t="n">
        <v>130</v>
      </c>
      <c r="B131" t="inlineStr">
        <is>
          <t>Robinson Noonu</t>
        </is>
      </c>
      <c r="C131" t="inlineStr">
        <is>
          <t>not crawled</t>
        </is>
      </c>
      <c r="D131">
        <f>IFERROR(IF(_xlfn.MAXIFS(Documents!$E$2:$E$1421,Documents!$A$2:$A$1421,$A131,Documents!$C$2:$C$1421,"factsheet")=0,"",_xlfn.MAXIFS(Documents!$E$2:$E$1421,Documents!$A$2:$A$1421,$A131,Documents!$C$2:$C$1421,"factsheet")),"")</f>
        <v/>
      </c>
      <c r="E131">
        <f>IFERROR(IF(_xlfn.MAXIFS(Documents!$E$2:$E$1421,Documents!$A$2:$A$1421,$A131,Documents!$C$2:$C$1421,"wedding")=0,"",_xlfn.MAXIFS(Documents!$E$2:$E$1421,Documents!$A$2:$A$1421,$A131,Documents!$C$2:$C$1421,"wedding")),"")</f>
        <v/>
      </c>
      <c r="F131">
        <f>IFERROR(IF(_xlfn.MAXIFS(Documents!$E$2:$E$1421,Documents!$A$2:$A$1421,$A131,Documents!$C$2:$C$1421,"events")=0,"",_xlfn.MAXIFS(Documents!$E$2:$E$1421,Documents!$A$2:$A$1421,$A131,Documents!$C$2:$C$1421,"events")),"")</f>
        <v/>
      </c>
      <c r="G131">
        <f>IFERROR(IF(_xlfn.MAXIFS(Documents!$E$2:$E$1421,Documents!$A$2:$A$1421,$A131,Documents!$C$2:$C$1421,"map")=0,"",_xlfn.MAXIFS(Documents!$E$2:$E$1421,Documents!$A$2:$A$1421,$A131,Documents!$C$2:$C$1421,"map")),"")</f>
        <v/>
      </c>
      <c r="H131">
        <f>IFERROR(IF(_xlfn.MAXIFS(Documents!$E$2:$E$1421,Documents!$A$2:$A$1421,$A131,Documents!$C$2:$C$1421,"dive_map")=0,"",_xlfn.MAXIFS(Documents!$E$2:$E$1421,Documents!$A$2:$A$1421,$A131,Documents!$C$2:$C$1421,"dive_map")),"")</f>
        <v/>
      </c>
      <c r="I131">
        <f>IFERROR(IF(_xlfn.MAXIFS(Documents!$E$2:$E$1421,Documents!$A$2:$A$1421,$A131,Documents!$C$2:$C$1421,"spa_menu")=0,"",_xlfn.MAXIFS(Documents!$E$2:$E$1421,Documents!$A$2:$A$1421,$A131,Documents!$C$2:$C$1421,"spa_menu")),"")</f>
        <v/>
      </c>
      <c r="J131">
        <f>IFERROR(IF(_xlfn.MAXIFS(Documents!$E$2:$E$1421,Documents!$A$2:$A$1421,$A131,Documents!$C$2:$C$1421,"dining_menu")=0,"",_xlfn.MAXIFS(Documents!$E$2:$E$1421,Documents!$A$2:$A$1421,$A131,Documents!$C$2:$C$1421,"dining_menu")),"")</f>
        <v/>
      </c>
      <c r="K131">
        <f>IFERROR(IF(_xlfn.MAXIFS(Documents!$E$2:$E$1421,Documents!$A$2:$A$1421,$A131,Documents!$C$2:$C$1421,"dive_prices")=0,"",_xlfn.MAXIFS(Documents!$E$2:$E$1421,Documents!$A$2:$A$1421,$A131,Documents!$C$2:$C$1421,"dive_prices")),"")</f>
        <v/>
      </c>
      <c r="L131">
        <f>IFERROR(IF(_xlfn.MAXIFS(Documents!$E$2:$E$1421,Documents!$A$2:$A$1421,$A131,Documents!$C$2:$C$1421,"excursions")=0,"",_xlfn.MAXIFS(Documents!$E$2:$E$1421,Documents!$A$2:$A$1421,$A131,Documents!$C$2:$C$1421,"excursions")),"")</f>
        <v/>
      </c>
      <c r="M131">
        <f>IFERROR(IF(_xlfn.MAXIFS(Documents!$E$2:$E$1421,Documents!$A$2:$A$1421,$A131,Documents!$C$2:$C$1421,"kids")=0,"",_xlfn.MAXIFS(Documents!$E$2:$E$1421,Documents!$A$2:$A$1421,$A131,Documents!$C$2:$C$1421,"kids")),"")</f>
        <v/>
      </c>
      <c r="N131">
        <f>IFERROR(IF(_xlfn.MAXIFS(Documents!$E$2:$E$1421,Documents!$A$2:$A$1421,$A131,Documents!$C$2:$C$1421,"villa_plans")=0,"",_xlfn.MAXIFS(Documents!$E$2:$E$1421,Documents!$A$2:$A$1421,$A131,Documents!$C$2:$C$1421,"villa_plans")),"")</f>
        <v/>
      </c>
      <c r="O131">
        <f>IFERROR(IF(_xlfn.MAXIFS(Documents!$E$2:$E$1421,Documents!$A$2:$A$1421,$A131,Documents!$C$2:$C$1421,"all_inclusive")=0,"",_xlfn.MAXIFS(Documents!$E$2:$E$1421,Documents!$A$2:$A$1421,$A131,Documents!$C$2:$C$1421,"all_inclusive")),"")</f>
        <v/>
      </c>
      <c r="P131">
        <f>IFERROR(IF(_xlfn.MAXIFS(Documents!$E$2:$E$1421,Documents!$A$2:$A$1421,$A131,Documents!$C$2:$C$1421,"sustainability")=0,"",_xlfn.MAXIFS(Documents!$E$2:$E$1421,Documents!$A$2:$A$1421,$A131,Documents!$C$2:$C$1421,"sustainability")),"")</f>
        <v/>
      </c>
      <c r="Q131">
        <f>IFERROR(IF(_xlfn.MAXIFS(Documents!$E$2:$E$1421,Documents!$A$2:$A$1421,$A131,Documents!$C$2:$C$1421,"calendar")=0,"",_xlfn.MAXIFS(Documents!$E$2:$E$1421,Documents!$A$2:$A$1421,$A131,Documents!$C$2:$C$1421,"calendar")),"")</f>
        <v/>
      </c>
      <c r="R131">
        <f>IFERROR(IF(_xlfn.MAXIFS(Documents!$E$2:$E$1421,Documents!$A$2:$A$1421,$A131,Documents!$C$2:$C$1421,"brochure")=0,"",_xlfn.MAXIFS(Documents!$E$2:$E$1421,Documents!$A$2:$A$1421,$A131,Documents!$C$2:$C$1421,"brochure")),"")</f>
        <v/>
      </c>
      <c r="S131">
        <f>IFERROR(IF(_xlfn.MAXIFS(Documents!$E$2:$E$1421,Documents!$A$2:$A$1421,$A131,Documents!$C$2:$C$1421,"press_kit")=0,"",_xlfn.MAXIFS(Documents!$E$2:$E$1421,Documents!$A$2:$A$1421,$A131,Documents!$C$2:$C$1421,"press_kit")),"")</f>
        <v/>
      </c>
      <c r="T131">
        <f>IFERROR(IF(_xlfn.MAXIFS(Documents!$E$2:$E$1421,Documents!$A$2:$A$1421,$A131,Documents!$C$2:$C$1421,"other")=0,"",_xlfn.MAXIFS(Documents!$E$2:$E$1421,Documents!$A$2:$A$1421,$A131,Documents!$C$2:$C$1421,"other")),"")</f>
        <v/>
      </c>
      <c r="U131">
        <f>IFERROR(IF(_xlfn.MAXIFS(Documents!$E$2:$E$1421,Documents!$A$2:$A$1421,$A131,Documents!$C$2:$C$1421,"obsolete")=0,"",_xlfn.MAXIFS(Documents!$E$2:$E$1421,Documents!$A$2:$A$1421,$A131,Documents!$C$2:$C$1421,"obsolete")),"")</f>
        <v/>
      </c>
      <c r="V131">
        <f>COUNTIFS(Documents!$A$2:$A$1421,$A131)</f>
        <v/>
      </c>
      <c r="W131">
        <f>COUNTIFS(Documents!$A$2:$A$1421,$A131,Documents!$R$2:$R$1421,"current")</f>
        <v/>
      </c>
      <c r="X131" t="inlineStr"/>
      <c r="Y131" t="inlineStr">
        <is>
          <t>factsheet, wedding, events</t>
        </is>
      </c>
      <c r="Z131" t="inlineStr"/>
    </row>
    <row r="132">
      <c r="A132" t="n">
        <v>131</v>
      </c>
      <c r="B132" t="inlineStr">
        <is>
          <t>Robinson Maldives</t>
        </is>
      </c>
      <c r="C132" t="inlineStr">
        <is>
          <t>not crawled</t>
        </is>
      </c>
      <c r="D132">
        <f>IFERROR(IF(_xlfn.MAXIFS(Documents!$E$2:$E$1421,Documents!$A$2:$A$1421,$A132,Documents!$C$2:$C$1421,"factsheet")=0,"",_xlfn.MAXIFS(Documents!$E$2:$E$1421,Documents!$A$2:$A$1421,$A132,Documents!$C$2:$C$1421,"factsheet")),"")</f>
        <v/>
      </c>
      <c r="E132">
        <f>IFERROR(IF(_xlfn.MAXIFS(Documents!$E$2:$E$1421,Documents!$A$2:$A$1421,$A132,Documents!$C$2:$C$1421,"wedding")=0,"",_xlfn.MAXIFS(Documents!$E$2:$E$1421,Documents!$A$2:$A$1421,$A132,Documents!$C$2:$C$1421,"wedding")),"")</f>
        <v/>
      </c>
      <c r="F132">
        <f>IFERROR(IF(_xlfn.MAXIFS(Documents!$E$2:$E$1421,Documents!$A$2:$A$1421,$A132,Documents!$C$2:$C$1421,"events")=0,"",_xlfn.MAXIFS(Documents!$E$2:$E$1421,Documents!$A$2:$A$1421,$A132,Documents!$C$2:$C$1421,"events")),"")</f>
        <v/>
      </c>
      <c r="G132">
        <f>IFERROR(IF(_xlfn.MAXIFS(Documents!$E$2:$E$1421,Documents!$A$2:$A$1421,$A132,Documents!$C$2:$C$1421,"map")=0,"",_xlfn.MAXIFS(Documents!$E$2:$E$1421,Documents!$A$2:$A$1421,$A132,Documents!$C$2:$C$1421,"map")),"")</f>
        <v/>
      </c>
      <c r="H132">
        <f>IFERROR(IF(_xlfn.MAXIFS(Documents!$E$2:$E$1421,Documents!$A$2:$A$1421,$A132,Documents!$C$2:$C$1421,"dive_map")=0,"",_xlfn.MAXIFS(Documents!$E$2:$E$1421,Documents!$A$2:$A$1421,$A132,Documents!$C$2:$C$1421,"dive_map")),"")</f>
        <v/>
      </c>
      <c r="I132">
        <f>IFERROR(IF(_xlfn.MAXIFS(Documents!$E$2:$E$1421,Documents!$A$2:$A$1421,$A132,Documents!$C$2:$C$1421,"spa_menu")=0,"",_xlfn.MAXIFS(Documents!$E$2:$E$1421,Documents!$A$2:$A$1421,$A132,Documents!$C$2:$C$1421,"spa_menu")),"")</f>
        <v/>
      </c>
      <c r="J132">
        <f>IFERROR(IF(_xlfn.MAXIFS(Documents!$E$2:$E$1421,Documents!$A$2:$A$1421,$A132,Documents!$C$2:$C$1421,"dining_menu")=0,"",_xlfn.MAXIFS(Documents!$E$2:$E$1421,Documents!$A$2:$A$1421,$A132,Documents!$C$2:$C$1421,"dining_menu")),"")</f>
        <v/>
      </c>
      <c r="K132">
        <f>IFERROR(IF(_xlfn.MAXIFS(Documents!$E$2:$E$1421,Documents!$A$2:$A$1421,$A132,Documents!$C$2:$C$1421,"dive_prices")=0,"",_xlfn.MAXIFS(Documents!$E$2:$E$1421,Documents!$A$2:$A$1421,$A132,Documents!$C$2:$C$1421,"dive_prices")),"")</f>
        <v/>
      </c>
      <c r="L132">
        <f>IFERROR(IF(_xlfn.MAXIFS(Documents!$E$2:$E$1421,Documents!$A$2:$A$1421,$A132,Documents!$C$2:$C$1421,"excursions")=0,"",_xlfn.MAXIFS(Documents!$E$2:$E$1421,Documents!$A$2:$A$1421,$A132,Documents!$C$2:$C$1421,"excursions")),"")</f>
        <v/>
      </c>
      <c r="M132">
        <f>IFERROR(IF(_xlfn.MAXIFS(Documents!$E$2:$E$1421,Documents!$A$2:$A$1421,$A132,Documents!$C$2:$C$1421,"kids")=0,"",_xlfn.MAXIFS(Documents!$E$2:$E$1421,Documents!$A$2:$A$1421,$A132,Documents!$C$2:$C$1421,"kids")),"")</f>
        <v/>
      </c>
      <c r="N132">
        <f>IFERROR(IF(_xlfn.MAXIFS(Documents!$E$2:$E$1421,Documents!$A$2:$A$1421,$A132,Documents!$C$2:$C$1421,"villa_plans")=0,"",_xlfn.MAXIFS(Documents!$E$2:$E$1421,Documents!$A$2:$A$1421,$A132,Documents!$C$2:$C$1421,"villa_plans")),"")</f>
        <v/>
      </c>
      <c r="O132">
        <f>IFERROR(IF(_xlfn.MAXIFS(Documents!$E$2:$E$1421,Documents!$A$2:$A$1421,$A132,Documents!$C$2:$C$1421,"all_inclusive")=0,"",_xlfn.MAXIFS(Documents!$E$2:$E$1421,Documents!$A$2:$A$1421,$A132,Documents!$C$2:$C$1421,"all_inclusive")),"")</f>
        <v/>
      </c>
      <c r="P132">
        <f>IFERROR(IF(_xlfn.MAXIFS(Documents!$E$2:$E$1421,Documents!$A$2:$A$1421,$A132,Documents!$C$2:$C$1421,"sustainability")=0,"",_xlfn.MAXIFS(Documents!$E$2:$E$1421,Documents!$A$2:$A$1421,$A132,Documents!$C$2:$C$1421,"sustainability")),"")</f>
        <v/>
      </c>
      <c r="Q132">
        <f>IFERROR(IF(_xlfn.MAXIFS(Documents!$E$2:$E$1421,Documents!$A$2:$A$1421,$A132,Documents!$C$2:$C$1421,"calendar")=0,"",_xlfn.MAXIFS(Documents!$E$2:$E$1421,Documents!$A$2:$A$1421,$A132,Documents!$C$2:$C$1421,"calendar")),"")</f>
        <v/>
      </c>
      <c r="R132">
        <f>IFERROR(IF(_xlfn.MAXIFS(Documents!$E$2:$E$1421,Documents!$A$2:$A$1421,$A132,Documents!$C$2:$C$1421,"brochure")=0,"",_xlfn.MAXIFS(Documents!$E$2:$E$1421,Documents!$A$2:$A$1421,$A132,Documents!$C$2:$C$1421,"brochure")),"")</f>
        <v/>
      </c>
      <c r="S132">
        <f>IFERROR(IF(_xlfn.MAXIFS(Documents!$E$2:$E$1421,Documents!$A$2:$A$1421,$A132,Documents!$C$2:$C$1421,"press_kit")=0,"",_xlfn.MAXIFS(Documents!$E$2:$E$1421,Documents!$A$2:$A$1421,$A132,Documents!$C$2:$C$1421,"press_kit")),"")</f>
        <v/>
      </c>
      <c r="T132">
        <f>IFERROR(IF(_xlfn.MAXIFS(Documents!$E$2:$E$1421,Documents!$A$2:$A$1421,$A132,Documents!$C$2:$C$1421,"other")=0,"",_xlfn.MAXIFS(Documents!$E$2:$E$1421,Documents!$A$2:$A$1421,$A132,Documents!$C$2:$C$1421,"other")),"")</f>
        <v/>
      </c>
      <c r="U132">
        <f>IFERROR(IF(_xlfn.MAXIFS(Documents!$E$2:$E$1421,Documents!$A$2:$A$1421,$A132,Documents!$C$2:$C$1421,"obsolete")=0,"",_xlfn.MAXIFS(Documents!$E$2:$E$1421,Documents!$A$2:$A$1421,$A132,Documents!$C$2:$C$1421,"obsolete")),"")</f>
        <v/>
      </c>
      <c r="V132">
        <f>COUNTIFS(Documents!$A$2:$A$1421,$A132)</f>
        <v/>
      </c>
      <c r="W132">
        <f>COUNTIFS(Documents!$A$2:$A$1421,$A132,Documents!$R$2:$R$1421,"current")</f>
        <v/>
      </c>
      <c r="X132" t="inlineStr"/>
      <c r="Y132" t="inlineStr">
        <is>
          <t>factsheet, wedding, events</t>
        </is>
      </c>
      <c r="Z132" t="inlineStr"/>
    </row>
    <row r="133">
      <c r="A133" t="n">
        <v>132</v>
      </c>
      <c r="B133" t="inlineStr">
        <is>
          <t>Noku Maldives</t>
        </is>
      </c>
      <c r="C133" t="inlineStr">
        <is>
          <t>not crawled</t>
        </is>
      </c>
      <c r="D133">
        <f>IFERROR(IF(_xlfn.MAXIFS(Documents!$E$2:$E$1421,Documents!$A$2:$A$1421,$A133,Documents!$C$2:$C$1421,"factsheet")=0,"",_xlfn.MAXIFS(Documents!$E$2:$E$1421,Documents!$A$2:$A$1421,$A133,Documents!$C$2:$C$1421,"factsheet")),"")</f>
        <v/>
      </c>
      <c r="E133">
        <f>IFERROR(IF(_xlfn.MAXIFS(Documents!$E$2:$E$1421,Documents!$A$2:$A$1421,$A133,Documents!$C$2:$C$1421,"wedding")=0,"",_xlfn.MAXIFS(Documents!$E$2:$E$1421,Documents!$A$2:$A$1421,$A133,Documents!$C$2:$C$1421,"wedding")),"")</f>
        <v/>
      </c>
      <c r="F133">
        <f>IFERROR(IF(_xlfn.MAXIFS(Documents!$E$2:$E$1421,Documents!$A$2:$A$1421,$A133,Documents!$C$2:$C$1421,"events")=0,"",_xlfn.MAXIFS(Documents!$E$2:$E$1421,Documents!$A$2:$A$1421,$A133,Documents!$C$2:$C$1421,"events")),"")</f>
        <v/>
      </c>
      <c r="G133">
        <f>IFERROR(IF(_xlfn.MAXIFS(Documents!$E$2:$E$1421,Documents!$A$2:$A$1421,$A133,Documents!$C$2:$C$1421,"map")=0,"",_xlfn.MAXIFS(Documents!$E$2:$E$1421,Documents!$A$2:$A$1421,$A133,Documents!$C$2:$C$1421,"map")),"")</f>
        <v/>
      </c>
      <c r="H133">
        <f>IFERROR(IF(_xlfn.MAXIFS(Documents!$E$2:$E$1421,Documents!$A$2:$A$1421,$A133,Documents!$C$2:$C$1421,"dive_map")=0,"",_xlfn.MAXIFS(Documents!$E$2:$E$1421,Documents!$A$2:$A$1421,$A133,Documents!$C$2:$C$1421,"dive_map")),"")</f>
        <v/>
      </c>
      <c r="I133">
        <f>IFERROR(IF(_xlfn.MAXIFS(Documents!$E$2:$E$1421,Documents!$A$2:$A$1421,$A133,Documents!$C$2:$C$1421,"spa_menu")=0,"",_xlfn.MAXIFS(Documents!$E$2:$E$1421,Documents!$A$2:$A$1421,$A133,Documents!$C$2:$C$1421,"spa_menu")),"")</f>
        <v/>
      </c>
      <c r="J133">
        <f>IFERROR(IF(_xlfn.MAXIFS(Documents!$E$2:$E$1421,Documents!$A$2:$A$1421,$A133,Documents!$C$2:$C$1421,"dining_menu")=0,"",_xlfn.MAXIFS(Documents!$E$2:$E$1421,Documents!$A$2:$A$1421,$A133,Documents!$C$2:$C$1421,"dining_menu")),"")</f>
        <v/>
      </c>
      <c r="K133">
        <f>IFERROR(IF(_xlfn.MAXIFS(Documents!$E$2:$E$1421,Documents!$A$2:$A$1421,$A133,Documents!$C$2:$C$1421,"dive_prices")=0,"",_xlfn.MAXIFS(Documents!$E$2:$E$1421,Documents!$A$2:$A$1421,$A133,Documents!$C$2:$C$1421,"dive_prices")),"")</f>
        <v/>
      </c>
      <c r="L133">
        <f>IFERROR(IF(_xlfn.MAXIFS(Documents!$E$2:$E$1421,Documents!$A$2:$A$1421,$A133,Documents!$C$2:$C$1421,"excursions")=0,"",_xlfn.MAXIFS(Documents!$E$2:$E$1421,Documents!$A$2:$A$1421,$A133,Documents!$C$2:$C$1421,"excursions")),"")</f>
        <v/>
      </c>
      <c r="M133">
        <f>IFERROR(IF(_xlfn.MAXIFS(Documents!$E$2:$E$1421,Documents!$A$2:$A$1421,$A133,Documents!$C$2:$C$1421,"kids")=0,"",_xlfn.MAXIFS(Documents!$E$2:$E$1421,Documents!$A$2:$A$1421,$A133,Documents!$C$2:$C$1421,"kids")),"")</f>
        <v/>
      </c>
      <c r="N133">
        <f>IFERROR(IF(_xlfn.MAXIFS(Documents!$E$2:$E$1421,Documents!$A$2:$A$1421,$A133,Documents!$C$2:$C$1421,"villa_plans")=0,"",_xlfn.MAXIFS(Documents!$E$2:$E$1421,Documents!$A$2:$A$1421,$A133,Documents!$C$2:$C$1421,"villa_plans")),"")</f>
        <v/>
      </c>
      <c r="O133">
        <f>IFERROR(IF(_xlfn.MAXIFS(Documents!$E$2:$E$1421,Documents!$A$2:$A$1421,$A133,Documents!$C$2:$C$1421,"all_inclusive")=0,"",_xlfn.MAXIFS(Documents!$E$2:$E$1421,Documents!$A$2:$A$1421,$A133,Documents!$C$2:$C$1421,"all_inclusive")),"")</f>
        <v/>
      </c>
      <c r="P133">
        <f>IFERROR(IF(_xlfn.MAXIFS(Documents!$E$2:$E$1421,Documents!$A$2:$A$1421,$A133,Documents!$C$2:$C$1421,"sustainability")=0,"",_xlfn.MAXIFS(Documents!$E$2:$E$1421,Documents!$A$2:$A$1421,$A133,Documents!$C$2:$C$1421,"sustainability")),"")</f>
        <v/>
      </c>
      <c r="Q133">
        <f>IFERROR(IF(_xlfn.MAXIFS(Documents!$E$2:$E$1421,Documents!$A$2:$A$1421,$A133,Documents!$C$2:$C$1421,"calendar")=0,"",_xlfn.MAXIFS(Documents!$E$2:$E$1421,Documents!$A$2:$A$1421,$A133,Documents!$C$2:$C$1421,"calendar")),"")</f>
        <v/>
      </c>
      <c r="R133">
        <f>IFERROR(IF(_xlfn.MAXIFS(Documents!$E$2:$E$1421,Documents!$A$2:$A$1421,$A133,Documents!$C$2:$C$1421,"brochure")=0,"",_xlfn.MAXIFS(Documents!$E$2:$E$1421,Documents!$A$2:$A$1421,$A133,Documents!$C$2:$C$1421,"brochure")),"")</f>
        <v/>
      </c>
      <c r="S133">
        <f>IFERROR(IF(_xlfn.MAXIFS(Documents!$E$2:$E$1421,Documents!$A$2:$A$1421,$A133,Documents!$C$2:$C$1421,"press_kit")=0,"",_xlfn.MAXIFS(Documents!$E$2:$E$1421,Documents!$A$2:$A$1421,$A133,Documents!$C$2:$C$1421,"press_kit")),"")</f>
        <v/>
      </c>
      <c r="T133">
        <f>IFERROR(IF(_xlfn.MAXIFS(Documents!$E$2:$E$1421,Documents!$A$2:$A$1421,$A133,Documents!$C$2:$C$1421,"other")=0,"",_xlfn.MAXIFS(Documents!$E$2:$E$1421,Documents!$A$2:$A$1421,$A133,Documents!$C$2:$C$1421,"other")),"")</f>
        <v/>
      </c>
      <c r="U133">
        <f>IFERROR(IF(_xlfn.MAXIFS(Documents!$E$2:$E$1421,Documents!$A$2:$A$1421,$A133,Documents!$C$2:$C$1421,"obsolete")=0,"",_xlfn.MAXIFS(Documents!$E$2:$E$1421,Documents!$A$2:$A$1421,$A133,Documents!$C$2:$C$1421,"obsolete")),"")</f>
        <v/>
      </c>
      <c r="V133">
        <f>COUNTIFS(Documents!$A$2:$A$1421,$A133)</f>
        <v/>
      </c>
      <c r="W133">
        <f>COUNTIFS(Documents!$A$2:$A$1421,$A133,Documents!$R$2:$R$1421,"current")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not crawled</t>
        </is>
      </c>
      <c r="D134">
        <f>IFERROR(IF(_xlfn.MAXIFS(Documents!$E$2:$E$1421,Documents!$A$2:$A$1421,$A134,Documents!$C$2:$C$1421,"factsheet")=0,"",_xlfn.MAXIFS(Documents!$E$2:$E$1421,Documents!$A$2:$A$1421,$A134,Documents!$C$2:$C$1421,"factsheet")),"")</f>
        <v/>
      </c>
      <c r="E134">
        <f>IFERROR(IF(_xlfn.MAXIFS(Documents!$E$2:$E$1421,Documents!$A$2:$A$1421,$A134,Documents!$C$2:$C$1421,"wedding")=0,"",_xlfn.MAXIFS(Documents!$E$2:$E$1421,Documents!$A$2:$A$1421,$A134,Documents!$C$2:$C$1421,"wedding")),"")</f>
        <v/>
      </c>
      <c r="F134">
        <f>IFERROR(IF(_xlfn.MAXIFS(Documents!$E$2:$E$1421,Documents!$A$2:$A$1421,$A134,Documents!$C$2:$C$1421,"events")=0,"",_xlfn.MAXIFS(Documents!$E$2:$E$1421,Documents!$A$2:$A$1421,$A134,Documents!$C$2:$C$1421,"events")),"")</f>
        <v/>
      </c>
      <c r="G134">
        <f>IFERROR(IF(_xlfn.MAXIFS(Documents!$E$2:$E$1421,Documents!$A$2:$A$1421,$A134,Documents!$C$2:$C$1421,"map")=0,"",_xlfn.MAXIFS(Documents!$E$2:$E$1421,Documents!$A$2:$A$1421,$A134,Documents!$C$2:$C$1421,"map")),"")</f>
        <v/>
      </c>
      <c r="H134">
        <f>IFERROR(IF(_xlfn.MAXIFS(Documents!$E$2:$E$1421,Documents!$A$2:$A$1421,$A134,Documents!$C$2:$C$1421,"dive_map")=0,"",_xlfn.MAXIFS(Documents!$E$2:$E$1421,Documents!$A$2:$A$1421,$A134,Documents!$C$2:$C$1421,"dive_map")),"")</f>
        <v/>
      </c>
      <c r="I134">
        <f>IFERROR(IF(_xlfn.MAXIFS(Documents!$E$2:$E$1421,Documents!$A$2:$A$1421,$A134,Documents!$C$2:$C$1421,"spa_menu")=0,"",_xlfn.MAXIFS(Documents!$E$2:$E$1421,Documents!$A$2:$A$1421,$A134,Documents!$C$2:$C$1421,"spa_menu")),"")</f>
        <v/>
      </c>
      <c r="J134">
        <f>IFERROR(IF(_xlfn.MAXIFS(Documents!$E$2:$E$1421,Documents!$A$2:$A$1421,$A134,Documents!$C$2:$C$1421,"dining_menu")=0,"",_xlfn.MAXIFS(Documents!$E$2:$E$1421,Documents!$A$2:$A$1421,$A134,Documents!$C$2:$C$1421,"dining_menu")),"")</f>
        <v/>
      </c>
      <c r="K134">
        <f>IFERROR(IF(_xlfn.MAXIFS(Documents!$E$2:$E$1421,Documents!$A$2:$A$1421,$A134,Documents!$C$2:$C$1421,"dive_prices")=0,"",_xlfn.MAXIFS(Documents!$E$2:$E$1421,Documents!$A$2:$A$1421,$A134,Documents!$C$2:$C$1421,"dive_prices")),"")</f>
        <v/>
      </c>
      <c r="L134">
        <f>IFERROR(IF(_xlfn.MAXIFS(Documents!$E$2:$E$1421,Documents!$A$2:$A$1421,$A134,Documents!$C$2:$C$1421,"excursions")=0,"",_xlfn.MAXIFS(Documents!$E$2:$E$1421,Documents!$A$2:$A$1421,$A134,Documents!$C$2:$C$1421,"excursions")),"")</f>
        <v/>
      </c>
      <c r="M134">
        <f>IFERROR(IF(_xlfn.MAXIFS(Documents!$E$2:$E$1421,Documents!$A$2:$A$1421,$A134,Documents!$C$2:$C$1421,"kids")=0,"",_xlfn.MAXIFS(Documents!$E$2:$E$1421,Documents!$A$2:$A$1421,$A134,Documents!$C$2:$C$1421,"kids")),"")</f>
        <v/>
      </c>
      <c r="N134">
        <f>IFERROR(IF(_xlfn.MAXIFS(Documents!$E$2:$E$1421,Documents!$A$2:$A$1421,$A134,Documents!$C$2:$C$1421,"villa_plans")=0,"",_xlfn.MAXIFS(Documents!$E$2:$E$1421,Documents!$A$2:$A$1421,$A134,Documents!$C$2:$C$1421,"villa_plans")),"")</f>
        <v/>
      </c>
      <c r="O134">
        <f>IFERROR(IF(_xlfn.MAXIFS(Documents!$E$2:$E$1421,Documents!$A$2:$A$1421,$A134,Documents!$C$2:$C$1421,"all_inclusive")=0,"",_xlfn.MAXIFS(Documents!$E$2:$E$1421,Documents!$A$2:$A$1421,$A134,Documents!$C$2:$C$1421,"all_inclusive")),"")</f>
        <v/>
      </c>
      <c r="P134">
        <f>IFERROR(IF(_xlfn.MAXIFS(Documents!$E$2:$E$1421,Documents!$A$2:$A$1421,$A134,Documents!$C$2:$C$1421,"sustainability")=0,"",_xlfn.MAXIFS(Documents!$E$2:$E$1421,Documents!$A$2:$A$1421,$A134,Documents!$C$2:$C$1421,"sustainability")),"")</f>
        <v/>
      </c>
      <c r="Q134">
        <f>IFERROR(IF(_xlfn.MAXIFS(Documents!$E$2:$E$1421,Documents!$A$2:$A$1421,$A134,Documents!$C$2:$C$1421,"calendar")=0,"",_xlfn.MAXIFS(Documents!$E$2:$E$1421,Documents!$A$2:$A$1421,$A134,Documents!$C$2:$C$1421,"calendar")),"")</f>
        <v/>
      </c>
      <c r="R134">
        <f>IFERROR(IF(_xlfn.MAXIFS(Documents!$E$2:$E$1421,Documents!$A$2:$A$1421,$A134,Documents!$C$2:$C$1421,"brochure")=0,"",_xlfn.MAXIFS(Documents!$E$2:$E$1421,Documents!$A$2:$A$1421,$A134,Documents!$C$2:$C$1421,"brochure")),"")</f>
        <v/>
      </c>
      <c r="S134">
        <f>IFERROR(IF(_xlfn.MAXIFS(Documents!$E$2:$E$1421,Documents!$A$2:$A$1421,$A134,Documents!$C$2:$C$1421,"press_kit")=0,"",_xlfn.MAXIFS(Documents!$E$2:$E$1421,Documents!$A$2:$A$1421,$A134,Documents!$C$2:$C$1421,"press_kit")),"")</f>
        <v/>
      </c>
      <c r="T134">
        <f>IFERROR(IF(_xlfn.MAXIFS(Documents!$E$2:$E$1421,Documents!$A$2:$A$1421,$A134,Documents!$C$2:$C$1421,"other")=0,"",_xlfn.MAXIFS(Documents!$E$2:$E$1421,Documents!$A$2:$A$1421,$A134,Documents!$C$2:$C$1421,"other")),"")</f>
        <v/>
      </c>
      <c r="U134">
        <f>IFERROR(IF(_xlfn.MAXIFS(Documents!$E$2:$E$1421,Documents!$A$2:$A$1421,$A134,Documents!$C$2:$C$1421,"obsolete")=0,"",_xlfn.MAXIFS(Documents!$E$2:$E$1421,Documents!$A$2:$A$1421,$A134,Documents!$C$2:$C$1421,"obsolete")),"")</f>
        <v/>
      </c>
      <c r="V134">
        <f>COUNTIFS(Documents!$A$2:$A$1421,$A134)</f>
        <v/>
      </c>
      <c r="W134">
        <f>COUNTIFS(Documents!$A$2:$A$1421,$A134,Documents!$R$2:$R$1421,"current")</f>
        <v/>
      </c>
      <c r="X134" t="inlineStr"/>
      <c r="Y134" t="inlineStr">
        <is>
          <t>factsheet, wedding, events</t>
        </is>
      </c>
      <c r="Z134" t="inlineStr">
        <is>
          <t>OBLU Nature Helengeli by Sentido</t>
        </is>
      </c>
    </row>
    <row r="135">
      <c r="A135" t="n">
        <v>134</v>
      </c>
      <c r="B135" t="inlineStr">
        <is>
          <t>The St. Regis Vommuli Resort, Maldives</t>
        </is>
      </c>
      <c r="C135" t="inlineStr">
        <is>
          <t>not crawled</t>
        </is>
      </c>
      <c r="D135">
        <f>IFERROR(IF(_xlfn.MAXIFS(Documents!$E$2:$E$1421,Documents!$A$2:$A$1421,$A135,Documents!$C$2:$C$1421,"factsheet")=0,"",_xlfn.MAXIFS(Documents!$E$2:$E$1421,Documents!$A$2:$A$1421,$A135,Documents!$C$2:$C$1421,"factsheet")),"")</f>
        <v/>
      </c>
      <c r="E135">
        <f>IFERROR(IF(_xlfn.MAXIFS(Documents!$E$2:$E$1421,Documents!$A$2:$A$1421,$A135,Documents!$C$2:$C$1421,"wedding")=0,"",_xlfn.MAXIFS(Documents!$E$2:$E$1421,Documents!$A$2:$A$1421,$A135,Documents!$C$2:$C$1421,"wedding")),"")</f>
        <v/>
      </c>
      <c r="F135">
        <f>IFERROR(IF(_xlfn.MAXIFS(Documents!$E$2:$E$1421,Documents!$A$2:$A$1421,$A135,Documents!$C$2:$C$1421,"events")=0,"",_xlfn.MAXIFS(Documents!$E$2:$E$1421,Documents!$A$2:$A$1421,$A135,Documents!$C$2:$C$1421,"events")),"")</f>
        <v/>
      </c>
      <c r="G135">
        <f>IFERROR(IF(_xlfn.MAXIFS(Documents!$E$2:$E$1421,Documents!$A$2:$A$1421,$A135,Documents!$C$2:$C$1421,"map")=0,"",_xlfn.MAXIFS(Documents!$E$2:$E$1421,Documents!$A$2:$A$1421,$A135,Documents!$C$2:$C$1421,"map")),"")</f>
        <v/>
      </c>
      <c r="H135">
        <f>IFERROR(IF(_xlfn.MAXIFS(Documents!$E$2:$E$1421,Documents!$A$2:$A$1421,$A135,Documents!$C$2:$C$1421,"dive_map")=0,"",_xlfn.MAXIFS(Documents!$E$2:$E$1421,Documents!$A$2:$A$1421,$A135,Documents!$C$2:$C$1421,"dive_map")),"")</f>
        <v/>
      </c>
      <c r="I135">
        <f>IFERROR(IF(_xlfn.MAXIFS(Documents!$E$2:$E$1421,Documents!$A$2:$A$1421,$A135,Documents!$C$2:$C$1421,"spa_menu")=0,"",_xlfn.MAXIFS(Documents!$E$2:$E$1421,Documents!$A$2:$A$1421,$A135,Documents!$C$2:$C$1421,"spa_menu")),"")</f>
        <v/>
      </c>
      <c r="J135">
        <f>IFERROR(IF(_xlfn.MAXIFS(Documents!$E$2:$E$1421,Documents!$A$2:$A$1421,$A135,Documents!$C$2:$C$1421,"dining_menu")=0,"",_xlfn.MAXIFS(Documents!$E$2:$E$1421,Documents!$A$2:$A$1421,$A135,Documents!$C$2:$C$1421,"dining_menu")),"")</f>
        <v/>
      </c>
      <c r="K135">
        <f>IFERROR(IF(_xlfn.MAXIFS(Documents!$E$2:$E$1421,Documents!$A$2:$A$1421,$A135,Documents!$C$2:$C$1421,"dive_prices")=0,"",_xlfn.MAXIFS(Documents!$E$2:$E$1421,Documents!$A$2:$A$1421,$A135,Documents!$C$2:$C$1421,"dive_prices")),"")</f>
        <v/>
      </c>
      <c r="L135">
        <f>IFERROR(IF(_xlfn.MAXIFS(Documents!$E$2:$E$1421,Documents!$A$2:$A$1421,$A135,Documents!$C$2:$C$1421,"excursions")=0,"",_xlfn.MAXIFS(Documents!$E$2:$E$1421,Documents!$A$2:$A$1421,$A135,Documents!$C$2:$C$1421,"excursions")),"")</f>
        <v/>
      </c>
      <c r="M135">
        <f>IFERROR(IF(_xlfn.MAXIFS(Documents!$E$2:$E$1421,Documents!$A$2:$A$1421,$A135,Documents!$C$2:$C$1421,"kids")=0,"",_xlfn.MAXIFS(Documents!$E$2:$E$1421,Documents!$A$2:$A$1421,$A135,Documents!$C$2:$C$1421,"kids")),"")</f>
        <v/>
      </c>
      <c r="N135">
        <f>IFERROR(IF(_xlfn.MAXIFS(Documents!$E$2:$E$1421,Documents!$A$2:$A$1421,$A135,Documents!$C$2:$C$1421,"villa_plans")=0,"",_xlfn.MAXIFS(Documents!$E$2:$E$1421,Documents!$A$2:$A$1421,$A135,Documents!$C$2:$C$1421,"villa_plans")),"")</f>
        <v/>
      </c>
      <c r="O135">
        <f>IFERROR(IF(_xlfn.MAXIFS(Documents!$E$2:$E$1421,Documents!$A$2:$A$1421,$A135,Documents!$C$2:$C$1421,"all_inclusive")=0,"",_xlfn.MAXIFS(Documents!$E$2:$E$1421,Documents!$A$2:$A$1421,$A135,Documents!$C$2:$C$1421,"all_inclusive")),"")</f>
        <v/>
      </c>
      <c r="P135">
        <f>IFERROR(IF(_xlfn.MAXIFS(Documents!$E$2:$E$1421,Documents!$A$2:$A$1421,$A135,Documents!$C$2:$C$1421,"sustainability")=0,"",_xlfn.MAXIFS(Documents!$E$2:$E$1421,Documents!$A$2:$A$1421,$A135,Documents!$C$2:$C$1421,"sustainability")),"")</f>
        <v/>
      </c>
      <c r="Q135">
        <f>IFERROR(IF(_xlfn.MAXIFS(Documents!$E$2:$E$1421,Documents!$A$2:$A$1421,$A135,Documents!$C$2:$C$1421,"calendar")=0,"",_xlfn.MAXIFS(Documents!$E$2:$E$1421,Documents!$A$2:$A$1421,$A135,Documents!$C$2:$C$1421,"calendar")),"")</f>
        <v/>
      </c>
      <c r="R135">
        <f>IFERROR(IF(_xlfn.MAXIFS(Documents!$E$2:$E$1421,Documents!$A$2:$A$1421,$A135,Documents!$C$2:$C$1421,"brochure")=0,"",_xlfn.MAXIFS(Documents!$E$2:$E$1421,Documents!$A$2:$A$1421,$A135,Documents!$C$2:$C$1421,"brochure")),"")</f>
        <v/>
      </c>
      <c r="S135">
        <f>IFERROR(IF(_xlfn.MAXIFS(Documents!$E$2:$E$1421,Documents!$A$2:$A$1421,$A135,Documents!$C$2:$C$1421,"press_kit")=0,"",_xlfn.MAXIFS(Documents!$E$2:$E$1421,Documents!$A$2:$A$1421,$A135,Documents!$C$2:$C$1421,"press_kit")),"")</f>
        <v/>
      </c>
      <c r="T135">
        <f>IFERROR(IF(_xlfn.MAXIFS(Documents!$E$2:$E$1421,Documents!$A$2:$A$1421,$A135,Documents!$C$2:$C$1421,"other")=0,"",_xlfn.MAXIFS(Documents!$E$2:$E$1421,Documents!$A$2:$A$1421,$A135,Documents!$C$2:$C$1421,"other")),"")</f>
        <v/>
      </c>
      <c r="U135">
        <f>IFERROR(IF(_xlfn.MAXIFS(Documents!$E$2:$E$1421,Documents!$A$2:$A$1421,$A135,Documents!$C$2:$C$1421,"obsolete")=0,"",_xlfn.MAXIFS(Documents!$E$2:$E$1421,Documents!$A$2:$A$1421,$A135,Documents!$C$2:$C$1421,"obsolete")),"")</f>
        <v/>
      </c>
      <c r="V135">
        <f>COUNTIFS(Documents!$A$2:$A$1421,$A135)</f>
        <v/>
      </c>
      <c r="W135">
        <f>COUNTIFS(Documents!$A$2:$A$1421,$A135,Documents!$R$2:$R$1421,"current")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not crawled</t>
        </is>
      </c>
      <c r="D136">
        <f>IFERROR(IF(_xlfn.MAXIFS(Documents!$E$2:$E$1421,Documents!$A$2:$A$1421,$A136,Documents!$C$2:$C$1421,"factsheet")=0,"",_xlfn.MAXIFS(Documents!$E$2:$E$1421,Documents!$A$2:$A$1421,$A136,Documents!$C$2:$C$1421,"factsheet")),"")</f>
        <v/>
      </c>
      <c r="E136">
        <f>IFERROR(IF(_xlfn.MAXIFS(Documents!$E$2:$E$1421,Documents!$A$2:$A$1421,$A136,Documents!$C$2:$C$1421,"wedding")=0,"",_xlfn.MAXIFS(Documents!$E$2:$E$1421,Documents!$A$2:$A$1421,$A136,Documents!$C$2:$C$1421,"wedding")),"")</f>
        <v/>
      </c>
      <c r="F136">
        <f>IFERROR(IF(_xlfn.MAXIFS(Documents!$E$2:$E$1421,Documents!$A$2:$A$1421,$A136,Documents!$C$2:$C$1421,"events")=0,"",_xlfn.MAXIFS(Documents!$E$2:$E$1421,Documents!$A$2:$A$1421,$A136,Documents!$C$2:$C$1421,"events")),"")</f>
        <v/>
      </c>
      <c r="G136">
        <f>IFERROR(IF(_xlfn.MAXIFS(Documents!$E$2:$E$1421,Documents!$A$2:$A$1421,$A136,Documents!$C$2:$C$1421,"map")=0,"",_xlfn.MAXIFS(Documents!$E$2:$E$1421,Documents!$A$2:$A$1421,$A136,Documents!$C$2:$C$1421,"map")),"")</f>
        <v/>
      </c>
      <c r="H136">
        <f>IFERROR(IF(_xlfn.MAXIFS(Documents!$E$2:$E$1421,Documents!$A$2:$A$1421,$A136,Documents!$C$2:$C$1421,"dive_map")=0,"",_xlfn.MAXIFS(Documents!$E$2:$E$1421,Documents!$A$2:$A$1421,$A136,Documents!$C$2:$C$1421,"dive_map")),"")</f>
        <v/>
      </c>
      <c r="I136">
        <f>IFERROR(IF(_xlfn.MAXIFS(Documents!$E$2:$E$1421,Documents!$A$2:$A$1421,$A136,Documents!$C$2:$C$1421,"spa_menu")=0,"",_xlfn.MAXIFS(Documents!$E$2:$E$1421,Documents!$A$2:$A$1421,$A136,Documents!$C$2:$C$1421,"spa_menu")),"")</f>
        <v/>
      </c>
      <c r="J136">
        <f>IFERROR(IF(_xlfn.MAXIFS(Documents!$E$2:$E$1421,Documents!$A$2:$A$1421,$A136,Documents!$C$2:$C$1421,"dining_menu")=0,"",_xlfn.MAXIFS(Documents!$E$2:$E$1421,Documents!$A$2:$A$1421,$A136,Documents!$C$2:$C$1421,"dining_menu")),"")</f>
        <v/>
      </c>
      <c r="K136">
        <f>IFERROR(IF(_xlfn.MAXIFS(Documents!$E$2:$E$1421,Documents!$A$2:$A$1421,$A136,Documents!$C$2:$C$1421,"dive_prices")=0,"",_xlfn.MAXIFS(Documents!$E$2:$E$1421,Documents!$A$2:$A$1421,$A136,Documents!$C$2:$C$1421,"dive_prices")),"")</f>
        <v/>
      </c>
      <c r="L136">
        <f>IFERROR(IF(_xlfn.MAXIFS(Documents!$E$2:$E$1421,Documents!$A$2:$A$1421,$A136,Documents!$C$2:$C$1421,"excursions")=0,"",_xlfn.MAXIFS(Documents!$E$2:$E$1421,Documents!$A$2:$A$1421,$A136,Documents!$C$2:$C$1421,"excursions")),"")</f>
        <v/>
      </c>
      <c r="M136">
        <f>IFERROR(IF(_xlfn.MAXIFS(Documents!$E$2:$E$1421,Documents!$A$2:$A$1421,$A136,Documents!$C$2:$C$1421,"kids")=0,"",_xlfn.MAXIFS(Documents!$E$2:$E$1421,Documents!$A$2:$A$1421,$A136,Documents!$C$2:$C$1421,"kids")),"")</f>
        <v/>
      </c>
      <c r="N136">
        <f>IFERROR(IF(_xlfn.MAXIFS(Documents!$E$2:$E$1421,Documents!$A$2:$A$1421,$A136,Documents!$C$2:$C$1421,"villa_plans")=0,"",_xlfn.MAXIFS(Documents!$E$2:$E$1421,Documents!$A$2:$A$1421,$A136,Documents!$C$2:$C$1421,"villa_plans")),"")</f>
        <v/>
      </c>
      <c r="O136">
        <f>IFERROR(IF(_xlfn.MAXIFS(Documents!$E$2:$E$1421,Documents!$A$2:$A$1421,$A136,Documents!$C$2:$C$1421,"all_inclusive")=0,"",_xlfn.MAXIFS(Documents!$E$2:$E$1421,Documents!$A$2:$A$1421,$A136,Documents!$C$2:$C$1421,"all_inclusive")),"")</f>
        <v/>
      </c>
      <c r="P136">
        <f>IFERROR(IF(_xlfn.MAXIFS(Documents!$E$2:$E$1421,Documents!$A$2:$A$1421,$A136,Documents!$C$2:$C$1421,"sustainability")=0,"",_xlfn.MAXIFS(Documents!$E$2:$E$1421,Documents!$A$2:$A$1421,$A136,Documents!$C$2:$C$1421,"sustainability")),"")</f>
        <v/>
      </c>
      <c r="Q136">
        <f>IFERROR(IF(_xlfn.MAXIFS(Documents!$E$2:$E$1421,Documents!$A$2:$A$1421,$A136,Documents!$C$2:$C$1421,"calendar")=0,"",_xlfn.MAXIFS(Documents!$E$2:$E$1421,Documents!$A$2:$A$1421,$A136,Documents!$C$2:$C$1421,"calendar")),"")</f>
        <v/>
      </c>
      <c r="R136">
        <f>IFERROR(IF(_xlfn.MAXIFS(Documents!$E$2:$E$1421,Documents!$A$2:$A$1421,$A136,Documents!$C$2:$C$1421,"brochure")=0,"",_xlfn.MAXIFS(Documents!$E$2:$E$1421,Documents!$A$2:$A$1421,$A136,Documents!$C$2:$C$1421,"brochure")),"")</f>
        <v/>
      </c>
      <c r="S136">
        <f>IFERROR(IF(_xlfn.MAXIFS(Documents!$E$2:$E$1421,Documents!$A$2:$A$1421,$A136,Documents!$C$2:$C$1421,"press_kit")=0,"",_xlfn.MAXIFS(Documents!$E$2:$E$1421,Documents!$A$2:$A$1421,$A136,Documents!$C$2:$C$1421,"press_kit")),"")</f>
        <v/>
      </c>
      <c r="T136">
        <f>IFERROR(IF(_xlfn.MAXIFS(Documents!$E$2:$E$1421,Documents!$A$2:$A$1421,$A136,Documents!$C$2:$C$1421,"other")=0,"",_xlfn.MAXIFS(Documents!$E$2:$E$1421,Documents!$A$2:$A$1421,$A136,Documents!$C$2:$C$1421,"other")),"")</f>
        <v/>
      </c>
      <c r="U136">
        <f>IFERROR(IF(_xlfn.MAXIFS(Documents!$E$2:$E$1421,Documents!$A$2:$A$1421,$A136,Documents!$C$2:$C$1421,"obsolete")=0,"",_xlfn.MAXIFS(Documents!$E$2:$E$1421,Documents!$A$2:$A$1421,$A136,Documents!$C$2:$C$1421,"obsolete")),"")</f>
        <v/>
      </c>
      <c r="V136">
        <f>COUNTIFS(Documents!$A$2:$A$1421,$A136)</f>
        <v/>
      </c>
      <c r="W136">
        <f>COUNTIFS(Documents!$A$2:$A$1421,$A136,Documents!$R$2:$R$1421,"current")</f>
        <v/>
      </c>
      <c r="X136">
        <f>HYPERLINK("https://neoscapesmaldives.com/wp-content/uploads/Diamonds-Thudufushi-Fact-Sheet-2019.pdf","2019_Diamonds-Thudufushi-Fact-Sheet-2019")</f>
        <v/>
      </c>
      <c r="Y136" t="inlineStr">
        <is>
          <t>wedding, events</t>
        </is>
      </c>
      <c r="Z136" t="inlineStr"/>
    </row>
    <row r="137">
      <c r="A137" t="n">
        <v>136</v>
      </c>
      <c r="B137" t="inlineStr">
        <is>
          <t>Finolhu Baa Atoll Maldives</t>
        </is>
      </c>
      <c r="C137" t="inlineStr">
        <is>
          <t>not crawled</t>
        </is>
      </c>
      <c r="D137">
        <f>IFERROR(IF(_xlfn.MAXIFS(Documents!$E$2:$E$1421,Documents!$A$2:$A$1421,$A137,Documents!$C$2:$C$1421,"factsheet")=0,"",_xlfn.MAXIFS(Documents!$E$2:$E$1421,Documents!$A$2:$A$1421,$A137,Documents!$C$2:$C$1421,"factsheet")),"")</f>
        <v/>
      </c>
      <c r="E137">
        <f>IFERROR(IF(_xlfn.MAXIFS(Documents!$E$2:$E$1421,Documents!$A$2:$A$1421,$A137,Documents!$C$2:$C$1421,"wedding")=0,"",_xlfn.MAXIFS(Documents!$E$2:$E$1421,Documents!$A$2:$A$1421,$A137,Documents!$C$2:$C$1421,"wedding")),"")</f>
        <v/>
      </c>
      <c r="F137">
        <f>IFERROR(IF(_xlfn.MAXIFS(Documents!$E$2:$E$1421,Documents!$A$2:$A$1421,$A137,Documents!$C$2:$C$1421,"events")=0,"",_xlfn.MAXIFS(Documents!$E$2:$E$1421,Documents!$A$2:$A$1421,$A137,Documents!$C$2:$C$1421,"events")),"")</f>
        <v/>
      </c>
      <c r="G137">
        <f>IFERROR(IF(_xlfn.MAXIFS(Documents!$E$2:$E$1421,Documents!$A$2:$A$1421,$A137,Documents!$C$2:$C$1421,"map")=0,"",_xlfn.MAXIFS(Documents!$E$2:$E$1421,Documents!$A$2:$A$1421,$A137,Documents!$C$2:$C$1421,"map")),"")</f>
        <v/>
      </c>
      <c r="H137">
        <f>IFERROR(IF(_xlfn.MAXIFS(Documents!$E$2:$E$1421,Documents!$A$2:$A$1421,$A137,Documents!$C$2:$C$1421,"dive_map")=0,"",_xlfn.MAXIFS(Documents!$E$2:$E$1421,Documents!$A$2:$A$1421,$A137,Documents!$C$2:$C$1421,"dive_map")),"")</f>
        <v/>
      </c>
      <c r="I137">
        <f>IFERROR(IF(_xlfn.MAXIFS(Documents!$E$2:$E$1421,Documents!$A$2:$A$1421,$A137,Documents!$C$2:$C$1421,"spa_menu")=0,"",_xlfn.MAXIFS(Documents!$E$2:$E$1421,Documents!$A$2:$A$1421,$A137,Documents!$C$2:$C$1421,"spa_menu")),"")</f>
        <v/>
      </c>
      <c r="J137">
        <f>IFERROR(IF(_xlfn.MAXIFS(Documents!$E$2:$E$1421,Documents!$A$2:$A$1421,$A137,Documents!$C$2:$C$1421,"dining_menu")=0,"",_xlfn.MAXIFS(Documents!$E$2:$E$1421,Documents!$A$2:$A$1421,$A137,Documents!$C$2:$C$1421,"dining_menu")),"")</f>
        <v/>
      </c>
      <c r="K137">
        <f>IFERROR(IF(_xlfn.MAXIFS(Documents!$E$2:$E$1421,Documents!$A$2:$A$1421,$A137,Documents!$C$2:$C$1421,"dive_prices")=0,"",_xlfn.MAXIFS(Documents!$E$2:$E$1421,Documents!$A$2:$A$1421,$A137,Documents!$C$2:$C$1421,"dive_prices")),"")</f>
        <v/>
      </c>
      <c r="L137">
        <f>IFERROR(IF(_xlfn.MAXIFS(Documents!$E$2:$E$1421,Documents!$A$2:$A$1421,$A137,Documents!$C$2:$C$1421,"excursions")=0,"",_xlfn.MAXIFS(Documents!$E$2:$E$1421,Documents!$A$2:$A$1421,$A137,Documents!$C$2:$C$1421,"excursions")),"")</f>
        <v/>
      </c>
      <c r="M137">
        <f>IFERROR(IF(_xlfn.MAXIFS(Documents!$E$2:$E$1421,Documents!$A$2:$A$1421,$A137,Documents!$C$2:$C$1421,"kids")=0,"",_xlfn.MAXIFS(Documents!$E$2:$E$1421,Documents!$A$2:$A$1421,$A137,Documents!$C$2:$C$1421,"kids")),"")</f>
        <v/>
      </c>
      <c r="N137">
        <f>IFERROR(IF(_xlfn.MAXIFS(Documents!$E$2:$E$1421,Documents!$A$2:$A$1421,$A137,Documents!$C$2:$C$1421,"villa_plans")=0,"",_xlfn.MAXIFS(Documents!$E$2:$E$1421,Documents!$A$2:$A$1421,$A137,Documents!$C$2:$C$1421,"villa_plans")),"")</f>
        <v/>
      </c>
      <c r="O137">
        <f>IFERROR(IF(_xlfn.MAXIFS(Documents!$E$2:$E$1421,Documents!$A$2:$A$1421,$A137,Documents!$C$2:$C$1421,"all_inclusive")=0,"",_xlfn.MAXIFS(Documents!$E$2:$E$1421,Documents!$A$2:$A$1421,$A137,Documents!$C$2:$C$1421,"all_inclusive")),"")</f>
        <v/>
      </c>
      <c r="P137">
        <f>IFERROR(IF(_xlfn.MAXIFS(Documents!$E$2:$E$1421,Documents!$A$2:$A$1421,$A137,Documents!$C$2:$C$1421,"sustainability")=0,"",_xlfn.MAXIFS(Documents!$E$2:$E$1421,Documents!$A$2:$A$1421,$A137,Documents!$C$2:$C$1421,"sustainability")),"")</f>
        <v/>
      </c>
      <c r="Q137">
        <f>IFERROR(IF(_xlfn.MAXIFS(Documents!$E$2:$E$1421,Documents!$A$2:$A$1421,$A137,Documents!$C$2:$C$1421,"calendar")=0,"",_xlfn.MAXIFS(Documents!$E$2:$E$1421,Documents!$A$2:$A$1421,$A137,Documents!$C$2:$C$1421,"calendar")),"")</f>
        <v/>
      </c>
      <c r="R137">
        <f>IFERROR(IF(_xlfn.MAXIFS(Documents!$E$2:$E$1421,Documents!$A$2:$A$1421,$A137,Documents!$C$2:$C$1421,"brochure")=0,"",_xlfn.MAXIFS(Documents!$E$2:$E$1421,Documents!$A$2:$A$1421,$A137,Documents!$C$2:$C$1421,"brochure")),"")</f>
        <v/>
      </c>
      <c r="S137">
        <f>IFERROR(IF(_xlfn.MAXIFS(Documents!$E$2:$E$1421,Documents!$A$2:$A$1421,$A137,Documents!$C$2:$C$1421,"press_kit")=0,"",_xlfn.MAXIFS(Documents!$E$2:$E$1421,Documents!$A$2:$A$1421,$A137,Documents!$C$2:$C$1421,"press_kit")),"")</f>
        <v/>
      </c>
      <c r="T137">
        <f>IFERROR(IF(_xlfn.MAXIFS(Documents!$E$2:$E$1421,Documents!$A$2:$A$1421,$A137,Documents!$C$2:$C$1421,"other")=0,"",_xlfn.MAXIFS(Documents!$E$2:$E$1421,Documents!$A$2:$A$1421,$A137,Documents!$C$2:$C$1421,"other")),"")</f>
        <v/>
      </c>
      <c r="U137">
        <f>IFERROR(IF(_xlfn.MAXIFS(Documents!$E$2:$E$1421,Documents!$A$2:$A$1421,$A137,Documents!$C$2:$C$1421,"obsolete")=0,"",_xlfn.MAXIFS(Documents!$E$2:$E$1421,Documents!$A$2:$A$1421,$A137,Documents!$C$2:$C$1421,"obsolete")),"")</f>
        <v/>
      </c>
      <c r="V137">
        <f>COUNTIFS(Documents!$A$2:$A$1421,$A137)</f>
        <v/>
      </c>
      <c r="W137">
        <f>COUNTIFS(Documents!$A$2:$A$1421,$A137,Documents!$R$2:$R$1421,"current")</f>
        <v/>
      </c>
      <c r="X137">
        <f>HYPERLINK("https://www.neoscapesmaldives.com/wp-content/uploads/Finolhu-2021FactSheet_English-1.pdf","2021_Finolhu-2021FactSheet_English-1.pdf")</f>
        <v/>
      </c>
      <c r="Y137" t="inlineStr">
        <is>
          <t>wedding</t>
        </is>
      </c>
      <c r="Z137" t="inlineStr"/>
    </row>
    <row r="138">
      <c r="A138" t="n">
        <v>137</v>
      </c>
      <c r="B138" t="inlineStr">
        <is>
          <t>Soneva Secret</t>
        </is>
      </c>
      <c r="C138" t="inlineStr">
        <is>
          <t>not crawled</t>
        </is>
      </c>
      <c r="D138">
        <f>IFERROR(IF(_xlfn.MAXIFS(Documents!$E$2:$E$1421,Documents!$A$2:$A$1421,$A138,Documents!$C$2:$C$1421,"factsheet")=0,"",_xlfn.MAXIFS(Documents!$E$2:$E$1421,Documents!$A$2:$A$1421,$A138,Documents!$C$2:$C$1421,"factsheet")),"")</f>
        <v/>
      </c>
      <c r="E138">
        <f>IFERROR(IF(_xlfn.MAXIFS(Documents!$E$2:$E$1421,Documents!$A$2:$A$1421,$A138,Documents!$C$2:$C$1421,"wedding")=0,"",_xlfn.MAXIFS(Documents!$E$2:$E$1421,Documents!$A$2:$A$1421,$A138,Documents!$C$2:$C$1421,"wedding")),"")</f>
        <v/>
      </c>
      <c r="F138">
        <f>IFERROR(IF(_xlfn.MAXIFS(Documents!$E$2:$E$1421,Documents!$A$2:$A$1421,$A138,Documents!$C$2:$C$1421,"events")=0,"",_xlfn.MAXIFS(Documents!$E$2:$E$1421,Documents!$A$2:$A$1421,$A138,Documents!$C$2:$C$1421,"events")),"")</f>
        <v/>
      </c>
      <c r="G138">
        <f>IFERROR(IF(_xlfn.MAXIFS(Documents!$E$2:$E$1421,Documents!$A$2:$A$1421,$A138,Documents!$C$2:$C$1421,"map")=0,"",_xlfn.MAXIFS(Documents!$E$2:$E$1421,Documents!$A$2:$A$1421,$A138,Documents!$C$2:$C$1421,"map")),"")</f>
        <v/>
      </c>
      <c r="H138">
        <f>IFERROR(IF(_xlfn.MAXIFS(Documents!$E$2:$E$1421,Documents!$A$2:$A$1421,$A138,Documents!$C$2:$C$1421,"dive_map")=0,"",_xlfn.MAXIFS(Documents!$E$2:$E$1421,Documents!$A$2:$A$1421,$A138,Documents!$C$2:$C$1421,"dive_map")),"")</f>
        <v/>
      </c>
      <c r="I138">
        <f>IFERROR(IF(_xlfn.MAXIFS(Documents!$E$2:$E$1421,Documents!$A$2:$A$1421,$A138,Documents!$C$2:$C$1421,"spa_menu")=0,"",_xlfn.MAXIFS(Documents!$E$2:$E$1421,Documents!$A$2:$A$1421,$A138,Documents!$C$2:$C$1421,"spa_menu")),"")</f>
        <v/>
      </c>
      <c r="J138">
        <f>IFERROR(IF(_xlfn.MAXIFS(Documents!$E$2:$E$1421,Documents!$A$2:$A$1421,$A138,Documents!$C$2:$C$1421,"dining_menu")=0,"",_xlfn.MAXIFS(Documents!$E$2:$E$1421,Documents!$A$2:$A$1421,$A138,Documents!$C$2:$C$1421,"dining_menu")),"")</f>
        <v/>
      </c>
      <c r="K138">
        <f>IFERROR(IF(_xlfn.MAXIFS(Documents!$E$2:$E$1421,Documents!$A$2:$A$1421,$A138,Documents!$C$2:$C$1421,"dive_prices")=0,"",_xlfn.MAXIFS(Documents!$E$2:$E$1421,Documents!$A$2:$A$1421,$A138,Documents!$C$2:$C$1421,"dive_prices")),"")</f>
        <v/>
      </c>
      <c r="L138">
        <f>IFERROR(IF(_xlfn.MAXIFS(Documents!$E$2:$E$1421,Documents!$A$2:$A$1421,$A138,Documents!$C$2:$C$1421,"excursions")=0,"",_xlfn.MAXIFS(Documents!$E$2:$E$1421,Documents!$A$2:$A$1421,$A138,Documents!$C$2:$C$1421,"excursions")),"")</f>
        <v/>
      </c>
      <c r="M138">
        <f>IFERROR(IF(_xlfn.MAXIFS(Documents!$E$2:$E$1421,Documents!$A$2:$A$1421,$A138,Documents!$C$2:$C$1421,"kids")=0,"",_xlfn.MAXIFS(Documents!$E$2:$E$1421,Documents!$A$2:$A$1421,$A138,Documents!$C$2:$C$1421,"kids")),"")</f>
        <v/>
      </c>
      <c r="N138">
        <f>IFERROR(IF(_xlfn.MAXIFS(Documents!$E$2:$E$1421,Documents!$A$2:$A$1421,$A138,Documents!$C$2:$C$1421,"villa_plans")=0,"",_xlfn.MAXIFS(Documents!$E$2:$E$1421,Documents!$A$2:$A$1421,$A138,Documents!$C$2:$C$1421,"villa_plans")),"")</f>
        <v/>
      </c>
      <c r="O138">
        <f>IFERROR(IF(_xlfn.MAXIFS(Documents!$E$2:$E$1421,Documents!$A$2:$A$1421,$A138,Documents!$C$2:$C$1421,"all_inclusive")=0,"",_xlfn.MAXIFS(Documents!$E$2:$E$1421,Documents!$A$2:$A$1421,$A138,Documents!$C$2:$C$1421,"all_inclusive")),"")</f>
        <v/>
      </c>
      <c r="P138">
        <f>IFERROR(IF(_xlfn.MAXIFS(Documents!$E$2:$E$1421,Documents!$A$2:$A$1421,$A138,Documents!$C$2:$C$1421,"sustainability")=0,"",_xlfn.MAXIFS(Documents!$E$2:$E$1421,Documents!$A$2:$A$1421,$A138,Documents!$C$2:$C$1421,"sustainability")),"")</f>
        <v/>
      </c>
      <c r="Q138">
        <f>IFERROR(IF(_xlfn.MAXIFS(Documents!$E$2:$E$1421,Documents!$A$2:$A$1421,$A138,Documents!$C$2:$C$1421,"calendar")=0,"",_xlfn.MAXIFS(Documents!$E$2:$E$1421,Documents!$A$2:$A$1421,$A138,Documents!$C$2:$C$1421,"calendar")),"")</f>
        <v/>
      </c>
      <c r="R138">
        <f>IFERROR(IF(_xlfn.MAXIFS(Documents!$E$2:$E$1421,Documents!$A$2:$A$1421,$A138,Documents!$C$2:$C$1421,"brochure")=0,"",_xlfn.MAXIFS(Documents!$E$2:$E$1421,Documents!$A$2:$A$1421,$A138,Documents!$C$2:$C$1421,"brochure")),"")</f>
        <v/>
      </c>
      <c r="S138">
        <f>IFERROR(IF(_xlfn.MAXIFS(Documents!$E$2:$E$1421,Documents!$A$2:$A$1421,$A138,Documents!$C$2:$C$1421,"press_kit")=0,"",_xlfn.MAXIFS(Documents!$E$2:$E$1421,Documents!$A$2:$A$1421,$A138,Documents!$C$2:$C$1421,"press_kit")),"")</f>
        <v/>
      </c>
      <c r="T138">
        <f>IFERROR(IF(_xlfn.MAXIFS(Documents!$E$2:$E$1421,Documents!$A$2:$A$1421,$A138,Documents!$C$2:$C$1421,"other")=0,"",_xlfn.MAXIFS(Documents!$E$2:$E$1421,Documents!$A$2:$A$1421,$A138,Documents!$C$2:$C$1421,"other")),"")</f>
        <v/>
      </c>
      <c r="U138">
        <f>IFERROR(IF(_xlfn.MAXIFS(Documents!$E$2:$E$1421,Documents!$A$2:$A$1421,$A138,Documents!$C$2:$C$1421,"obsolete")=0,"",_xlfn.MAXIFS(Documents!$E$2:$E$1421,Documents!$A$2:$A$1421,$A138,Documents!$C$2:$C$1421,"obsolete")),"")</f>
        <v/>
      </c>
      <c r="V138">
        <f>COUNTIFS(Documents!$A$2:$A$1421,$A138)</f>
        <v/>
      </c>
      <c r="W138">
        <f>COUNTIFS(Documents!$A$2:$A$1421,$A138,Documents!$R$2:$R$1421,"current")</f>
        <v/>
      </c>
      <c r="X138" t="inlineStr"/>
      <c r="Y138" t="inlineStr">
        <is>
          <t>factsheet, wedding, events</t>
        </is>
      </c>
      <c r="Z138" t="inlineStr"/>
    </row>
    <row r="139">
      <c r="A139" t="n">
        <v>138</v>
      </c>
      <c r="B139" t="inlineStr">
        <is>
          <t>Varu Island Resort</t>
        </is>
      </c>
      <c r="C139" t="inlineStr">
        <is>
          <t>not crawled</t>
        </is>
      </c>
      <c r="D139">
        <f>IFERROR(IF(_xlfn.MAXIFS(Documents!$E$2:$E$1421,Documents!$A$2:$A$1421,$A139,Documents!$C$2:$C$1421,"factsheet")=0,"",_xlfn.MAXIFS(Documents!$E$2:$E$1421,Documents!$A$2:$A$1421,$A139,Documents!$C$2:$C$1421,"factsheet")),"")</f>
        <v/>
      </c>
      <c r="E139">
        <f>IFERROR(IF(_xlfn.MAXIFS(Documents!$E$2:$E$1421,Documents!$A$2:$A$1421,$A139,Documents!$C$2:$C$1421,"wedding")=0,"",_xlfn.MAXIFS(Documents!$E$2:$E$1421,Documents!$A$2:$A$1421,$A139,Documents!$C$2:$C$1421,"wedding")),"")</f>
        <v/>
      </c>
      <c r="F139">
        <f>IFERROR(IF(_xlfn.MAXIFS(Documents!$E$2:$E$1421,Documents!$A$2:$A$1421,$A139,Documents!$C$2:$C$1421,"events")=0,"",_xlfn.MAXIFS(Documents!$E$2:$E$1421,Documents!$A$2:$A$1421,$A139,Documents!$C$2:$C$1421,"events")),"")</f>
        <v/>
      </c>
      <c r="G139">
        <f>IFERROR(IF(_xlfn.MAXIFS(Documents!$E$2:$E$1421,Documents!$A$2:$A$1421,$A139,Documents!$C$2:$C$1421,"map")=0,"",_xlfn.MAXIFS(Documents!$E$2:$E$1421,Documents!$A$2:$A$1421,$A139,Documents!$C$2:$C$1421,"map")),"")</f>
        <v/>
      </c>
      <c r="H139">
        <f>IFERROR(IF(_xlfn.MAXIFS(Documents!$E$2:$E$1421,Documents!$A$2:$A$1421,$A139,Documents!$C$2:$C$1421,"dive_map")=0,"",_xlfn.MAXIFS(Documents!$E$2:$E$1421,Documents!$A$2:$A$1421,$A139,Documents!$C$2:$C$1421,"dive_map")),"")</f>
        <v/>
      </c>
      <c r="I139">
        <f>IFERROR(IF(_xlfn.MAXIFS(Documents!$E$2:$E$1421,Documents!$A$2:$A$1421,$A139,Documents!$C$2:$C$1421,"spa_menu")=0,"",_xlfn.MAXIFS(Documents!$E$2:$E$1421,Documents!$A$2:$A$1421,$A139,Documents!$C$2:$C$1421,"spa_menu")),"")</f>
        <v/>
      </c>
      <c r="J139">
        <f>IFERROR(IF(_xlfn.MAXIFS(Documents!$E$2:$E$1421,Documents!$A$2:$A$1421,$A139,Documents!$C$2:$C$1421,"dining_menu")=0,"",_xlfn.MAXIFS(Documents!$E$2:$E$1421,Documents!$A$2:$A$1421,$A139,Documents!$C$2:$C$1421,"dining_menu")),"")</f>
        <v/>
      </c>
      <c r="K139">
        <f>IFERROR(IF(_xlfn.MAXIFS(Documents!$E$2:$E$1421,Documents!$A$2:$A$1421,$A139,Documents!$C$2:$C$1421,"dive_prices")=0,"",_xlfn.MAXIFS(Documents!$E$2:$E$1421,Documents!$A$2:$A$1421,$A139,Documents!$C$2:$C$1421,"dive_prices")),"")</f>
        <v/>
      </c>
      <c r="L139">
        <f>IFERROR(IF(_xlfn.MAXIFS(Documents!$E$2:$E$1421,Documents!$A$2:$A$1421,$A139,Documents!$C$2:$C$1421,"excursions")=0,"",_xlfn.MAXIFS(Documents!$E$2:$E$1421,Documents!$A$2:$A$1421,$A139,Documents!$C$2:$C$1421,"excursions")),"")</f>
        <v/>
      </c>
      <c r="M139">
        <f>IFERROR(IF(_xlfn.MAXIFS(Documents!$E$2:$E$1421,Documents!$A$2:$A$1421,$A139,Documents!$C$2:$C$1421,"kids")=0,"",_xlfn.MAXIFS(Documents!$E$2:$E$1421,Documents!$A$2:$A$1421,$A139,Documents!$C$2:$C$1421,"kids")),"")</f>
        <v/>
      </c>
      <c r="N139">
        <f>IFERROR(IF(_xlfn.MAXIFS(Documents!$E$2:$E$1421,Documents!$A$2:$A$1421,$A139,Documents!$C$2:$C$1421,"villa_plans")=0,"",_xlfn.MAXIFS(Documents!$E$2:$E$1421,Documents!$A$2:$A$1421,$A139,Documents!$C$2:$C$1421,"villa_plans")),"")</f>
        <v/>
      </c>
      <c r="O139">
        <f>IFERROR(IF(_xlfn.MAXIFS(Documents!$E$2:$E$1421,Documents!$A$2:$A$1421,$A139,Documents!$C$2:$C$1421,"all_inclusive")=0,"",_xlfn.MAXIFS(Documents!$E$2:$E$1421,Documents!$A$2:$A$1421,$A139,Documents!$C$2:$C$1421,"all_inclusive")),"")</f>
        <v/>
      </c>
      <c r="P139">
        <f>IFERROR(IF(_xlfn.MAXIFS(Documents!$E$2:$E$1421,Documents!$A$2:$A$1421,$A139,Documents!$C$2:$C$1421,"sustainability")=0,"",_xlfn.MAXIFS(Documents!$E$2:$E$1421,Documents!$A$2:$A$1421,$A139,Documents!$C$2:$C$1421,"sustainability")),"")</f>
        <v/>
      </c>
      <c r="Q139">
        <f>IFERROR(IF(_xlfn.MAXIFS(Documents!$E$2:$E$1421,Documents!$A$2:$A$1421,$A139,Documents!$C$2:$C$1421,"calendar")=0,"",_xlfn.MAXIFS(Documents!$E$2:$E$1421,Documents!$A$2:$A$1421,$A139,Documents!$C$2:$C$1421,"calendar")),"")</f>
        <v/>
      </c>
      <c r="R139">
        <f>IFERROR(IF(_xlfn.MAXIFS(Documents!$E$2:$E$1421,Documents!$A$2:$A$1421,$A139,Documents!$C$2:$C$1421,"brochure")=0,"",_xlfn.MAXIFS(Documents!$E$2:$E$1421,Documents!$A$2:$A$1421,$A139,Documents!$C$2:$C$1421,"brochure")),"")</f>
        <v/>
      </c>
      <c r="S139">
        <f>IFERROR(IF(_xlfn.MAXIFS(Documents!$E$2:$E$1421,Documents!$A$2:$A$1421,$A139,Documents!$C$2:$C$1421,"press_kit")=0,"",_xlfn.MAXIFS(Documents!$E$2:$E$1421,Documents!$A$2:$A$1421,$A139,Documents!$C$2:$C$1421,"press_kit")),"")</f>
        <v/>
      </c>
      <c r="T139">
        <f>IFERROR(IF(_xlfn.MAXIFS(Documents!$E$2:$E$1421,Documents!$A$2:$A$1421,$A139,Documents!$C$2:$C$1421,"other")=0,"",_xlfn.MAXIFS(Documents!$E$2:$E$1421,Documents!$A$2:$A$1421,$A139,Documents!$C$2:$C$1421,"other")),"")</f>
        <v/>
      </c>
      <c r="U139">
        <f>IFERROR(IF(_xlfn.MAXIFS(Documents!$E$2:$E$1421,Documents!$A$2:$A$1421,$A139,Documents!$C$2:$C$1421,"obsolete")=0,"",_xlfn.MAXIFS(Documents!$E$2:$E$1421,Documents!$A$2:$A$1421,$A139,Documents!$C$2:$C$1421,"obsolete")),"")</f>
        <v/>
      </c>
      <c r="V139">
        <f>COUNTIFS(Documents!$A$2:$A$1421,$A139)</f>
        <v/>
      </c>
      <c r="W139">
        <f>COUNTIFS(Documents!$A$2:$A$1421,$A139,Documents!$R$2:$R$1421,"current")</f>
        <v/>
      </c>
      <c r="X139" t="inlineStr"/>
      <c r="Y139" t="inlineStr">
        <is>
          <t>factsheet, wedding, events</t>
        </is>
      </c>
      <c r="Z139" t="inlineStr"/>
    </row>
    <row r="140">
      <c r="A140" t="n">
        <v>139</v>
      </c>
      <c r="B140" t="inlineStr">
        <is>
          <t>Kudafushi Resort &amp; Spa</t>
        </is>
      </c>
      <c r="C140" t="inlineStr">
        <is>
          <t>not crawled</t>
        </is>
      </c>
      <c r="D140">
        <f>IFERROR(IF(_xlfn.MAXIFS(Documents!$E$2:$E$1421,Documents!$A$2:$A$1421,$A140,Documents!$C$2:$C$1421,"factsheet")=0,"",_xlfn.MAXIFS(Documents!$E$2:$E$1421,Documents!$A$2:$A$1421,$A140,Documents!$C$2:$C$1421,"factsheet")),"")</f>
        <v/>
      </c>
      <c r="E140">
        <f>IFERROR(IF(_xlfn.MAXIFS(Documents!$E$2:$E$1421,Documents!$A$2:$A$1421,$A140,Documents!$C$2:$C$1421,"wedding")=0,"",_xlfn.MAXIFS(Documents!$E$2:$E$1421,Documents!$A$2:$A$1421,$A140,Documents!$C$2:$C$1421,"wedding")),"")</f>
        <v/>
      </c>
      <c r="F140">
        <f>IFERROR(IF(_xlfn.MAXIFS(Documents!$E$2:$E$1421,Documents!$A$2:$A$1421,$A140,Documents!$C$2:$C$1421,"events")=0,"",_xlfn.MAXIFS(Documents!$E$2:$E$1421,Documents!$A$2:$A$1421,$A140,Documents!$C$2:$C$1421,"events")),"")</f>
        <v/>
      </c>
      <c r="G140">
        <f>IFERROR(IF(_xlfn.MAXIFS(Documents!$E$2:$E$1421,Documents!$A$2:$A$1421,$A140,Documents!$C$2:$C$1421,"map")=0,"",_xlfn.MAXIFS(Documents!$E$2:$E$1421,Documents!$A$2:$A$1421,$A140,Documents!$C$2:$C$1421,"map")),"")</f>
        <v/>
      </c>
      <c r="H140">
        <f>IFERROR(IF(_xlfn.MAXIFS(Documents!$E$2:$E$1421,Documents!$A$2:$A$1421,$A140,Documents!$C$2:$C$1421,"dive_map")=0,"",_xlfn.MAXIFS(Documents!$E$2:$E$1421,Documents!$A$2:$A$1421,$A140,Documents!$C$2:$C$1421,"dive_map")),"")</f>
        <v/>
      </c>
      <c r="I140">
        <f>IFERROR(IF(_xlfn.MAXIFS(Documents!$E$2:$E$1421,Documents!$A$2:$A$1421,$A140,Documents!$C$2:$C$1421,"spa_menu")=0,"",_xlfn.MAXIFS(Documents!$E$2:$E$1421,Documents!$A$2:$A$1421,$A140,Documents!$C$2:$C$1421,"spa_menu")),"")</f>
        <v/>
      </c>
      <c r="J140">
        <f>IFERROR(IF(_xlfn.MAXIFS(Documents!$E$2:$E$1421,Documents!$A$2:$A$1421,$A140,Documents!$C$2:$C$1421,"dining_menu")=0,"",_xlfn.MAXIFS(Documents!$E$2:$E$1421,Documents!$A$2:$A$1421,$A140,Documents!$C$2:$C$1421,"dining_menu")),"")</f>
        <v/>
      </c>
      <c r="K140">
        <f>IFERROR(IF(_xlfn.MAXIFS(Documents!$E$2:$E$1421,Documents!$A$2:$A$1421,$A140,Documents!$C$2:$C$1421,"dive_prices")=0,"",_xlfn.MAXIFS(Documents!$E$2:$E$1421,Documents!$A$2:$A$1421,$A140,Documents!$C$2:$C$1421,"dive_prices")),"")</f>
        <v/>
      </c>
      <c r="L140">
        <f>IFERROR(IF(_xlfn.MAXIFS(Documents!$E$2:$E$1421,Documents!$A$2:$A$1421,$A140,Documents!$C$2:$C$1421,"excursions")=0,"",_xlfn.MAXIFS(Documents!$E$2:$E$1421,Documents!$A$2:$A$1421,$A140,Documents!$C$2:$C$1421,"excursions")),"")</f>
        <v/>
      </c>
      <c r="M140">
        <f>IFERROR(IF(_xlfn.MAXIFS(Documents!$E$2:$E$1421,Documents!$A$2:$A$1421,$A140,Documents!$C$2:$C$1421,"kids")=0,"",_xlfn.MAXIFS(Documents!$E$2:$E$1421,Documents!$A$2:$A$1421,$A140,Documents!$C$2:$C$1421,"kids")),"")</f>
        <v/>
      </c>
      <c r="N140">
        <f>IFERROR(IF(_xlfn.MAXIFS(Documents!$E$2:$E$1421,Documents!$A$2:$A$1421,$A140,Documents!$C$2:$C$1421,"villa_plans")=0,"",_xlfn.MAXIFS(Documents!$E$2:$E$1421,Documents!$A$2:$A$1421,$A140,Documents!$C$2:$C$1421,"villa_plans")),"")</f>
        <v/>
      </c>
      <c r="O140">
        <f>IFERROR(IF(_xlfn.MAXIFS(Documents!$E$2:$E$1421,Documents!$A$2:$A$1421,$A140,Documents!$C$2:$C$1421,"all_inclusive")=0,"",_xlfn.MAXIFS(Documents!$E$2:$E$1421,Documents!$A$2:$A$1421,$A140,Documents!$C$2:$C$1421,"all_inclusive")),"")</f>
        <v/>
      </c>
      <c r="P140">
        <f>IFERROR(IF(_xlfn.MAXIFS(Documents!$E$2:$E$1421,Documents!$A$2:$A$1421,$A140,Documents!$C$2:$C$1421,"sustainability")=0,"",_xlfn.MAXIFS(Documents!$E$2:$E$1421,Documents!$A$2:$A$1421,$A140,Documents!$C$2:$C$1421,"sustainability")),"")</f>
        <v/>
      </c>
      <c r="Q140">
        <f>IFERROR(IF(_xlfn.MAXIFS(Documents!$E$2:$E$1421,Documents!$A$2:$A$1421,$A140,Documents!$C$2:$C$1421,"calendar")=0,"",_xlfn.MAXIFS(Documents!$E$2:$E$1421,Documents!$A$2:$A$1421,$A140,Documents!$C$2:$C$1421,"calendar")),"")</f>
        <v/>
      </c>
      <c r="R140">
        <f>IFERROR(IF(_xlfn.MAXIFS(Documents!$E$2:$E$1421,Documents!$A$2:$A$1421,$A140,Documents!$C$2:$C$1421,"brochure")=0,"",_xlfn.MAXIFS(Documents!$E$2:$E$1421,Documents!$A$2:$A$1421,$A140,Documents!$C$2:$C$1421,"brochure")),"")</f>
        <v/>
      </c>
      <c r="S140">
        <f>IFERROR(IF(_xlfn.MAXIFS(Documents!$E$2:$E$1421,Documents!$A$2:$A$1421,$A140,Documents!$C$2:$C$1421,"press_kit")=0,"",_xlfn.MAXIFS(Documents!$E$2:$E$1421,Documents!$A$2:$A$1421,$A140,Documents!$C$2:$C$1421,"press_kit")),"")</f>
        <v/>
      </c>
      <c r="T140">
        <f>IFERROR(IF(_xlfn.MAXIFS(Documents!$E$2:$E$1421,Documents!$A$2:$A$1421,$A140,Documents!$C$2:$C$1421,"other")=0,"",_xlfn.MAXIFS(Documents!$E$2:$E$1421,Documents!$A$2:$A$1421,$A140,Documents!$C$2:$C$1421,"other")),"")</f>
        <v/>
      </c>
      <c r="U140">
        <f>IFERROR(IF(_xlfn.MAXIFS(Documents!$E$2:$E$1421,Documents!$A$2:$A$1421,$A140,Documents!$C$2:$C$1421,"obsolete")=0,"",_xlfn.MAXIFS(Documents!$E$2:$E$1421,Documents!$A$2:$A$1421,$A140,Documents!$C$2:$C$1421,"obsolete")),"")</f>
        <v/>
      </c>
      <c r="V140">
        <f>COUNTIFS(Documents!$A$2:$A$1421,$A140)</f>
        <v/>
      </c>
      <c r="W140">
        <f>COUNTIFS(Documents!$A$2:$A$1421,$A140,Documents!$R$2:$R$1421,"current")</f>
        <v/>
      </c>
      <c r="X140">
        <f>HYPERLINK("https://www.neoscapesmaldives.com/wp-content/uploads/KUDAFUSHI_FACTSHEET.pdf","2019_KUDAFUSHI_FACTSHEET.pdf")</f>
        <v/>
      </c>
      <c r="Y140" t="inlineStr">
        <is>
          <t>wedding, events</t>
        </is>
      </c>
      <c r="Z140" t="inlineStr"/>
    </row>
    <row r="141">
      <c r="A141" t="n">
        <v>140</v>
      </c>
      <c r="B141" t="inlineStr">
        <is>
          <t>The Standard Huruvalhi Maldives</t>
        </is>
      </c>
      <c r="C141" t="inlineStr">
        <is>
          <t>not crawled</t>
        </is>
      </c>
      <c r="D141">
        <f>IFERROR(IF(_xlfn.MAXIFS(Documents!$E$2:$E$1421,Documents!$A$2:$A$1421,$A141,Documents!$C$2:$C$1421,"factsheet")=0,"",_xlfn.MAXIFS(Documents!$E$2:$E$1421,Documents!$A$2:$A$1421,$A141,Documents!$C$2:$C$1421,"factsheet")),"")</f>
        <v/>
      </c>
      <c r="E141">
        <f>IFERROR(IF(_xlfn.MAXIFS(Documents!$E$2:$E$1421,Documents!$A$2:$A$1421,$A141,Documents!$C$2:$C$1421,"wedding")=0,"",_xlfn.MAXIFS(Documents!$E$2:$E$1421,Documents!$A$2:$A$1421,$A141,Documents!$C$2:$C$1421,"wedding")),"")</f>
        <v/>
      </c>
      <c r="F141">
        <f>IFERROR(IF(_xlfn.MAXIFS(Documents!$E$2:$E$1421,Documents!$A$2:$A$1421,$A141,Documents!$C$2:$C$1421,"events")=0,"",_xlfn.MAXIFS(Documents!$E$2:$E$1421,Documents!$A$2:$A$1421,$A141,Documents!$C$2:$C$1421,"events")),"")</f>
        <v/>
      </c>
      <c r="G141">
        <f>IFERROR(IF(_xlfn.MAXIFS(Documents!$E$2:$E$1421,Documents!$A$2:$A$1421,$A141,Documents!$C$2:$C$1421,"map")=0,"",_xlfn.MAXIFS(Documents!$E$2:$E$1421,Documents!$A$2:$A$1421,$A141,Documents!$C$2:$C$1421,"map")),"")</f>
        <v/>
      </c>
      <c r="H141">
        <f>IFERROR(IF(_xlfn.MAXIFS(Documents!$E$2:$E$1421,Documents!$A$2:$A$1421,$A141,Documents!$C$2:$C$1421,"dive_map")=0,"",_xlfn.MAXIFS(Documents!$E$2:$E$1421,Documents!$A$2:$A$1421,$A141,Documents!$C$2:$C$1421,"dive_map")),"")</f>
        <v/>
      </c>
      <c r="I141">
        <f>IFERROR(IF(_xlfn.MAXIFS(Documents!$E$2:$E$1421,Documents!$A$2:$A$1421,$A141,Documents!$C$2:$C$1421,"spa_menu")=0,"",_xlfn.MAXIFS(Documents!$E$2:$E$1421,Documents!$A$2:$A$1421,$A141,Documents!$C$2:$C$1421,"spa_menu")),"")</f>
        <v/>
      </c>
      <c r="J141">
        <f>IFERROR(IF(_xlfn.MAXIFS(Documents!$E$2:$E$1421,Documents!$A$2:$A$1421,$A141,Documents!$C$2:$C$1421,"dining_menu")=0,"",_xlfn.MAXIFS(Documents!$E$2:$E$1421,Documents!$A$2:$A$1421,$A141,Documents!$C$2:$C$1421,"dining_menu")),"")</f>
        <v/>
      </c>
      <c r="K141">
        <f>IFERROR(IF(_xlfn.MAXIFS(Documents!$E$2:$E$1421,Documents!$A$2:$A$1421,$A141,Documents!$C$2:$C$1421,"dive_prices")=0,"",_xlfn.MAXIFS(Documents!$E$2:$E$1421,Documents!$A$2:$A$1421,$A141,Documents!$C$2:$C$1421,"dive_prices")),"")</f>
        <v/>
      </c>
      <c r="L141">
        <f>IFERROR(IF(_xlfn.MAXIFS(Documents!$E$2:$E$1421,Documents!$A$2:$A$1421,$A141,Documents!$C$2:$C$1421,"excursions")=0,"",_xlfn.MAXIFS(Documents!$E$2:$E$1421,Documents!$A$2:$A$1421,$A141,Documents!$C$2:$C$1421,"excursions")),"")</f>
        <v/>
      </c>
      <c r="M141">
        <f>IFERROR(IF(_xlfn.MAXIFS(Documents!$E$2:$E$1421,Documents!$A$2:$A$1421,$A141,Documents!$C$2:$C$1421,"kids")=0,"",_xlfn.MAXIFS(Documents!$E$2:$E$1421,Documents!$A$2:$A$1421,$A141,Documents!$C$2:$C$1421,"kids")),"")</f>
        <v/>
      </c>
      <c r="N141">
        <f>IFERROR(IF(_xlfn.MAXIFS(Documents!$E$2:$E$1421,Documents!$A$2:$A$1421,$A141,Documents!$C$2:$C$1421,"villa_plans")=0,"",_xlfn.MAXIFS(Documents!$E$2:$E$1421,Documents!$A$2:$A$1421,$A141,Documents!$C$2:$C$1421,"villa_plans")),"")</f>
        <v/>
      </c>
      <c r="O141">
        <f>IFERROR(IF(_xlfn.MAXIFS(Documents!$E$2:$E$1421,Documents!$A$2:$A$1421,$A141,Documents!$C$2:$C$1421,"all_inclusive")=0,"",_xlfn.MAXIFS(Documents!$E$2:$E$1421,Documents!$A$2:$A$1421,$A141,Documents!$C$2:$C$1421,"all_inclusive")),"")</f>
        <v/>
      </c>
      <c r="P141">
        <f>IFERROR(IF(_xlfn.MAXIFS(Documents!$E$2:$E$1421,Documents!$A$2:$A$1421,$A141,Documents!$C$2:$C$1421,"sustainability")=0,"",_xlfn.MAXIFS(Documents!$E$2:$E$1421,Documents!$A$2:$A$1421,$A141,Documents!$C$2:$C$1421,"sustainability")),"")</f>
        <v/>
      </c>
      <c r="Q141">
        <f>IFERROR(IF(_xlfn.MAXIFS(Documents!$E$2:$E$1421,Documents!$A$2:$A$1421,$A141,Documents!$C$2:$C$1421,"calendar")=0,"",_xlfn.MAXIFS(Documents!$E$2:$E$1421,Documents!$A$2:$A$1421,$A141,Documents!$C$2:$C$1421,"calendar")),"")</f>
        <v/>
      </c>
      <c r="R141">
        <f>IFERROR(IF(_xlfn.MAXIFS(Documents!$E$2:$E$1421,Documents!$A$2:$A$1421,$A141,Documents!$C$2:$C$1421,"brochure")=0,"",_xlfn.MAXIFS(Documents!$E$2:$E$1421,Documents!$A$2:$A$1421,$A141,Documents!$C$2:$C$1421,"brochure")),"")</f>
        <v/>
      </c>
      <c r="S141">
        <f>IFERROR(IF(_xlfn.MAXIFS(Documents!$E$2:$E$1421,Documents!$A$2:$A$1421,$A141,Documents!$C$2:$C$1421,"press_kit")=0,"",_xlfn.MAXIFS(Documents!$E$2:$E$1421,Documents!$A$2:$A$1421,$A141,Documents!$C$2:$C$1421,"press_kit")),"")</f>
        <v/>
      </c>
      <c r="T141">
        <f>IFERROR(IF(_xlfn.MAXIFS(Documents!$E$2:$E$1421,Documents!$A$2:$A$1421,$A141,Documents!$C$2:$C$1421,"other")=0,"",_xlfn.MAXIFS(Documents!$E$2:$E$1421,Documents!$A$2:$A$1421,$A141,Documents!$C$2:$C$1421,"other")),"")</f>
        <v/>
      </c>
      <c r="U141">
        <f>IFERROR(IF(_xlfn.MAXIFS(Documents!$E$2:$E$1421,Documents!$A$2:$A$1421,$A141,Documents!$C$2:$C$1421,"obsolete")=0,"",_xlfn.MAXIFS(Documents!$E$2:$E$1421,Documents!$A$2:$A$1421,$A141,Documents!$C$2:$C$1421,"obsolete")),"")</f>
        <v/>
      </c>
      <c r="V141">
        <f>COUNTIFS(Documents!$A$2:$A$1421,$A141)</f>
        <v/>
      </c>
      <c r="W141">
        <f>COUNTIFS(Documents!$A$2:$A$1421,$A141,Documents!$R$2:$R$1421,"current")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not crawled</t>
        </is>
      </c>
      <c r="D142">
        <f>IFERROR(IF(_xlfn.MAXIFS(Documents!$E$2:$E$1421,Documents!$A$2:$A$1421,$A142,Documents!$C$2:$C$1421,"factsheet")=0,"",_xlfn.MAXIFS(Documents!$E$2:$E$1421,Documents!$A$2:$A$1421,$A142,Documents!$C$2:$C$1421,"factsheet")),"")</f>
        <v/>
      </c>
      <c r="E142">
        <f>IFERROR(IF(_xlfn.MAXIFS(Documents!$E$2:$E$1421,Documents!$A$2:$A$1421,$A142,Documents!$C$2:$C$1421,"wedding")=0,"",_xlfn.MAXIFS(Documents!$E$2:$E$1421,Documents!$A$2:$A$1421,$A142,Documents!$C$2:$C$1421,"wedding")),"")</f>
        <v/>
      </c>
      <c r="F142">
        <f>IFERROR(IF(_xlfn.MAXIFS(Documents!$E$2:$E$1421,Documents!$A$2:$A$1421,$A142,Documents!$C$2:$C$1421,"events")=0,"",_xlfn.MAXIFS(Documents!$E$2:$E$1421,Documents!$A$2:$A$1421,$A142,Documents!$C$2:$C$1421,"events")),"")</f>
        <v/>
      </c>
      <c r="G142">
        <f>IFERROR(IF(_xlfn.MAXIFS(Documents!$E$2:$E$1421,Documents!$A$2:$A$1421,$A142,Documents!$C$2:$C$1421,"map")=0,"",_xlfn.MAXIFS(Documents!$E$2:$E$1421,Documents!$A$2:$A$1421,$A142,Documents!$C$2:$C$1421,"map")),"")</f>
        <v/>
      </c>
      <c r="H142">
        <f>IFERROR(IF(_xlfn.MAXIFS(Documents!$E$2:$E$1421,Documents!$A$2:$A$1421,$A142,Documents!$C$2:$C$1421,"dive_map")=0,"",_xlfn.MAXIFS(Documents!$E$2:$E$1421,Documents!$A$2:$A$1421,$A142,Documents!$C$2:$C$1421,"dive_map")),"")</f>
        <v/>
      </c>
      <c r="I142">
        <f>IFERROR(IF(_xlfn.MAXIFS(Documents!$E$2:$E$1421,Documents!$A$2:$A$1421,$A142,Documents!$C$2:$C$1421,"spa_menu")=0,"",_xlfn.MAXIFS(Documents!$E$2:$E$1421,Documents!$A$2:$A$1421,$A142,Documents!$C$2:$C$1421,"spa_menu")),"")</f>
        <v/>
      </c>
      <c r="J142">
        <f>IFERROR(IF(_xlfn.MAXIFS(Documents!$E$2:$E$1421,Documents!$A$2:$A$1421,$A142,Documents!$C$2:$C$1421,"dining_menu")=0,"",_xlfn.MAXIFS(Documents!$E$2:$E$1421,Documents!$A$2:$A$1421,$A142,Documents!$C$2:$C$1421,"dining_menu")),"")</f>
        <v/>
      </c>
      <c r="K142">
        <f>IFERROR(IF(_xlfn.MAXIFS(Documents!$E$2:$E$1421,Documents!$A$2:$A$1421,$A142,Documents!$C$2:$C$1421,"dive_prices")=0,"",_xlfn.MAXIFS(Documents!$E$2:$E$1421,Documents!$A$2:$A$1421,$A142,Documents!$C$2:$C$1421,"dive_prices")),"")</f>
        <v/>
      </c>
      <c r="L142">
        <f>IFERROR(IF(_xlfn.MAXIFS(Documents!$E$2:$E$1421,Documents!$A$2:$A$1421,$A142,Documents!$C$2:$C$1421,"excursions")=0,"",_xlfn.MAXIFS(Documents!$E$2:$E$1421,Documents!$A$2:$A$1421,$A142,Documents!$C$2:$C$1421,"excursions")),"")</f>
        <v/>
      </c>
      <c r="M142">
        <f>IFERROR(IF(_xlfn.MAXIFS(Documents!$E$2:$E$1421,Documents!$A$2:$A$1421,$A142,Documents!$C$2:$C$1421,"kids")=0,"",_xlfn.MAXIFS(Documents!$E$2:$E$1421,Documents!$A$2:$A$1421,$A142,Documents!$C$2:$C$1421,"kids")),"")</f>
        <v/>
      </c>
      <c r="N142">
        <f>IFERROR(IF(_xlfn.MAXIFS(Documents!$E$2:$E$1421,Documents!$A$2:$A$1421,$A142,Documents!$C$2:$C$1421,"villa_plans")=0,"",_xlfn.MAXIFS(Documents!$E$2:$E$1421,Documents!$A$2:$A$1421,$A142,Documents!$C$2:$C$1421,"villa_plans")),"")</f>
        <v/>
      </c>
      <c r="O142">
        <f>IFERROR(IF(_xlfn.MAXIFS(Documents!$E$2:$E$1421,Documents!$A$2:$A$1421,$A142,Documents!$C$2:$C$1421,"all_inclusive")=0,"",_xlfn.MAXIFS(Documents!$E$2:$E$1421,Documents!$A$2:$A$1421,$A142,Documents!$C$2:$C$1421,"all_inclusive")),"")</f>
        <v/>
      </c>
      <c r="P142">
        <f>IFERROR(IF(_xlfn.MAXIFS(Documents!$E$2:$E$1421,Documents!$A$2:$A$1421,$A142,Documents!$C$2:$C$1421,"sustainability")=0,"",_xlfn.MAXIFS(Documents!$E$2:$E$1421,Documents!$A$2:$A$1421,$A142,Documents!$C$2:$C$1421,"sustainability")),"")</f>
        <v/>
      </c>
      <c r="Q142">
        <f>IFERROR(IF(_xlfn.MAXIFS(Documents!$E$2:$E$1421,Documents!$A$2:$A$1421,$A142,Documents!$C$2:$C$1421,"calendar")=0,"",_xlfn.MAXIFS(Documents!$E$2:$E$1421,Documents!$A$2:$A$1421,$A142,Documents!$C$2:$C$1421,"calendar")),"")</f>
        <v/>
      </c>
      <c r="R142">
        <f>IFERROR(IF(_xlfn.MAXIFS(Documents!$E$2:$E$1421,Documents!$A$2:$A$1421,$A142,Documents!$C$2:$C$1421,"brochure")=0,"",_xlfn.MAXIFS(Documents!$E$2:$E$1421,Documents!$A$2:$A$1421,$A142,Documents!$C$2:$C$1421,"brochure")),"")</f>
        <v/>
      </c>
      <c r="S142">
        <f>IFERROR(IF(_xlfn.MAXIFS(Documents!$E$2:$E$1421,Documents!$A$2:$A$1421,$A142,Documents!$C$2:$C$1421,"press_kit")=0,"",_xlfn.MAXIFS(Documents!$E$2:$E$1421,Documents!$A$2:$A$1421,$A142,Documents!$C$2:$C$1421,"press_kit")),"")</f>
        <v/>
      </c>
      <c r="T142">
        <f>IFERROR(IF(_xlfn.MAXIFS(Documents!$E$2:$E$1421,Documents!$A$2:$A$1421,$A142,Documents!$C$2:$C$1421,"other")=0,"",_xlfn.MAXIFS(Documents!$E$2:$E$1421,Documents!$A$2:$A$1421,$A142,Documents!$C$2:$C$1421,"other")),"")</f>
        <v/>
      </c>
      <c r="U142">
        <f>IFERROR(IF(_xlfn.MAXIFS(Documents!$E$2:$E$1421,Documents!$A$2:$A$1421,$A142,Documents!$C$2:$C$1421,"obsolete")=0,"",_xlfn.MAXIFS(Documents!$E$2:$E$1421,Documents!$A$2:$A$1421,$A142,Documents!$C$2:$C$1421,"obsolete")),"")</f>
        <v/>
      </c>
      <c r="V142">
        <f>COUNTIFS(Documents!$A$2:$A$1421,$A142)</f>
        <v/>
      </c>
      <c r="W142">
        <f>COUNTIFS(Documents!$A$2:$A$1421,$A142,Documents!$R$2:$R$1421,"current")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not crawled</t>
        </is>
      </c>
      <c r="D143">
        <f>IFERROR(IF(_xlfn.MAXIFS(Documents!$E$2:$E$1421,Documents!$A$2:$A$1421,$A143,Documents!$C$2:$C$1421,"factsheet")=0,"",_xlfn.MAXIFS(Documents!$E$2:$E$1421,Documents!$A$2:$A$1421,$A143,Documents!$C$2:$C$1421,"factsheet")),"")</f>
        <v/>
      </c>
      <c r="E143">
        <f>IFERROR(IF(_xlfn.MAXIFS(Documents!$E$2:$E$1421,Documents!$A$2:$A$1421,$A143,Documents!$C$2:$C$1421,"wedding")=0,"",_xlfn.MAXIFS(Documents!$E$2:$E$1421,Documents!$A$2:$A$1421,$A143,Documents!$C$2:$C$1421,"wedding")),"")</f>
        <v/>
      </c>
      <c r="F143">
        <f>IFERROR(IF(_xlfn.MAXIFS(Documents!$E$2:$E$1421,Documents!$A$2:$A$1421,$A143,Documents!$C$2:$C$1421,"events")=0,"",_xlfn.MAXIFS(Documents!$E$2:$E$1421,Documents!$A$2:$A$1421,$A143,Documents!$C$2:$C$1421,"events")),"")</f>
        <v/>
      </c>
      <c r="G143">
        <f>IFERROR(IF(_xlfn.MAXIFS(Documents!$E$2:$E$1421,Documents!$A$2:$A$1421,$A143,Documents!$C$2:$C$1421,"map")=0,"",_xlfn.MAXIFS(Documents!$E$2:$E$1421,Documents!$A$2:$A$1421,$A143,Documents!$C$2:$C$1421,"map")),"")</f>
        <v/>
      </c>
      <c r="H143">
        <f>IFERROR(IF(_xlfn.MAXIFS(Documents!$E$2:$E$1421,Documents!$A$2:$A$1421,$A143,Documents!$C$2:$C$1421,"dive_map")=0,"",_xlfn.MAXIFS(Documents!$E$2:$E$1421,Documents!$A$2:$A$1421,$A143,Documents!$C$2:$C$1421,"dive_map")),"")</f>
        <v/>
      </c>
      <c r="I143">
        <f>IFERROR(IF(_xlfn.MAXIFS(Documents!$E$2:$E$1421,Documents!$A$2:$A$1421,$A143,Documents!$C$2:$C$1421,"spa_menu")=0,"",_xlfn.MAXIFS(Documents!$E$2:$E$1421,Documents!$A$2:$A$1421,$A143,Documents!$C$2:$C$1421,"spa_menu")),"")</f>
        <v/>
      </c>
      <c r="J143">
        <f>IFERROR(IF(_xlfn.MAXIFS(Documents!$E$2:$E$1421,Documents!$A$2:$A$1421,$A143,Documents!$C$2:$C$1421,"dining_menu")=0,"",_xlfn.MAXIFS(Documents!$E$2:$E$1421,Documents!$A$2:$A$1421,$A143,Documents!$C$2:$C$1421,"dining_menu")),"")</f>
        <v/>
      </c>
      <c r="K143">
        <f>IFERROR(IF(_xlfn.MAXIFS(Documents!$E$2:$E$1421,Documents!$A$2:$A$1421,$A143,Documents!$C$2:$C$1421,"dive_prices")=0,"",_xlfn.MAXIFS(Documents!$E$2:$E$1421,Documents!$A$2:$A$1421,$A143,Documents!$C$2:$C$1421,"dive_prices")),"")</f>
        <v/>
      </c>
      <c r="L143">
        <f>IFERROR(IF(_xlfn.MAXIFS(Documents!$E$2:$E$1421,Documents!$A$2:$A$1421,$A143,Documents!$C$2:$C$1421,"excursions")=0,"",_xlfn.MAXIFS(Documents!$E$2:$E$1421,Documents!$A$2:$A$1421,$A143,Documents!$C$2:$C$1421,"excursions")),"")</f>
        <v/>
      </c>
      <c r="M143">
        <f>IFERROR(IF(_xlfn.MAXIFS(Documents!$E$2:$E$1421,Documents!$A$2:$A$1421,$A143,Documents!$C$2:$C$1421,"kids")=0,"",_xlfn.MAXIFS(Documents!$E$2:$E$1421,Documents!$A$2:$A$1421,$A143,Documents!$C$2:$C$1421,"kids")),"")</f>
        <v/>
      </c>
      <c r="N143">
        <f>IFERROR(IF(_xlfn.MAXIFS(Documents!$E$2:$E$1421,Documents!$A$2:$A$1421,$A143,Documents!$C$2:$C$1421,"villa_plans")=0,"",_xlfn.MAXIFS(Documents!$E$2:$E$1421,Documents!$A$2:$A$1421,$A143,Documents!$C$2:$C$1421,"villa_plans")),"")</f>
        <v/>
      </c>
      <c r="O143">
        <f>IFERROR(IF(_xlfn.MAXIFS(Documents!$E$2:$E$1421,Documents!$A$2:$A$1421,$A143,Documents!$C$2:$C$1421,"all_inclusive")=0,"",_xlfn.MAXIFS(Documents!$E$2:$E$1421,Documents!$A$2:$A$1421,$A143,Documents!$C$2:$C$1421,"all_inclusive")),"")</f>
        <v/>
      </c>
      <c r="P143">
        <f>IFERROR(IF(_xlfn.MAXIFS(Documents!$E$2:$E$1421,Documents!$A$2:$A$1421,$A143,Documents!$C$2:$C$1421,"sustainability")=0,"",_xlfn.MAXIFS(Documents!$E$2:$E$1421,Documents!$A$2:$A$1421,$A143,Documents!$C$2:$C$1421,"sustainability")),"")</f>
        <v/>
      </c>
      <c r="Q143">
        <f>IFERROR(IF(_xlfn.MAXIFS(Documents!$E$2:$E$1421,Documents!$A$2:$A$1421,$A143,Documents!$C$2:$C$1421,"calendar")=0,"",_xlfn.MAXIFS(Documents!$E$2:$E$1421,Documents!$A$2:$A$1421,$A143,Documents!$C$2:$C$1421,"calendar")),"")</f>
        <v/>
      </c>
      <c r="R143">
        <f>IFERROR(IF(_xlfn.MAXIFS(Documents!$E$2:$E$1421,Documents!$A$2:$A$1421,$A143,Documents!$C$2:$C$1421,"brochure")=0,"",_xlfn.MAXIFS(Documents!$E$2:$E$1421,Documents!$A$2:$A$1421,$A143,Documents!$C$2:$C$1421,"brochure")),"")</f>
        <v/>
      </c>
      <c r="S143">
        <f>IFERROR(IF(_xlfn.MAXIFS(Documents!$E$2:$E$1421,Documents!$A$2:$A$1421,$A143,Documents!$C$2:$C$1421,"press_kit")=0,"",_xlfn.MAXIFS(Documents!$E$2:$E$1421,Documents!$A$2:$A$1421,$A143,Documents!$C$2:$C$1421,"press_kit")),"")</f>
        <v/>
      </c>
      <c r="T143">
        <f>IFERROR(IF(_xlfn.MAXIFS(Documents!$E$2:$E$1421,Documents!$A$2:$A$1421,$A143,Documents!$C$2:$C$1421,"other")=0,"",_xlfn.MAXIFS(Documents!$E$2:$E$1421,Documents!$A$2:$A$1421,$A143,Documents!$C$2:$C$1421,"other")),"")</f>
        <v/>
      </c>
      <c r="U143">
        <f>IFERROR(IF(_xlfn.MAXIFS(Documents!$E$2:$E$1421,Documents!$A$2:$A$1421,$A143,Documents!$C$2:$C$1421,"obsolete")=0,"",_xlfn.MAXIFS(Documents!$E$2:$E$1421,Documents!$A$2:$A$1421,$A143,Documents!$C$2:$C$1421,"obsolete")),"")</f>
        <v/>
      </c>
      <c r="V143">
        <f>COUNTIFS(Documents!$A$2:$A$1421,$A143)</f>
        <v/>
      </c>
      <c r="W143">
        <f>COUNTIFS(Documents!$A$2:$A$1421,$A143,Documents!$R$2:$R$1421,"current")</f>
        <v/>
      </c>
      <c r="X143" t="inlineStr"/>
      <c r="Y143" t="inlineStr">
        <is>
          <t>factsheet, wedding, events</t>
        </is>
      </c>
      <c r="Z143" t="inlineStr"/>
    </row>
    <row r="144">
      <c r="A144" t="n">
        <v>143</v>
      </c>
      <c r="B144" t="inlineStr">
        <is>
          <t>Soneva Jani</t>
        </is>
      </c>
      <c r="C144" t="inlineStr">
        <is>
          <t>not crawled</t>
        </is>
      </c>
      <c r="D144">
        <f>IFERROR(IF(_xlfn.MAXIFS(Documents!$E$2:$E$1421,Documents!$A$2:$A$1421,$A144,Documents!$C$2:$C$1421,"factsheet")=0,"",_xlfn.MAXIFS(Documents!$E$2:$E$1421,Documents!$A$2:$A$1421,$A144,Documents!$C$2:$C$1421,"factsheet")),"")</f>
        <v/>
      </c>
      <c r="E144">
        <f>IFERROR(IF(_xlfn.MAXIFS(Documents!$E$2:$E$1421,Documents!$A$2:$A$1421,$A144,Documents!$C$2:$C$1421,"wedding")=0,"",_xlfn.MAXIFS(Documents!$E$2:$E$1421,Documents!$A$2:$A$1421,$A144,Documents!$C$2:$C$1421,"wedding")),"")</f>
        <v/>
      </c>
      <c r="F144">
        <f>IFERROR(IF(_xlfn.MAXIFS(Documents!$E$2:$E$1421,Documents!$A$2:$A$1421,$A144,Documents!$C$2:$C$1421,"events")=0,"",_xlfn.MAXIFS(Documents!$E$2:$E$1421,Documents!$A$2:$A$1421,$A144,Documents!$C$2:$C$1421,"events")),"")</f>
        <v/>
      </c>
      <c r="G144">
        <f>IFERROR(IF(_xlfn.MAXIFS(Documents!$E$2:$E$1421,Documents!$A$2:$A$1421,$A144,Documents!$C$2:$C$1421,"map")=0,"",_xlfn.MAXIFS(Documents!$E$2:$E$1421,Documents!$A$2:$A$1421,$A144,Documents!$C$2:$C$1421,"map")),"")</f>
        <v/>
      </c>
      <c r="H144">
        <f>IFERROR(IF(_xlfn.MAXIFS(Documents!$E$2:$E$1421,Documents!$A$2:$A$1421,$A144,Documents!$C$2:$C$1421,"dive_map")=0,"",_xlfn.MAXIFS(Documents!$E$2:$E$1421,Documents!$A$2:$A$1421,$A144,Documents!$C$2:$C$1421,"dive_map")),"")</f>
        <v/>
      </c>
      <c r="I144">
        <f>IFERROR(IF(_xlfn.MAXIFS(Documents!$E$2:$E$1421,Documents!$A$2:$A$1421,$A144,Documents!$C$2:$C$1421,"spa_menu")=0,"",_xlfn.MAXIFS(Documents!$E$2:$E$1421,Documents!$A$2:$A$1421,$A144,Documents!$C$2:$C$1421,"spa_menu")),"")</f>
        <v/>
      </c>
      <c r="J144">
        <f>IFERROR(IF(_xlfn.MAXIFS(Documents!$E$2:$E$1421,Documents!$A$2:$A$1421,$A144,Documents!$C$2:$C$1421,"dining_menu")=0,"",_xlfn.MAXIFS(Documents!$E$2:$E$1421,Documents!$A$2:$A$1421,$A144,Documents!$C$2:$C$1421,"dining_menu")),"")</f>
        <v/>
      </c>
      <c r="K144">
        <f>IFERROR(IF(_xlfn.MAXIFS(Documents!$E$2:$E$1421,Documents!$A$2:$A$1421,$A144,Documents!$C$2:$C$1421,"dive_prices")=0,"",_xlfn.MAXIFS(Documents!$E$2:$E$1421,Documents!$A$2:$A$1421,$A144,Documents!$C$2:$C$1421,"dive_prices")),"")</f>
        <v/>
      </c>
      <c r="L144">
        <f>IFERROR(IF(_xlfn.MAXIFS(Documents!$E$2:$E$1421,Documents!$A$2:$A$1421,$A144,Documents!$C$2:$C$1421,"excursions")=0,"",_xlfn.MAXIFS(Documents!$E$2:$E$1421,Documents!$A$2:$A$1421,$A144,Documents!$C$2:$C$1421,"excursions")),"")</f>
        <v/>
      </c>
      <c r="M144">
        <f>IFERROR(IF(_xlfn.MAXIFS(Documents!$E$2:$E$1421,Documents!$A$2:$A$1421,$A144,Documents!$C$2:$C$1421,"kids")=0,"",_xlfn.MAXIFS(Documents!$E$2:$E$1421,Documents!$A$2:$A$1421,$A144,Documents!$C$2:$C$1421,"kids")),"")</f>
        <v/>
      </c>
      <c r="N144">
        <f>IFERROR(IF(_xlfn.MAXIFS(Documents!$E$2:$E$1421,Documents!$A$2:$A$1421,$A144,Documents!$C$2:$C$1421,"villa_plans")=0,"",_xlfn.MAXIFS(Documents!$E$2:$E$1421,Documents!$A$2:$A$1421,$A144,Documents!$C$2:$C$1421,"villa_plans")),"")</f>
        <v/>
      </c>
      <c r="O144">
        <f>IFERROR(IF(_xlfn.MAXIFS(Documents!$E$2:$E$1421,Documents!$A$2:$A$1421,$A144,Documents!$C$2:$C$1421,"all_inclusive")=0,"",_xlfn.MAXIFS(Documents!$E$2:$E$1421,Documents!$A$2:$A$1421,$A144,Documents!$C$2:$C$1421,"all_inclusive")),"")</f>
        <v/>
      </c>
      <c r="P144">
        <f>IFERROR(IF(_xlfn.MAXIFS(Documents!$E$2:$E$1421,Documents!$A$2:$A$1421,$A144,Documents!$C$2:$C$1421,"sustainability")=0,"",_xlfn.MAXIFS(Documents!$E$2:$E$1421,Documents!$A$2:$A$1421,$A144,Documents!$C$2:$C$1421,"sustainability")),"")</f>
        <v/>
      </c>
      <c r="Q144">
        <f>IFERROR(IF(_xlfn.MAXIFS(Documents!$E$2:$E$1421,Documents!$A$2:$A$1421,$A144,Documents!$C$2:$C$1421,"calendar")=0,"",_xlfn.MAXIFS(Documents!$E$2:$E$1421,Documents!$A$2:$A$1421,$A144,Documents!$C$2:$C$1421,"calendar")),"")</f>
        <v/>
      </c>
      <c r="R144">
        <f>IFERROR(IF(_xlfn.MAXIFS(Documents!$E$2:$E$1421,Documents!$A$2:$A$1421,$A144,Documents!$C$2:$C$1421,"brochure")=0,"",_xlfn.MAXIFS(Documents!$E$2:$E$1421,Documents!$A$2:$A$1421,$A144,Documents!$C$2:$C$1421,"brochure")),"")</f>
        <v/>
      </c>
      <c r="S144">
        <f>IFERROR(IF(_xlfn.MAXIFS(Documents!$E$2:$E$1421,Documents!$A$2:$A$1421,$A144,Documents!$C$2:$C$1421,"press_kit")=0,"",_xlfn.MAXIFS(Documents!$E$2:$E$1421,Documents!$A$2:$A$1421,$A144,Documents!$C$2:$C$1421,"press_kit")),"")</f>
        <v/>
      </c>
      <c r="T144">
        <f>IFERROR(IF(_xlfn.MAXIFS(Documents!$E$2:$E$1421,Documents!$A$2:$A$1421,$A144,Documents!$C$2:$C$1421,"other")=0,"",_xlfn.MAXIFS(Documents!$E$2:$E$1421,Documents!$A$2:$A$1421,$A144,Documents!$C$2:$C$1421,"other")),"")</f>
        <v/>
      </c>
      <c r="U144">
        <f>IFERROR(IF(_xlfn.MAXIFS(Documents!$E$2:$E$1421,Documents!$A$2:$A$1421,$A144,Documents!$C$2:$C$1421,"obsolete")=0,"",_xlfn.MAXIFS(Documents!$E$2:$E$1421,Documents!$A$2:$A$1421,$A144,Documents!$C$2:$C$1421,"obsolete")),"")</f>
        <v/>
      </c>
      <c r="V144">
        <f>COUNTIFS(Documents!$A$2:$A$1421,$A144)</f>
        <v/>
      </c>
      <c r="W144">
        <f>COUNTIFS(Documents!$A$2:$A$1421,$A144,Documents!$R$2:$R$1421,"current")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not crawled</t>
        </is>
      </c>
      <c r="D145">
        <f>IFERROR(IF(_xlfn.MAXIFS(Documents!$E$2:$E$1421,Documents!$A$2:$A$1421,$A145,Documents!$C$2:$C$1421,"factsheet")=0,"",_xlfn.MAXIFS(Documents!$E$2:$E$1421,Documents!$A$2:$A$1421,$A145,Documents!$C$2:$C$1421,"factsheet")),"")</f>
        <v/>
      </c>
      <c r="E145">
        <f>IFERROR(IF(_xlfn.MAXIFS(Documents!$E$2:$E$1421,Documents!$A$2:$A$1421,$A145,Documents!$C$2:$C$1421,"wedding")=0,"",_xlfn.MAXIFS(Documents!$E$2:$E$1421,Documents!$A$2:$A$1421,$A145,Documents!$C$2:$C$1421,"wedding")),"")</f>
        <v/>
      </c>
      <c r="F145">
        <f>IFERROR(IF(_xlfn.MAXIFS(Documents!$E$2:$E$1421,Documents!$A$2:$A$1421,$A145,Documents!$C$2:$C$1421,"events")=0,"",_xlfn.MAXIFS(Documents!$E$2:$E$1421,Documents!$A$2:$A$1421,$A145,Documents!$C$2:$C$1421,"events")),"")</f>
        <v/>
      </c>
      <c r="G145">
        <f>IFERROR(IF(_xlfn.MAXIFS(Documents!$E$2:$E$1421,Documents!$A$2:$A$1421,$A145,Documents!$C$2:$C$1421,"map")=0,"",_xlfn.MAXIFS(Documents!$E$2:$E$1421,Documents!$A$2:$A$1421,$A145,Documents!$C$2:$C$1421,"map")),"")</f>
        <v/>
      </c>
      <c r="H145">
        <f>IFERROR(IF(_xlfn.MAXIFS(Documents!$E$2:$E$1421,Documents!$A$2:$A$1421,$A145,Documents!$C$2:$C$1421,"dive_map")=0,"",_xlfn.MAXIFS(Documents!$E$2:$E$1421,Documents!$A$2:$A$1421,$A145,Documents!$C$2:$C$1421,"dive_map")),"")</f>
        <v/>
      </c>
      <c r="I145">
        <f>IFERROR(IF(_xlfn.MAXIFS(Documents!$E$2:$E$1421,Documents!$A$2:$A$1421,$A145,Documents!$C$2:$C$1421,"spa_menu")=0,"",_xlfn.MAXIFS(Documents!$E$2:$E$1421,Documents!$A$2:$A$1421,$A145,Documents!$C$2:$C$1421,"spa_menu")),"")</f>
        <v/>
      </c>
      <c r="J145">
        <f>IFERROR(IF(_xlfn.MAXIFS(Documents!$E$2:$E$1421,Documents!$A$2:$A$1421,$A145,Documents!$C$2:$C$1421,"dining_menu")=0,"",_xlfn.MAXIFS(Documents!$E$2:$E$1421,Documents!$A$2:$A$1421,$A145,Documents!$C$2:$C$1421,"dining_menu")),"")</f>
        <v/>
      </c>
      <c r="K145">
        <f>IFERROR(IF(_xlfn.MAXIFS(Documents!$E$2:$E$1421,Documents!$A$2:$A$1421,$A145,Documents!$C$2:$C$1421,"dive_prices")=0,"",_xlfn.MAXIFS(Documents!$E$2:$E$1421,Documents!$A$2:$A$1421,$A145,Documents!$C$2:$C$1421,"dive_prices")),"")</f>
        <v/>
      </c>
      <c r="L145">
        <f>IFERROR(IF(_xlfn.MAXIFS(Documents!$E$2:$E$1421,Documents!$A$2:$A$1421,$A145,Documents!$C$2:$C$1421,"excursions")=0,"",_xlfn.MAXIFS(Documents!$E$2:$E$1421,Documents!$A$2:$A$1421,$A145,Documents!$C$2:$C$1421,"excursions")),"")</f>
        <v/>
      </c>
      <c r="M145">
        <f>IFERROR(IF(_xlfn.MAXIFS(Documents!$E$2:$E$1421,Documents!$A$2:$A$1421,$A145,Documents!$C$2:$C$1421,"kids")=0,"",_xlfn.MAXIFS(Documents!$E$2:$E$1421,Documents!$A$2:$A$1421,$A145,Documents!$C$2:$C$1421,"kids")),"")</f>
        <v/>
      </c>
      <c r="N145">
        <f>IFERROR(IF(_xlfn.MAXIFS(Documents!$E$2:$E$1421,Documents!$A$2:$A$1421,$A145,Documents!$C$2:$C$1421,"villa_plans")=0,"",_xlfn.MAXIFS(Documents!$E$2:$E$1421,Documents!$A$2:$A$1421,$A145,Documents!$C$2:$C$1421,"villa_plans")),"")</f>
        <v/>
      </c>
      <c r="O145">
        <f>IFERROR(IF(_xlfn.MAXIFS(Documents!$E$2:$E$1421,Documents!$A$2:$A$1421,$A145,Documents!$C$2:$C$1421,"all_inclusive")=0,"",_xlfn.MAXIFS(Documents!$E$2:$E$1421,Documents!$A$2:$A$1421,$A145,Documents!$C$2:$C$1421,"all_inclusive")),"")</f>
        <v/>
      </c>
      <c r="P145">
        <f>IFERROR(IF(_xlfn.MAXIFS(Documents!$E$2:$E$1421,Documents!$A$2:$A$1421,$A145,Documents!$C$2:$C$1421,"sustainability")=0,"",_xlfn.MAXIFS(Documents!$E$2:$E$1421,Documents!$A$2:$A$1421,$A145,Documents!$C$2:$C$1421,"sustainability")),"")</f>
        <v/>
      </c>
      <c r="Q145">
        <f>IFERROR(IF(_xlfn.MAXIFS(Documents!$E$2:$E$1421,Documents!$A$2:$A$1421,$A145,Documents!$C$2:$C$1421,"calendar")=0,"",_xlfn.MAXIFS(Documents!$E$2:$E$1421,Documents!$A$2:$A$1421,$A145,Documents!$C$2:$C$1421,"calendar")),"")</f>
        <v/>
      </c>
      <c r="R145">
        <f>IFERROR(IF(_xlfn.MAXIFS(Documents!$E$2:$E$1421,Documents!$A$2:$A$1421,$A145,Documents!$C$2:$C$1421,"brochure")=0,"",_xlfn.MAXIFS(Documents!$E$2:$E$1421,Documents!$A$2:$A$1421,$A145,Documents!$C$2:$C$1421,"brochure")),"")</f>
        <v/>
      </c>
      <c r="S145">
        <f>IFERROR(IF(_xlfn.MAXIFS(Documents!$E$2:$E$1421,Documents!$A$2:$A$1421,$A145,Documents!$C$2:$C$1421,"press_kit")=0,"",_xlfn.MAXIFS(Documents!$E$2:$E$1421,Documents!$A$2:$A$1421,$A145,Documents!$C$2:$C$1421,"press_kit")),"")</f>
        <v/>
      </c>
      <c r="T145">
        <f>IFERROR(IF(_xlfn.MAXIFS(Documents!$E$2:$E$1421,Documents!$A$2:$A$1421,$A145,Documents!$C$2:$C$1421,"other")=0,"",_xlfn.MAXIFS(Documents!$E$2:$E$1421,Documents!$A$2:$A$1421,$A145,Documents!$C$2:$C$1421,"other")),"")</f>
        <v/>
      </c>
      <c r="U145">
        <f>IFERROR(IF(_xlfn.MAXIFS(Documents!$E$2:$E$1421,Documents!$A$2:$A$1421,$A145,Documents!$C$2:$C$1421,"obsolete")=0,"",_xlfn.MAXIFS(Documents!$E$2:$E$1421,Documents!$A$2:$A$1421,$A145,Documents!$C$2:$C$1421,"obsolete")),"")</f>
        <v/>
      </c>
      <c r="V145">
        <f>COUNTIFS(Documents!$A$2:$A$1421,$A145)</f>
        <v/>
      </c>
      <c r="W145">
        <f>COUNTIFS(Documents!$A$2:$A$1421,$A145,Documents!$R$2:$R$1421,"current")</f>
        <v/>
      </c>
      <c r="X145" t="inlineStr"/>
      <c r="Y145" t="inlineStr">
        <is>
          <t>factsheet, wedding, events</t>
        </is>
      </c>
      <c r="Z145" t="inlineStr"/>
    </row>
    <row r="146">
      <c r="A146" t="n">
        <v>145</v>
      </c>
      <c r="B146" t="inlineStr">
        <is>
          <t>Anantara Resort and Spa Maldives</t>
        </is>
      </c>
      <c r="C146" t="inlineStr">
        <is>
          <t>not crawled</t>
        </is>
      </c>
      <c r="D146">
        <f>IFERROR(IF(_xlfn.MAXIFS(Documents!$E$2:$E$1421,Documents!$A$2:$A$1421,$A146,Documents!$C$2:$C$1421,"factsheet")=0,"",_xlfn.MAXIFS(Documents!$E$2:$E$1421,Documents!$A$2:$A$1421,$A146,Documents!$C$2:$C$1421,"factsheet")),"")</f>
        <v/>
      </c>
      <c r="E146">
        <f>IFERROR(IF(_xlfn.MAXIFS(Documents!$E$2:$E$1421,Documents!$A$2:$A$1421,$A146,Documents!$C$2:$C$1421,"wedding")=0,"",_xlfn.MAXIFS(Documents!$E$2:$E$1421,Documents!$A$2:$A$1421,$A146,Documents!$C$2:$C$1421,"wedding")),"")</f>
        <v/>
      </c>
      <c r="F146">
        <f>IFERROR(IF(_xlfn.MAXIFS(Documents!$E$2:$E$1421,Documents!$A$2:$A$1421,$A146,Documents!$C$2:$C$1421,"events")=0,"",_xlfn.MAXIFS(Documents!$E$2:$E$1421,Documents!$A$2:$A$1421,$A146,Documents!$C$2:$C$1421,"events")),"")</f>
        <v/>
      </c>
      <c r="G146">
        <f>IFERROR(IF(_xlfn.MAXIFS(Documents!$E$2:$E$1421,Documents!$A$2:$A$1421,$A146,Documents!$C$2:$C$1421,"map")=0,"",_xlfn.MAXIFS(Documents!$E$2:$E$1421,Documents!$A$2:$A$1421,$A146,Documents!$C$2:$C$1421,"map")),"")</f>
        <v/>
      </c>
      <c r="H146">
        <f>IFERROR(IF(_xlfn.MAXIFS(Documents!$E$2:$E$1421,Documents!$A$2:$A$1421,$A146,Documents!$C$2:$C$1421,"dive_map")=0,"",_xlfn.MAXIFS(Documents!$E$2:$E$1421,Documents!$A$2:$A$1421,$A146,Documents!$C$2:$C$1421,"dive_map")),"")</f>
        <v/>
      </c>
      <c r="I146">
        <f>IFERROR(IF(_xlfn.MAXIFS(Documents!$E$2:$E$1421,Documents!$A$2:$A$1421,$A146,Documents!$C$2:$C$1421,"spa_menu")=0,"",_xlfn.MAXIFS(Documents!$E$2:$E$1421,Documents!$A$2:$A$1421,$A146,Documents!$C$2:$C$1421,"spa_menu")),"")</f>
        <v/>
      </c>
      <c r="J146">
        <f>IFERROR(IF(_xlfn.MAXIFS(Documents!$E$2:$E$1421,Documents!$A$2:$A$1421,$A146,Documents!$C$2:$C$1421,"dining_menu")=0,"",_xlfn.MAXIFS(Documents!$E$2:$E$1421,Documents!$A$2:$A$1421,$A146,Documents!$C$2:$C$1421,"dining_menu")),"")</f>
        <v/>
      </c>
      <c r="K146">
        <f>IFERROR(IF(_xlfn.MAXIFS(Documents!$E$2:$E$1421,Documents!$A$2:$A$1421,$A146,Documents!$C$2:$C$1421,"dive_prices")=0,"",_xlfn.MAXIFS(Documents!$E$2:$E$1421,Documents!$A$2:$A$1421,$A146,Documents!$C$2:$C$1421,"dive_prices")),"")</f>
        <v/>
      </c>
      <c r="L146">
        <f>IFERROR(IF(_xlfn.MAXIFS(Documents!$E$2:$E$1421,Documents!$A$2:$A$1421,$A146,Documents!$C$2:$C$1421,"excursions")=0,"",_xlfn.MAXIFS(Documents!$E$2:$E$1421,Documents!$A$2:$A$1421,$A146,Documents!$C$2:$C$1421,"excursions")),"")</f>
        <v/>
      </c>
      <c r="M146">
        <f>IFERROR(IF(_xlfn.MAXIFS(Documents!$E$2:$E$1421,Documents!$A$2:$A$1421,$A146,Documents!$C$2:$C$1421,"kids")=0,"",_xlfn.MAXIFS(Documents!$E$2:$E$1421,Documents!$A$2:$A$1421,$A146,Documents!$C$2:$C$1421,"kids")),"")</f>
        <v/>
      </c>
      <c r="N146">
        <f>IFERROR(IF(_xlfn.MAXIFS(Documents!$E$2:$E$1421,Documents!$A$2:$A$1421,$A146,Documents!$C$2:$C$1421,"villa_plans")=0,"",_xlfn.MAXIFS(Documents!$E$2:$E$1421,Documents!$A$2:$A$1421,$A146,Documents!$C$2:$C$1421,"villa_plans")),"")</f>
        <v/>
      </c>
      <c r="O146">
        <f>IFERROR(IF(_xlfn.MAXIFS(Documents!$E$2:$E$1421,Documents!$A$2:$A$1421,$A146,Documents!$C$2:$C$1421,"all_inclusive")=0,"",_xlfn.MAXIFS(Documents!$E$2:$E$1421,Documents!$A$2:$A$1421,$A146,Documents!$C$2:$C$1421,"all_inclusive")),"")</f>
        <v/>
      </c>
      <c r="P146">
        <f>IFERROR(IF(_xlfn.MAXIFS(Documents!$E$2:$E$1421,Documents!$A$2:$A$1421,$A146,Documents!$C$2:$C$1421,"sustainability")=0,"",_xlfn.MAXIFS(Documents!$E$2:$E$1421,Documents!$A$2:$A$1421,$A146,Documents!$C$2:$C$1421,"sustainability")),"")</f>
        <v/>
      </c>
      <c r="Q146">
        <f>IFERROR(IF(_xlfn.MAXIFS(Documents!$E$2:$E$1421,Documents!$A$2:$A$1421,$A146,Documents!$C$2:$C$1421,"calendar")=0,"",_xlfn.MAXIFS(Documents!$E$2:$E$1421,Documents!$A$2:$A$1421,$A146,Documents!$C$2:$C$1421,"calendar")),"")</f>
        <v/>
      </c>
      <c r="R146">
        <f>IFERROR(IF(_xlfn.MAXIFS(Documents!$E$2:$E$1421,Documents!$A$2:$A$1421,$A146,Documents!$C$2:$C$1421,"brochure")=0,"",_xlfn.MAXIFS(Documents!$E$2:$E$1421,Documents!$A$2:$A$1421,$A146,Documents!$C$2:$C$1421,"brochure")),"")</f>
        <v/>
      </c>
      <c r="S146">
        <f>IFERROR(IF(_xlfn.MAXIFS(Documents!$E$2:$E$1421,Documents!$A$2:$A$1421,$A146,Documents!$C$2:$C$1421,"press_kit")=0,"",_xlfn.MAXIFS(Documents!$E$2:$E$1421,Documents!$A$2:$A$1421,$A146,Documents!$C$2:$C$1421,"press_kit")),"")</f>
        <v/>
      </c>
      <c r="T146">
        <f>IFERROR(IF(_xlfn.MAXIFS(Documents!$E$2:$E$1421,Documents!$A$2:$A$1421,$A146,Documents!$C$2:$C$1421,"other")=0,"",_xlfn.MAXIFS(Documents!$E$2:$E$1421,Documents!$A$2:$A$1421,$A146,Documents!$C$2:$C$1421,"other")),"")</f>
        <v/>
      </c>
      <c r="U146">
        <f>IFERROR(IF(_xlfn.MAXIFS(Documents!$E$2:$E$1421,Documents!$A$2:$A$1421,$A146,Documents!$C$2:$C$1421,"obsolete")=0,"",_xlfn.MAXIFS(Documents!$E$2:$E$1421,Documents!$A$2:$A$1421,$A146,Documents!$C$2:$C$1421,"obsolete")),"")</f>
        <v/>
      </c>
      <c r="V146">
        <f>COUNTIFS(Documents!$A$2:$A$1421,$A146)</f>
        <v/>
      </c>
      <c r="W146">
        <f>COUNTIFS(Documents!$A$2:$A$1421,$A146,Documents!$R$2:$R$1421,"current")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not crawled</t>
        </is>
      </c>
      <c r="D147">
        <f>IFERROR(IF(_xlfn.MAXIFS(Documents!$E$2:$E$1421,Documents!$A$2:$A$1421,$A147,Documents!$C$2:$C$1421,"factsheet")=0,"",_xlfn.MAXIFS(Documents!$E$2:$E$1421,Documents!$A$2:$A$1421,$A147,Documents!$C$2:$C$1421,"factsheet")),"")</f>
        <v/>
      </c>
      <c r="E147">
        <f>IFERROR(IF(_xlfn.MAXIFS(Documents!$E$2:$E$1421,Documents!$A$2:$A$1421,$A147,Documents!$C$2:$C$1421,"wedding")=0,"",_xlfn.MAXIFS(Documents!$E$2:$E$1421,Documents!$A$2:$A$1421,$A147,Documents!$C$2:$C$1421,"wedding")),"")</f>
        <v/>
      </c>
      <c r="F147">
        <f>IFERROR(IF(_xlfn.MAXIFS(Documents!$E$2:$E$1421,Documents!$A$2:$A$1421,$A147,Documents!$C$2:$C$1421,"events")=0,"",_xlfn.MAXIFS(Documents!$E$2:$E$1421,Documents!$A$2:$A$1421,$A147,Documents!$C$2:$C$1421,"events")),"")</f>
        <v/>
      </c>
      <c r="G147">
        <f>IFERROR(IF(_xlfn.MAXIFS(Documents!$E$2:$E$1421,Documents!$A$2:$A$1421,$A147,Documents!$C$2:$C$1421,"map")=0,"",_xlfn.MAXIFS(Documents!$E$2:$E$1421,Documents!$A$2:$A$1421,$A147,Documents!$C$2:$C$1421,"map")),"")</f>
        <v/>
      </c>
      <c r="H147">
        <f>IFERROR(IF(_xlfn.MAXIFS(Documents!$E$2:$E$1421,Documents!$A$2:$A$1421,$A147,Documents!$C$2:$C$1421,"dive_map")=0,"",_xlfn.MAXIFS(Documents!$E$2:$E$1421,Documents!$A$2:$A$1421,$A147,Documents!$C$2:$C$1421,"dive_map")),"")</f>
        <v/>
      </c>
      <c r="I147">
        <f>IFERROR(IF(_xlfn.MAXIFS(Documents!$E$2:$E$1421,Documents!$A$2:$A$1421,$A147,Documents!$C$2:$C$1421,"spa_menu")=0,"",_xlfn.MAXIFS(Documents!$E$2:$E$1421,Documents!$A$2:$A$1421,$A147,Documents!$C$2:$C$1421,"spa_menu")),"")</f>
        <v/>
      </c>
      <c r="J147">
        <f>IFERROR(IF(_xlfn.MAXIFS(Documents!$E$2:$E$1421,Documents!$A$2:$A$1421,$A147,Documents!$C$2:$C$1421,"dining_menu")=0,"",_xlfn.MAXIFS(Documents!$E$2:$E$1421,Documents!$A$2:$A$1421,$A147,Documents!$C$2:$C$1421,"dining_menu")),"")</f>
        <v/>
      </c>
      <c r="K147">
        <f>IFERROR(IF(_xlfn.MAXIFS(Documents!$E$2:$E$1421,Documents!$A$2:$A$1421,$A147,Documents!$C$2:$C$1421,"dive_prices")=0,"",_xlfn.MAXIFS(Documents!$E$2:$E$1421,Documents!$A$2:$A$1421,$A147,Documents!$C$2:$C$1421,"dive_prices")),"")</f>
        <v/>
      </c>
      <c r="L147">
        <f>IFERROR(IF(_xlfn.MAXIFS(Documents!$E$2:$E$1421,Documents!$A$2:$A$1421,$A147,Documents!$C$2:$C$1421,"excursions")=0,"",_xlfn.MAXIFS(Documents!$E$2:$E$1421,Documents!$A$2:$A$1421,$A147,Documents!$C$2:$C$1421,"excursions")),"")</f>
        <v/>
      </c>
      <c r="M147">
        <f>IFERROR(IF(_xlfn.MAXIFS(Documents!$E$2:$E$1421,Documents!$A$2:$A$1421,$A147,Documents!$C$2:$C$1421,"kids")=0,"",_xlfn.MAXIFS(Documents!$E$2:$E$1421,Documents!$A$2:$A$1421,$A147,Documents!$C$2:$C$1421,"kids")),"")</f>
        <v/>
      </c>
      <c r="N147">
        <f>IFERROR(IF(_xlfn.MAXIFS(Documents!$E$2:$E$1421,Documents!$A$2:$A$1421,$A147,Documents!$C$2:$C$1421,"villa_plans")=0,"",_xlfn.MAXIFS(Documents!$E$2:$E$1421,Documents!$A$2:$A$1421,$A147,Documents!$C$2:$C$1421,"villa_plans")),"")</f>
        <v/>
      </c>
      <c r="O147">
        <f>IFERROR(IF(_xlfn.MAXIFS(Documents!$E$2:$E$1421,Documents!$A$2:$A$1421,$A147,Documents!$C$2:$C$1421,"all_inclusive")=0,"",_xlfn.MAXIFS(Documents!$E$2:$E$1421,Documents!$A$2:$A$1421,$A147,Documents!$C$2:$C$1421,"all_inclusive")),"")</f>
        <v/>
      </c>
      <c r="P147">
        <f>IFERROR(IF(_xlfn.MAXIFS(Documents!$E$2:$E$1421,Documents!$A$2:$A$1421,$A147,Documents!$C$2:$C$1421,"sustainability")=0,"",_xlfn.MAXIFS(Documents!$E$2:$E$1421,Documents!$A$2:$A$1421,$A147,Documents!$C$2:$C$1421,"sustainability")),"")</f>
        <v/>
      </c>
      <c r="Q147">
        <f>IFERROR(IF(_xlfn.MAXIFS(Documents!$E$2:$E$1421,Documents!$A$2:$A$1421,$A147,Documents!$C$2:$C$1421,"calendar")=0,"",_xlfn.MAXIFS(Documents!$E$2:$E$1421,Documents!$A$2:$A$1421,$A147,Documents!$C$2:$C$1421,"calendar")),"")</f>
        <v/>
      </c>
      <c r="R147">
        <f>IFERROR(IF(_xlfn.MAXIFS(Documents!$E$2:$E$1421,Documents!$A$2:$A$1421,$A147,Documents!$C$2:$C$1421,"brochure")=0,"",_xlfn.MAXIFS(Documents!$E$2:$E$1421,Documents!$A$2:$A$1421,$A147,Documents!$C$2:$C$1421,"brochure")),"")</f>
        <v/>
      </c>
      <c r="S147">
        <f>IFERROR(IF(_xlfn.MAXIFS(Documents!$E$2:$E$1421,Documents!$A$2:$A$1421,$A147,Documents!$C$2:$C$1421,"press_kit")=0,"",_xlfn.MAXIFS(Documents!$E$2:$E$1421,Documents!$A$2:$A$1421,$A147,Documents!$C$2:$C$1421,"press_kit")),"")</f>
        <v/>
      </c>
      <c r="T147">
        <f>IFERROR(IF(_xlfn.MAXIFS(Documents!$E$2:$E$1421,Documents!$A$2:$A$1421,$A147,Documents!$C$2:$C$1421,"other")=0,"",_xlfn.MAXIFS(Documents!$E$2:$E$1421,Documents!$A$2:$A$1421,$A147,Documents!$C$2:$C$1421,"other")),"")</f>
        <v/>
      </c>
      <c r="U147">
        <f>IFERROR(IF(_xlfn.MAXIFS(Documents!$E$2:$E$1421,Documents!$A$2:$A$1421,$A147,Documents!$C$2:$C$1421,"obsolete")=0,"",_xlfn.MAXIFS(Documents!$E$2:$E$1421,Documents!$A$2:$A$1421,$A147,Documents!$C$2:$C$1421,"obsolete")),"")</f>
        <v/>
      </c>
      <c r="V147">
        <f>COUNTIFS(Documents!$A$2:$A$1421,$A147)</f>
        <v/>
      </c>
      <c r="W147">
        <f>COUNTIFS(Documents!$A$2:$A$1421,$A147,Documents!$R$2:$R$1421,"current")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not crawled</t>
        </is>
      </c>
      <c r="D148">
        <f>IFERROR(IF(_xlfn.MAXIFS(Documents!$E$2:$E$1421,Documents!$A$2:$A$1421,$A148,Documents!$C$2:$C$1421,"factsheet")=0,"",_xlfn.MAXIFS(Documents!$E$2:$E$1421,Documents!$A$2:$A$1421,$A148,Documents!$C$2:$C$1421,"factsheet")),"")</f>
        <v/>
      </c>
      <c r="E148">
        <f>IFERROR(IF(_xlfn.MAXIFS(Documents!$E$2:$E$1421,Documents!$A$2:$A$1421,$A148,Documents!$C$2:$C$1421,"wedding")=0,"",_xlfn.MAXIFS(Documents!$E$2:$E$1421,Documents!$A$2:$A$1421,$A148,Documents!$C$2:$C$1421,"wedding")),"")</f>
        <v/>
      </c>
      <c r="F148">
        <f>IFERROR(IF(_xlfn.MAXIFS(Documents!$E$2:$E$1421,Documents!$A$2:$A$1421,$A148,Documents!$C$2:$C$1421,"events")=0,"",_xlfn.MAXIFS(Documents!$E$2:$E$1421,Documents!$A$2:$A$1421,$A148,Documents!$C$2:$C$1421,"events")),"")</f>
        <v/>
      </c>
      <c r="G148">
        <f>IFERROR(IF(_xlfn.MAXIFS(Documents!$E$2:$E$1421,Documents!$A$2:$A$1421,$A148,Documents!$C$2:$C$1421,"map")=0,"",_xlfn.MAXIFS(Documents!$E$2:$E$1421,Documents!$A$2:$A$1421,$A148,Documents!$C$2:$C$1421,"map")),"")</f>
        <v/>
      </c>
      <c r="H148">
        <f>IFERROR(IF(_xlfn.MAXIFS(Documents!$E$2:$E$1421,Documents!$A$2:$A$1421,$A148,Documents!$C$2:$C$1421,"dive_map")=0,"",_xlfn.MAXIFS(Documents!$E$2:$E$1421,Documents!$A$2:$A$1421,$A148,Documents!$C$2:$C$1421,"dive_map")),"")</f>
        <v/>
      </c>
      <c r="I148">
        <f>IFERROR(IF(_xlfn.MAXIFS(Documents!$E$2:$E$1421,Documents!$A$2:$A$1421,$A148,Documents!$C$2:$C$1421,"spa_menu")=0,"",_xlfn.MAXIFS(Documents!$E$2:$E$1421,Documents!$A$2:$A$1421,$A148,Documents!$C$2:$C$1421,"spa_menu")),"")</f>
        <v/>
      </c>
      <c r="J148">
        <f>IFERROR(IF(_xlfn.MAXIFS(Documents!$E$2:$E$1421,Documents!$A$2:$A$1421,$A148,Documents!$C$2:$C$1421,"dining_menu")=0,"",_xlfn.MAXIFS(Documents!$E$2:$E$1421,Documents!$A$2:$A$1421,$A148,Documents!$C$2:$C$1421,"dining_menu")),"")</f>
        <v/>
      </c>
      <c r="K148">
        <f>IFERROR(IF(_xlfn.MAXIFS(Documents!$E$2:$E$1421,Documents!$A$2:$A$1421,$A148,Documents!$C$2:$C$1421,"dive_prices")=0,"",_xlfn.MAXIFS(Documents!$E$2:$E$1421,Documents!$A$2:$A$1421,$A148,Documents!$C$2:$C$1421,"dive_prices")),"")</f>
        <v/>
      </c>
      <c r="L148">
        <f>IFERROR(IF(_xlfn.MAXIFS(Documents!$E$2:$E$1421,Documents!$A$2:$A$1421,$A148,Documents!$C$2:$C$1421,"excursions")=0,"",_xlfn.MAXIFS(Documents!$E$2:$E$1421,Documents!$A$2:$A$1421,$A148,Documents!$C$2:$C$1421,"excursions")),"")</f>
        <v/>
      </c>
      <c r="M148">
        <f>IFERROR(IF(_xlfn.MAXIFS(Documents!$E$2:$E$1421,Documents!$A$2:$A$1421,$A148,Documents!$C$2:$C$1421,"kids")=0,"",_xlfn.MAXIFS(Documents!$E$2:$E$1421,Documents!$A$2:$A$1421,$A148,Documents!$C$2:$C$1421,"kids")),"")</f>
        <v/>
      </c>
      <c r="N148">
        <f>IFERROR(IF(_xlfn.MAXIFS(Documents!$E$2:$E$1421,Documents!$A$2:$A$1421,$A148,Documents!$C$2:$C$1421,"villa_plans")=0,"",_xlfn.MAXIFS(Documents!$E$2:$E$1421,Documents!$A$2:$A$1421,$A148,Documents!$C$2:$C$1421,"villa_plans")),"")</f>
        <v/>
      </c>
      <c r="O148">
        <f>IFERROR(IF(_xlfn.MAXIFS(Documents!$E$2:$E$1421,Documents!$A$2:$A$1421,$A148,Documents!$C$2:$C$1421,"all_inclusive")=0,"",_xlfn.MAXIFS(Documents!$E$2:$E$1421,Documents!$A$2:$A$1421,$A148,Documents!$C$2:$C$1421,"all_inclusive")),"")</f>
        <v/>
      </c>
      <c r="P148">
        <f>IFERROR(IF(_xlfn.MAXIFS(Documents!$E$2:$E$1421,Documents!$A$2:$A$1421,$A148,Documents!$C$2:$C$1421,"sustainability")=0,"",_xlfn.MAXIFS(Documents!$E$2:$E$1421,Documents!$A$2:$A$1421,$A148,Documents!$C$2:$C$1421,"sustainability")),"")</f>
        <v/>
      </c>
      <c r="Q148">
        <f>IFERROR(IF(_xlfn.MAXIFS(Documents!$E$2:$E$1421,Documents!$A$2:$A$1421,$A148,Documents!$C$2:$C$1421,"calendar")=0,"",_xlfn.MAXIFS(Documents!$E$2:$E$1421,Documents!$A$2:$A$1421,$A148,Documents!$C$2:$C$1421,"calendar")),"")</f>
        <v/>
      </c>
      <c r="R148">
        <f>IFERROR(IF(_xlfn.MAXIFS(Documents!$E$2:$E$1421,Documents!$A$2:$A$1421,$A148,Documents!$C$2:$C$1421,"brochure")=0,"",_xlfn.MAXIFS(Documents!$E$2:$E$1421,Documents!$A$2:$A$1421,$A148,Documents!$C$2:$C$1421,"brochure")),"")</f>
        <v/>
      </c>
      <c r="S148">
        <f>IFERROR(IF(_xlfn.MAXIFS(Documents!$E$2:$E$1421,Documents!$A$2:$A$1421,$A148,Documents!$C$2:$C$1421,"press_kit")=0,"",_xlfn.MAXIFS(Documents!$E$2:$E$1421,Documents!$A$2:$A$1421,$A148,Documents!$C$2:$C$1421,"press_kit")),"")</f>
        <v/>
      </c>
      <c r="T148">
        <f>IFERROR(IF(_xlfn.MAXIFS(Documents!$E$2:$E$1421,Documents!$A$2:$A$1421,$A148,Documents!$C$2:$C$1421,"other")=0,"",_xlfn.MAXIFS(Documents!$E$2:$E$1421,Documents!$A$2:$A$1421,$A148,Documents!$C$2:$C$1421,"other")),"")</f>
        <v/>
      </c>
      <c r="U148">
        <f>IFERROR(IF(_xlfn.MAXIFS(Documents!$E$2:$E$1421,Documents!$A$2:$A$1421,$A148,Documents!$C$2:$C$1421,"obsolete")=0,"",_xlfn.MAXIFS(Documents!$E$2:$E$1421,Documents!$A$2:$A$1421,$A148,Documents!$C$2:$C$1421,"obsolete")),"")</f>
        <v/>
      </c>
      <c r="V148">
        <f>COUNTIFS(Documents!$A$2:$A$1421,$A148)</f>
        <v/>
      </c>
      <c r="W148">
        <f>COUNTIFS(Documents!$A$2:$A$1421,$A148,Documents!$R$2:$R$1421,"current")</f>
        <v/>
      </c>
      <c r="X148">
        <f>HYPERLINK("https://www.neoscapesmaldives.com/wp-content/uploads/Fact-Sheet-2019.pdf","2019_Fact-Sheet-2019.pdf")</f>
        <v/>
      </c>
      <c r="Y148" t="inlineStr">
        <is>
          <t>wedding, events</t>
        </is>
      </c>
      <c r="Z148" t="inlineStr"/>
    </row>
    <row r="149">
      <c r="A149" t="n">
        <v>148</v>
      </c>
      <c r="B149" t="inlineStr">
        <is>
          <t>Sun Siyam Iru Fushi Maldives</t>
        </is>
      </c>
      <c r="C149" t="inlineStr">
        <is>
          <t>not crawled</t>
        </is>
      </c>
      <c r="D149">
        <f>IFERROR(IF(_xlfn.MAXIFS(Documents!$E$2:$E$1421,Documents!$A$2:$A$1421,$A149,Documents!$C$2:$C$1421,"factsheet")=0,"",_xlfn.MAXIFS(Documents!$E$2:$E$1421,Documents!$A$2:$A$1421,$A149,Documents!$C$2:$C$1421,"factsheet")),"")</f>
        <v/>
      </c>
      <c r="E149">
        <f>IFERROR(IF(_xlfn.MAXIFS(Documents!$E$2:$E$1421,Documents!$A$2:$A$1421,$A149,Documents!$C$2:$C$1421,"wedding")=0,"",_xlfn.MAXIFS(Documents!$E$2:$E$1421,Documents!$A$2:$A$1421,$A149,Documents!$C$2:$C$1421,"wedding")),"")</f>
        <v/>
      </c>
      <c r="F149">
        <f>IFERROR(IF(_xlfn.MAXIFS(Documents!$E$2:$E$1421,Documents!$A$2:$A$1421,$A149,Documents!$C$2:$C$1421,"events")=0,"",_xlfn.MAXIFS(Documents!$E$2:$E$1421,Documents!$A$2:$A$1421,$A149,Documents!$C$2:$C$1421,"events")),"")</f>
        <v/>
      </c>
      <c r="G149">
        <f>IFERROR(IF(_xlfn.MAXIFS(Documents!$E$2:$E$1421,Documents!$A$2:$A$1421,$A149,Documents!$C$2:$C$1421,"map")=0,"",_xlfn.MAXIFS(Documents!$E$2:$E$1421,Documents!$A$2:$A$1421,$A149,Documents!$C$2:$C$1421,"map")),"")</f>
        <v/>
      </c>
      <c r="H149">
        <f>IFERROR(IF(_xlfn.MAXIFS(Documents!$E$2:$E$1421,Documents!$A$2:$A$1421,$A149,Documents!$C$2:$C$1421,"dive_map")=0,"",_xlfn.MAXIFS(Documents!$E$2:$E$1421,Documents!$A$2:$A$1421,$A149,Documents!$C$2:$C$1421,"dive_map")),"")</f>
        <v/>
      </c>
      <c r="I149">
        <f>IFERROR(IF(_xlfn.MAXIFS(Documents!$E$2:$E$1421,Documents!$A$2:$A$1421,$A149,Documents!$C$2:$C$1421,"spa_menu")=0,"",_xlfn.MAXIFS(Documents!$E$2:$E$1421,Documents!$A$2:$A$1421,$A149,Documents!$C$2:$C$1421,"spa_menu")),"")</f>
        <v/>
      </c>
      <c r="J149">
        <f>IFERROR(IF(_xlfn.MAXIFS(Documents!$E$2:$E$1421,Documents!$A$2:$A$1421,$A149,Documents!$C$2:$C$1421,"dining_menu")=0,"",_xlfn.MAXIFS(Documents!$E$2:$E$1421,Documents!$A$2:$A$1421,$A149,Documents!$C$2:$C$1421,"dining_menu")),"")</f>
        <v/>
      </c>
      <c r="K149">
        <f>IFERROR(IF(_xlfn.MAXIFS(Documents!$E$2:$E$1421,Documents!$A$2:$A$1421,$A149,Documents!$C$2:$C$1421,"dive_prices")=0,"",_xlfn.MAXIFS(Documents!$E$2:$E$1421,Documents!$A$2:$A$1421,$A149,Documents!$C$2:$C$1421,"dive_prices")),"")</f>
        <v/>
      </c>
      <c r="L149">
        <f>IFERROR(IF(_xlfn.MAXIFS(Documents!$E$2:$E$1421,Documents!$A$2:$A$1421,$A149,Documents!$C$2:$C$1421,"excursions")=0,"",_xlfn.MAXIFS(Documents!$E$2:$E$1421,Documents!$A$2:$A$1421,$A149,Documents!$C$2:$C$1421,"excursions")),"")</f>
        <v/>
      </c>
      <c r="M149">
        <f>IFERROR(IF(_xlfn.MAXIFS(Documents!$E$2:$E$1421,Documents!$A$2:$A$1421,$A149,Documents!$C$2:$C$1421,"kids")=0,"",_xlfn.MAXIFS(Documents!$E$2:$E$1421,Documents!$A$2:$A$1421,$A149,Documents!$C$2:$C$1421,"kids")),"")</f>
        <v/>
      </c>
      <c r="N149">
        <f>IFERROR(IF(_xlfn.MAXIFS(Documents!$E$2:$E$1421,Documents!$A$2:$A$1421,$A149,Documents!$C$2:$C$1421,"villa_plans")=0,"",_xlfn.MAXIFS(Documents!$E$2:$E$1421,Documents!$A$2:$A$1421,$A149,Documents!$C$2:$C$1421,"villa_plans")),"")</f>
        <v/>
      </c>
      <c r="O149">
        <f>IFERROR(IF(_xlfn.MAXIFS(Documents!$E$2:$E$1421,Documents!$A$2:$A$1421,$A149,Documents!$C$2:$C$1421,"all_inclusive")=0,"",_xlfn.MAXIFS(Documents!$E$2:$E$1421,Documents!$A$2:$A$1421,$A149,Documents!$C$2:$C$1421,"all_inclusive")),"")</f>
        <v/>
      </c>
      <c r="P149">
        <f>IFERROR(IF(_xlfn.MAXIFS(Documents!$E$2:$E$1421,Documents!$A$2:$A$1421,$A149,Documents!$C$2:$C$1421,"sustainability")=0,"",_xlfn.MAXIFS(Documents!$E$2:$E$1421,Documents!$A$2:$A$1421,$A149,Documents!$C$2:$C$1421,"sustainability")),"")</f>
        <v/>
      </c>
      <c r="Q149">
        <f>IFERROR(IF(_xlfn.MAXIFS(Documents!$E$2:$E$1421,Documents!$A$2:$A$1421,$A149,Documents!$C$2:$C$1421,"calendar")=0,"",_xlfn.MAXIFS(Documents!$E$2:$E$1421,Documents!$A$2:$A$1421,$A149,Documents!$C$2:$C$1421,"calendar")),"")</f>
        <v/>
      </c>
      <c r="R149">
        <f>IFERROR(IF(_xlfn.MAXIFS(Documents!$E$2:$E$1421,Documents!$A$2:$A$1421,$A149,Documents!$C$2:$C$1421,"brochure")=0,"",_xlfn.MAXIFS(Documents!$E$2:$E$1421,Documents!$A$2:$A$1421,$A149,Documents!$C$2:$C$1421,"brochure")),"")</f>
        <v/>
      </c>
      <c r="S149">
        <f>IFERROR(IF(_xlfn.MAXIFS(Documents!$E$2:$E$1421,Documents!$A$2:$A$1421,$A149,Documents!$C$2:$C$1421,"press_kit")=0,"",_xlfn.MAXIFS(Documents!$E$2:$E$1421,Documents!$A$2:$A$1421,$A149,Documents!$C$2:$C$1421,"press_kit")),"")</f>
        <v/>
      </c>
      <c r="T149">
        <f>IFERROR(IF(_xlfn.MAXIFS(Documents!$E$2:$E$1421,Documents!$A$2:$A$1421,$A149,Documents!$C$2:$C$1421,"other")=0,"",_xlfn.MAXIFS(Documents!$E$2:$E$1421,Documents!$A$2:$A$1421,$A149,Documents!$C$2:$C$1421,"other")),"")</f>
        <v/>
      </c>
      <c r="U149">
        <f>IFERROR(IF(_xlfn.MAXIFS(Documents!$E$2:$E$1421,Documents!$A$2:$A$1421,$A149,Documents!$C$2:$C$1421,"obsolete")=0,"",_xlfn.MAXIFS(Documents!$E$2:$E$1421,Documents!$A$2:$A$1421,$A149,Documents!$C$2:$C$1421,"obsolete")),"")</f>
        <v/>
      </c>
      <c r="V149">
        <f>COUNTIFS(Documents!$A$2:$A$1421,$A149)</f>
        <v/>
      </c>
      <c r="W149">
        <f>COUNTIFS(Documents!$A$2:$A$1421,$A149,Documents!$R$2:$R$1421,"current")</f>
        <v/>
      </c>
      <c r="X149">
        <f>HYPERLINK("https://www.neoscapesmaldives.com/wp-content/uploads/TSSI-Factsheet.pdf","2019_TSSI-Factsheet.pdf")</f>
        <v/>
      </c>
      <c r="Y149" t="inlineStr">
        <is>
          <t>wedding, events</t>
        </is>
      </c>
      <c r="Z149" t="inlineStr">
        <is>
          <t>The Sun Siyam Iru Fushi, file code TSSI</t>
        </is>
      </c>
    </row>
    <row r="150">
      <c r="A150" t="n">
        <v>149</v>
      </c>
      <c r="B150" t="inlineStr">
        <is>
          <t>Biyaadhoo Island Resort</t>
        </is>
      </c>
      <c r="C150" t="inlineStr">
        <is>
          <t>not crawled</t>
        </is>
      </c>
      <c r="D150">
        <f>IFERROR(IF(_xlfn.MAXIFS(Documents!$E$2:$E$1421,Documents!$A$2:$A$1421,$A150,Documents!$C$2:$C$1421,"factsheet")=0,"",_xlfn.MAXIFS(Documents!$E$2:$E$1421,Documents!$A$2:$A$1421,$A150,Documents!$C$2:$C$1421,"factsheet")),"")</f>
        <v/>
      </c>
      <c r="E150">
        <f>IFERROR(IF(_xlfn.MAXIFS(Documents!$E$2:$E$1421,Documents!$A$2:$A$1421,$A150,Documents!$C$2:$C$1421,"wedding")=0,"",_xlfn.MAXIFS(Documents!$E$2:$E$1421,Documents!$A$2:$A$1421,$A150,Documents!$C$2:$C$1421,"wedding")),"")</f>
        <v/>
      </c>
      <c r="F150">
        <f>IFERROR(IF(_xlfn.MAXIFS(Documents!$E$2:$E$1421,Documents!$A$2:$A$1421,$A150,Documents!$C$2:$C$1421,"events")=0,"",_xlfn.MAXIFS(Documents!$E$2:$E$1421,Documents!$A$2:$A$1421,$A150,Documents!$C$2:$C$1421,"events")),"")</f>
        <v/>
      </c>
      <c r="G150">
        <f>IFERROR(IF(_xlfn.MAXIFS(Documents!$E$2:$E$1421,Documents!$A$2:$A$1421,$A150,Documents!$C$2:$C$1421,"map")=0,"",_xlfn.MAXIFS(Documents!$E$2:$E$1421,Documents!$A$2:$A$1421,$A150,Documents!$C$2:$C$1421,"map")),"")</f>
        <v/>
      </c>
      <c r="H150">
        <f>IFERROR(IF(_xlfn.MAXIFS(Documents!$E$2:$E$1421,Documents!$A$2:$A$1421,$A150,Documents!$C$2:$C$1421,"dive_map")=0,"",_xlfn.MAXIFS(Documents!$E$2:$E$1421,Documents!$A$2:$A$1421,$A150,Documents!$C$2:$C$1421,"dive_map")),"")</f>
        <v/>
      </c>
      <c r="I150">
        <f>IFERROR(IF(_xlfn.MAXIFS(Documents!$E$2:$E$1421,Documents!$A$2:$A$1421,$A150,Documents!$C$2:$C$1421,"spa_menu")=0,"",_xlfn.MAXIFS(Documents!$E$2:$E$1421,Documents!$A$2:$A$1421,$A150,Documents!$C$2:$C$1421,"spa_menu")),"")</f>
        <v/>
      </c>
      <c r="J150">
        <f>IFERROR(IF(_xlfn.MAXIFS(Documents!$E$2:$E$1421,Documents!$A$2:$A$1421,$A150,Documents!$C$2:$C$1421,"dining_menu")=0,"",_xlfn.MAXIFS(Documents!$E$2:$E$1421,Documents!$A$2:$A$1421,$A150,Documents!$C$2:$C$1421,"dining_menu")),"")</f>
        <v/>
      </c>
      <c r="K150">
        <f>IFERROR(IF(_xlfn.MAXIFS(Documents!$E$2:$E$1421,Documents!$A$2:$A$1421,$A150,Documents!$C$2:$C$1421,"dive_prices")=0,"",_xlfn.MAXIFS(Documents!$E$2:$E$1421,Documents!$A$2:$A$1421,$A150,Documents!$C$2:$C$1421,"dive_prices")),"")</f>
        <v/>
      </c>
      <c r="L150">
        <f>IFERROR(IF(_xlfn.MAXIFS(Documents!$E$2:$E$1421,Documents!$A$2:$A$1421,$A150,Documents!$C$2:$C$1421,"excursions")=0,"",_xlfn.MAXIFS(Documents!$E$2:$E$1421,Documents!$A$2:$A$1421,$A150,Documents!$C$2:$C$1421,"excursions")),"")</f>
        <v/>
      </c>
      <c r="M150">
        <f>IFERROR(IF(_xlfn.MAXIFS(Documents!$E$2:$E$1421,Documents!$A$2:$A$1421,$A150,Documents!$C$2:$C$1421,"kids")=0,"",_xlfn.MAXIFS(Documents!$E$2:$E$1421,Documents!$A$2:$A$1421,$A150,Documents!$C$2:$C$1421,"kids")),"")</f>
        <v/>
      </c>
      <c r="N150">
        <f>IFERROR(IF(_xlfn.MAXIFS(Documents!$E$2:$E$1421,Documents!$A$2:$A$1421,$A150,Documents!$C$2:$C$1421,"villa_plans")=0,"",_xlfn.MAXIFS(Documents!$E$2:$E$1421,Documents!$A$2:$A$1421,$A150,Documents!$C$2:$C$1421,"villa_plans")),"")</f>
        <v/>
      </c>
      <c r="O150">
        <f>IFERROR(IF(_xlfn.MAXIFS(Documents!$E$2:$E$1421,Documents!$A$2:$A$1421,$A150,Documents!$C$2:$C$1421,"all_inclusive")=0,"",_xlfn.MAXIFS(Documents!$E$2:$E$1421,Documents!$A$2:$A$1421,$A150,Documents!$C$2:$C$1421,"all_inclusive")),"")</f>
        <v/>
      </c>
      <c r="P150">
        <f>IFERROR(IF(_xlfn.MAXIFS(Documents!$E$2:$E$1421,Documents!$A$2:$A$1421,$A150,Documents!$C$2:$C$1421,"sustainability")=0,"",_xlfn.MAXIFS(Documents!$E$2:$E$1421,Documents!$A$2:$A$1421,$A150,Documents!$C$2:$C$1421,"sustainability")),"")</f>
        <v/>
      </c>
      <c r="Q150">
        <f>IFERROR(IF(_xlfn.MAXIFS(Documents!$E$2:$E$1421,Documents!$A$2:$A$1421,$A150,Documents!$C$2:$C$1421,"calendar")=0,"",_xlfn.MAXIFS(Documents!$E$2:$E$1421,Documents!$A$2:$A$1421,$A150,Documents!$C$2:$C$1421,"calendar")),"")</f>
        <v/>
      </c>
      <c r="R150">
        <f>IFERROR(IF(_xlfn.MAXIFS(Documents!$E$2:$E$1421,Documents!$A$2:$A$1421,$A150,Documents!$C$2:$C$1421,"brochure")=0,"",_xlfn.MAXIFS(Documents!$E$2:$E$1421,Documents!$A$2:$A$1421,$A150,Documents!$C$2:$C$1421,"brochure")),"")</f>
        <v/>
      </c>
      <c r="S150">
        <f>IFERROR(IF(_xlfn.MAXIFS(Documents!$E$2:$E$1421,Documents!$A$2:$A$1421,$A150,Documents!$C$2:$C$1421,"press_kit")=0,"",_xlfn.MAXIFS(Documents!$E$2:$E$1421,Documents!$A$2:$A$1421,$A150,Documents!$C$2:$C$1421,"press_kit")),"")</f>
        <v/>
      </c>
      <c r="T150">
        <f>IFERROR(IF(_xlfn.MAXIFS(Documents!$E$2:$E$1421,Documents!$A$2:$A$1421,$A150,Documents!$C$2:$C$1421,"other")=0,"",_xlfn.MAXIFS(Documents!$E$2:$E$1421,Documents!$A$2:$A$1421,$A150,Documents!$C$2:$C$1421,"other")),"")</f>
        <v/>
      </c>
      <c r="U150">
        <f>IFERROR(IF(_xlfn.MAXIFS(Documents!$E$2:$E$1421,Documents!$A$2:$A$1421,$A150,Documents!$C$2:$C$1421,"obsolete")=0,"",_xlfn.MAXIFS(Documents!$E$2:$E$1421,Documents!$A$2:$A$1421,$A150,Documents!$C$2:$C$1421,"obsolete")),"")</f>
        <v/>
      </c>
      <c r="V150">
        <f>COUNTIFS(Documents!$A$2:$A$1421,$A150)</f>
        <v/>
      </c>
      <c r="W150">
        <f>COUNTIFS(Documents!$A$2:$A$1421,$A150,Documents!$R$2:$R$1421,"current")</f>
        <v/>
      </c>
      <c r="X150" t="inlineStr"/>
      <c r="Y150" t="inlineStr">
        <is>
          <t>factsheet, wedding, events</t>
        </is>
      </c>
      <c r="Z150" t="inlineStr"/>
    </row>
    <row r="151">
      <c r="A151" t="n">
        <v>150</v>
      </c>
      <c r="B151" t="inlineStr">
        <is>
          <t>Coco Bodu Hithi</t>
        </is>
      </c>
      <c r="C151" t="inlineStr">
        <is>
          <t>not crawled</t>
        </is>
      </c>
      <c r="D151">
        <f>IFERROR(IF(_xlfn.MAXIFS(Documents!$E$2:$E$1421,Documents!$A$2:$A$1421,$A151,Documents!$C$2:$C$1421,"factsheet")=0,"",_xlfn.MAXIFS(Documents!$E$2:$E$1421,Documents!$A$2:$A$1421,$A151,Documents!$C$2:$C$1421,"factsheet")),"")</f>
        <v/>
      </c>
      <c r="E151">
        <f>IFERROR(IF(_xlfn.MAXIFS(Documents!$E$2:$E$1421,Documents!$A$2:$A$1421,$A151,Documents!$C$2:$C$1421,"wedding")=0,"",_xlfn.MAXIFS(Documents!$E$2:$E$1421,Documents!$A$2:$A$1421,$A151,Documents!$C$2:$C$1421,"wedding")),"")</f>
        <v/>
      </c>
      <c r="F151">
        <f>IFERROR(IF(_xlfn.MAXIFS(Documents!$E$2:$E$1421,Documents!$A$2:$A$1421,$A151,Documents!$C$2:$C$1421,"events")=0,"",_xlfn.MAXIFS(Documents!$E$2:$E$1421,Documents!$A$2:$A$1421,$A151,Documents!$C$2:$C$1421,"events")),"")</f>
        <v/>
      </c>
      <c r="G151">
        <f>IFERROR(IF(_xlfn.MAXIFS(Documents!$E$2:$E$1421,Documents!$A$2:$A$1421,$A151,Documents!$C$2:$C$1421,"map")=0,"",_xlfn.MAXIFS(Documents!$E$2:$E$1421,Documents!$A$2:$A$1421,$A151,Documents!$C$2:$C$1421,"map")),"")</f>
        <v/>
      </c>
      <c r="H151">
        <f>IFERROR(IF(_xlfn.MAXIFS(Documents!$E$2:$E$1421,Documents!$A$2:$A$1421,$A151,Documents!$C$2:$C$1421,"dive_map")=0,"",_xlfn.MAXIFS(Documents!$E$2:$E$1421,Documents!$A$2:$A$1421,$A151,Documents!$C$2:$C$1421,"dive_map")),"")</f>
        <v/>
      </c>
      <c r="I151">
        <f>IFERROR(IF(_xlfn.MAXIFS(Documents!$E$2:$E$1421,Documents!$A$2:$A$1421,$A151,Documents!$C$2:$C$1421,"spa_menu")=0,"",_xlfn.MAXIFS(Documents!$E$2:$E$1421,Documents!$A$2:$A$1421,$A151,Documents!$C$2:$C$1421,"spa_menu")),"")</f>
        <v/>
      </c>
      <c r="J151">
        <f>IFERROR(IF(_xlfn.MAXIFS(Documents!$E$2:$E$1421,Documents!$A$2:$A$1421,$A151,Documents!$C$2:$C$1421,"dining_menu")=0,"",_xlfn.MAXIFS(Documents!$E$2:$E$1421,Documents!$A$2:$A$1421,$A151,Documents!$C$2:$C$1421,"dining_menu")),"")</f>
        <v/>
      </c>
      <c r="K151">
        <f>IFERROR(IF(_xlfn.MAXIFS(Documents!$E$2:$E$1421,Documents!$A$2:$A$1421,$A151,Documents!$C$2:$C$1421,"dive_prices")=0,"",_xlfn.MAXIFS(Documents!$E$2:$E$1421,Documents!$A$2:$A$1421,$A151,Documents!$C$2:$C$1421,"dive_prices")),"")</f>
        <v/>
      </c>
      <c r="L151">
        <f>IFERROR(IF(_xlfn.MAXIFS(Documents!$E$2:$E$1421,Documents!$A$2:$A$1421,$A151,Documents!$C$2:$C$1421,"excursions")=0,"",_xlfn.MAXIFS(Documents!$E$2:$E$1421,Documents!$A$2:$A$1421,$A151,Documents!$C$2:$C$1421,"excursions")),"")</f>
        <v/>
      </c>
      <c r="M151">
        <f>IFERROR(IF(_xlfn.MAXIFS(Documents!$E$2:$E$1421,Documents!$A$2:$A$1421,$A151,Documents!$C$2:$C$1421,"kids")=0,"",_xlfn.MAXIFS(Documents!$E$2:$E$1421,Documents!$A$2:$A$1421,$A151,Documents!$C$2:$C$1421,"kids")),"")</f>
        <v/>
      </c>
      <c r="N151">
        <f>IFERROR(IF(_xlfn.MAXIFS(Documents!$E$2:$E$1421,Documents!$A$2:$A$1421,$A151,Documents!$C$2:$C$1421,"villa_plans")=0,"",_xlfn.MAXIFS(Documents!$E$2:$E$1421,Documents!$A$2:$A$1421,$A151,Documents!$C$2:$C$1421,"villa_plans")),"")</f>
        <v/>
      </c>
      <c r="O151">
        <f>IFERROR(IF(_xlfn.MAXIFS(Documents!$E$2:$E$1421,Documents!$A$2:$A$1421,$A151,Documents!$C$2:$C$1421,"all_inclusive")=0,"",_xlfn.MAXIFS(Documents!$E$2:$E$1421,Documents!$A$2:$A$1421,$A151,Documents!$C$2:$C$1421,"all_inclusive")),"")</f>
        <v/>
      </c>
      <c r="P151">
        <f>IFERROR(IF(_xlfn.MAXIFS(Documents!$E$2:$E$1421,Documents!$A$2:$A$1421,$A151,Documents!$C$2:$C$1421,"sustainability")=0,"",_xlfn.MAXIFS(Documents!$E$2:$E$1421,Documents!$A$2:$A$1421,$A151,Documents!$C$2:$C$1421,"sustainability")),"")</f>
        <v/>
      </c>
      <c r="Q151">
        <f>IFERROR(IF(_xlfn.MAXIFS(Documents!$E$2:$E$1421,Documents!$A$2:$A$1421,$A151,Documents!$C$2:$C$1421,"calendar")=0,"",_xlfn.MAXIFS(Documents!$E$2:$E$1421,Documents!$A$2:$A$1421,$A151,Documents!$C$2:$C$1421,"calendar")),"")</f>
        <v/>
      </c>
      <c r="R151">
        <f>IFERROR(IF(_xlfn.MAXIFS(Documents!$E$2:$E$1421,Documents!$A$2:$A$1421,$A151,Documents!$C$2:$C$1421,"brochure")=0,"",_xlfn.MAXIFS(Documents!$E$2:$E$1421,Documents!$A$2:$A$1421,$A151,Documents!$C$2:$C$1421,"brochure")),"")</f>
        <v/>
      </c>
      <c r="S151">
        <f>IFERROR(IF(_xlfn.MAXIFS(Documents!$E$2:$E$1421,Documents!$A$2:$A$1421,$A151,Documents!$C$2:$C$1421,"press_kit")=0,"",_xlfn.MAXIFS(Documents!$E$2:$E$1421,Documents!$A$2:$A$1421,$A151,Documents!$C$2:$C$1421,"press_kit")),"")</f>
        <v/>
      </c>
      <c r="T151">
        <f>IFERROR(IF(_xlfn.MAXIFS(Documents!$E$2:$E$1421,Documents!$A$2:$A$1421,$A151,Documents!$C$2:$C$1421,"other")=0,"",_xlfn.MAXIFS(Documents!$E$2:$E$1421,Documents!$A$2:$A$1421,$A151,Documents!$C$2:$C$1421,"other")),"")</f>
        <v/>
      </c>
      <c r="U151">
        <f>IFERROR(IF(_xlfn.MAXIFS(Documents!$E$2:$E$1421,Documents!$A$2:$A$1421,$A151,Documents!$C$2:$C$1421,"obsolete")=0,"",_xlfn.MAXIFS(Documents!$E$2:$E$1421,Documents!$A$2:$A$1421,$A151,Documents!$C$2:$C$1421,"obsolete")),"")</f>
        <v/>
      </c>
      <c r="V151">
        <f>COUNTIFS(Documents!$A$2:$A$1421,$A151)</f>
        <v/>
      </c>
      <c r="W151">
        <f>COUNTIFS(Documents!$A$2:$A$1421,$A151,Documents!$R$2:$R$1421,"current")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not crawled</t>
        </is>
      </c>
      <c r="D152">
        <f>IFERROR(IF(_xlfn.MAXIFS(Documents!$E$2:$E$1421,Documents!$A$2:$A$1421,$A152,Documents!$C$2:$C$1421,"factsheet")=0,"",_xlfn.MAXIFS(Documents!$E$2:$E$1421,Documents!$A$2:$A$1421,$A152,Documents!$C$2:$C$1421,"factsheet")),"")</f>
        <v/>
      </c>
      <c r="E152">
        <f>IFERROR(IF(_xlfn.MAXIFS(Documents!$E$2:$E$1421,Documents!$A$2:$A$1421,$A152,Documents!$C$2:$C$1421,"wedding")=0,"",_xlfn.MAXIFS(Documents!$E$2:$E$1421,Documents!$A$2:$A$1421,$A152,Documents!$C$2:$C$1421,"wedding")),"")</f>
        <v/>
      </c>
      <c r="F152">
        <f>IFERROR(IF(_xlfn.MAXIFS(Documents!$E$2:$E$1421,Documents!$A$2:$A$1421,$A152,Documents!$C$2:$C$1421,"events")=0,"",_xlfn.MAXIFS(Documents!$E$2:$E$1421,Documents!$A$2:$A$1421,$A152,Documents!$C$2:$C$1421,"events")),"")</f>
        <v/>
      </c>
      <c r="G152">
        <f>IFERROR(IF(_xlfn.MAXIFS(Documents!$E$2:$E$1421,Documents!$A$2:$A$1421,$A152,Documents!$C$2:$C$1421,"map")=0,"",_xlfn.MAXIFS(Documents!$E$2:$E$1421,Documents!$A$2:$A$1421,$A152,Documents!$C$2:$C$1421,"map")),"")</f>
        <v/>
      </c>
      <c r="H152">
        <f>IFERROR(IF(_xlfn.MAXIFS(Documents!$E$2:$E$1421,Documents!$A$2:$A$1421,$A152,Documents!$C$2:$C$1421,"dive_map")=0,"",_xlfn.MAXIFS(Documents!$E$2:$E$1421,Documents!$A$2:$A$1421,$A152,Documents!$C$2:$C$1421,"dive_map")),"")</f>
        <v/>
      </c>
      <c r="I152">
        <f>IFERROR(IF(_xlfn.MAXIFS(Documents!$E$2:$E$1421,Documents!$A$2:$A$1421,$A152,Documents!$C$2:$C$1421,"spa_menu")=0,"",_xlfn.MAXIFS(Documents!$E$2:$E$1421,Documents!$A$2:$A$1421,$A152,Documents!$C$2:$C$1421,"spa_menu")),"")</f>
        <v/>
      </c>
      <c r="J152">
        <f>IFERROR(IF(_xlfn.MAXIFS(Documents!$E$2:$E$1421,Documents!$A$2:$A$1421,$A152,Documents!$C$2:$C$1421,"dining_menu")=0,"",_xlfn.MAXIFS(Documents!$E$2:$E$1421,Documents!$A$2:$A$1421,$A152,Documents!$C$2:$C$1421,"dining_menu")),"")</f>
        <v/>
      </c>
      <c r="K152">
        <f>IFERROR(IF(_xlfn.MAXIFS(Documents!$E$2:$E$1421,Documents!$A$2:$A$1421,$A152,Documents!$C$2:$C$1421,"dive_prices")=0,"",_xlfn.MAXIFS(Documents!$E$2:$E$1421,Documents!$A$2:$A$1421,$A152,Documents!$C$2:$C$1421,"dive_prices")),"")</f>
        <v/>
      </c>
      <c r="L152">
        <f>IFERROR(IF(_xlfn.MAXIFS(Documents!$E$2:$E$1421,Documents!$A$2:$A$1421,$A152,Documents!$C$2:$C$1421,"excursions")=0,"",_xlfn.MAXIFS(Documents!$E$2:$E$1421,Documents!$A$2:$A$1421,$A152,Documents!$C$2:$C$1421,"excursions")),"")</f>
        <v/>
      </c>
      <c r="M152">
        <f>IFERROR(IF(_xlfn.MAXIFS(Documents!$E$2:$E$1421,Documents!$A$2:$A$1421,$A152,Documents!$C$2:$C$1421,"kids")=0,"",_xlfn.MAXIFS(Documents!$E$2:$E$1421,Documents!$A$2:$A$1421,$A152,Documents!$C$2:$C$1421,"kids")),"")</f>
        <v/>
      </c>
      <c r="N152">
        <f>IFERROR(IF(_xlfn.MAXIFS(Documents!$E$2:$E$1421,Documents!$A$2:$A$1421,$A152,Documents!$C$2:$C$1421,"villa_plans")=0,"",_xlfn.MAXIFS(Documents!$E$2:$E$1421,Documents!$A$2:$A$1421,$A152,Documents!$C$2:$C$1421,"villa_plans")),"")</f>
        <v/>
      </c>
      <c r="O152">
        <f>IFERROR(IF(_xlfn.MAXIFS(Documents!$E$2:$E$1421,Documents!$A$2:$A$1421,$A152,Documents!$C$2:$C$1421,"all_inclusive")=0,"",_xlfn.MAXIFS(Documents!$E$2:$E$1421,Documents!$A$2:$A$1421,$A152,Documents!$C$2:$C$1421,"all_inclusive")),"")</f>
        <v/>
      </c>
      <c r="P152">
        <f>IFERROR(IF(_xlfn.MAXIFS(Documents!$E$2:$E$1421,Documents!$A$2:$A$1421,$A152,Documents!$C$2:$C$1421,"sustainability")=0,"",_xlfn.MAXIFS(Documents!$E$2:$E$1421,Documents!$A$2:$A$1421,$A152,Documents!$C$2:$C$1421,"sustainability")),"")</f>
        <v/>
      </c>
      <c r="Q152">
        <f>IFERROR(IF(_xlfn.MAXIFS(Documents!$E$2:$E$1421,Documents!$A$2:$A$1421,$A152,Documents!$C$2:$C$1421,"calendar")=0,"",_xlfn.MAXIFS(Documents!$E$2:$E$1421,Documents!$A$2:$A$1421,$A152,Documents!$C$2:$C$1421,"calendar")),"")</f>
        <v/>
      </c>
      <c r="R152">
        <f>IFERROR(IF(_xlfn.MAXIFS(Documents!$E$2:$E$1421,Documents!$A$2:$A$1421,$A152,Documents!$C$2:$C$1421,"brochure")=0,"",_xlfn.MAXIFS(Documents!$E$2:$E$1421,Documents!$A$2:$A$1421,$A152,Documents!$C$2:$C$1421,"brochure")),"")</f>
        <v/>
      </c>
      <c r="S152">
        <f>IFERROR(IF(_xlfn.MAXIFS(Documents!$E$2:$E$1421,Documents!$A$2:$A$1421,$A152,Documents!$C$2:$C$1421,"press_kit")=0,"",_xlfn.MAXIFS(Documents!$E$2:$E$1421,Documents!$A$2:$A$1421,$A152,Documents!$C$2:$C$1421,"press_kit")),"")</f>
        <v/>
      </c>
      <c r="T152">
        <f>IFERROR(IF(_xlfn.MAXIFS(Documents!$E$2:$E$1421,Documents!$A$2:$A$1421,$A152,Documents!$C$2:$C$1421,"other")=0,"",_xlfn.MAXIFS(Documents!$E$2:$E$1421,Documents!$A$2:$A$1421,$A152,Documents!$C$2:$C$1421,"other")),"")</f>
        <v/>
      </c>
      <c r="U152">
        <f>IFERROR(IF(_xlfn.MAXIFS(Documents!$E$2:$E$1421,Documents!$A$2:$A$1421,$A152,Documents!$C$2:$C$1421,"obsolete")=0,"",_xlfn.MAXIFS(Documents!$E$2:$E$1421,Documents!$A$2:$A$1421,$A152,Documents!$C$2:$C$1421,"obsolete")),"")</f>
        <v/>
      </c>
      <c r="V152">
        <f>COUNTIFS(Documents!$A$2:$A$1421,$A152)</f>
        <v/>
      </c>
      <c r="W152">
        <f>COUNTIFS(Documents!$A$2:$A$1421,$A152,Documents!$R$2:$R$1421,"current")</f>
        <v/>
      </c>
      <c r="X152" t="inlineStr"/>
      <c r="Y152" t="inlineStr">
        <is>
          <t>factsheet, wedding, events</t>
        </is>
      </c>
      <c r="Z152" t="inlineStr"/>
    </row>
    <row r="153">
      <c r="A153" t="n">
        <v>152</v>
      </c>
      <c r="B153" t="inlineStr">
        <is>
          <t>Makunudu Island</t>
        </is>
      </c>
      <c r="C153" t="inlineStr">
        <is>
          <t>not crawled</t>
        </is>
      </c>
      <c r="D153">
        <f>IFERROR(IF(_xlfn.MAXIFS(Documents!$E$2:$E$1421,Documents!$A$2:$A$1421,$A153,Documents!$C$2:$C$1421,"factsheet")=0,"",_xlfn.MAXIFS(Documents!$E$2:$E$1421,Documents!$A$2:$A$1421,$A153,Documents!$C$2:$C$1421,"factsheet")),"")</f>
        <v/>
      </c>
      <c r="E153">
        <f>IFERROR(IF(_xlfn.MAXIFS(Documents!$E$2:$E$1421,Documents!$A$2:$A$1421,$A153,Documents!$C$2:$C$1421,"wedding")=0,"",_xlfn.MAXIFS(Documents!$E$2:$E$1421,Documents!$A$2:$A$1421,$A153,Documents!$C$2:$C$1421,"wedding")),"")</f>
        <v/>
      </c>
      <c r="F153">
        <f>IFERROR(IF(_xlfn.MAXIFS(Documents!$E$2:$E$1421,Documents!$A$2:$A$1421,$A153,Documents!$C$2:$C$1421,"events")=0,"",_xlfn.MAXIFS(Documents!$E$2:$E$1421,Documents!$A$2:$A$1421,$A153,Documents!$C$2:$C$1421,"events")),"")</f>
        <v/>
      </c>
      <c r="G153">
        <f>IFERROR(IF(_xlfn.MAXIFS(Documents!$E$2:$E$1421,Documents!$A$2:$A$1421,$A153,Documents!$C$2:$C$1421,"map")=0,"",_xlfn.MAXIFS(Documents!$E$2:$E$1421,Documents!$A$2:$A$1421,$A153,Documents!$C$2:$C$1421,"map")),"")</f>
        <v/>
      </c>
      <c r="H153">
        <f>IFERROR(IF(_xlfn.MAXIFS(Documents!$E$2:$E$1421,Documents!$A$2:$A$1421,$A153,Documents!$C$2:$C$1421,"dive_map")=0,"",_xlfn.MAXIFS(Documents!$E$2:$E$1421,Documents!$A$2:$A$1421,$A153,Documents!$C$2:$C$1421,"dive_map")),"")</f>
        <v/>
      </c>
      <c r="I153">
        <f>IFERROR(IF(_xlfn.MAXIFS(Documents!$E$2:$E$1421,Documents!$A$2:$A$1421,$A153,Documents!$C$2:$C$1421,"spa_menu")=0,"",_xlfn.MAXIFS(Documents!$E$2:$E$1421,Documents!$A$2:$A$1421,$A153,Documents!$C$2:$C$1421,"spa_menu")),"")</f>
        <v/>
      </c>
      <c r="J153">
        <f>IFERROR(IF(_xlfn.MAXIFS(Documents!$E$2:$E$1421,Documents!$A$2:$A$1421,$A153,Documents!$C$2:$C$1421,"dining_menu")=0,"",_xlfn.MAXIFS(Documents!$E$2:$E$1421,Documents!$A$2:$A$1421,$A153,Documents!$C$2:$C$1421,"dining_menu")),"")</f>
        <v/>
      </c>
      <c r="K153">
        <f>IFERROR(IF(_xlfn.MAXIFS(Documents!$E$2:$E$1421,Documents!$A$2:$A$1421,$A153,Documents!$C$2:$C$1421,"dive_prices")=0,"",_xlfn.MAXIFS(Documents!$E$2:$E$1421,Documents!$A$2:$A$1421,$A153,Documents!$C$2:$C$1421,"dive_prices")),"")</f>
        <v/>
      </c>
      <c r="L153">
        <f>IFERROR(IF(_xlfn.MAXIFS(Documents!$E$2:$E$1421,Documents!$A$2:$A$1421,$A153,Documents!$C$2:$C$1421,"excursions")=0,"",_xlfn.MAXIFS(Documents!$E$2:$E$1421,Documents!$A$2:$A$1421,$A153,Documents!$C$2:$C$1421,"excursions")),"")</f>
        <v/>
      </c>
      <c r="M153">
        <f>IFERROR(IF(_xlfn.MAXIFS(Documents!$E$2:$E$1421,Documents!$A$2:$A$1421,$A153,Documents!$C$2:$C$1421,"kids")=0,"",_xlfn.MAXIFS(Documents!$E$2:$E$1421,Documents!$A$2:$A$1421,$A153,Documents!$C$2:$C$1421,"kids")),"")</f>
        <v/>
      </c>
      <c r="N153">
        <f>IFERROR(IF(_xlfn.MAXIFS(Documents!$E$2:$E$1421,Documents!$A$2:$A$1421,$A153,Documents!$C$2:$C$1421,"villa_plans")=0,"",_xlfn.MAXIFS(Documents!$E$2:$E$1421,Documents!$A$2:$A$1421,$A153,Documents!$C$2:$C$1421,"villa_plans")),"")</f>
        <v/>
      </c>
      <c r="O153">
        <f>IFERROR(IF(_xlfn.MAXIFS(Documents!$E$2:$E$1421,Documents!$A$2:$A$1421,$A153,Documents!$C$2:$C$1421,"all_inclusive")=0,"",_xlfn.MAXIFS(Documents!$E$2:$E$1421,Documents!$A$2:$A$1421,$A153,Documents!$C$2:$C$1421,"all_inclusive")),"")</f>
        <v/>
      </c>
      <c r="P153">
        <f>IFERROR(IF(_xlfn.MAXIFS(Documents!$E$2:$E$1421,Documents!$A$2:$A$1421,$A153,Documents!$C$2:$C$1421,"sustainability")=0,"",_xlfn.MAXIFS(Documents!$E$2:$E$1421,Documents!$A$2:$A$1421,$A153,Documents!$C$2:$C$1421,"sustainability")),"")</f>
        <v/>
      </c>
      <c r="Q153">
        <f>IFERROR(IF(_xlfn.MAXIFS(Documents!$E$2:$E$1421,Documents!$A$2:$A$1421,$A153,Documents!$C$2:$C$1421,"calendar")=0,"",_xlfn.MAXIFS(Documents!$E$2:$E$1421,Documents!$A$2:$A$1421,$A153,Documents!$C$2:$C$1421,"calendar")),"")</f>
        <v/>
      </c>
      <c r="R153">
        <f>IFERROR(IF(_xlfn.MAXIFS(Documents!$E$2:$E$1421,Documents!$A$2:$A$1421,$A153,Documents!$C$2:$C$1421,"brochure")=0,"",_xlfn.MAXIFS(Documents!$E$2:$E$1421,Documents!$A$2:$A$1421,$A153,Documents!$C$2:$C$1421,"brochure")),"")</f>
        <v/>
      </c>
      <c r="S153">
        <f>IFERROR(IF(_xlfn.MAXIFS(Documents!$E$2:$E$1421,Documents!$A$2:$A$1421,$A153,Documents!$C$2:$C$1421,"press_kit")=0,"",_xlfn.MAXIFS(Documents!$E$2:$E$1421,Documents!$A$2:$A$1421,$A153,Documents!$C$2:$C$1421,"press_kit")),"")</f>
        <v/>
      </c>
      <c r="T153">
        <f>IFERROR(IF(_xlfn.MAXIFS(Documents!$E$2:$E$1421,Documents!$A$2:$A$1421,$A153,Documents!$C$2:$C$1421,"other")=0,"",_xlfn.MAXIFS(Documents!$E$2:$E$1421,Documents!$A$2:$A$1421,$A153,Documents!$C$2:$C$1421,"other")),"")</f>
        <v/>
      </c>
      <c r="U153">
        <f>IFERROR(IF(_xlfn.MAXIFS(Documents!$E$2:$E$1421,Documents!$A$2:$A$1421,$A153,Documents!$C$2:$C$1421,"obsolete")=0,"",_xlfn.MAXIFS(Documents!$E$2:$E$1421,Documents!$A$2:$A$1421,$A153,Documents!$C$2:$C$1421,"obsolete")),"")</f>
        <v/>
      </c>
      <c r="V153">
        <f>COUNTIFS(Documents!$A$2:$A$1421,$A153)</f>
        <v/>
      </c>
      <c r="W153">
        <f>COUNTIFS(Documents!$A$2:$A$1421,$A153,Documents!$R$2:$R$1421,"current")</f>
        <v/>
      </c>
      <c r="X153" t="inlineStr"/>
      <c r="Y153" t="inlineStr">
        <is>
          <t>factsheet, wedding, events</t>
        </is>
      </c>
      <c r="Z153" t="inlineStr"/>
    </row>
    <row r="154">
      <c r="A154" t="n">
        <v>153</v>
      </c>
      <c r="B154" t="inlineStr">
        <is>
          <t>Taj Coral Reef Resort and Spa</t>
        </is>
      </c>
      <c r="C154" t="inlineStr">
        <is>
          <t>not crawled</t>
        </is>
      </c>
      <c r="D154">
        <f>IFERROR(IF(_xlfn.MAXIFS(Documents!$E$2:$E$1421,Documents!$A$2:$A$1421,$A154,Documents!$C$2:$C$1421,"factsheet")=0,"",_xlfn.MAXIFS(Documents!$E$2:$E$1421,Documents!$A$2:$A$1421,$A154,Documents!$C$2:$C$1421,"factsheet")),"")</f>
        <v/>
      </c>
      <c r="E154">
        <f>IFERROR(IF(_xlfn.MAXIFS(Documents!$E$2:$E$1421,Documents!$A$2:$A$1421,$A154,Documents!$C$2:$C$1421,"wedding")=0,"",_xlfn.MAXIFS(Documents!$E$2:$E$1421,Documents!$A$2:$A$1421,$A154,Documents!$C$2:$C$1421,"wedding")),"")</f>
        <v/>
      </c>
      <c r="F154">
        <f>IFERROR(IF(_xlfn.MAXIFS(Documents!$E$2:$E$1421,Documents!$A$2:$A$1421,$A154,Documents!$C$2:$C$1421,"events")=0,"",_xlfn.MAXIFS(Documents!$E$2:$E$1421,Documents!$A$2:$A$1421,$A154,Documents!$C$2:$C$1421,"events")),"")</f>
        <v/>
      </c>
      <c r="G154">
        <f>IFERROR(IF(_xlfn.MAXIFS(Documents!$E$2:$E$1421,Documents!$A$2:$A$1421,$A154,Documents!$C$2:$C$1421,"map")=0,"",_xlfn.MAXIFS(Documents!$E$2:$E$1421,Documents!$A$2:$A$1421,$A154,Documents!$C$2:$C$1421,"map")),"")</f>
        <v/>
      </c>
      <c r="H154">
        <f>IFERROR(IF(_xlfn.MAXIFS(Documents!$E$2:$E$1421,Documents!$A$2:$A$1421,$A154,Documents!$C$2:$C$1421,"dive_map")=0,"",_xlfn.MAXIFS(Documents!$E$2:$E$1421,Documents!$A$2:$A$1421,$A154,Documents!$C$2:$C$1421,"dive_map")),"")</f>
        <v/>
      </c>
      <c r="I154">
        <f>IFERROR(IF(_xlfn.MAXIFS(Documents!$E$2:$E$1421,Documents!$A$2:$A$1421,$A154,Documents!$C$2:$C$1421,"spa_menu")=0,"",_xlfn.MAXIFS(Documents!$E$2:$E$1421,Documents!$A$2:$A$1421,$A154,Documents!$C$2:$C$1421,"spa_menu")),"")</f>
        <v/>
      </c>
      <c r="J154">
        <f>IFERROR(IF(_xlfn.MAXIFS(Documents!$E$2:$E$1421,Documents!$A$2:$A$1421,$A154,Documents!$C$2:$C$1421,"dining_menu")=0,"",_xlfn.MAXIFS(Documents!$E$2:$E$1421,Documents!$A$2:$A$1421,$A154,Documents!$C$2:$C$1421,"dining_menu")),"")</f>
        <v/>
      </c>
      <c r="K154">
        <f>IFERROR(IF(_xlfn.MAXIFS(Documents!$E$2:$E$1421,Documents!$A$2:$A$1421,$A154,Documents!$C$2:$C$1421,"dive_prices")=0,"",_xlfn.MAXIFS(Documents!$E$2:$E$1421,Documents!$A$2:$A$1421,$A154,Documents!$C$2:$C$1421,"dive_prices")),"")</f>
        <v/>
      </c>
      <c r="L154">
        <f>IFERROR(IF(_xlfn.MAXIFS(Documents!$E$2:$E$1421,Documents!$A$2:$A$1421,$A154,Documents!$C$2:$C$1421,"excursions")=0,"",_xlfn.MAXIFS(Documents!$E$2:$E$1421,Documents!$A$2:$A$1421,$A154,Documents!$C$2:$C$1421,"excursions")),"")</f>
        <v/>
      </c>
      <c r="M154">
        <f>IFERROR(IF(_xlfn.MAXIFS(Documents!$E$2:$E$1421,Documents!$A$2:$A$1421,$A154,Documents!$C$2:$C$1421,"kids")=0,"",_xlfn.MAXIFS(Documents!$E$2:$E$1421,Documents!$A$2:$A$1421,$A154,Documents!$C$2:$C$1421,"kids")),"")</f>
        <v/>
      </c>
      <c r="N154">
        <f>IFERROR(IF(_xlfn.MAXIFS(Documents!$E$2:$E$1421,Documents!$A$2:$A$1421,$A154,Documents!$C$2:$C$1421,"villa_plans")=0,"",_xlfn.MAXIFS(Documents!$E$2:$E$1421,Documents!$A$2:$A$1421,$A154,Documents!$C$2:$C$1421,"villa_plans")),"")</f>
        <v/>
      </c>
      <c r="O154">
        <f>IFERROR(IF(_xlfn.MAXIFS(Documents!$E$2:$E$1421,Documents!$A$2:$A$1421,$A154,Documents!$C$2:$C$1421,"all_inclusive")=0,"",_xlfn.MAXIFS(Documents!$E$2:$E$1421,Documents!$A$2:$A$1421,$A154,Documents!$C$2:$C$1421,"all_inclusive")),"")</f>
        <v/>
      </c>
      <c r="P154">
        <f>IFERROR(IF(_xlfn.MAXIFS(Documents!$E$2:$E$1421,Documents!$A$2:$A$1421,$A154,Documents!$C$2:$C$1421,"sustainability")=0,"",_xlfn.MAXIFS(Documents!$E$2:$E$1421,Documents!$A$2:$A$1421,$A154,Documents!$C$2:$C$1421,"sustainability")),"")</f>
        <v/>
      </c>
      <c r="Q154">
        <f>IFERROR(IF(_xlfn.MAXIFS(Documents!$E$2:$E$1421,Documents!$A$2:$A$1421,$A154,Documents!$C$2:$C$1421,"calendar")=0,"",_xlfn.MAXIFS(Documents!$E$2:$E$1421,Documents!$A$2:$A$1421,$A154,Documents!$C$2:$C$1421,"calendar")),"")</f>
        <v/>
      </c>
      <c r="R154">
        <f>IFERROR(IF(_xlfn.MAXIFS(Documents!$E$2:$E$1421,Documents!$A$2:$A$1421,$A154,Documents!$C$2:$C$1421,"brochure")=0,"",_xlfn.MAXIFS(Documents!$E$2:$E$1421,Documents!$A$2:$A$1421,$A154,Documents!$C$2:$C$1421,"brochure")),"")</f>
        <v/>
      </c>
      <c r="S154">
        <f>IFERROR(IF(_xlfn.MAXIFS(Documents!$E$2:$E$1421,Documents!$A$2:$A$1421,$A154,Documents!$C$2:$C$1421,"press_kit")=0,"",_xlfn.MAXIFS(Documents!$E$2:$E$1421,Documents!$A$2:$A$1421,$A154,Documents!$C$2:$C$1421,"press_kit")),"")</f>
        <v/>
      </c>
      <c r="T154">
        <f>IFERROR(IF(_xlfn.MAXIFS(Documents!$E$2:$E$1421,Documents!$A$2:$A$1421,$A154,Documents!$C$2:$C$1421,"other")=0,"",_xlfn.MAXIFS(Documents!$E$2:$E$1421,Documents!$A$2:$A$1421,$A154,Documents!$C$2:$C$1421,"other")),"")</f>
        <v/>
      </c>
      <c r="U154">
        <f>IFERROR(IF(_xlfn.MAXIFS(Documents!$E$2:$E$1421,Documents!$A$2:$A$1421,$A154,Documents!$C$2:$C$1421,"obsolete")=0,"",_xlfn.MAXIFS(Documents!$E$2:$E$1421,Documents!$A$2:$A$1421,$A154,Documents!$C$2:$C$1421,"obsolete")),"")</f>
        <v/>
      </c>
      <c r="V154">
        <f>COUNTIFS(Documents!$A$2:$A$1421,$A154)</f>
        <v/>
      </c>
      <c r="W154">
        <f>COUNTIFS(Documents!$A$2:$A$1421,$A154,Documents!$R$2:$R$1421,"current")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not crawled</t>
        </is>
      </c>
      <c r="D155">
        <f>IFERROR(IF(_xlfn.MAXIFS(Documents!$E$2:$E$1421,Documents!$A$2:$A$1421,$A155,Documents!$C$2:$C$1421,"factsheet")=0,"",_xlfn.MAXIFS(Documents!$E$2:$E$1421,Documents!$A$2:$A$1421,$A155,Documents!$C$2:$C$1421,"factsheet")),"")</f>
        <v/>
      </c>
      <c r="E155">
        <f>IFERROR(IF(_xlfn.MAXIFS(Documents!$E$2:$E$1421,Documents!$A$2:$A$1421,$A155,Documents!$C$2:$C$1421,"wedding")=0,"",_xlfn.MAXIFS(Documents!$E$2:$E$1421,Documents!$A$2:$A$1421,$A155,Documents!$C$2:$C$1421,"wedding")),"")</f>
        <v/>
      </c>
      <c r="F155">
        <f>IFERROR(IF(_xlfn.MAXIFS(Documents!$E$2:$E$1421,Documents!$A$2:$A$1421,$A155,Documents!$C$2:$C$1421,"events")=0,"",_xlfn.MAXIFS(Documents!$E$2:$E$1421,Documents!$A$2:$A$1421,$A155,Documents!$C$2:$C$1421,"events")),"")</f>
        <v/>
      </c>
      <c r="G155">
        <f>IFERROR(IF(_xlfn.MAXIFS(Documents!$E$2:$E$1421,Documents!$A$2:$A$1421,$A155,Documents!$C$2:$C$1421,"map")=0,"",_xlfn.MAXIFS(Documents!$E$2:$E$1421,Documents!$A$2:$A$1421,$A155,Documents!$C$2:$C$1421,"map")),"")</f>
        <v/>
      </c>
      <c r="H155">
        <f>IFERROR(IF(_xlfn.MAXIFS(Documents!$E$2:$E$1421,Documents!$A$2:$A$1421,$A155,Documents!$C$2:$C$1421,"dive_map")=0,"",_xlfn.MAXIFS(Documents!$E$2:$E$1421,Documents!$A$2:$A$1421,$A155,Documents!$C$2:$C$1421,"dive_map")),"")</f>
        <v/>
      </c>
      <c r="I155">
        <f>IFERROR(IF(_xlfn.MAXIFS(Documents!$E$2:$E$1421,Documents!$A$2:$A$1421,$A155,Documents!$C$2:$C$1421,"spa_menu")=0,"",_xlfn.MAXIFS(Documents!$E$2:$E$1421,Documents!$A$2:$A$1421,$A155,Documents!$C$2:$C$1421,"spa_menu")),"")</f>
        <v/>
      </c>
      <c r="J155">
        <f>IFERROR(IF(_xlfn.MAXIFS(Documents!$E$2:$E$1421,Documents!$A$2:$A$1421,$A155,Documents!$C$2:$C$1421,"dining_menu")=0,"",_xlfn.MAXIFS(Documents!$E$2:$E$1421,Documents!$A$2:$A$1421,$A155,Documents!$C$2:$C$1421,"dining_menu")),"")</f>
        <v/>
      </c>
      <c r="K155">
        <f>IFERROR(IF(_xlfn.MAXIFS(Documents!$E$2:$E$1421,Documents!$A$2:$A$1421,$A155,Documents!$C$2:$C$1421,"dive_prices")=0,"",_xlfn.MAXIFS(Documents!$E$2:$E$1421,Documents!$A$2:$A$1421,$A155,Documents!$C$2:$C$1421,"dive_prices")),"")</f>
        <v/>
      </c>
      <c r="L155">
        <f>IFERROR(IF(_xlfn.MAXIFS(Documents!$E$2:$E$1421,Documents!$A$2:$A$1421,$A155,Documents!$C$2:$C$1421,"excursions")=0,"",_xlfn.MAXIFS(Documents!$E$2:$E$1421,Documents!$A$2:$A$1421,$A155,Documents!$C$2:$C$1421,"excursions")),"")</f>
        <v/>
      </c>
      <c r="M155">
        <f>IFERROR(IF(_xlfn.MAXIFS(Documents!$E$2:$E$1421,Documents!$A$2:$A$1421,$A155,Documents!$C$2:$C$1421,"kids")=0,"",_xlfn.MAXIFS(Documents!$E$2:$E$1421,Documents!$A$2:$A$1421,$A155,Documents!$C$2:$C$1421,"kids")),"")</f>
        <v/>
      </c>
      <c r="N155">
        <f>IFERROR(IF(_xlfn.MAXIFS(Documents!$E$2:$E$1421,Documents!$A$2:$A$1421,$A155,Documents!$C$2:$C$1421,"villa_plans")=0,"",_xlfn.MAXIFS(Documents!$E$2:$E$1421,Documents!$A$2:$A$1421,$A155,Documents!$C$2:$C$1421,"villa_plans")),"")</f>
        <v/>
      </c>
      <c r="O155">
        <f>IFERROR(IF(_xlfn.MAXIFS(Documents!$E$2:$E$1421,Documents!$A$2:$A$1421,$A155,Documents!$C$2:$C$1421,"all_inclusive")=0,"",_xlfn.MAXIFS(Documents!$E$2:$E$1421,Documents!$A$2:$A$1421,$A155,Documents!$C$2:$C$1421,"all_inclusive")),"")</f>
        <v/>
      </c>
      <c r="P155">
        <f>IFERROR(IF(_xlfn.MAXIFS(Documents!$E$2:$E$1421,Documents!$A$2:$A$1421,$A155,Documents!$C$2:$C$1421,"sustainability")=0,"",_xlfn.MAXIFS(Documents!$E$2:$E$1421,Documents!$A$2:$A$1421,$A155,Documents!$C$2:$C$1421,"sustainability")),"")</f>
        <v/>
      </c>
      <c r="Q155">
        <f>IFERROR(IF(_xlfn.MAXIFS(Documents!$E$2:$E$1421,Documents!$A$2:$A$1421,$A155,Documents!$C$2:$C$1421,"calendar")=0,"",_xlfn.MAXIFS(Documents!$E$2:$E$1421,Documents!$A$2:$A$1421,$A155,Documents!$C$2:$C$1421,"calendar")),"")</f>
        <v/>
      </c>
      <c r="R155">
        <f>IFERROR(IF(_xlfn.MAXIFS(Documents!$E$2:$E$1421,Documents!$A$2:$A$1421,$A155,Documents!$C$2:$C$1421,"brochure")=0,"",_xlfn.MAXIFS(Documents!$E$2:$E$1421,Documents!$A$2:$A$1421,$A155,Documents!$C$2:$C$1421,"brochure")),"")</f>
        <v/>
      </c>
      <c r="S155">
        <f>IFERROR(IF(_xlfn.MAXIFS(Documents!$E$2:$E$1421,Documents!$A$2:$A$1421,$A155,Documents!$C$2:$C$1421,"press_kit")=0,"",_xlfn.MAXIFS(Documents!$E$2:$E$1421,Documents!$A$2:$A$1421,$A155,Documents!$C$2:$C$1421,"press_kit")),"")</f>
        <v/>
      </c>
      <c r="T155">
        <f>IFERROR(IF(_xlfn.MAXIFS(Documents!$E$2:$E$1421,Documents!$A$2:$A$1421,$A155,Documents!$C$2:$C$1421,"other")=0,"",_xlfn.MAXIFS(Documents!$E$2:$E$1421,Documents!$A$2:$A$1421,$A155,Documents!$C$2:$C$1421,"other")),"")</f>
        <v/>
      </c>
      <c r="U155">
        <f>IFERROR(IF(_xlfn.MAXIFS(Documents!$E$2:$E$1421,Documents!$A$2:$A$1421,$A155,Documents!$C$2:$C$1421,"obsolete")=0,"",_xlfn.MAXIFS(Documents!$E$2:$E$1421,Documents!$A$2:$A$1421,$A155,Documents!$C$2:$C$1421,"obsolete")),"")</f>
        <v/>
      </c>
      <c r="V155">
        <f>COUNTIFS(Documents!$A$2:$A$1421,$A155)</f>
        <v/>
      </c>
      <c r="W155">
        <f>COUNTIFS(Documents!$A$2:$A$1421,$A155,Documents!$R$2:$R$1421,"current")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not crawled</t>
        </is>
      </c>
      <c r="D156">
        <f>IFERROR(IF(_xlfn.MAXIFS(Documents!$E$2:$E$1421,Documents!$A$2:$A$1421,$A156,Documents!$C$2:$C$1421,"factsheet")=0,"",_xlfn.MAXIFS(Documents!$E$2:$E$1421,Documents!$A$2:$A$1421,$A156,Documents!$C$2:$C$1421,"factsheet")),"")</f>
        <v/>
      </c>
      <c r="E156">
        <f>IFERROR(IF(_xlfn.MAXIFS(Documents!$E$2:$E$1421,Documents!$A$2:$A$1421,$A156,Documents!$C$2:$C$1421,"wedding")=0,"",_xlfn.MAXIFS(Documents!$E$2:$E$1421,Documents!$A$2:$A$1421,$A156,Documents!$C$2:$C$1421,"wedding")),"")</f>
        <v/>
      </c>
      <c r="F156">
        <f>IFERROR(IF(_xlfn.MAXIFS(Documents!$E$2:$E$1421,Documents!$A$2:$A$1421,$A156,Documents!$C$2:$C$1421,"events")=0,"",_xlfn.MAXIFS(Documents!$E$2:$E$1421,Documents!$A$2:$A$1421,$A156,Documents!$C$2:$C$1421,"events")),"")</f>
        <v/>
      </c>
      <c r="G156">
        <f>IFERROR(IF(_xlfn.MAXIFS(Documents!$E$2:$E$1421,Documents!$A$2:$A$1421,$A156,Documents!$C$2:$C$1421,"map")=0,"",_xlfn.MAXIFS(Documents!$E$2:$E$1421,Documents!$A$2:$A$1421,$A156,Documents!$C$2:$C$1421,"map")),"")</f>
        <v/>
      </c>
      <c r="H156">
        <f>IFERROR(IF(_xlfn.MAXIFS(Documents!$E$2:$E$1421,Documents!$A$2:$A$1421,$A156,Documents!$C$2:$C$1421,"dive_map")=0,"",_xlfn.MAXIFS(Documents!$E$2:$E$1421,Documents!$A$2:$A$1421,$A156,Documents!$C$2:$C$1421,"dive_map")),"")</f>
        <v/>
      </c>
      <c r="I156">
        <f>IFERROR(IF(_xlfn.MAXIFS(Documents!$E$2:$E$1421,Documents!$A$2:$A$1421,$A156,Documents!$C$2:$C$1421,"spa_menu")=0,"",_xlfn.MAXIFS(Documents!$E$2:$E$1421,Documents!$A$2:$A$1421,$A156,Documents!$C$2:$C$1421,"spa_menu")),"")</f>
        <v/>
      </c>
      <c r="J156">
        <f>IFERROR(IF(_xlfn.MAXIFS(Documents!$E$2:$E$1421,Documents!$A$2:$A$1421,$A156,Documents!$C$2:$C$1421,"dining_menu")=0,"",_xlfn.MAXIFS(Documents!$E$2:$E$1421,Documents!$A$2:$A$1421,$A156,Documents!$C$2:$C$1421,"dining_menu")),"")</f>
        <v/>
      </c>
      <c r="K156">
        <f>IFERROR(IF(_xlfn.MAXIFS(Documents!$E$2:$E$1421,Documents!$A$2:$A$1421,$A156,Documents!$C$2:$C$1421,"dive_prices")=0,"",_xlfn.MAXIFS(Documents!$E$2:$E$1421,Documents!$A$2:$A$1421,$A156,Documents!$C$2:$C$1421,"dive_prices")),"")</f>
        <v/>
      </c>
      <c r="L156">
        <f>IFERROR(IF(_xlfn.MAXIFS(Documents!$E$2:$E$1421,Documents!$A$2:$A$1421,$A156,Documents!$C$2:$C$1421,"excursions")=0,"",_xlfn.MAXIFS(Documents!$E$2:$E$1421,Documents!$A$2:$A$1421,$A156,Documents!$C$2:$C$1421,"excursions")),"")</f>
        <v/>
      </c>
      <c r="M156">
        <f>IFERROR(IF(_xlfn.MAXIFS(Documents!$E$2:$E$1421,Documents!$A$2:$A$1421,$A156,Documents!$C$2:$C$1421,"kids")=0,"",_xlfn.MAXIFS(Documents!$E$2:$E$1421,Documents!$A$2:$A$1421,$A156,Documents!$C$2:$C$1421,"kids")),"")</f>
        <v/>
      </c>
      <c r="N156">
        <f>IFERROR(IF(_xlfn.MAXIFS(Documents!$E$2:$E$1421,Documents!$A$2:$A$1421,$A156,Documents!$C$2:$C$1421,"villa_plans")=0,"",_xlfn.MAXIFS(Documents!$E$2:$E$1421,Documents!$A$2:$A$1421,$A156,Documents!$C$2:$C$1421,"villa_plans")),"")</f>
        <v/>
      </c>
      <c r="O156">
        <f>IFERROR(IF(_xlfn.MAXIFS(Documents!$E$2:$E$1421,Documents!$A$2:$A$1421,$A156,Documents!$C$2:$C$1421,"all_inclusive")=0,"",_xlfn.MAXIFS(Documents!$E$2:$E$1421,Documents!$A$2:$A$1421,$A156,Documents!$C$2:$C$1421,"all_inclusive")),"")</f>
        <v/>
      </c>
      <c r="P156">
        <f>IFERROR(IF(_xlfn.MAXIFS(Documents!$E$2:$E$1421,Documents!$A$2:$A$1421,$A156,Documents!$C$2:$C$1421,"sustainability")=0,"",_xlfn.MAXIFS(Documents!$E$2:$E$1421,Documents!$A$2:$A$1421,$A156,Documents!$C$2:$C$1421,"sustainability")),"")</f>
        <v/>
      </c>
      <c r="Q156">
        <f>IFERROR(IF(_xlfn.MAXIFS(Documents!$E$2:$E$1421,Documents!$A$2:$A$1421,$A156,Documents!$C$2:$C$1421,"calendar")=0,"",_xlfn.MAXIFS(Documents!$E$2:$E$1421,Documents!$A$2:$A$1421,$A156,Documents!$C$2:$C$1421,"calendar")),"")</f>
        <v/>
      </c>
      <c r="R156">
        <f>IFERROR(IF(_xlfn.MAXIFS(Documents!$E$2:$E$1421,Documents!$A$2:$A$1421,$A156,Documents!$C$2:$C$1421,"brochure")=0,"",_xlfn.MAXIFS(Documents!$E$2:$E$1421,Documents!$A$2:$A$1421,$A156,Documents!$C$2:$C$1421,"brochure")),"")</f>
        <v/>
      </c>
      <c r="S156">
        <f>IFERROR(IF(_xlfn.MAXIFS(Documents!$E$2:$E$1421,Documents!$A$2:$A$1421,$A156,Documents!$C$2:$C$1421,"press_kit")=0,"",_xlfn.MAXIFS(Documents!$E$2:$E$1421,Documents!$A$2:$A$1421,$A156,Documents!$C$2:$C$1421,"press_kit")),"")</f>
        <v/>
      </c>
      <c r="T156">
        <f>IFERROR(IF(_xlfn.MAXIFS(Documents!$E$2:$E$1421,Documents!$A$2:$A$1421,$A156,Documents!$C$2:$C$1421,"other")=0,"",_xlfn.MAXIFS(Documents!$E$2:$E$1421,Documents!$A$2:$A$1421,$A156,Documents!$C$2:$C$1421,"other")),"")</f>
        <v/>
      </c>
      <c r="U156">
        <f>IFERROR(IF(_xlfn.MAXIFS(Documents!$E$2:$E$1421,Documents!$A$2:$A$1421,$A156,Documents!$C$2:$C$1421,"obsolete")=0,"",_xlfn.MAXIFS(Documents!$E$2:$E$1421,Documents!$A$2:$A$1421,$A156,Documents!$C$2:$C$1421,"obsolete")),"")</f>
        <v/>
      </c>
      <c r="V156">
        <f>COUNTIFS(Documents!$A$2:$A$1421,$A156)</f>
        <v/>
      </c>
      <c r="W156">
        <f>COUNTIFS(Documents!$A$2:$A$1421,$A156,Documents!$R$2:$R$1421,"current")</f>
        <v/>
      </c>
      <c r="X156">
        <f>HYPERLINK("https://www.neoscapesmaldives.com/wp-content/uploads/halaveli-factsheet-en-24april2023.pdf","2023_halaveli-factsheet-en-24april2023.p")</f>
        <v/>
      </c>
      <c r="Y156" t="inlineStr">
        <is>
          <t>wedding, events</t>
        </is>
      </c>
      <c r="Z156" t="inlineStr">
        <is>
          <t>file code CHRG</t>
        </is>
      </c>
    </row>
    <row r="157">
      <c r="A157" t="n">
        <v>156</v>
      </c>
      <c r="B157" t="inlineStr">
        <is>
          <t>Drift Theluveliga Retreat</t>
        </is>
      </c>
      <c r="C157" t="inlineStr">
        <is>
          <t>not crawled</t>
        </is>
      </c>
      <c r="D157">
        <f>IFERROR(IF(_xlfn.MAXIFS(Documents!$E$2:$E$1421,Documents!$A$2:$A$1421,$A157,Documents!$C$2:$C$1421,"factsheet")=0,"",_xlfn.MAXIFS(Documents!$E$2:$E$1421,Documents!$A$2:$A$1421,$A157,Documents!$C$2:$C$1421,"factsheet")),"")</f>
        <v/>
      </c>
      <c r="E157">
        <f>IFERROR(IF(_xlfn.MAXIFS(Documents!$E$2:$E$1421,Documents!$A$2:$A$1421,$A157,Documents!$C$2:$C$1421,"wedding")=0,"",_xlfn.MAXIFS(Documents!$E$2:$E$1421,Documents!$A$2:$A$1421,$A157,Documents!$C$2:$C$1421,"wedding")),"")</f>
        <v/>
      </c>
      <c r="F157">
        <f>IFERROR(IF(_xlfn.MAXIFS(Documents!$E$2:$E$1421,Documents!$A$2:$A$1421,$A157,Documents!$C$2:$C$1421,"events")=0,"",_xlfn.MAXIFS(Documents!$E$2:$E$1421,Documents!$A$2:$A$1421,$A157,Documents!$C$2:$C$1421,"events")),"")</f>
        <v/>
      </c>
      <c r="G157">
        <f>IFERROR(IF(_xlfn.MAXIFS(Documents!$E$2:$E$1421,Documents!$A$2:$A$1421,$A157,Documents!$C$2:$C$1421,"map")=0,"",_xlfn.MAXIFS(Documents!$E$2:$E$1421,Documents!$A$2:$A$1421,$A157,Documents!$C$2:$C$1421,"map")),"")</f>
        <v/>
      </c>
      <c r="H157">
        <f>IFERROR(IF(_xlfn.MAXIFS(Documents!$E$2:$E$1421,Documents!$A$2:$A$1421,$A157,Documents!$C$2:$C$1421,"dive_map")=0,"",_xlfn.MAXIFS(Documents!$E$2:$E$1421,Documents!$A$2:$A$1421,$A157,Documents!$C$2:$C$1421,"dive_map")),"")</f>
        <v/>
      </c>
      <c r="I157">
        <f>IFERROR(IF(_xlfn.MAXIFS(Documents!$E$2:$E$1421,Documents!$A$2:$A$1421,$A157,Documents!$C$2:$C$1421,"spa_menu")=0,"",_xlfn.MAXIFS(Documents!$E$2:$E$1421,Documents!$A$2:$A$1421,$A157,Documents!$C$2:$C$1421,"spa_menu")),"")</f>
        <v/>
      </c>
      <c r="J157">
        <f>IFERROR(IF(_xlfn.MAXIFS(Documents!$E$2:$E$1421,Documents!$A$2:$A$1421,$A157,Documents!$C$2:$C$1421,"dining_menu")=0,"",_xlfn.MAXIFS(Documents!$E$2:$E$1421,Documents!$A$2:$A$1421,$A157,Documents!$C$2:$C$1421,"dining_menu")),"")</f>
        <v/>
      </c>
      <c r="K157">
        <f>IFERROR(IF(_xlfn.MAXIFS(Documents!$E$2:$E$1421,Documents!$A$2:$A$1421,$A157,Documents!$C$2:$C$1421,"dive_prices")=0,"",_xlfn.MAXIFS(Documents!$E$2:$E$1421,Documents!$A$2:$A$1421,$A157,Documents!$C$2:$C$1421,"dive_prices")),"")</f>
        <v/>
      </c>
      <c r="L157">
        <f>IFERROR(IF(_xlfn.MAXIFS(Documents!$E$2:$E$1421,Documents!$A$2:$A$1421,$A157,Documents!$C$2:$C$1421,"excursions")=0,"",_xlfn.MAXIFS(Documents!$E$2:$E$1421,Documents!$A$2:$A$1421,$A157,Documents!$C$2:$C$1421,"excursions")),"")</f>
        <v/>
      </c>
      <c r="M157">
        <f>IFERROR(IF(_xlfn.MAXIFS(Documents!$E$2:$E$1421,Documents!$A$2:$A$1421,$A157,Documents!$C$2:$C$1421,"kids")=0,"",_xlfn.MAXIFS(Documents!$E$2:$E$1421,Documents!$A$2:$A$1421,$A157,Documents!$C$2:$C$1421,"kids")),"")</f>
        <v/>
      </c>
      <c r="N157">
        <f>IFERROR(IF(_xlfn.MAXIFS(Documents!$E$2:$E$1421,Documents!$A$2:$A$1421,$A157,Documents!$C$2:$C$1421,"villa_plans")=0,"",_xlfn.MAXIFS(Documents!$E$2:$E$1421,Documents!$A$2:$A$1421,$A157,Documents!$C$2:$C$1421,"villa_plans")),"")</f>
        <v/>
      </c>
      <c r="O157">
        <f>IFERROR(IF(_xlfn.MAXIFS(Documents!$E$2:$E$1421,Documents!$A$2:$A$1421,$A157,Documents!$C$2:$C$1421,"all_inclusive")=0,"",_xlfn.MAXIFS(Documents!$E$2:$E$1421,Documents!$A$2:$A$1421,$A157,Documents!$C$2:$C$1421,"all_inclusive")),"")</f>
        <v/>
      </c>
      <c r="P157">
        <f>IFERROR(IF(_xlfn.MAXIFS(Documents!$E$2:$E$1421,Documents!$A$2:$A$1421,$A157,Documents!$C$2:$C$1421,"sustainability")=0,"",_xlfn.MAXIFS(Documents!$E$2:$E$1421,Documents!$A$2:$A$1421,$A157,Documents!$C$2:$C$1421,"sustainability")),"")</f>
        <v/>
      </c>
      <c r="Q157">
        <f>IFERROR(IF(_xlfn.MAXIFS(Documents!$E$2:$E$1421,Documents!$A$2:$A$1421,$A157,Documents!$C$2:$C$1421,"calendar")=0,"",_xlfn.MAXIFS(Documents!$E$2:$E$1421,Documents!$A$2:$A$1421,$A157,Documents!$C$2:$C$1421,"calendar")),"")</f>
        <v/>
      </c>
      <c r="R157">
        <f>IFERROR(IF(_xlfn.MAXIFS(Documents!$E$2:$E$1421,Documents!$A$2:$A$1421,$A157,Documents!$C$2:$C$1421,"brochure")=0,"",_xlfn.MAXIFS(Documents!$E$2:$E$1421,Documents!$A$2:$A$1421,$A157,Documents!$C$2:$C$1421,"brochure")),"")</f>
        <v/>
      </c>
      <c r="S157">
        <f>IFERROR(IF(_xlfn.MAXIFS(Documents!$E$2:$E$1421,Documents!$A$2:$A$1421,$A157,Documents!$C$2:$C$1421,"press_kit")=0,"",_xlfn.MAXIFS(Documents!$E$2:$E$1421,Documents!$A$2:$A$1421,$A157,Documents!$C$2:$C$1421,"press_kit")),"")</f>
        <v/>
      </c>
      <c r="T157">
        <f>IFERROR(IF(_xlfn.MAXIFS(Documents!$E$2:$E$1421,Documents!$A$2:$A$1421,$A157,Documents!$C$2:$C$1421,"other")=0,"",_xlfn.MAXIFS(Documents!$E$2:$E$1421,Documents!$A$2:$A$1421,$A157,Documents!$C$2:$C$1421,"other")),"")</f>
        <v/>
      </c>
      <c r="U157">
        <f>IFERROR(IF(_xlfn.MAXIFS(Documents!$E$2:$E$1421,Documents!$A$2:$A$1421,$A157,Documents!$C$2:$C$1421,"obsolete")=0,"",_xlfn.MAXIFS(Documents!$E$2:$E$1421,Documents!$A$2:$A$1421,$A157,Documents!$C$2:$C$1421,"obsolete")),"")</f>
        <v/>
      </c>
      <c r="V157">
        <f>COUNTIFS(Documents!$A$2:$A$1421,$A157)</f>
        <v/>
      </c>
      <c r="W157">
        <f>COUNTIFS(Documents!$A$2:$A$1421,$A157,Documents!$R$2:$R$1421,"current")</f>
        <v/>
      </c>
      <c r="X157" t="inlineStr"/>
      <c r="Y157" t="inlineStr">
        <is>
          <t>factsheet, wedding, events</t>
        </is>
      </c>
      <c r="Z157" t="inlineStr"/>
    </row>
    <row r="158">
      <c r="A158" t="n">
        <v>157</v>
      </c>
      <c r="B158" t="inlineStr">
        <is>
          <t>The Nautilus Maldives</t>
        </is>
      </c>
      <c r="C158" t="inlineStr">
        <is>
          <t>not crawled</t>
        </is>
      </c>
      <c r="D158">
        <f>IFERROR(IF(_xlfn.MAXIFS(Documents!$E$2:$E$1421,Documents!$A$2:$A$1421,$A158,Documents!$C$2:$C$1421,"factsheet")=0,"",_xlfn.MAXIFS(Documents!$E$2:$E$1421,Documents!$A$2:$A$1421,$A158,Documents!$C$2:$C$1421,"factsheet")),"")</f>
        <v/>
      </c>
      <c r="E158">
        <f>IFERROR(IF(_xlfn.MAXIFS(Documents!$E$2:$E$1421,Documents!$A$2:$A$1421,$A158,Documents!$C$2:$C$1421,"wedding")=0,"",_xlfn.MAXIFS(Documents!$E$2:$E$1421,Documents!$A$2:$A$1421,$A158,Documents!$C$2:$C$1421,"wedding")),"")</f>
        <v/>
      </c>
      <c r="F158">
        <f>IFERROR(IF(_xlfn.MAXIFS(Documents!$E$2:$E$1421,Documents!$A$2:$A$1421,$A158,Documents!$C$2:$C$1421,"events")=0,"",_xlfn.MAXIFS(Documents!$E$2:$E$1421,Documents!$A$2:$A$1421,$A158,Documents!$C$2:$C$1421,"events")),"")</f>
        <v/>
      </c>
      <c r="G158">
        <f>IFERROR(IF(_xlfn.MAXIFS(Documents!$E$2:$E$1421,Documents!$A$2:$A$1421,$A158,Documents!$C$2:$C$1421,"map")=0,"",_xlfn.MAXIFS(Documents!$E$2:$E$1421,Documents!$A$2:$A$1421,$A158,Documents!$C$2:$C$1421,"map")),"")</f>
        <v/>
      </c>
      <c r="H158">
        <f>IFERROR(IF(_xlfn.MAXIFS(Documents!$E$2:$E$1421,Documents!$A$2:$A$1421,$A158,Documents!$C$2:$C$1421,"dive_map")=0,"",_xlfn.MAXIFS(Documents!$E$2:$E$1421,Documents!$A$2:$A$1421,$A158,Documents!$C$2:$C$1421,"dive_map")),"")</f>
        <v/>
      </c>
      <c r="I158">
        <f>IFERROR(IF(_xlfn.MAXIFS(Documents!$E$2:$E$1421,Documents!$A$2:$A$1421,$A158,Documents!$C$2:$C$1421,"spa_menu")=0,"",_xlfn.MAXIFS(Documents!$E$2:$E$1421,Documents!$A$2:$A$1421,$A158,Documents!$C$2:$C$1421,"spa_menu")),"")</f>
        <v/>
      </c>
      <c r="J158">
        <f>IFERROR(IF(_xlfn.MAXIFS(Documents!$E$2:$E$1421,Documents!$A$2:$A$1421,$A158,Documents!$C$2:$C$1421,"dining_menu")=0,"",_xlfn.MAXIFS(Documents!$E$2:$E$1421,Documents!$A$2:$A$1421,$A158,Documents!$C$2:$C$1421,"dining_menu")),"")</f>
        <v/>
      </c>
      <c r="K158">
        <f>IFERROR(IF(_xlfn.MAXIFS(Documents!$E$2:$E$1421,Documents!$A$2:$A$1421,$A158,Documents!$C$2:$C$1421,"dive_prices")=0,"",_xlfn.MAXIFS(Documents!$E$2:$E$1421,Documents!$A$2:$A$1421,$A158,Documents!$C$2:$C$1421,"dive_prices")),"")</f>
        <v/>
      </c>
      <c r="L158">
        <f>IFERROR(IF(_xlfn.MAXIFS(Documents!$E$2:$E$1421,Documents!$A$2:$A$1421,$A158,Documents!$C$2:$C$1421,"excursions")=0,"",_xlfn.MAXIFS(Documents!$E$2:$E$1421,Documents!$A$2:$A$1421,$A158,Documents!$C$2:$C$1421,"excursions")),"")</f>
        <v/>
      </c>
      <c r="M158">
        <f>IFERROR(IF(_xlfn.MAXIFS(Documents!$E$2:$E$1421,Documents!$A$2:$A$1421,$A158,Documents!$C$2:$C$1421,"kids")=0,"",_xlfn.MAXIFS(Documents!$E$2:$E$1421,Documents!$A$2:$A$1421,$A158,Documents!$C$2:$C$1421,"kids")),"")</f>
        <v/>
      </c>
      <c r="N158">
        <f>IFERROR(IF(_xlfn.MAXIFS(Documents!$E$2:$E$1421,Documents!$A$2:$A$1421,$A158,Documents!$C$2:$C$1421,"villa_plans")=0,"",_xlfn.MAXIFS(Documents!$E$2:$E$1421,Documents!$A$2:$A$1421,$A158,Documents!$C$2:$C$1421,"villa_plans")),"")</f>
        <v/>
      </c>
      <c r="O158">
        <f>IFERROR(IF(_xlfn.MAXIFS(Documents!$E$2:$E$1421,Documents!$A$2:$A$1421,$A158,Documents!$C$2:$C$1421,"all_inclusive")=0,"",_xlfn.MAXIFS(Documents!$E$2:$E$1421,Documents!$A$2:$A$1421,$A158,Documents!$C$2:$C$1421,"all_inclusive")),"")</f>
        <v/>
      </c>
      <c r="P158">
        <f>IFERROR(IF(_xlfn.MAXIFS(Documents!$E$2:$E$1421,Documents!$A$2:$A$1421,$A158,Documents!$C$2:$C$1421,"sustainability")=0,"",_xlfn.MAXIFS(Documents!$E$2:$E$1421,Documents!$A$2:$A$1421,$A158,Documents!$C$2:$C$1421,"sustainability")),"")</f>
        <v/>
      </c>
      <c r="Q158">
        <f>IFERROR(IF(_xlfn.MAXIFS(Documents!$E$2:$E$1421,Documents!$A$2:$A$1421,$A158,Documents!$C$2:$C$1421,"calendar")=0,"",_xlfn.MAXIFS(Documents!$E$2:$E$1421,Documents!$A$2:$A$1421,$A158,Documents!$C$2:$C$1421,"calendar")),"")</f>
        <v/>
      </c>
      <c r="R158">
        <f>IFERROR(IF(_xlfn.MAXIFS(Documents!$E$2:$E$1421,Documents!$A$2:$A$1421,$A158,Documents!$C$2:$C$1421,"brochure")=0,"",_xlfn.MAXIFS(Documents!$E$2:$E$1421,Documents!$A$2:$A$1421,$A158,Documents!$C$2:$C$1421,"brochure")),"")</f>
        <v/>
      </c>
      <c r="S158">
        <f>IFERROR(IF(_xlfn.MAXIFS(Documents!$E$2:$E$1421,Documents!$A$2:$A$1421,$A158,Documents!$C$2:$C$1421,"press_kit")=0,"",_xlfn.MAXIFS(Documents!$E$2:$E$1421,Documents!$A$2:$A$1421,$A158,Documents!$C$2:$C$1421,"press_kit")),"")</f>
        <v/>
      </c>
      <c r="T158">
        <f>IFERROR(IF(_xlfn.MAXIFS(Documents!$E$2:$E$1421,Documents!$A$2:$A$1421,$A158,Documents!$C$2:$C$1421,"other")=0,"",_xlfn.MAXIFS(Documents!$E$2:$E$1421,Documents!$A$2:$A$1421,$A158,Documents!$C$2:$C$1421,"other")),"")</f>
        <v/>
      </c>
      <c r="U158">
        <f>IFERROR(IF(_xlfn.MAXIFS(Documents!$E$2:$E$1421,Documents!$A$2:$A$1421,$A158,Documents!$C$2:$C$1421,"obsolete")=0,"",_xlfn.MAXIFS(Documents!$E$2:$E$1421,Documents!$A$2:$A$1421,$A158,Documents!$C$2:$C$1421,"obsolete")),"")</f>
        <v/>
      </c>
      <c r="V158">
        <f>COUNTIFS(Documents!$A$2:$A$1421,$A158)</f>
        <v/>
      </c>
      <c r="W158">
        <f>COUNTIFS(Documents!$A$2:$A$1421,$A158,Documents!$R$2:$R$1421,"current")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not crawled</t>
        </is>
      </c>
      <c r="D159">
        <f>IFERROR(IF(_xlfn.MAXIFS(Documents!$E$2:$E$1421,Documents!$A$2:$A$1421,$A159,Documents!$C$2:$C$1421,"factsheet")=0,"",_xlfn.MAXIFS(Documents!$E$2:$E$1421,Documents!$A$2:$A$1421,$A159,Documents!$C$2:$C$1421,"factsheet")),"")</f>
        <v/>
      </c>
      <c r="E159">
        <f>IFERROR(IF(_xlfn.MAXIFS(Documents!$E$2:$E$1421,Documents!$A$2:$A$1421,$A159,Documents!$C$2:$C$1421,"wedding")=0,"",_xlfn.MAXIFS(Documents!$E$2:$E$1421,Documents!$A$2:$A$1421,$A159,Documents!$C$2:$C$1421,"wedding")),"")</f>
        <v/>
      </c>
      <c r="F159">
        <f>IFERROR(IF(_xlfn.MAXIFS(Documents!$E$2:$E$1421,Documents!$A$2:$A$1421,$A159,Documents!$C$2:$C$1421,"events")=0,"",_xlfn.MAXIFS(Documents!$E$2:$E$1421,Documents!$A$2:$A$1421,$A159,Documents!$C$2:$C$1421,"events")),"")</f>
        <v/>
      </c>
      <c r="G159">
        <f>IFERROR(IF(_xlfn.MAXIFS(Documents!$E$2:$E$1421,Documents!$A$2:$A$1421,$A159,Documents!$C$2:$C$1421,"map")=0,"",_xlfn.MAXIFS(Documents!$E$2:$E$1421,Documents!$A$2:$A$1421,$A159,Documents!$C$2:$C$1421,"map")),"")</f>
        <v/>
      </c>
      <c r="H159">
        <f>IFERROR(IF(_xlfn.MAXIFS(Documents!$E$2:$E$1421,Documents!$A$2:$A$1421,$A159,Documents!$C$2:$C$1421,"dive_map")=0,"",_xlfn.MAXIFS(Documents!$E$2:$E$1421,Documents!$A$2:$A$1421,$A159,Documents!$C$2:$C$1421,"dive_map")),"")</f>
        <v/>
      </c>
      <c r="I159">
        <f>IFERROR(IF(_xlfn.MAXIFS(Documents!$E$2:$E$1421,Documents!$A$2:$A$1421,$A159,Documents!$C$2:$C$1421,"spa_menu")=0,"",_xlfn.MAXIFS(Documents!$E$2:$E$1421,Documents!$A$2:$A$1421,$A159,Documents!$C$2:$C$1421,"spa_menu")),"")</f>
        <v/>
      </c>
      <c r="J159">
        <f>IFERROR(IF(_xlfn.MAXIFS(Documents!$E$2:$E$1421,Documents!$A$2:$A$1421,$A159,Documents!$C$2:$C$1421,"dining_menu")=0,"",_xlfn.MAXIFS(Documents!$E$2:$E$1421,Documents!$A$2:$A$1421,$A159,Documents!$C$2:$C$1421,"dining_menu")),"")</f>
        <v/>
      </c>
      <c r="K159">
        <f>IFERROR(IF(_xlfn.MAXIFS(Documents!$E$2:$E$1421,Documents!$A$2:$A$1421,$A159,Documents!$C$2:$C$1421,"dive_prices")=0,"",_xlfn.MAXIFS(Documents!$E$2:$E$1421,Documents!$A$2:$A$1421,$A159,Documents!$C$2:$C$1421,"dive_prices")),"")</f>
        <v/>
      </c>
      <c r="L159">
        <f>IFERROR(IF(_xlfn.MAXIFS(Documents!$E$2:$E$1421,Documents!$A$2:$A$1421,$A159,Documents!$C$2:$C$1421,"excursions")=0,"",_xlfn.MAXIFS(Documents!$E$2:$E$1421,Documents!$A$2:$A$1421,$A159,Documents!$C$2:$C$1421,"excursions")),"")</f>
        <v/>
      </c>
      <c r="M159">
        <f>IFERROR(IF(_xlfn.MAXIFS(Documents!$E$2:$E$1421,Documents!$A$2:$A$1421,$A159,Documents!$C$2:$C$1421,"kids")=0,"",_xlfn.MAXIFS(Documents!$E$2:$E$1421,Documents!$A$2:$A$1421,$A159,Documents!$C$2:$C$1421,"kids")),"")</f>
        <v/>
      </c>
      <c r="N159">
        <f>IFERROR(IF(_xlfn.MAXIFS(Documents!$E$2:$E$1421,Documents!$A$2:$A$1421,$A159,Documents!$C$2:$C$1421,"villa_plans")=0,"",_xlfn.MAXIFS(Documents!$E$2:$E$1421,Documents!$A$2:$A$1421,$A159,Documents!$C$2:$C$1421,"villa_plans")),"")</f>
        <v/>
      </c>
      <c r="O159">
        <f>IFERROR(IF(_xlfn.MAXIFS(Documents!$E$2:$E$1421,Documents!$A$2:$A$1421,$A159,Documents!$C$2:$C$1421,"all_inclusive")=0,"",_xlfn.MAXIFS(Documents!$E$2:$E$1421,Documents!$A$2:$A$1421,$A159,Documents!$C$2:$C$1421,"all_inclusive")),"")</f>
        <v/>
      </c>
      <c r="P159">
        <f>IFERROR(IF(_xlfn.MAXIFS(Documents!$E$2:$E$1421,Documents!$A$2:$A$1421,$A159,Documents!$C$2:$C$1421,"sustainability")=0,"",_xlfn.MAXIFS(Documents!$E$2:$E$1421,Documents!$A$2:$A$1421,$A159,Documents!$C$2:$C$1421,"sustainability")),"")</f>
        <v/>
      </c>
      <c r="Q159">
        <f>IFERROR(IF(_xlfn.MAXIFS(Documents!$E$2:$E$1421,Documents!$A$2:$A$1421,$A159,Documents!$C$2:$C$1421,"calendar")=0,"",_xlfn.MAXIFS(Documents!$E$2:$E$1421,Documents!$A$2:$A$1421,$A159,Documents!$C$2:$C$1421,"calendar")),"")</f>
        <v/>
      </c>
      <c r="R159">
        <f>IFERROR(IF(_xlfn.MAXIFS(Documents!$E$2:$E$1421,Documents!$A$2:$A$1421,$A159,Documents!$C$2:$C$1421,"brochure")=0,"",_xlfn.MAXIFS(Documents!$E$2:$E$1421,Documents!$A$2:$A$1421,$A159,Documents!$C$2:$C$1421,"brochure")),"")</f>
        <v/>
      </c>
      <c r="S159">
        <f>IFERROR(IF(_xlfn.MAXIFS(Documents!$E$2:$E$1421,Documents!$A$2:$A$1421,$A159,Documents!$C$2:$C$1421,"press_kit")=0,"",_xlfn.MAXIFS(Documents!$E$2:$E$1421,Documents!$A$2:$A$1421,$A159,Documents!$C$2:$C$1421,"press_kit")),"")</f>
        <v/>
      </c>
      <c r="T159">
        <f>IFERROR(IF(_xlfn.MAXIFS(Documents!$E$2:$E$1421,Documents!$A$2:$A$1421,$A159,Documents!$C$2:$C$1421,"other")=0,"",_xlfn.MAXIFS(Documents!$E$2:$E$1421,Documents!$A$2:$A$1421,$A159,Documents!$C$2:$C$1421,"other")),"")</f>
        <v/>
      </c>
      <c r="U159">
        <f>IFERROR(IF(_xlfn.MAXIFS(Documents!$E$2:$E$1421,Documents!$A$2:$A$1421,$A159,Documents!$C$2:$C$1421,"obsolete")=0,"",_xlfn.MAXIFS(Documents!$E$2:$E$1421,Documents!$A$2:$A$1421,$A159,Documents!$C$2:$C$1421,"obsolete")),"")</f>
        <v/>
      </c>
      <c r="V159">
        <f>COUNTIFS(Documents!$A$2:$A$1421,$A159)</f>
        <v/>
      </c>
      <c r="W159">
        <f>COUNTIFS(Documents!$A$2:$A$1421,$A159,Documents!$R$2:$R$1421,"current")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not crawled</t>
        </is>
      </c>
      <c r="D160">
        <f>IFERROR(IF(_xlfn.MAXIFS(Documents!$E$2:$E$1421,Documents!$A$2:$A$1421,$A160,Documents!$C$2:$C$1421,"factsheet")=0,"",_xlfn.MAXIFS(Documents!$E$2:$E$1421,Documents!$A$2:$A$1421,$A160,Documents!$C$2:$C$1421,"factsheet")),"")</f>
        <v/>
      </c>
      <c r="E160">
        <f>IFERROR(IF(_xlfn.MAXIFS(Documents!$E$2:$E$1421,Documents!$A$2:$A$1421,$A160,Documents!$C$2:$C$1421,"wedding")=0,"",_xlfn.MAXIFS(Documents!$E$2:$E$1421,Documents!$A$2:$A$1421,$A160,Documents!$C$2:$C$1421,"wedding")),"")</f>
        <v/>
      </c>
      <c r="F160">
        <f>IFERROR(IF(_xlfn.MAXIFS(Documents!$E$2:$E$1421,Documents!$A$2:$A$1421,$A160,Documents!$C$2:$C$1421,"events")=0,"",_xlfn.MAXIFS(Documents!$E$2:$E$1421,Documents!$A$2:$A$1421,$A160,Documents!$C$2:$C$1421,"events")),"")</f>
        <v/>
      </c>
      <c r="G160">
        <f>IFERROR(IF(_xlfn.MAXIFS(Documents!$E$2:$E$1421,Documents!$A$2:$A$1421,$A160,Documents!$C$2:$C$1421,"map")=0,"",_xlfn.MAXIFS(Documents!$E$2:$E$1421,Documents!$A$2:$A$1421,$A160,Documents!$C$2:$C$1421,"map")),"")</f>
        <v/>
      </c>
      <c r="H160">
        <f>IFERROR(IF(_xlfn.MAXIFS(Documents!$E$2:$E$1421,Documents!$A$2:$A$1421,$A160,Documents!$C$2:$C$1421,"dive_map")=0,"",_xlfn.MAXIFS(Documents!$E$2:$E$1421,Documents!$A$2:$A$1421,$A160,Documents!$C$2:$C$1421,"dive_map")),"")</f>
        <v/>
      </c>
      <c r="I160">
        <f>IFERROR(IF(_xlfn.MAXIFS(Documents!$E$2:$E$1421,Documents!$A$2:$A$1421,$A160,Documents!$C$2:$C$1421,"spa_menu")=0,"",_xlfn.MAXIFS(Documents!$E$2:$E$1421,Documents!$A$2:$A$1421,$A160,Documents!$C$2:$C$1421,"spa_menu")),"")</f>
        <v/>
      </c>
      <c r="J160">
        <f>IFERROR(IF(_xlfn.MAXIFS(Documents!$E$2:$E$1421,Documents!$A$2:$A$1421,$A160,Documents!$C$2:$C$1421,"dining_menu")=0,"",_xlfn.MAXIFS(Documents!$E$2:$E$1421,Documents!$A$2:$A$1421,$A160,Documents!$C$2:$C$1421,"dining_menu")),"")</f>
        <v/>
      </c>
      <c r="K160">
        <f>IFERROR(IF(_xlfn.MAXIFS(Documents!$E$2:$E$1421,Documents!$A$2:$A$1421,$A160,Documents!$C$2:$C$1421,"dive_prices")=0,"",_xlfn.MAXIFS(Documents!$E$2:$E$1421,Documents!$A$2:$A$1421,$A160,Documents!$C$2:$C$1421,"dive_prices")),"")</f>
        <v/>
      </c>
      <c r="L160">
        <f>IFERROR(IF(_xlfn.MAXIFS(Documents!$E$2:$E$1421,Documents!$A$2:$A$1421,$A160,Documents!$C$2:$C$1421,"excursions")=0,"",_xlfn.MAXIFS(Documents!$E$2:$E$1421,Documents!$A$2:$A$1421,$A160,Documents!$C$2:$C$1421,"excursions")),"")</f>
        <v/>
      </c>
      <c r="M160">
        <f>IFERROR(IF(_xlfn.MAXIFS(Documents!$E$2:$E$1421,Documents!$A$2:$A$1421,$A160,Documents!$C$2:$C$1421,"kids")=0,"",_xlfn.MAXIFS(Documents!$E$2:$E$1421,Documents!$A$2:$A$1421,$A160,Documents!$C$2:$C$1421,"kids")),"")</f>
        <v/>
      </c>
      <c r="N160">
        <f>IFERROR(IF(_xlfn.MAXIFS(Documents!$E$2:$E$1421,Documents!$A$2:$A$1421,$A160,Documents!$C$2:$C$1421,"villa_plans")=0,"",_xlfn.MAXIFS(Documents!$E$2:$E$1421,Documents!$A$2:$A$1421,$A160,Documents!$C$2:$C$1421,"villa_plans")),"")</f>
        <v/>
      </c>
      <c r="O160">
        <f>IFERROR(IF(_xlfn.MAXIFS(Documents!$E$2:$E$1421,Documents!$A$2:$A$1421,$A160,Documents!$C$2:$C$1421,"all_inclusive")=0,"",_xlfn.MAXIFS(Documents!$E$2:$E$1421,Documents!$A$2:$A$1421,$A160,Documents!$C$2:$C$1421,"all_inclusive")),"")</f>
        <v/>
      </c>
      <c r="P160">
        <f>IFERROR(IF(_xlfn.MAXIFS(Documents!$E$2:$E$1421,Documents!$A$2:$A$1421,$A160,Documents!$C$2:$C$1421,"sustainability")=0,"",_xlfn.MAXIFS(Documents!$E$2:$E$1421,Documents!$A$2:$A$1421,$A160,Documents!$C$2:$C$1421,"sustainability")),"")</f>
        <v/>
      </c>
      <c r="Q160">
        <f>IFERROR(IF(_xlfn.MAXIFS(Documents!$E$2:$E$1421,Documents!$A$2:$A$1421,$A160,Documents!$C$2:$C$1421,"calendar")=0,"",_xlfn.MAXIFS(Documents!$E$2:$E$1421,Documents!$A$2:$A$1421,$A160,Documents!$C$2:$C$1421,"calendar")),"")</f>
        <v/>
      </c>
      <c r="R160">
        <f>IFERROR(IF(_xlfn.MAXIFS(Documents!$E$2:$E$1421,Documents!$A$2:$A$1421,$A160,Documents!$C$2:$C$1421,"brochure")=0,"",_xlfn.MAXIFS(Documents!$E$2:$E$1421,Documents!$A$2:$A$1421,$A160,Documents!$C$2:$C$1421,"brochure")),"")</f>
        <v/>
      </c>
      <c r="S160">
        <f>IFERROR(IF(_xlfn.MAXIFS(Documents!$E$2:$E$1421,Documents!$A$2:$A$1421,$A160,Documents!$C$2:$C$1421,"press_kit")=0,"",_xlfn.MAXIFS(Documents!$E$2:$E$1421,Documents!$A$2:$A$1421,$A160,Documents!$C$2:$C$1421,"press_kit")),"")</f>
        <v/>
      </c>
      <c r="T160">
        <f>IFERROR(IF(_xlfn.MAXIFS(Documents!$E$2:$E$1421,Documents!$A$2:$A$1421,$A160,Documents!$C$2:$C$1421,"other")=0,"",_xlfn.MAXIFS(Documents!$E$2:$E$1421,Documents!$A$2:$A$1421,$A160,Documents!$C$2:$C$1421,"other")),"")</f>
        <v/>
      </c>
      <c r="U160">
        <f>IFERROR(IF(_xlfn.MAXIFS(Documents!$E$2:$E$1421,Documents!$A$2:$A$1421,$A160,Documents!$C$2:$C$1421,"obsolete")=0,"",_xlfn.MAXIFS(Documents!$E$2:$E$1421,Documents!$A$2:$A$1421,$A160,Documents!$C$2:$C$1421,"obsolete")),"")</f>
        <v/>
      </c>
      <c r="V160">
        <f>COUNTIFS(Documents!$A$2:$A$1421,$A160)</f>
        <v/>
      </c>
      <c r="W160">
        <f>COUNTIFS(Documents!$A$2:$A$1421,$A160,Documents!$R$2:$R$1421,"current")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not crawled</t>
        </is>
      </c>
      <c r="D161">
        <f>IFERROR(IF(_xlfn.MAXIFS(Documents!$E$2:$E$1421,Documents!$A$2:$A$1421,$A161,Documents!$C$2:$C$1421,"factsheet")=0,"",_xlfn.MAXIFS(Documents!$E$2:$E$1421,Documents!$A$2:$A$1421,$A161,Documents!$C$2:$C$1421,"factsheet")),"")</f>
        <v/>
      </c>
      <c r="E161">
        <f>IFERROR(IF(_xlfn.MAXIFS(Documents!$E$2:$E$1421,Documents!$A$2:$A$1421,$A161,Documents!$C$2:$C$1421,"wedding")=0,"",_xlfn.MAXIFS(Documents!$E$2:$E$1421,Documents!$A$2:$A$1421,$A161,Documents!$C$2:$C$1421,"wedding")),"")</f>
        <v/>
      </c>
      <c r="F161">
        <f>IFERROR(IF(_xlfn.MAXIFS(Documents!$E$2:$E$1421,Documents!$A$2:$A$1421,$A161,Documents!$C$2:$C$1421,"events")=0,"",_xlfn.MAXIFS(Documents!$E$2:$E$1421,Documents!$A$2:$A$1421,$A161,Documents!$C$2:$C$1421,"events")),"")</f>
        <v/>
      </c>
      <c r="G161">
        <f>IFERROR(IF(_xlfn.MAXIFS(Documents!$E$2:$E$1421,Documents!$A$2:$A$1421,$A161,Documents!$C$2:$C$1421,"map")=0,"",_xlfn.MAXIFS(Documents!$E$2:$E$1421,Documents!$A$2:$A$1421,$A161,Documents!$C$2:$C$1421,"map")),"")</f>
        <v/>
      </c>
      <c r="H161">
        <f>IFERROR(IF(_xlfn.MAXIFS(Documents!$E$2:$E$1421,Documents!$A$2:$A$1421,$A161,Documents!$C$2:$C$1421,"dive_map")=0,"",_xlfn.MAXIFS(Documents!$E$2:$E$1421,Documents!$A$2:$A$1421,$A161,Documents!$C$2:$C$1421,"dive_map")),"")</f>
        <v/>
      </c>
      <c r="I161">
        <f>IFERROR(IF(_xlfn.MAXIFS(Documents!$E$2:$E$1421,Documents!$A$2:$A$1421,$A161,Documents!$C$2:$C$1421,"spa_menu")=0,"",_xlfn.MAXIFS(Documents!$E$2:$E$1421,Documents!$A$2:$A$1421,$A161,Documents!$C$2:$C$1421,"spa_menu")),"")</f>
        <v/>
      </c>
      <c r="J161">
        <f>IFERROR(IF(_xlfn.MAXIFS(Documents!$E$2:$E$1421,Documents!$A$2:$A$1421,$A161,Documents!$C$2:$C$1421,"dining_menu")=0,"",_xlfn.MAXIFS(Documents!$E$2:$E$1421,Documents!$A$2:$A$1421,$A161,Documents!$C$2:$C$1421,"dining_menu")),"")</f>
        <v/>
      </c>
      <c r="K161">
        <f>IFERROR(IF(_xlfn.MAXIFS(Documents!$E$2:$E$1421,Documents!$A$2:$A$1421,$A161,Documents!$C$2:$C$1421,"dive_prices")=0,"",_xlfn.MAXIFS(Documents!$E$2:$E$1421,Documents!$A$2:$A$1421,$A161,Documents!$C$2:$C$1421,"dive_prices")),"")</f>
        <v/>
      </c>
      <c r="L161">
        <f>IFERROR(IF(_xlfn.MAXIFS(Documents!$E$2:$E$1421,Documents!$A$2:$A$1421,$A161,Documents!$C$2:$C$1421,"excursions")=0,"",_xlfn.MAXIFS(Documents!$E$2:$E$1421,Documents!$A$2:$A$1421,$A161,Documents!$C$2:$C$1421,"excursions")),"")</f>
        <v/>
      </c>
      <c r="M161">
        <f>IFERROR(IF(_xlfn.MAXIFS(Documents!$E$2:$E$1421,Documents!$A$2:$A$1421,$A161,Documents!$C$2:$C$1421,"kids")=0,"",_xlfn.MAXIFS(Documents!$E$2:$E$1421,Documents!$A$2:$A$1421,$A161,Documents!$C$2:$C$1421,"kids")),"")</f>
        <v/>
      </c>
      <c r="N161">
        <f>IFERROR(IF(_xlfn.MAXIFS(Documents!$E$2:$E$1421,Documents!$A$2:$A$1421,$A161,Documents!$C$2:$C$1421,"villa_plans")=0,"",_xlfn.MAXIFS(Documents!$E$2:$E$1421,Documents!$A$2:$A$1421,$A161,Documents!$C$2:$C$1421,"villa_plans")),"")</f>
        <v/>
      </c>
      <c r="O161">
        <f>IFERROR(IF(_xlfn.MAXIFS(Documents!$E$2:$E$1421,Documents!$A$2:$A$1421,$A161,Documents!$C$2:$C$1421,"all_inclusive")=0,"",_xlfn.MAXIFS(Documents!$E$2:$E$1421,Documents!$A$2:$A$1421,$A161,Documents!$C$2:$C$1421,"all_inclusive")),"")</f>
        <v/>
      </c>
      <c r="P161">
        <f>IFERROR(IF(_xlfn.MAXIFS(Documents!$E$2:$E$1421,Documents!$A$2:$A$1421,$A161,Documents!$C$2:$C$1421,"sustainability")=0,"",_xlfn.MAXIFS(Documents!$E$2:$E$1421,Documents!$A$2:$A$1421,$A161,Documents!$C$2:$C$1421,"sustainability")),"")</f>
        <v/>
      </c>
      <c r="Q161">
        <f>IFERROR(IF(_xlfn.MAXIFS(Documents!$E$2:$E$1421,Documents!$A$2:$A$1421,$A161,Documents!$C$2:$C$1421,"calendar")=0,"",_xlfn.MAXIFS(Documents!$E$2:$E$1421,Documents!$A$2:$A$1421,$A161,Documents!$C$2:$C$1421,"calendar")),"")</f>
        <v/>
      </c>
      <c r="R161">
        <f>IFERROR(IF(_xlfn.MAXIFS(Documents!$E$2:$E$1421,Documents!$A$2:$A$1421,$A161,Documents!$C$2:$C$1421,"brochure")=0,"",_xlfn.MAXIFS(Documents!$E$2:$E$1421,Documents!$A$2:$A$1421,$A161,Documents!$C$2:$C$1421,"brochure")),"")</f>
        <v/>
      </c>
      <c r="S161">
        <f>IFERROR(IF(_xlfn.MAXIFS(Documents!$E$2:$E$1421,Documents!$A$2:$A$1421,$A161,Documents!$C$2:$C$1421,"press_kit")=0,"",_xlfn.MAXIFS(Documents!$E$2:$E$1421,Documents!$A$2:$A$1421,$A161,Documents!$C$2:$C$1421,"press_kit")),"")</f>
        <v/>
      </c>
      <c r="T161">
        <f>IFERROR(IF(_xlfn.MAXIFS(Documents!$E$2:$E$1421,Documents!$A$2:$A$1421,$A161,Documents!$C$2:$C$1421,"other")=0,"",_xlfn.MAXIFS(Documents!$E$2:$E$1421,Documents!$A$2:$A$1421,$A161,Documents!$C$2:$C$1421,"other")),"")</f>
        <v/>
      </c>
      <c r="U161">
        <f>IFERROR(IF(_xlfn.MAXIFS(Documents!$E$2:$E$1421,Documents!$A$2:$A$1421,$A161,Documents!$C$2:$C$1421,"obsolete")=0,"",_xlfn.MAXIFS(Documents!$E$2:$E$1421,Documents!$A$2:$A$1421,$A161,Documents!$C$2:$C$1421,"obsolete")),"")</f>
        <v/>
      </c>
      <c r="V161">
        <f>COUNTIFS(Documents!$A$2:$A$1421,$A161)</f>
        <v/>
      </c>
      <c r="W161">
        <f>COUNTIFS(Documents!$A$2:$A$1421,$A161,Documents!$R$2:$R$1421,"current")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not crawled</t>
        </is>
      </c>
      <c r="D162">
        <f>IFERROR(IF(_xlfn.MAXIFS(Documents!$E$2:$E$1421,Documents!$A$2:$A$1421,$A162,Documents!$C$2:$C$1421,"factsheet")=0,"",_xlfn.MAXIFS(Documents!$E$2:$E$1421,Documents!$A$2:$A$1421,$A162,Documents!$C$2:$C$1421,"factsheet")),"")</f>
        <v/>
      </c>
      <c r="E162">
        <f>IFERROR(IF(_xlfn.MAXIFS(Documents!$E$2:$E$1421,Documents!$A$2:$A$1421,$A162,Documents!$C$2:$C$1421,"wedding")=0,"",_xlfn.MAXIFS(Documents!$E$2:$E$1421,Documents!$A$2:$A$1421,$A162,Documents!$C$2:$C$1421,"wedding")),"")</f>
        <v/>
      </c>
      <c r="F162">
        <f>IFERROR(IF(_xlfn.MAXIFS(Documents!$E$2:$E$1421,Documents!$A$2:$A$1421,$A162,Documents!$C$2:$C$1421,"events")=0,"",_xlfn.MAXIFS(Documents!$E$2:$E$1421,Documents!$A$2:$A$1421,$A162,Documents!$C$2:$C$1421,"events")),"")</f>
        <v/>
      </c>
      <c r="G162">
        <f>IFERROR(IF(_xlfn.MAXIFS(Documents!$E$2:$E$1421,Documents!$A$2:$A$1421,$A162,Documents!$C$2:$C$1421,"map")=0,"",_xlfn.MAXIFS(Documents!$E$2:$E$1421,Documents!$A$2:$A$1421,$A162,Documents!$C$2:$C$1421,"map")),"")</f>
        <v/>
      </c>
      <c r="H162">
        <f>IFERROR(IF(_xlfn.MAXIFS(Documents!$E$2:$E$1421,Documents!$A$2:$A$1421,$A162,Documents!$C$2:$C$1421,"dive_map")=0,"",_xlfn.MAXIFS(Documents!$E$2:$E$1421,Documents!$A$2:$A$1421,$A162,Documents!$C$2:$C$1421,"dive_map")),"")</f>
        <v/>
      </c>
      <c r="I162">
        <f>IFERROR(IF(_xlfn.MAXIFS(Documents!$E$2:$E$1421,Documents!$A$2:$A$1421,$A162,Documents!$C$2:$C$1421,"spa_menu")=0,"",_xlfn.MAXIFS(Documents!$E$2:$E$1421,Documents!$A$2:$A$1421,$A162,Documents!$C$2:$C$1421,"spa_menu")),"")</f>
        <v/>
      </c>
      <c r="J162">
        <f>IFERROR(IF(_xlfn.MAXIFS(Documents!$E$2:$E$1421,Documents!$A$2:$A$1421,$A162,Documents!$C$2:$C$1421,"dining_menu")=0,"",_xlfn.MAXIFS(Documents!$E$2:$E$1421,Documents!$A$2:$A$1421,$A162,Documents!$C$2:$C$1421,"dining_menu")),"")</f>
        <v/>
      </c>
      <c r="K162">
        <f>IFERROR(IF(_xlfn.MAXIFS(Documents!$E$2:$E$1421,Documents!$A$2:$A$1421,$A162,Documents!$C$2:$C$1421,"dive_prices")=0,"",_xlfn.MAXIFS(Documents!$E$2:$E$1421,Documents!$A$2:$A$1421,$A162,Documents!$C$2:$C$1421,"dive_prices")),"")</f>
        <v/>
      </c>
      <c r="L162">
        <f>IFERROR(IF(_xlfn.MAXIFS(Documents!$E$2:$E$1421,Documents!$A$2:$A$1421,$A162,Documents!$C$2:$C$1421,"excursions")=0,"",_xlfn.MAXIFS(Documents!$E$2:$E$1421,Documents!$A$2:$A$1421,$A162,Documents!$C$2:$C$1421,"excursions")),"")</f>
        <v/>
      </c>
      <c r="M162">
        <f>IFERROR(IF(_xlfn.MAXIFS(Documents!$E$2:$E$1421,Documents!$A$2:$A$1421,$A162,Documents!$C$2:$C$1421,"kids")=0,"",_xlfn.MAXIFS(Documents!$E$2:$E$1421,Documents!$A$2:$A$1421,$A162,Documents!$C$2:$C$1421,"kids")),"")</f>
        <v/>
      </c>
      <c r="N162">
        <f>IFERROR(IF(_xlfn.MAXIFS(Documents!$E$2:$E$1421,Documents!$A$2:$A$1421,$A162,Documents!$C$2:$C$1421,"villa_plans")=0,"",_xlfn.MAXIFS(Documents!$E$2:$E$1421,Documents!$A$2:$A$1421,$A162,Documents!$C$2:$C$1421,"villa_plans")),"")</f>
        <v/>
      </c>
      <c r="O162">
        <f>IFERROR(IF(_xlfn.MAXIFS(Documents!$E$2:$E$1421,Documents!$A$2:$A$1421,$A162,Documents!$C$2:$C$1421,"all_inclusive")=0,"",_xlfn.MAXIFS(Documents!$E$2:$E$1421,Documents!$A$2:$A$1421,$A162,Documents!$C$2:$C$1421,"all_inclusive")),"")</f>
        <v/>
      </c>
      <c r="P162">
        <f>IFERROR(IF(_xlfn.MAXIFS(Documents!$E$2:$E$1421,Documents!$A$2:$A$1421,$A162,Documents!$C$2:$C$1421,"sustainability")=0,"",_xlfn.MAXIFS(Documents!$E$2:$E$1421,Documents!$A$2:$A$1421,$A162,Documents!$C$2:$C$1421,"sustainability")),"")</f>
        <v/>
      </c>
      <c r="Q162">
        <f>IFERROR(IF(_xlfn.MAXIFS(Documents!$E$2:$E$1421,Documents!$A$2:$A$1421,$A162,Documents!$C$2:$C$1421,"calendar")=0,"",_xlfn.MAXIFS(Documents!$E$2:$E$1421,Documents!$A$2:$A$1421,$A162,Documents!$C$2:$C$1421,"calendar")),"")</f>
        <v/>
      </c>
      <c r="R162">
        <f>IFERROR(IF(_xlfn.MAXIFS(Documents!$E$2:$E$1421,Documents!$A$2:$A$1421,$A162,Documents!$C$2:$C$1421,"brochure")=0,"",_xlfn.MAXIFS(Documents!$E$2:$E$1421,Documents!$A$2:$A$1421,$A162,Documents!$C$2:$C$1421,"brochure")),"")</f>
        <v/>
      </c>
      <c r="S162">
        <f>IFERROR(IF(_xlfn.MAXIFS(Documents!$E$2:$E$1421,Documents!$A$2:$A$1421,$A162,Documents!$C$2:$C$1421,"press_kit")=0,"",_xlfn.MAXIFS(Documents!$E$2:$E$1421,Documents!$A$2:$A$1421,$A162,Documents!$C$2:$C$1421,"press_kit")),"")</f>
        <v/>
      </c>
      <c r="T162">
        <f>IFERROR(IF(_xlfn.MAXIFS(Documents!$E$2:$E$1421,Documents!$A$2:$A$1421,$A162,Documents!$C$2:$C$1421,"other")=0,"",_xlfn.MAXIFS(Documents!$E$2:$E$1421,Documents!$A$2:$A$1421,$A162,Documents!$C$2:$C$1421,"other")),"")</f>
        <v/>
      </c>
      <c r="U162">
        <f>IFERROR(IF(_xlfn.MAXIFS(Documents!$E$2:$E$1421,Documents!$A$2:$A$1421,$A162,Documents!$C$2:$C$1421,"obsolete")=0,"",_xlfn.MAXIFS(Documents!$E$2:$E$1421,Documents!$A$2:$A$1421,$A162,Documents!$C$2:$C$1421,"obsolete")),"")</f>
        <v/>
      </c>
      <c r="V162">
        <f>COUNTIFS(Documents!$A$2:$A$1421,$A162)</f>
        <v/>
      </c>
      <c r="W162">
        <f>COUNTIFS(Documents!$A$2:$A$1421,$A162,Documents!$R$2:$R$1421,"current")</f>
        <v/>
      </c>
      <c r="X162" t="inlineStr"/>
      <c r="Y162" t="inlineStr">
        <is>
          <t>factsheet, wedding, events</t>
        </is>
      </c>
      <c r="Z162" t="inlineStr"/>
    </row>
    <row r="163">
      <c r="A163" t="n">
        <v>162</v>
      </c>
      <c r="B163" t="inlineStr">
        <is>
          <t>The Marina at Crossroads Maldives</t>
        </is>
      </c>
      <c r="C163" t="inlineStr">
        <is>
          <t>not crawled</t>
        </is>
      </c>
      <c r="D163">
        <f>IFERROR(IF(_xlfn.MAXIFS(Documents!$E$2:$E$1421,Documents!$A$2:$A$1421,$A163,Documents!$C$2:$C$1421,"factsheet")=0,"",_xlfn.MAXIFS(Documents!$E$2:$E$1421,Documents!$A$2:$A$1421,$A163,Documents!$C$2:$C$1421,"factsheet")),"")</f>
        <v/>
      </c>
      <c r="E163">
        <f>IFERROR(IF(_xlfn.MAXIFS(Documents!$E$2:$E$1421,Documents!$A$2:$A$1421,$A163,Documents!$C$2:$C$1421,"wedding")=0,"",_xlfn.MAXIFS(Documents!$E$2:$E$1421,Documents!$A$2:$A$1421,$A163,Documents!$C$2:$C$1421,"wedding")),"")</f>
        <v/>
      </c>
      <c r="F163">
        <f>IFERROR(IF(_xlfn.MAXIFS(Documents!$E$2:$E$1421,Documents!$A$2:$A$1421,$A163,Documents!$C$2:$C$1421,"events")=0,"",_xlfn.MAXIFS(Documents!$E$2:$E$1421,Documents!$A$2:$A$1421,$A163,Documents!$C$2:$C$1421,"events")),"")</f>
        <v/>
      </c>
      <c r="G163">
        <f>IFERROR(IF(_xlfn.MAXIFS(Documents!$E$2:$E$1421,Documents!$A$2:$A$1421,$A163,Documents!$C$2:$C$1421,"map")=0,"",_xlfn.MAXIFS(Documents!$E$2:$E$1421,Documents!$A$2:$A$1421,$A163,Documents!$C$2:$C$1421,"map")),"")</f>
        <v/>
      </c>
      <c r="H163">
        <f>IFERROR(IF(_xlfn.MAXIFS(Documents!$E$2:$E$1421,Documents!$A$2:$A$1421,$A163,Documents!$C$2:$C$1421,"dive_map")=0,"",_xlfn.MAXIFS(Documents!$E$2:$E$1421,Documents!$A$2:$A$1421,$A163,Documents!$C$2:$C$1421,"dive_map")),"")</f>
        <v/>
      </c>
      <c r="I163">
        <f>IFERROR(IF(_xlfn.MAXIFS(Documents!$E$2:$E$1421,Documents!$A$2:$A$1421,$A163,Documents!$C$2:$C$1421,"spa_menu")=0,"",_xlfn.MAXIFS(Documents!$E$2:$E$1421,Documents!$A$2:$A$1421,$A163,Documents!$C$2:$C$1421,"spa_menu")),"")</f>
        <v/>
      </c>
      <c r="J163">
        <f>IFERROR(IF(_xlfn.MAXIFS(Documents!$E$2:$E$1421,Documents!$A$2:$A$1421,$A163,Documents!$C$2:$C$1421,"dining_menu")=0,"",_xlfn.MAXIFS(Documents!$E$2:$E$1421,Documents!$A$2:$A$1421,$A163,Documents!$C$2:$C$1421,"dining_menu")),"")</f>
        <v/>
      </c>
      <c r="K163">
        <f>IFERROR(IF(_xlfn.MAXIFS(Documents!$E$2:$E$1421,Documents!$A$2:$A$1421,$A163,Documents!$C$2:$C$1421,"dive_prices")=0,"",_xlfn.MAXIFS(Documents!$E$2:$E$1421,Documents!$A$2:$A$1421,$A163,Documents!$C$2:$C$1421,"dive_prices")),"")</f>
        <v/>
      </c>
      <c r="L163">
        <f>IFERROR(IF(_xlfn.MAXIFS(Documents!$E$2:$E$1421,Documents!$A$2:$A$1421,$A163,Documents!$C$2:$C$1421,"excursions")=0,"",_xlfn.MAXIFS(Documents!$E$2:$E$1421,Documents!$A$2:$A$1421,$A163,Documents!$C$2:$C$1421,"excursions")),"")</f>
        <v/>
      </c>
      <c r="M163">
        <f>IFERROR(IF(_xlfn.MAXIFS(Documents!$E$2:$E$1421,Documents!$A$2:$A$1421,$A163,Documents!$C$2:$C$1421,"kids")=0,"",_xlfn.MAXIFS(Documents!$E$2:$E$1421,Documents!$A$2:$A$1421,$A163,Documents!$C$2:$C$1421,"kids")),"")</f>
        <v/>
      </c>
      <c r="N163">
        <f>IFERROR(IF(_xlfn.MAXIFS(Documents!$E$2:$E$1421,Documents!$A$2:$A$1421,$A163,Documents!$C$2:$C$1421,"villa_plans")=0,"",_xlfn.MAXIFS(Documents!$E$2:$E$1421,Documents!$A$2:$A$1421,$A163,Documents!$C$2:$C$1421,"villa_plans")),"")</f>
        <v/>
      </c>
      <c r="O163">
        <f>IFERROR(IF(_xlfn.MAXIFS(Documents!$E$2:$E$1421,Documents!$A$2:$A$1421,$A163,Documents!$C$2:$C$1421,"all_inclusive")=0,"",_xlfn.MAXIFS(Documents!$E$2:$E$1421,Documents!$A$2:$A$1421,$A163,Documents!$C$2:$C$1421,"all_inclusive")),"")</f>
        <v/>
      </c>
      <c r="P163">
        <f>IFERROR(IF(_xlfn.MAXIFS(Documents!$E$2:$E$1421,Documents!$A$2:$A$1421,$A163,Documents!$C$2:$C$1421,"sustainability")=0,"",_xlfn.MAXIFS(Documents!$E$2:$E$1421,Documents!$A$2:$A$1421,$A163,Documents!$C$2:$C$1421,"sustainability")),"")</f>
        <v/>
      </c>
      <c r="Q163">
        <f>IFERROR(IF(_xlfn.MAXIFS(Documents!$E$2:$E$1421,Documents!$A$2:$A$1421,$A163,Documents!$C$2:$C$1421,"calendar")=0,"",_xlfn.MAXIFS(Documents!$E$2:$E$1421,Documents!$A$2:$A$1421,$A163,Documents!$C$2:$C$1421,"calendar")),"")</f>
        <v/>
      </c>
      <c r="R163">
        <f>IFERROR(IF(_xlfn.MAXIFS(Documents!$E$2:$E$1421,Documents!$A$2:$A$1421,$A163,Documents!$C$2:$C$1421,"brochure")=0,"",_xlfn.MAXIFS(Documents!$E$2:$E$1421,Documents!$A$2:$A$1421,$A163,Documents!$C$2:$C$1421,"brochure")),"")</f>
        <v/>
      </c>
      <c r="S163">
        <f>IFERROR(IF(_xlfn.MAXIFS(Documents!$E$2:$E$1421,Documents!$A$2:$A$1421,$A163,Documents!$C$2:$C$1421,"press_kit")=0,"",_xlfn.MAXIFS(Documents!$E$2:$E$1421,Documents!$A$2:$A$1421,$A163,Documents!$C$2:$C$1421,"press_kit")),"")</f>
        <v/>
      </c>
      <c r="T163">
        <f>IFERROR(IF(_xlfn.MAXIFS(Documents!$E$2:$E$1421,Documents!$A$2:$A$1421,$A163,Documents!$C$2:$C$1421,"other")=0,"",_xlfn.MAXIFS(Documents!$E$2:$E$1421,Documents!$A$2:$A$1421,$A163,Documents!$C$2:$C$1421,"other")),"")</f>
        <v/>
      </c>
      <c r="U163">
        <f>IFERROR(IF(_xlfn.MAXIFS(Documents!$E$2:$E$1421,Documents!$A$2:$A$1421,$A163,Documents!$C$2:$C$1421,"obsolete")=0,"",_xlfn.MAXIFS(Documents!$E$2:$E$1421,Documents!$A$2:$A$1421,$A163,Documents!$C$2:$C$1421,"obsolete")),"")</f>
        <v/>
      </c>
      <c r="V163">
        <f>COUNTIFS(Documents!$A$2:$A$1421,$A163)</f>
        <v/>
      </c>
      <c r="W163">
        <f>COUNTIFS(Documents!$A$2:$A$1421,$A163,Documents!$R$2:$R$1421,"current")</f>
        <v/>
      </c>
      <c r="X163" t="inlineStr"/>
      <c r="Y163" t="inlineStr">
        <is>
          <t>factsheet, wedding, events</t>
        </is>
      </c>
      <c r="Z163" t="inlineStr"/>
    </row>
    <row r="164">
      <c r="A164" t="n">
        <v>163</v>
      </c>
      <c r="B164" t="inlineStr">
        <is>
          <t>Adaaran Prestige Vadoo</t>
        </is>
      </c>
      <c r="C164" t="inlineStr">
        <is>
          <t>not crawled</t>
        </is>
      </c>
      <c r="D164">
        <f>IFERROR(IF(_xlfn.MAXIFS(Documents!$E$2:$E$1421,Documents!$A$2:$A$1421,$A164,Documents!$C$2:$C$1421,"factsheet")=0,"",_xlfn.MAXIFS(Documents!$E$2:$E$1421,Documents!$A$2:$A$1421,$A164,Documents!$C$2:$C$1421,"factsheet")),"")</f>
        <v/>
      </c>
      <c r="E164">
        <f>IFERROR(IF(_xlfn.MAXIFS(Documents!$E$2:$E$1421,Documents!$A$2:$A$1421,$A164,Documents!$C$2:$C$1421,"wedding")=0,"",_xlfn.MAXIFS(Documents!$E$2:$E$1421,Documents!$A$2:$A$1421,$A164,Documents!$C$2:$C$1421,"wedding")),"")</f>
        <v/>
      </c>
      <c r="F164">
        <f>IFERROR(IF(_xlfn.MAXIFS(Documents!$E$2:$E$1421,Documents!$A$2:$A$1421,$A164,Documents!$C$2:$C$1421,"events")=0,"",_xlfn.MAXIFS(Documents!$E$2:$E$1421,Documents!$A$2:$A$1421,$A164,Documents!$C$2:$C$1421,"events")),"")</f>
        <v/>
      </c>
      <c r="G164">
        <f>IFERROR(IF(_xlfn.MAXIFS(Documents!$E$2:$E$1421,Documents!$A$2:$A$1421,$A164,Documents!$C$2:$C$1421,"map")=0,"",_xlfn.MAXIFS(Documents!$E$2:$E$1421,Documents!$A$2:$A$1421,$A164,Documents!$C$2:$C$1421,"map")),"")</f>
        <v/>
      </c>
      <c r="H164">
        <f>IFERROR(IF(_xlfn.MAXIFS(Documents!$E$2:$E$1421,Documents!$A$2:$A$1421,$A164,Documents!$C$2:$C$1421,"dive_map")=0,"",_xlfn.MAXIFS(Documents!$E$2:$E$1421,Documents!$A$2:$A$1421,$A164,Documents!$C$2:$C$1421,"dive_map")),"")</f>
        <v/>
      </c>
      <c r="I164">
        <f>IFERROR(IF(_xlfn.MAXIFS(Documents!$E$2:$E$1421,Documents!$A$2:$A$1421,$A164,Documents!$C$2:$C$1421,"spa_menu")=0,"",_xlfn.MAXIFS(Documents!$E$2:$E$1421,Documents!$A$2:$A$1421,$A164,Documents!$C$2:$C$1421,"spa_menu")),"")</f>
        <v/>
      </c>
      <c r="J164">
        <f>IFERROR(IF(_xlfn.MAXIFS(Documents!$E$2:$E$1421,Documents!$A$2:$A$1421,$A164,Documents!$C$2:$C$1421,"dining_menu")=0,"",_xlfn.MAXIFS(Documents!$E$2:$E$1421,Documents!$A$2:$A$1421,$A164,Documents!$C$2:$C$1421,"dining_menu")),"")</f>
        <v/>
      </c>
      <c r="K164">
        <f>IFERROR(IF(_xlfn.MAXIFS(Documents!$E$2:$E$1421,Documents!$A$2:$A$1421,$A164,Documents!$C$2:$C$1421,"dive_prices")=0,"",_xlfn.MAXIFS(Documents!$E$2:$E$1421,Documents!$A$2:$A$1421,$A164,Documents!$C$2:$C$1421,"dive_prices")),"")</f>
        <v/>
      </c>
      <c r="L164">
        <f>IFERROR(IF(_xlfn.MAXIFS(Documents!$E$2:$E$1421,Documents!$A$2:$A$1421,$A164,Documents!$C$2:$C$1421,"excursions")=0,"",_xlfn.MAXIFS(Documents!$E$2:$E$1421,Documents!$A$2:$A$1421,$A164,Documents!$C$2:$C$1421,"excursions")),"")</f>
        <v/>
      </c>
      <c r="M164">
        <f>IFERROR(IF(_xlfn.MAXIFS(Documents!$E$2:$E$1421,Documents!$A$2:$A$1421,$A164,Documents!$C$2:$C$1421,"kids")=0,"",_xlfn.MAXIFS(Documents!$E$2:$E$1421,Documents!$A$2:$A$1421,$A164,Documents!$C$2:$C$1421,"kids")),"")</f>
        <v/>
      </c>
      <c r="N164">
        <f>IFERROR(IF(_xlfn.MAXIFS(Documents!$E$2:$E$1421,Documents!$A$2:$A$1421,$A164,Documents!$C$2:$C$1421,"villa_plans")=0,"",_xlfn.MAXIFS(Documents!$E$2:$E$1421,Documents!$A$2:$A$1421,$A164,Documents!$C$2:$C$1421,"villa_plans")),"")</f>
        <v/>
      </c>
      <c r="O164">
        <f>IFERROR(IF(_xlfn.MAXIFS(Documents!$E$2:$E$1421,Documents!$A$2:$A$1421,$A164,Documents!$C$2:$C$1421,"all_inclusive")=0,"",_xlfn.MAXIFS(Documents!$E$2:$E$1421,Documents!$A$2:$A$1421,$A164,Documents!$C$2:$C$1421,"all_inclusive")),"")</f>
        <v/>
      </c>
      <c r="P164">
        <f>IFERROR(IF(_xlfn.MAXIFS(Documents!$E$2:$E$1421,Documents!$A$2:$A$1421,$A164,Documents!$C$2:$C$1421,"sustainability")=0,"",_xlfn.MAXIFS(Documents!$E$2:$E$1421,Documents!$A$2:$A$1421,$A164,Documents!$C$2:$C$1421,"sustainability")),"")</f>
        <v/>
      </c>
      <c r="Q164">
        <f>IFERROR(IF(_xlfn.MAXIFS(Documents!$E$2:$E$1421,Documents!$A$2:$A$1421,$A164,Documents!$C$2:$C$1421,"calendar")=0,"",_xlfn.MAXIFS(Documents!$E$2:$E$1421,Documents!$A$2:$A$1421,$A164,Documents!$C$2:$C$1421,"calendar")),"")</f>
        <v/>
      </c>
      <c r="R164">
        <f>IFERROR(IF(_xlfn.MAXIFS(Documents!$E$2:$E$1421,Documents!$A$2:$A$1421,$A164,Documents!$C$2:$C$1421,"brochure")=0,"",_xlfn.MAXIFS(Documents!$E$2:$E$1421,Documents!$A$2:$A$1421,$A164,Documents!$C$2:$C$1421,"brochure")),"")</f>
        <v/>
      </c>
      <c r="S164">
        <f>IFERROR(IF(_xlfn.MAXIFS(Documents!$E$2:$E$1421,Documents!$A$2:$A$1421,$A164,Documents!$C$2:$C$1421,"press_kit")=0,"",_xlfn.MAXIFS(Documents!$E$2:$E$1421,Documents!$A$2:$A$1421,$A164,Documents!$C$2:$C$1421,"press_kit")),"")</f>
        <v/>
      </c>
      <c r="T164">
        <f>IFERROR(IF(_xlfn.MAXIFS(Documents!$E$2:$E$1421,Documents!$A$2:$A$1421,$A164,Documents!$C$2:$C$1421,"other")=0,"",_xlfn.MAXIFS(Documents!$E$2:$E$1421,Documents!$A$2:$A$1421,$A164,Documents!$C$2:$C$1421,"other")),"")</f>
        <v/>
      </c>
      <c r="U164">
        <f>IFERROR(IF(_xlfn.MAXIFS(Documents!$E$2:$E$1421,Documents!$A$2:$A$1421,$A164,Documents!$C$2:$C$1421,"obsolete")=0,"",_xlfn.MAXIFS(Documents!$E$2:$E$1421,Documents!$A$2:$A$1421,$A164,Documents!$C$2:$C$1421,"obsolete")),"")</f>
        <v/>
      </c>
      <c r="V164">
        <f>COUNTIFS(Documents!$A$2:$A$1421,$A164)</f>
        <v/>
      </c>
      <c r="W164">
        <f>COUNTIFS(Documents!$A$2:$A$1421,$A164,Documents!$R$2:$R$1421,"current")</f>
        <v/>
      </c>
      <c r="X164">
        <f>HYPERLINK("https://www.neoscapesmaldives.com/wp-content/uploads/Fact-Sheet-Adaara-Prestige-Vadoo.pdf","2023_Fact-Sheet-Adaara-Prestige-Vadoo.pd")</f>
        <v/>
      </c>
      <c r="Y164" t="inlineStr">
        <is>
          <t>wedding, events</t>
        </is>
      </c>
      <c r="Z164" t="inlineStr"/>
    </row>
    <row r="165">
      <c r="A165" t="n">
        <v>164</v>
      </c>
      <c r="B165" t="inlineStr">
        <is>
          <t>Baros Maldives</t>
        </is>
      </c>
      <c r="C165" t="inlineStr">
        <is>
          <t>not crawled</t>
        </is>
      </c>
      <c r="D165">
        <f>IFERROR(IF(_xlfn.MAXIFS(Documents!$E$2:$E$1421,Documents!$A$2:$A$1421,$A165,Documents!$C$2:$C$1421,"factsheet")=0,"",_xlfn.MAXIFS(Documents!$E$2:$E$1421,Documents!$A$2:$A$1421,$A165,Documents!$C$2:$C$1421,"factsheet")),"")</f>
        <v/>
      </c>
      <c r="E165">
        <f>IFERROR(IF(_xlfn.MAXIFS(Documents!$E$2:$E$1421,Documents!$A$2:$A$1421,$A165,Documents!$C$2:$C$1421,"wedding")=0,"",_xlfn.MAXIFS(Documents!$E$2:$E$1421,Documents!$A$2:$A$1421,$A165,Documents!$C$2:$C$1421,"wedding")),"")</f>
        <v/>
      </c>
      <c r="F165">
        <f>IFERROR(IF(_xlfn.MAXIFS(Documents!$E$2:$E$1421,Documents!$A$2:$A$1421,$A165,Documents!$C$2:$C$1421,"events")=0,"",_xlfn.MAXIFS(Documents!$E$2:$E$1421,Documents!$A$2:$A$1421,$A165,Documents!$C$2:$C$1421,"events")),"")</f>
        <v/>
      </c>
      <c r="G165">
        <f>IFERROR(IF(_xlfn.MAXIFS(Documents!$E$2:$E$1421,Documents!$A$2:$A$1421,$A165,Documents!$C$2:$C$1421,"map")=0,"",_xlfn.MAXIFS(Documents!$E$2:$E$1421,Documents!$A$2:$A$1421,$A165,Documents!$C$2:$C$1421,"map")),"")</f>
        <v/>
      </c>
      <c r="H165">
        <f>IFERROR(IF(_xlfn.MAXIFS(Documents!$E$2:$E$1421,Documents!$A$2:$A$1421,$A165,Documents!$C$2:$C$1421,"dive_map")=0,"",_xlfn.MAXIFS(Documents!$E$2:$E$1421,Documents!$A$2:$A$1421,$A165,Documents!$C$2:$C$1421,"dive_map")),"")</f>
        <v/>
      </c>
      <c r="I165">
        <f>IFERROR(IF(_xlfn.MAXIFS(Documents!$E$2:$E$1421,Documents!$A$2:$A$1421,$A165,Documents!$C$2:$C$1421,"spa_menu")=0,"",_xlfn.MAXIFS(Documents!$E$2:$E$1421,Documents!$A$2:$A$1421,$A165,Documents!$C$2:$C$1421,"spa_menu")),"")</f>
        <v/>
      </c>
      <c r="J165">
        <f>IFERROR(IF(_xlfn.MAXIFS(Documents!$E$2:$E$1421,Documents!$A$2:$A$1421,$A165,Documents!$C$2:$C$1421,"dining_menu")=0,"",_xlfn.MAXIFS(Documents!$E$2:$E$1421,Documents!$A$2:$A$1421,$A165,Documents!$C$2:$C$1421,"dining_menu")),"")</f>
        <v/>
      </c>
      <c r="K165">
        <f>IFERROR(IF(_xlfn.MAXIFS(Documents!$E$2:$E$1421,Documents!$A$2:$A$1421,$A165,Documents!$C$2:$C$1421,"dive_prices")=0,"",_xlfn.MAXIFS(Documents!$E$2:$E$1421,Documents!$A$2:$A$1421,$A165,Documents!$C$2:$C$1421,"dive_prices")),"")</f>
        <v/>
      </c>
      <c r="L165">
        <f>IFERROR(IF(_xlfn.MAXIFS(Documents!$E$2:$E$1421,Documents!$A$2:$A$1421,$A165,Documents!$C$2:$C$1421,"excursions")=0,"",_xlfn.MAXIFS(Documents!$E$2:$E$1421,Documents!$A$2:$A$1421,$A165,Documents!$C$2:$C$1421,"excursions")),"")</f>
        <v/>
      </c>
      <c r="M165">
        <f>IFERROR(IF(_xlfn.MAXIFS(Documents!$E$2:$E$1421,Documents!$A$2:$A$1421,$A165,Documents!$C$2:$C$1421,"kids")=0,"",_xlfn.MAXIFS(Documents!$E$2:$E$1421,Documents!$A$2:$A$1421,$A165,Documents!$C$2:$C$1421,"kids")),"")</f>
        <v/>
      </c>
      <c r="N165">
        <f>IFERROR(IF(_xlfn.MAXIFS(Documents!$E$2:$E$1421,Documents!$A$2:$A$1421,$A165,Documents!$C$2:$C$1421,"villa_plans")=0,"",_xlfn.MAXIFS(Documents!$E$2:$E$1421,Documents!$A$2:$A$1421,$A165,Documents!$C$2:$C$1421,"villa_plans")),"")</f>
        <v/>
      </c>
      <c r="O165">
        <f>IFERROR(IF(_xlfn.MAXIFS(Documents!$E$2:$E$1421,Documents!$A$2:$A$1421,$A165,Documents!$C$2:$C$1421,"all_inclusive")=0,"",_xlfn.MAXIFS(Documents!$E$2:$E$1421,Documents!$A$2:$A$1421,$A165,Documents!$C$2:$C$1421,"all_inclusive")),"")</f>
        <v/>
      </c>
      <c r="P165">
        <f>IFERROR(IF(_xlfn.MAXIFS(Documents!$E$2:$E$1421,Documents!$A$2:$A$1421,$A165,Documents!$C$2:$C$1421,"sustainability")=0,"",_xlfn.MAXIFS(Documents!$E$2:$E$1421,Documents!$A$2:$A$1421,$A165,Documents!$C$2:$C$1421,"sustainability")),"")</f>
        <v/>
      </c>
      <c r="Q165">
        <f>IFERROR(IF(_xlfn.MAXIFS(Documents!$E$2:$E$1421,Documents!$A$2:$A$1421,$A165,Documents!$C$2:$C$1421,"calendar")=0,"",_xlfn.MAXIFS(Documents!$E$2:$E$1421,Documents!$A$2:$A$1421,$A165,Documents!$C$2:$C$1421,"calendar")),"")</f>
        <v/>
      </c>
      <c r="R165">
        <f>IFERROR(IF(_xlfn.MAXIFS(Documents!$E$2:$E$1421,Documents!$A$2:$A$1421,$A165,Documents!$C$2:$C$1421,"brochure")=0,"",_xlfn.MAXIFS(Documents!$E$2:$E$1421,Documents!$A$2:$A$1421,$A165,Documents!$C$2:$C$1421,"brochure")),"")</f>
        <v/>
      </c>
      <c r="S165">
        <f>IFERROR(IF(_xlfn.MAXIFS(Documents!$E$2:$E$1421,Documents!$A$2:$A$1421,$A165,Documents!$C$2:$C$1421,"press_kit")=0,"",_xlfn.MAXIFS(Documents!$E$2:$E$1421,Documents!$A$2:$A$1421,$A165,Documents!$C$2:$C$1421,"press_kit")),"")</f>
        <v/>
      </c>
      <c r="T165">
        <f>IFERROR(IF(_xlfn.MAXIFS(Documents!$E$2:$E$1421,Documents!$A$2:$A$1421,$A165,Documents!$C$2:$C$1421,"other")=0,"",_xlfn.MAXIFS(Documents!$E$2:$E$1421,Documents!$A$2:$A$1421,$A165,Documents!$C$2:$C$1421,"other")),"")</f>
        <v/>
      </c>
      <c r="U165">
        <f>IFERROR(IF(_xlfn.MAXIFS(Documents!$E$2:$E$1421,Documents!$A$2:$A$1421,$A165,Documents!$C$2:$C$1421,"obsolete")=0,"",_xlfn.MAXIFS(Documents!$E$2:$E$1421,Documents!$A$2:$A$1421,$A165,Documents!$C$2:$C$1421,"obsolete")),"")</f>
        <v/>
      </c>
      <c r="V165">
        <f>COUNTIFS(Documents!$A$2:$A$1421,$A165)</f>
        <v/>
      </c>
      <c r="W165">
        <f>COUNTIFS(Documents!$A$2:$A$1421,$A165,Documents!$R$2:$R$1421,"current")</f>
        <v/>
      </c>
      <c r="X165">
        <f>HYPERLINK("https://awesomegetawaymaldives.com/wp-content/uploads/2026/03/Baros.pdf","2026_Baros.pdf")</f>
        <v/>
      </c>
      <c r="Y165" t="inlineStr">
        <is>
          <t>wedding, events</t>
        </is>
      </c>
      <c r="Z165" t="inlineStr"/>
    </row>
    <row r="166">
      <c r="A166" t="n">
        <v>165</v>
      </c>
      <c r="B166" t="inlineStr">
        <is>
          <t>Velassaru Maldives</t>
        </is>
      </c>
      <c r="C166" t="inlineStr">
        <is>
          <t>not crawled</t>
        </is>
      </c>
      <c r="D166">
        <f>IFERROR(IF(_xlfn.MAXIFS(Documents!$E$2:$E$1421,Documents!$A$2:$A$1421,$A166,Documents!$C$2:$C$1421,"factsheet")=0,"",_xlfn.MAXIFS(Documents!$E$2:$E$1421,Documents!$A$2:$A$1421,$A166,Documents!$C$2:$C$1421,"factsheet")),"")</f>
        <v/>
      </c>
      <c r="E166">
        <f>IFERROR(IF(_xlfn.MAXIFS(Documents!$E$2:$E$1421,Documents!$A$2:$A$1421,$A166,Documents!$C$2:$C$1421,"wedding")=0,"",_xlfn.MAXIFS(Documents!$E$2:$E$1421,Documents!$A$2:$A$1421,$A166,Documents!$C$2:$C$1421,"wedding")),"")</f>
        <v/>
      </c>
      <c r="F166">
        <f>IFERROR(IF(_xlfn.MAXIFS(Documents!$E$2:$E$1421,Documents!$A$2:$A$1421,$A166,Documents!$C$2:$C$1421,"events")=0,"",_xlfn.MAXIFS(Documents!$E$2:$E$1421,Documents!$A$2:$A$1421,$A166,Documents!$C$2:$C$1421,"events")),"")</f>
        <v/>
      </c>
      <c r="G166">
        <f>IFERROR(IF(_xlfn.MAXIFS(Documents!$E$2:$E$1421,Documents!$A$2:$A$1421,$A166,Documents!$C$2:$C$1421,"map")=0,"",_xlfn.MAXIFS(Documents!$E$2:$E$1421,Documents!$A$2:$A$1421,$A166,Documents!$C$2:$C$1421,"map")),"")</f>
        <v/>
      </c>
      <c r="H166">
        <f>IFERROR(IF(_xlfn.MAXIFS(Documents!$E$2:$E$1421,Documents!$A$2:$A$1421,$A166,Documents!$C$2:$C$1421,"dive_map")=0,"",_xlfn.MAXIFS(Documents!$E$2:$E$1421,Documents!$A$2:$A$1421,$A166,Documents!$C$2:$C$1421,"dive_map")),"")</f>
        <v/>
      </c>
      <c r="I166">
        <f>IFERROR(IF(_xlfn.MAXIFS(Documents!$E$2:$E$1421,Documents!$A$2:$A$1421,$A166,Documents!$C$2:$C$1421,"spa_menu")=0,"",_xlfn.MAXIFS(Documents!$E$2:$E$1421,Documents!$A$2:$A$1421,$A166,Documents!$C$2:$C$1421,"spa_menu")),"")</f>
        <v/>
      </c>
      <c r="J166">
        <f>IFERROR(IF(_xlfn.MAXIFS(Documents!$E$2:$E$1421,Documents!$A$2:$A$1421,$A166,Documents!$C$2:$C$1421,"dining_menu")=0,"",_xlfn.MAXIFS(Documents!$E$2:$E$1421,Documents!$A$2:$A$1421,$A166,Documents!$C$2:$C$1421,"dining_menu")),"")</f>
        <v/>
      </c>
      <c r="K166">
        <f>IFERROR(IF(_xlfn.MAXIFS(Documents!$E$2:$E$1421,Documents!$A$2:$A$1421,$A166,Documents!$C$2:$C$1421,"dive_prices")=0,"",_xlfn.MAXIFS(Documents!$E$2:$E$1421,Documents!$A$2:$A$1421,$A166,Documents!$C$2:$C$1421,"dive_prices")),"")</f>
        <v/>
      </c>
      <c r="L166">
        <f>IFERROR(IF(_xlfn.MAXIFS(Documents!$E$2:$E$1421,Documents!$A$2:$A$1421,$A166,Documents!$C$2:$C$1421,"excursions")=0,"",_xlfn.MAXIFS(Documents!$E$2:$E$1421,Documents!$A$2:$A$1421,$A166,Documents!$C$2:$C$1421,"excursions")),"")</f>
        <v/>
      </c>
      <c r="M166">
        <f>IFERROR(IF(_xlfn.MAXIFS(Documents!$E$2:$E$1421,Documents!$A$2:$A$1421,$A166,Documents!$C$2:$C$1421,"kids")=0,"",_xlfn.MAXIFS(Documents!$E$2:$E$1421,Documents!$A$2:$A$1421,$A166,Documents!$C$2:$C$1421,"kids")),"")</f>
        <v/>
      </c>
      <c r="N166">
        <f>IFERROR(IF(_xlfn.MAXIFS(Documents!$E$2:$E$1421,Documents!$A$2:$A$1421,$A166,Documents!$C$2:$C$1421,"villa_plans")=0,"",_xlfn.MAXIFS(Documents!$E$2:$E$1421,Documents!$A$2:$A$1421,$A166,Documents!$C$2:$C$1421,"villa_plans")),"")</f>
        <v/>
      </c>
      <c r="O166">
        <f>IFERROR(IF(_xlfn.MAXIFS(Documents!$E$2:$E$1421,Documents!$A$2:$A$1421,$A166,Documents!$C$2:$C$1421,"all_inclusive")=0,"",_xlfn.MAXIFS(Documents!$E$2:$E$1421,Documents!$A$2:$A$1421,$A166,Documents!$C$2:$C$1421,"all_inclusive")),"")</f>
        <v/>
      </c>
      <c r="P166">
        <f>IFERROR(IF(_xlfn.MAXIFS(Documents!$E$2:$E$1421,Documents!$A$2:$A$1421,$A166,Documents!$C$2:$C$1421,"sustainability")=0,"",_xlfn.MAXIFS(Documents!$E$2:$E$1421,Documents!$A$2:$A$1421,$A166,Documents!$C$2:$C$1421,"sustainability")),"")</f>
        <v/>
      </c>
      <c r="Q166">
        <f>IFERROR(IF(_xlfn.MAXIFS(Documents!$E$2:$E$1421,Documents!$A$2:$A$1421,$A166,Documents!$C$2:$C$1421,"calendar")=0,"",_xlfn.MAXIFS(Documents!$E$2:$E$1421,Documents!$A$2:$A$1421,$A166,Documents!$C$2:$C$1421,"calendar")),"")</f>
        <v/>
      </c>
      <c r="R166">
        <f>IFERROR(IF(_xlfn.MAXIFS(Documents!$E$2:$E$1421,Documents!$A$2:$A$1421,$A166,Documents!$C$2:$C$1421,"brochure")=0,"",_xlfn.MAXIFS(Documents!$E$2:$E$1421,Documents!$A$2:$A$1421,$A166,Documents!$C$2:$C$1421,"brochure")),"")</f>
        <v/>
      </c>
      <c r="S166">
        <f>IFERROR(IF(_xlfn.MAXIFS(Documents!$E$2:$E$1421,Documents!$A$2:$A$1421,$A166,Documents!$C$2:$C$1421,"press_kit")=0,"",_xlfn.MAXIFS(Documents!$E$2:$E$1421,Documents!$A$2:$A$1421,$A166,Documents!$C$2:$C$1421,"press_kit")),"")</f>
        <v/>
      </c>
      <c r="T166">
        <f>IFERROR(IF(_xlfn.MAXIFS(Documents!$E$2:$E$1421,Documents!$A$2:$A$1421,$A166,Documents!$C$2:$C$1421,"other")=0,"",_xlfn.MAXIFS(Documents!$E$2:$E$1421,Documents!$A$2:$A$1421,$A166,Documents!$C$2:$C$1421,"other")),"")</f>
        <v/>
      </c>
      <c r="U166">
        <f>IFERROR(IF(_xlfn.MAXIFS(Documents!$E$2:$E$1421,Documents!$A$2:$A$1421,$A166,Documents!$C$2:$C$1421,"obsolete")=0,"",_xlfn.MAXIFS(Documents!$E$2:$E$1421,Documents!$A$2:$A$1421,$A166,Documents!$C$2:$C$1421,"obsolete")),"")</f>
        <v/>
      </c>
      <c r="V166">
        <f>COUNTIFS(Documents!$A$2:$A$1421,$A166)</f>
        <v/>
      </c>
      <c r="W166">
        <f>COUNTIFS(Documents!$A$2:$A$1421,$A166,Documents!$R$2:$R$1421,"current")</f>
        <v/>
      </c>
      <c r="X166">
        <f>HYPERLINK("https://www.neoscapesmaldives.com/wp-content/uploads/velasaru_resort_factsheet_rdc.pdf","2020_velasaru_resort_factsheet_rdc.pdf")</f>
        <v/>
      </c>
      <c r="Y166" t="inlineStr">
        <is>
          <t>wedding, events</t>
        </is>
      </c>
      <c r="Z166" t="inlineStr">
        <is>
          <t>NIVA Velassaru</t>
        </is>
      </c>
    </row>
    <row r="167">
      <c r="A167" t="n">
        <v>166</v>
      </c>
      <c r="B167" t="inlineStr">
        <is>
          <t>Kuramathi Maldives</t>
        </is>
      </c>
      <c r="C167" t="inlineStr">
        <is>
          <t>not crawled</t>
        </is>
      </c>
      <c r="D167">
        <f>IFERROR(IF(_xlfn.MAXIFS(Documents!$E$2:$E$1421,Documents!$A$2:$A$1421,$A167,Documents!$C$2:$C$1421,"factsheet")=0,"",_xlfn.MAXIFS(Documents!$E$2:$E$1421,Documents!$A$2:$A$1421,$A167,Documents!$C$2:$C$1421,"factsheet")),"")</f>
        <v/>
      </c>
      <c r="E167">
        <f>IFERROR(IF(_xlfn.MAXIFS(Documents!$E$2:$E$1421,Documents!$A$2:$A$1421,$A167,Documents!$C$2:$C$1421,"wedding")=0,"",_xlfn.MAXIFS(Documents!$E$2:$E$1421,Documents!$A$2:$A$1421,$A167,Documents!$C$2:$C$1421,"wedding")),"")</f>
        <v/>
      </c>
      <c r="F167">
        <f>IFERROR(IF(_xlfn.MAXIFS(Documents!$E$2:$E$1421,Documents!$A$2:$A$1421,$A167,Documents!$C$2:$C$1421,"events")=0,"",_xlfn.MAXIFS(Documents!$E$2:$E$1421,Documents!$A$2:$A$1421,$A167,Documents!$C$2:$C$1421,"events")),"")</f>
        <v/>
      </c>
      <c r="G167">
        <f>IFERROR(IF(_xlfn.MAXIFS(Documents!$E$2:$E$1421,Documents!$A$2:$A$1421,$A167,Documents!$C$2:$C$1421,"map")=0,"",_xlfn.MAXIFS(Documents!$E$2:$E$1421,Documents!$A$2:$A$1421,$A167,Documents!$C$2:$C$1421,"map")),"")</f>
        <v/>
      </c>
      <c r="H167">
        <f>IFERROR(IF(_xlfn.MAXIFS(Documents!$E$2:$E$1421,Documents!$A$2:$A$1421,$A167,Documents!$C$2:$C$1421,"dive_map")=0,"",_xlfn.MAXIFS(Documents!$E$2:$E$1421,Documents!$A$2:$A$1421,$A167,Documents!$C$2:$C$1421,"dive_map")),"")</f>
        <v/>
      </c>
      <c r="I167">
        <f>IFERROR(IF(_xlfn.MAXIFS(Documents!$E$2:$E$1421,Documents!$A$2:$A$1421,$A167,Documents!$C$2:$C$1421,"spa_menu")=0,"",_xlfn.MAXIFS(Documents!$E$2:$E$1421,Documents!$A$2:$A$1421,$A167,Documents!$C$2:$C$1421,"spa_menu")),"")</f>
        <v/>
      </c>
      <c r="J167">
        <f>IFERROR(IF(_xlfn.MAXIFS(Documents!$E$2:$E$1421,Documents!$A$2:$A$1421,$A167,Documents!$C$2:$C$1421,"dining_menu")=0,"",_xlfn.MAXIFS(Documents!$E$2:$E$1421,Documents!$A$2:$A$1421,$A167,Documents!$C$2:$C$1421,"dining_menu")),"")</f>
        <v/>
      </c>
      <c r="K167">
        <f>IFERROR(IF(_xlfn.MAXIFS(Documents!$E$2:$E$1421,Documents!$A$2:$A$1421,$A167,Documents!$C$2:$C$1421,"dive_prices")=0,"",_xlfn.MAXIFS(Documents!$E$2:$E$1421,Documents!$A$2:$A$1421,$A167,Documents!$C$2:$C$1421,"dive_prices")),"")</f>
        <v/>
      </c>
      <c r="L167">
        <f>IFERROR(IF(_xlfn.MAXIFS(Documents!$E$2:$E$1421,Documents!$A$2:$A$1421,$A167,Documents!$C$2:$C$1421,"excursions")=0,"",_xlfn.MAXIFS(Documents!$E$2:$E$1421,Documents!$A$2:$A$1421,$A167,Documents!$C$2:$C$1421,"excursions")),"")</f>
        <v/>
      </c>
      <c r="M167">
        <f>IFERROR(IF(_xlfn.MAXIFS(Documents!$E$2:$E$1421,Documents!$A$2:$A$1421,$A167,Documents!$C$2:$C$1421,"kids")=0,"",_xlfn.MAXIFS(Documents!$E$2:$E$1421,Documents!$A$2:$A$1421,$A167,Documents!$C$2:$C$1421,"kids")),"")</f>
        <v/>
      </c>
      <c r="N167">
        <f>IFERROR(IF(_xlfn.MAXIFS(Documents!$E$2:$E$1421,Documents!$A$2:$A$1421,$A167,Documents!$C$2:$C$1421,"villa_plans")=0,"",_xlfn.MAXIFS(Documents!$E$2:$E$1421,Documents!$A$2:$A$1421,$A167,Documents!$C$2:$C$1421,"villa_plans")),"")</f>
        <v/>
      </c>
      <c r="O167">
        <f>IFERROR(IF(_xlfn.MAXIFS(Documents!$E$2:$E$1421,Documents!$A$2:$A$1421,$A167,Documents!$C$2:$C$1421,"all_inclusive")=0,"",_xlfn.MAXIFS(Documents!$E$2:$E$1421,Documents!$A$2:$A$1421,$A167,Documents!$C$2:$C$1421,"all_inclusive")),"")</f>
        <v/>
      </c>
      <c r="P167">
        <f>IFERROR(IF(_xlfn.MAXIFS(Documents!$E$2:$E$1421,Documents!$A$2:$A$1421,$A167,Documents!$C$2:$C$1421,"sustainability")=0,"",_xlfn.MAXIFS(Documents!$E$2:$E$1421,Documents!$A$2:$A$1421,$A167,Documents!$C$2:$C$1421,"sustainability")),"")</f>
        <v/>
      </c>
      <c r="Q167">
        <f>IFERROR(IF(_xlfn.MAXIFS(Documents!$E$2:$E$1421,Documents!$A$2:$A$1421,$A167,Documents!$C$2:$C$1421,"calendar")=0,"",_xlfn.MAXIFS(Documents!$E$2:$E$1421,Documents!$A$2:$A$1421,$A167,Documents!$C$2:$C$1421,"calendar")),"")</f>
        <v/>
      </c>
      <c r="R167">
        <f>IFERROR(IF(_xlfn.MAXIFS(Documents!$E$2:$E$1421,Documents!$A$2:$A$1421,$A167,Documents!$C$2:$C$1421,"brochure")=0,"",_xlfn.MAXIFS(Documents!$E$2:$E$1421,Documents!$A$2:$A$1421,$A167,Documents!$C$2:$C$1421,"brochure")),"")</f>
        <v/>
      </c>
      <c r="S167">
        <f>IFERROR(IF(_xlfn.MAXIFS(Documents!$E$2:$E$1421,Documents!$A$2:$A$1421,$A167,Documents!$C$2:$C$1421,"press_kit")=0,"",_xlfn.MAXIFS(Documents!$E$2:$E$1421,Documents!$A$2:$A$1421,$A167,Documents!$C$2:$C$1421,"press_kit")),"")</f>
        <v/>
      </c>
      <c r="T167">
        <f>IFERROR(IF(_xlfn.MAXIFS(Documents!$E$2:$E$1421,Documents!$A$2:$A$1421,$A167,Documents!$C$2:$C$1421,"other")=0,"",_xlfn.MAXIFS(Documents!$E$2:$E$1421,Documents!$A$2:$A$1421,$A167,Documents!$C$2:$C$1421,"other")),"")</f>
        <v/>
      </c>
      <c r="U167">
        <f>IFERROR(IF(_xlfn.MAXIFS(Documents!$E$2:$E$1421,Documents!$A$2:$A$1421,$A167,Documents!$C$2:$C$1421,"obsolete")=0,"",_xlfn.MAXIFS(Documents!$E$2:$E$1421,Documents!$A$2:$A$1421,$A167,Documents!$C$2:$C$1421,"obsolete")),"")</f>
        <v/>
      </c>
      <c r="V167">
        <f>COUNTIFS(Documents!$A$2:$A$1421,$A167)</f>
        <v/>
      </c>
      <c r="W167">
        <f>COUNTIFS(Documents!$A$2:$A$1421,$A167,Documents!$R$2:$R$1421,"current")</f>
        <v/>
      </c>
      <c r="X167">
        <f>HYPERLINK("https://www.neoscapesmaldives.com/wp-content/uploads/Factsheet-Kuramathi-Maldives.pdf","2019_Factsheet-Kuramathi-Maldives.pdf")</f>
        <v/>
      </c>
      <c r="Y167" t="inlineStr">
        <is>
          <t>wedding, events</t>
        </is>
      </c>
      <c r="Z167" t="inlineStr"/>
    </row>
    <row r="168">
      <c r="A168" t="n">
        <v>167</v>
      </c>
      <c r="B168" t="inlineStr">
        <is>
          <t>Milaidhoo Island Maldives</t>
        </is>
      </c>
      <c r="C168" t="inlineStr">
        <is>
          <t>not crawled</t>
        </is>
      </c>
      <c r="D168">
        <f>IFERROR(IF(_xlfn.MAXIFS(Documents!$E$2:$E$1421,Documents!$A$2:$A$1421,$A168,Documents!$C$2:$C$1421,"factsheet")=0,"",_xlfn.MAXIFS(Documents!$E$2:$E$1421,Documents!$A$2:$A$1421,$A168,Documents!$C$2:$C$1421,"factsheet")),"")</f>
        <v/>
      </c>
      <c r="E168">
        <f>IFERROR(IF(_xlfn.MAXIFS(Documents!$E$2:$E$1421,Documents!$A$2:$A$1421,$A168,Documents!$C$2:$C$1421,"wedding")=0,"",_xlfn.MAXIFS(Documents!$E$2:$E$1421,Documents!$A$2:$A$1421,$A168,Documents!$C$2:$C$1421,"wedding")),"")</f>
        <v/>
      </c>
      <c r="F168">
        <f>IFERROR(IF(_xlfn.MAXIFS(Documents!$E$2:$E$1421,Documents!$A$2:$A$1421,$A168,Documents!$C$2:$C$1421,"events")=0,"",_xlfn.MAXIFS(Documents!$E$2:$E$1421,Documents!$A$2:$A$1421,$A168,Documents!$C$2:$C$1421,"events")),"")</f>
        <v/>
      </c>
      <c r="G168">
        <f>IFERROR(IF(_xlfn.MAXIFS(Documents!$E$2:$E$1421,Documents!$A$2:$A$1421,$A168,Documents!$C$2:$C$1421,"map")=0,"",_xlfn.MAXIFS(Documents!$E$2:$E$1421,Documents!$A$2:$A$1421,$A168,Documents!$C$2:$C$1421,"map")),"")</f>
        <v/>
      </c>
      <c r="H168">
        <f>IFERROR(IF(_xlfn.MAXIFS(Documents!$E$2:$E$1421,Documents!$A$2:$A$1421,$A168,Documents!$C$2:$C$1421,"dive_map")=0,"",_xlfn.MAXIFS(Documents!$E$2:$E$1421,Documents!$A$2:$A$1421,$A168,Documents!$C$2:$C$1421,"dive_map")),"")</f>
        <v/>
      </c>
      <c r="I168">
        <f>IFERROR(IF(_xlfn.MAXIFS(Documents!$E$2:$E$1421,Documents!$A$2:$A$1421,$A168,Documents!$C$2:$C$1421,"spa_menu")=0,"",_xlfn.MAXIFS(Documents!$E$2:$E$1421,Documents!$A$2:$A$1421,$A168,Documents!$C$2:$C$1421,"spa_menu")),"")</f>
        <v/>
      </c>
      <c r="J168">
        <f>IFERROR(IF(_xlfn.MAXIFS(Documents!$E$2:$E$1421,Documents!$A$2:$A$1421,$A168,Documents!$C$2:$C$1421,"dining_menu")=0,"",_xlfn.MAXIFS(Documents!$E$2:$E$1421,Documents!$A$2:$A$1421,$A168,Documents!$C$2:$C$1421,"dining_menu")),"")</f>
        <v/>
      </c>
      <c r="K168">
        <f>IFERROR(IF(_xlfn.MAXIFS(Documents!$E$2:$E$1421,Documents!$A$2:$A$1421,$A168,Documents!$C$2:$C$1421,"dive_prices")=0,"",_xlfn.MAXIFS(Documents!$E$2:$E$1421,Documents!$A$2:$A$1421,$A168,Documents!$C$2:$C$1421,"dive_prices")),"")</f>
        <v/>
      </c>
      <c r="L168">
        <f>IFERROR(IF(_xlfn.MAXIFS(Documents!$E$2:$E$1421,Documents!$A$2:$A$1421,$A168,Documents!$C$2:$C$1421,"excursions")=0,"",_xlfn.MAXIFS(Documents!$E$2:$E$1421,Documents!$A$2:$A$1421,$A168,Documents!$C$2:$C$1421,"excursions")),"")</f>
        <v/>
      </c>
      <c r="M168">
        <f>IFERROR(IF(_xlfn.MAXIFS(Documents!$E$2:$E$1421,Documents!$A$2:$A$1421,$A168,Documents!$C$2:$C$1421,"kids")=0,"",_xlfn.MAXIFS(Documents!$E$2:$E$1421,Documents!$A$2:$A$1421,$A168,Documents!$C$2:$C$1421,"kids")),"")</f>
        <v/>
      </c>
      <c r="N168">
        <f>IFERROR(IF(_xlfn.MAXIFS(Documents!$E$2:$E$1421,Documents!$A$2:$A$1421,$A168,Documents!$C$2:$C$1421,"villa_plans")=0,"",_xlfn.MAXIFS(Documents!$E$2:$E$1421,Documents!$A$2:$A$1421,$A168,Documents!$C$2:$C$1421,"villa_plans")),"")</f>
        <v/>
      </c>
      <c r="O168">
        <f>IFERROR(IF(_xlfn.MAXIFS(Documents!$E$2:$E$1421,Documents!$A$2:$A$1421,$A168,Documents!$C$2:$C$1421,"all_inclusive")=0,"",_xlfn.MAXIFS(Documents!$E$2:$E$1421,Documents!$A$2:$A$1421,$A168,Documents!$C$2:$C$1421,"all_inclusive")),"")</f>
        <v/>
      </c>
      <c r="P168">
        <f>IFERROR(IF(_xlfn.MAXIFS(Documents!$E$2:$E$1421,Documents!$A$2:$A$1421,$A168,Documents!$C$2:$C$1421,"sustainability")=0,"",_xlfn.MAXIFS(Documents!$E$2:$E$1421,Documents!$A$2:$A$1421,$A168,Documents!$C$2:$C$1421,"sustainability")),"")</f>
        <v/>
      </c>
      <c r="Q168">
        <f>IFERROR(IF(_xlfn.MAXIFS(Documents!$E$2:$E$1421,Documents!$A$2:$A$1421,$A168,Documents!$C$2:$C$1421,"calendar")=0,"",_xlfn.MAXIFS(Documents!$E$2:$E$1421,Documents!$A$2:$A$1421,$A168,Documents!$C$2:$C$1421,"calendar")),"")</f>
        <v/>
      </c>
      <c r="R168">
        <f>IFERROR(IF(_xlfn.MAXIFS(Documents!$E$2:$E$1421,Documents!$A$2:$A$1421,$A168,Documents!$C$2:$C$1421,"brochure")=0,"",_xlfn.MAXIFS(Documents!$E$2:$E$1421,Documents!$A$2:$A$1421,$A168,Documents!$C$2:$C$1421,"brochure")),"")</f>
        <v/>
      </c>
      <c r="S168">
        <f>IFERROR(IF(_xlfn.MAXIFS(Documents!$E$2:$E$1421,Documents!$A$2:$A$1421,$A168,Documents!$C$2:$C$1421,"press_kit")=0,"",_xlfn.MAXIFS(Documents!$E$2:$E$1421,Documents!$A$2:$A$1421,$A168,Documents!$C$2:$C$1421,"press_kit")),"")</f>
        <v/>
      </c>
      <c r="T168">
        <f>IFERROR(IF(_xlfn.MAXIFS(Documents!$E$2:$E$1421,Documents!$A$2:$A$1421,$A168,Documents!$C$2:$C$1421,"other")=0,"",_xlfn.MAXIFS(Documents!$E$2:$E$1421,Documents!$A$2:$A$1421,$A168,Documents!$C$2:$C$1421,"other")),"")</f>
        <v/>
      </c>
      <c r="U168">
        <f>IFERROR(IF(_xlfn.MAXIFS(Documents!$E$2:$E$1421,Documents!$A$2:$A$1421,$A168,Documents!$C$2:$C$1421,"obsolete")=0,"",_xlfn.MAXIFS(Documents!$E$2:$E$1421,Documents!$A$2:$A$1421,$A168,Documents!$C$2:$C$1421,"obsolete")),"")</f>
        <v/>
      </c>
      <c r="V168">
        <f>COUNTIFS(Documents!$A$2:$A$1421,$A168)</f>
        <v/>
      </c>
      <c r="W168">
        <f>COUNTIFS(Documents!$A$2:$A$1421,$A168,Documents!$R$2:$R$1421,"current")</f>
        <v/>
      </c>
      <c r="X168" t="inlineStr"/>
      <c r="Y168" t="inlineStr">
        <is>
          <t>factsheet, wedding, events</t>
        </is>
      </c>
      <c r="Z168" t="inlineStr"/>
    </row>
    <row r="169">
      <c r="A169" t="n">
        <v>168</v>
      </c>
      <c r="B169" t="inlineStr">
        <is>
          <t>You &amp; Me Maldives</t>
        </is>
      </c>
      <c r="C169" t="inlineStr">
        <is>
          <t>not crawled</t>
        </is>
      </c>
      <c r="D169">
        <f>IFERROR(IF(_xlfn.MAXIFS(Documents!$E$2:$E$1421,Documents!$A$2:$A$1421,$A169,Documents!$C$2:$C$1421,"factsheet")=0,"",_xlfn.MAXIFS(Documents!$E$2:$E$1421,Documents!$A$2:$A$1421,$A169,Documents!$C$2:$C$1421,"factsheet")),"")</f>
        <v/>
      </c>
      <c r="E169">
        <f>IFERROR(IF(_xlfn.MAXIFS(Documents!$E$2:$E$1421,Documents!$A$2:$A$1421,$A169,Documents!$C$2:$C$1421,"wedding")=0,"",_xlfn.MAXIFS(Documents!$E$2:$E$1421,Documents!$A$2:$A$1421,$A169,Documents!$C$2:$C$1421,"wedding")),"")</f>
        <v/>
      </c>
      <c r="F169">
        <f>IFERROR(IF(_xlfn.MAXIFS(Documents!$E$2:$E$1421,Documents!$A$2:$A$1421,$A169,Documents!$C$2:$C$1421,"events")=0,"",_xlfn.MAXIFS(Documents!$E$2:$E$1421,Documents!$A$2:$A$1421,$A169,Documents!$C$2:$C$1421,"events")),"")</f>
        <v/>
      </c>
      <c r="G169">
        <f>IFERROR(IF(_xlfn.MAXIFS(Documents!$E$2:$E$1421,Documents!$A$2:$A$1421,$A169,Documents!$C$2:$C$1421,"map")=0,"",_xlfn.MAXIFS(Documents!$E$2:$E$1421,Documents!$A$2:$A$1421,$A169,Documents!$C$2:$C$1421,"map")),"")</f>
        <v/>
      </c>
      <c r="H169">
        <f>IFERROR(IF(_xlfn.MAXIFS(Documents!$E$2:$E$1421,Documents!$A$2:$A$1421,$A169,Documents!$C$2:$C$1421,"dive_map")=0,"",_xlfn.MAXIFS(Documents!$E$2:$E$1421,Documents!$A$2:$A$1421,$A169,Documents!$C$2:$C$1421,"dive_map")),"")</f>
        <v/>
      </c>
      <c r="I169">
        <f>IFERROR(IF(_xlfn.MAXIFS(Documents!$E$2:$E$1421,Documents!$A$2:$A$1421,$A169,Documents!$C$2:$C$1421,"spa_menu")=0,"",_xlfn.MAXIFS(Documents!$E$2:$E$1421,Documents!$A$2:$A$1421,$A169,Documents!$C$2:$C$1421,"spa_menu")),"")</f>
        <v/>
      </c>
      <c r="J169">
        <f>IFERROR(IF(_xlfn.MAXIFS(Documents!$E$2:$E$1421,Documents!$A$2:$A$1421,$A169,Documents!$C$2:$C$1421,"dining_menu")=0,"",_xlfn.MAXIFS(Documents!$E$2:$E$1421,Documents!$A$2:$A$1421,$A169,Documents!$C$2:$C$1421,"dining_menu")),"")</f>
        <v/>
      </c>
      <c r="K169">
        <f>IFERROR(IF(_xlfn.MAXIFS(Documents!$E$2:$E$1421,Documents!$A$2:$A$1421,$A169,Documents!$C$2:$C$1421,"dive_prices")=0,"",_xlfn.MAXIFS(Documents!$E$2:$E$1421,Documents!$A$2:$A$1421,$A169,Documents!$C$2:$C$1421,"dive_prices")),"")</f>
        <v/>
      </c>
      <c r="L169">
        <f>IFERROR(IF(_xlfn.MAXIFS(Documents!$E$2:$E$1421,Documents!$A$2:$A$1421,$A169,Documents!$C$2:$C$1421,"excursions")=0,"",_xlfn.MAXIFS(Documents!$E$2:$E$1421,Documents!$A$2:$A$1421,$A169,Documents!$C$2:$C$1421,"excursions")),"")</f>
        <v/>
      </c>
      <c r="M169">
        <f>IFERROR(IF(_xlfn.MAXIFS(Documents!$E$2:$E$1421,Documents!$A$2:$A$1421,$A169,Documents!$C$2:$C$1421,"kids")=0,"",_xlfn.MAXIFS(Documents!$E$2:$E$1421,Documents!$A$2:$A$1421,$A169,Documents!$C$2:$C$1421,"kids")),"")</f>
        <v/>
      </c>
      <c r="N169">
        <f>IFERROR(IF(_xlfn.MAXIFS(Documents!$E$2:$E$1421,Documents!$A$2:$A$1421,$A169,Documents!$C$2:$C$1421,"villa_plans")=0,"",_xlfn.MAXIFS(Documents!$E$2:$E$1421,Documents!$A$2:$A$1421,$A169,Documents!$C$2:$C$1421,"villa_plans")),"")</f>
        <v/>
      </c>
      <c r="O169">
        <f>IFERROR(IF(_xlfn.MAXIFS(Documents!$E$2:$E$1421,Documents!$A$2:$A$1421,$A169,Documents!$C$2:$C$1421,"all_inclusive")=0,"",_xlfn.MAXIFS(Documents!$E$2:$E$1421,Documents!$A$2:$A$1421,$A169,Documents!$C$2:$C$1421,"all_inclusive")),"")</f>
        <v/>
      </c>
      <c r="P169">
        <f>IFERROR(IF(_xlfn.MAXIFS(Documents!$E$2:$E$1421,Documents!$A$2:$A$1421,$A169,Documents!$C$2:$C$1421,"sustainability")=0,"",_xlfn.MAXIFS(Documents!$E$2:$E$1421,Documents!$A$2:$A$1421,$A169,Documents!$C$2:$C$1421,"sustainability")),"")</f>
        <v/>
      </c>
      <c r="Q169">
        <f>IFERROR(IF(_xlfn.MAXIFS(Documents!$E$2:$E$1421,Documents!$A$2:$A$1421,$A169,Documents!$C$2:$C$1421,"calendar")=0,"",_xlfn.MAXIFS(Documents!$E$2:$E$1421,Documents!$A$2:$A$1421,$A169,Documents!$C$2:$C$1421,"calendar")),"")</f>
        <v/>
      </c>
      <c r="R169">
        <f>IFERROR(IF(_xlfn.MAXIFS(Documents!$E$2:$E$1421,Documents!$A$2:$A$1421,$A169,Documents!$C$2:$C$1421,"brochure")=0,"",_xlfn.MAXIFS(Documents!$E$2:$E$1421,Documents!$A$2:$A$1421,$A169,Documents!$C$2:$C$1421,"brochure")),"")</f>
        <v/>
      </c>
      <c r="S169">
        <f>IFERROR(IF(_xlfn.MAXIFS(Documents!$E$2:$E$1421,Documents!$A$2:$A$1421,$A169,Documents!$C$2:$C$1421,"press_kit")=0,"",_xlfn.MAXIFS(Documents!$E$2:$E$1421,Documents!$A$2:$A$1421,$A169,Documents!$C$2:$C$1421,"press_kit")),"")</f>
        <v/>
      </c>
      <c r="T169">
        <f>IFERROR(IF(_xlfn.MAXIFS(Documents!$E$2:$E$1421,Documents!$A$2:$A$1421,$A169,Documents!$C$2:$C$1421,"other")=0,"",_xlfn.MAXIFS(Documents!$E$2:$E$1421,Documents!$A$2:$A$1421,$A169,Documents!$C$2:$C$1421,"other")),"")</f>
        <v/>
      </c>
      <c r="U169">
        <f>IFERROR(IF(_xlfn.MAXIFS(Documents!$E$2:$E$1421,Documents!$A$2:$A$1421,$A169,Documents!$C$2:$C$1421,"obsolete")=0,"",_xlfn.MAXIFS(Documents!$E$2:$E$1421,Documents!$A$2:$A$1421,$A169,Documents!$C$2:$C$1421,"obsolete")),"")</f>
        <v/>
      </c>
      <c r="V169">
        <f>COUNTIFS(Documents!$A$2:$A$1421,$A169)</f>
        <v/>
      </c>
      <c r="W169">
        <f>COUNTIFS(Documents!$A$2:$A$1421,$A169,Documents!$R$2:$R$1421,"current")</f>
        <v/>
      </c>
      <c r="X169">
        <f>HYPERLINK("https://www.neoscapesmaldives.com/wp-content/uploads/GB-_-You-_-Me-Maldives-_-Fact-Sheet-2026.pdf","2026_GB-_-You-_-Me-Maldives-_-Fact-Sheet")</f>
        <v/>
      </c>
      <c r="Y169" t="inlineStr">
        <is>
          <t>wedding, events</t>
        </is>
      </c>
      <c r="Z169" t="inlineStr">
        <is>
          <t>You &amp; Me by Cocoon</t>
        </is>
      </c>
    </row>
    <row r="170">
      <c r="A170" t="n">
        <v>169</v>
      </c>
      <c r="B170" t="inlineStr">
        <is>
          <t>Banyan Tree Maldives Vabbinfaru</t>
        </is>
      </c>
      <c r="C170" t="inlineStr">
        <is>
          <t>not crawled</t>
        </is>
      </c>
      <c r="D170">
        <f>IFERROR(IF(_xlfn.MAXIFS(Documents!$E$2:$E$1421,Documents!$A$2:$A$1421,$A170,Documents!$C$2:$C$1421,"factsheet")=0,"",_xlfn.MAXIFS(Documents!$E$2:$E$1421,Documents!$A$2:$A$1421,$A170,Documents!$C$2:$C$1421,"factsheet")),"")</f>
        <v/>
      </c>
      <c r="E170">
        <f>IFERROR(IF(_xlfn.MAXIFS(Documents!$E$2:$E$1421,Documents!$A$2:$A$1421,$A170,Documents!$C$2:$C$1421,"wedding")=0,"",_xlfn.MAXIFS(Documents!$E$2:$E$1421,Documents!$A$2:$A$1421,$A170,Documents!$C$2:$C$1421,"wedding")),"")</f>
        <v/>
      </c>
      <c r="F170">
        <f>IFERROR(IF(_xlfn.MAXIFS(Documents!$E$2:$E$1421,Documents!$A$2:$A$1421,$A170,Documents!$C$2:$C$1421,"events")=0,"",_xlfn.MAXIFS(Documents!$E$2:$E$1421,Documents!$A$2:$A$1421,$A170,Documents!$C$2:$C$1421,"events")),"")</f>
        <v/>
      </c>
      <c r="G170">
        <f>IFERROR(IF(_xlfn.MAXIFS(Documents!$E$2:$E$1421,Documents!$A$2:$A$1421,$A170,Documents!$C$2:$C$1421,"map")=0,"",_xlfn.MAXIFS(Documents!$E$2:$E$1421,Documents!$A$2:$A$1421,$A170,Documents!$C$2:$C$1421,"map")),"")</f>
        <v/>
      </c>
      <c r="H170">
        <f>IFERROR(IF(_xlfn.MAXIFS(Documents!$E$2:$E$1421,Documents!$A$2:$A$1421,$A170,Documents!$C$2:$C$1421,"dive_map")=0,"",_xlfn.MAXIFS(Documents!$E$2:$E$1421,Documents!$A$2:$A$1421,$A170,Documents!$C$2:$C$1421,"dive_map")),"")</f>
        <v/>
      </c>
      <c r="I170">
        <f>IFERROR(IF(_xlfn.MAXIFS(Documents!$E$2:$E$1421,Documents!$A$2:$A$1421,$A170,Documents!$C$2:$C$1421,"spa_menu")=0,"",_xlfn.MAXIFS(Documents!$E$2:$E$1421,Documents!$A$2:$A$1421,$A170,Documents!$C$2:$C$1421,"spa_menu")),"")</f>
        <v/>
      </c>
      <c r="J170">
        <f>IFERROR(IF(_xlfn.MAXIFS(Documents!$E$2:$E$1421,Documents!$A$2:$A$1421,$A170,Documents!$C$2:$C$1421,"dining_menu")=0,"",_xlfn.MAXIFS(Documents!$E$2:$E$1421,Documents!$A$2:$A$1421,$A170,Documents!$C$2:$C$1421,"dining_menu")),"")</f>
        <v/>
      </c>
      <c r="K170">
        <f>IFERROR(IF(_xlfn.MAXIFS(Documents!$E$2:$E$1421,Documents!$A$2:$A$1421,$A170,Documents!$C$2:$C$1421,"dive_prices")=0,"",_xlfn.MAXIFS(Documents!$E$2:$E$1421,Documents!$A$2:$A$1421,$A170,Documents!$C$2:$C$1421,"dive_prices")),"")</f>
        <v/>
      </c>
      <c r="L170">
        <f>IFERROR(IF(_xlfn.MAXIFS(Documents!$E$2:$E$1421,Documents!$A$2:$A$1421,$A170,Documents!$C$2:$C$1421,"excursions")=0,"",_xlfn.MAXIFS(Documents!$E$2:$E$1421,Documents!$A$2:$A$1421,$A170,Documents!$C$2:$C$1421,"excursions")),"")</f>
        <v/>
      </c>
      <c r="M170">
        <f>IFERROR(IF(_xlfn.MAXIFS(Documents!$E$2:$E$1421,Documents!$A$2:$A$1421,$A170,Documents!$C$2:$C$1421,"kids")=0,"",_xlfn.MAXIFS(Documents!$E$2:$E$1421,Documents!$A$2:$A$1421,$A170,Documents!$C$2:$C$1421,"kids")),"")</f>
        <v/>
      </c>
      <c r="N170">
        <f>IFERROR(IF(_xlfn.MAXIFS(Documents!$E$2:$E$1421,Documents!$A$2:$A$1421,$A170,Documents!$C$2:$C$1421,"villa_plans")=0,"",_xlfn.MAXIFS(Documents!$E$2:$E$1421,Documents!$A$2:$A$1421,$A170,Documents!$C$2:$C$1421,"villa_plans")),"")</f>
        <v/>
      </c>
      <c r="O170">
        <f>IFERROR(IF(_xlfn.MAXIFS(Documents!$E$2:$E$1421,Documents!$A$2:$A$1421,$A170,Documents!$C$2:$C$1421,"all_inclusive")=0,"",_xlfn.MAXIFS(Documents!$E$2:$E$1421,Documents!$A$2:$A$1421,$A170,Documents!$C$2:$C$1421,"all_inclusive")),"")</f>
        <v/>
      </c>
      <c r="P170">
        <f>IFERROR(IF(_xlfn.MAXIFS(Documents!$E$2:$E$1421,Documents!$A$2:$A$1421,$A170,Documents!$C$2:$C$1421,"sustainability")=0,"",_xlfn.MAXIFS(Documents!$E$2:$E$1421,Documents!$A$2:$A$1421,$A170,Documents!$C$2:$C$1421,"sustainability")),"")</f>
        <v/>
      </c>
      <c r="Q170">
        <f>IFERROR(IF(_xlfn.MAXIFS(Documents!$E$2:$E$1421,Documents!$A$2:$A$1421,$A170,Documents!$C$2:$C$1421,"calendar")=0,"",_xlfn.MAXIFS(Documents!$E$2:$E$1421,Documents!$A$2:$A$1421,$A170,Documents!$C$2:$C$1421,"calendar")),"")</f>
        <v/>
      </c>
      <c r="R170">
        <f>IFERROR(IF(_xlfn.MAXIFS(Documents!$E$2:$E$1421,Documents!$A$2:$A$1421,$A170,Documents!$C$2:$C$1421,"brochure")=0,"",_xlfn.MAXIFS(Documents!$E$2:$E$1421,Documents!$A$2:$A$1421,$A170,Documents!$C$2:$C$1421,"brochure")),"")</f>
        <v/>
      </c>
      <c r="S170">
        <f>IFERROR(IF(_xlfn.MAXIFS(Documents!$E$2:$E$1421,Documents!$A$2:$A$1421,$A170,Documents!$C$2:$C$1421,"press_kit")=0,"",_xlfn.MAXIFS(Documents!$E$2:$E$1421,Documents!$A$2:$A$1421,$A170,Documents!$C$2:$C$1421,"press_kit")),"")</f>
        <v/>
      </c>
      <c r="T170">
        <f>IFERROR(IF(_xlfn.MAXIFS(Documents!$E$2:$E$1421,Documents!$A$2:$A$1421,$A170,Documents!$C$2:$C$1421,"other")=0,"",_xlfn.MAXIFS(Documents!$E$2:$E$1421,Documents!$A$2:$A$1421,$A170,Documents!$C$2:$C$1421,"other")),"")</f>
        <v/>
      </c>
      <c r="U170">
        <f>IFERROR(IF(_xlfn.MAXIFS(Documents!$E$2:$E$1421,Documents!$A$2:$A$1421,$A170,Documents!$C$2:$C$1421,"obsolete")=0,"",_xlfn.MAXIFS(Documents!$E$2:$E$1421,Documents!$A$2:$A$1421,$A170,Documents!$C$2:$C$1421,"obsolete")),"")</f>
        <v/>
      </c>
      <c r="V170">
        <f>COUNTIFS(Documents!$A$2:$A$1421,$A170)</f>
        <v/>
      </c>
      <c r="W170">
        <f>COUNTIFS(Documents!$A$2:$A$1421,$A170,Documents!$R$2:$R$1421,"current")</f>
        <v/>
      </c>
      <c r="X170">
        <f>HYPERLINK("https://www.neoscapesmaldives.com/wp-content/uploads/Factsheet-Banyan-Tree-Vabbinfaru-compressed.pdf","2025_Factsheet-Banyan-Tree-Vabbinfaru-co")</f>
        <v/>
      </c>
      <c r="Y170" t="inlineStr">
        <is>
          <t>wedding, events</t>
        </is>
      </c>
      <c r="Z170" t="inlineStr"/>
    </row>
    <row r="171">
      <c r="A171" t="n">
        <v>170</v>
      </c>
      <c r="B171" t="inlineStr">
        <is>
          <t>Cocogiri Island Resort</t>
        </is>
      </c>
      <c r="C171" t="inlineStr">
        <is>
          <t>not crawled</t>
        </is>
      </c>
      <c r="D171">
        <f>IFERROR(IF(_xlfn.MAXIFS(Documents!$E$2:$E$1421,Documents!$A$2:$A$1421,$A171,Documents!$C$2:$C$1421,"factsheet")=0,"",_xlfn.MAXIFS(Documents!$E$2:$E$1421,Documents!$A$2:$A$1421,$A171,Documents!$C$2:$C$1421,"factsheet")),"")</f>
        <v/>
      </c>
      <c r="E171">
        <f>IFERROR(IF(_xlfn.MAXIFS(Documents!$E$2:$E$1421,Documents!$A$2:$A$1421,$A171,Documents!$C$2:$C$1421,"wedding")=0,"",_xlfn.MAXIFS(Documents!$E$2:$E$1421,Documents!$A$2:$A$1421,$A171,Documents!$C$2:$C$1421,"wedding")),"")</f>
        <v/>
      </c>
      <c r="F171">
        <f>IFERROR(IF(_xlfn.MAXIFS(Documents!$E$2:$E$1421,Documents!$A$2:$A$1421,$A171,Documents!$C$2:$C$1421,"events")=0,"",_xlfn.MAXIFS(Documents!$E$2:$E$1421,Documents!$A$2:$A$1421,$A171,Documents!$C$2:$C$1421,"events")),"")</f>
        <v/>
      </c>
      <c r="G171">
        <f>IFERROR(IF(_xlfn.MAXIFS(Documents!$E$2:$E$1421,Documents!$A$2:$A$1421,$A171,Documents!$C$2:$C$1421,"map")=0,"",_xlfn.MAXIFS(Documents!$E$2:$E$1421,Documents!$A$2:$A$1421,$A171,Documents!$C$2:$C$1421,"map")),"")</f>
        <v/>
      </c>
      <c r="H171">
        <f>IFERROR(IF(_xlfn.MAXIFS(Documents!$E$2:$E$1421,Documents!$A$2:$A$1421,$A171,Documents!$C$2:$C$1421,"dive_map")=0,"",_xlfn.MAXIFS(Documents!$E$2:$E$1421,Documents!$A$2:$A$1421,$A171,Documents!$C$2:$C$1421,"dive_map")),"")</f>
        <v/>
      </c>
      <c r="I171">
        <f>IFERROR(IF(_xlfn.MAXIFS(Documents!$E$2:$E$1421,Documents!$A$2:$A$1421,$A171,Documents!$C$2:$C$1421,"spa_menu")=0,"",_xlfn.MAXIFS(Documents!$E$2:$E$1421,Documents!$A$2:$A$1421,$A171,Documents!$C$2:$C$1421,"spa_menu")),"")</f>
        <v/>
      </c>
      <c r="J171">
        <f>IFERROR(IF(_xlfn.MAXIFS(Documents!$E$2:$E$1421,Documents!$A$2:$A$1421,$A171,Documents!$C$2:$C$1421,"dining_menu")=0,"",_xlfn.MAXIFS(Documents!$E$2:$E$1421,Documents!$A$2:$A$1421,$A171,Documents!$C$2:$C$1421,"dining_menu")),"")</f>
        <v/>
      </c>
      <c r="K171">
        <f>IFERROR(IF(_xlfn.MAXIFS(Documents!$E$2:$E$1421,Documents!$A$2:$A$1421,$A171,Documents!$C$2:$C$1421,"dive_prices")=0,"",_xlfn.MAXIFS(Documents!$E$2:$E$1421,Documents!$A$2:$A$1421,$A171,Documents!$C$2:$C$1421,"dive_prices")),"")</f>
        <v/>
      </c>
      <c r="L171">
        <f>IFERROR(IF(_xlfn.MAXIFS(Documents!$E$2:$E$1421,Documents!$A$2:$A$1421,$A171,Documents!$C$2:$C$1421,"excursions")=0,"",_xlfn.MAXIFS(Documents!$E$2:$E$1421,Documents!$A$2:$A$1421,$A171,Documents!$C$2:$C$1421,"excursions")),"")</f>
        <v/>
      </c>
      <c r="M171">
        <f>IFERROR(IF(_xlfn.MAXIFS(Documents!$E$2:$E$1421,Documents!$A$2:$A$1421,$A171,Documents!$C$2:$C$1421,"kids")=0,"",_xlfn.MAXIFS(Documents!$E$2:$E$1421,Documents!$A$2:$A$1421,$A171,Documents!$C$2:$C$1421,"kids")),"")</f>
        <v/>
      </c>
      <c r="N171">
        <f>IFERROR(IF(_xlfn.MAXIFS(Documents!$E$2:$E$1421,Documents!$A$2:$A$1421,$A171,Documents!$C$2:$C$1421,"villa_plans")=0,"",_xlfn.MAXIFS(Documents!$E$2:$E$1421,Documents!$A$2:$A$1421,$A171,Documents!$C$2:$C$1421,"villa_plans")),"")</f>
        <v/>
      </c>
      <c r="O171">
        <f>IFERROR(IF(_xlfn.MAXIFS(Documents!$E$2:$E$1421,Documents!$A$2:$A$1421,$A171,Documents!$C$2:$C$1421,"all_inclusive")=0,"",_xlfn.MAXIFS(Documents!$E$2:$E$1421,Documents!$A$2:$A$1421,$A171,Documents!$C$2:$C$1421,"all_inclusive")),"")</f>
        <v/>
      </c>
      <c r="P171">
        <f>IFERROR(IF(_xlfn.MAXIFS(Documents!$E$2:$E$1421,Documents!$A$2:$A$1421,$A171,Documents!$C$2:$C$1421,"sustainability")=0,"",_xlfn.MAXIFS(Documents!$E$2:$E$1421,Documents!$A$2:$A$1421,$A171,Documents!$C$2:$C$1421,"sustainability")),"")</f>
        <v/>
      </c>
      <c r="Q171">
        <f>IFERROR(IF(_xlfn.MAXIFS(Documents!$E$2:$E$1421,Documents!$A$2:$A$1421,$A171,Documents!$C$2:$C$1421,"calendar")=0,"",_xlfn.MAXIFS(Documents!$E$2:$E$1421,Documents!$A$2:$A$1421,$A171,Documents!$C$2:$C$1421,"calendar")),"")</f>
        <v/>
      </c>
      <c r="R171">
        <f>IFERROR(IF(_xlfn.MAXIFS(Documents!$E$2:$E$1421,Documents!$A$2:$A$1421,$A171,Documents!$C$2:$C$1421,"brochure")=0,"",_xlfn.MAXIFS(Documents!$E$2:$E$1421,Documents!$A$2:$A$1421,$A171,Documents!$C$2:$C$1421,"brochure")),"")</f>
        <v/>
      </c>
      <c r="S171">
        <f>IFERROR(IF(_xlfn.MAXIFS(Documents!$E$2:$E$1421,Documents!$A$2:$A$1421,$A171,Documents!$C$2:$C$1421,"press_kit")=0,"",_xlfn.MAXIFS(Documents!$E$2:$E$1421,Documents!$A$2:$A$1421,$A171,Documents!$C$2:$C$1421,"press_kit")),"")</f>
        <v/>
      </c>
      <c r="T171">
        <f>IFERROR(IF(_xlfn.MAXIFS(Documents!$E$2:$E$1421,Documents!$A$2:$A$1421,$A171,Documents!$C$2:$C$1421,"other")=0,"",_xlfn.MAXIFS(Documents!$E$2:$E$1421,Documents!$A$2:$A$1421,$A171,Documents!$C$2:$C$1421,"other")),"")</f>
        <v/>
      </c>
      <c r="U171">
        <f>IFERROR(IF(_xlfn.MAXIFS(Documents!$E$2:$E$1421,Documents!$A$2:$A$1421,$A171,Documents!$C$2:$C$1421,"obsolete")=0,"",_xlfn.MAXIFS(Documents!$E$2:$E$1421,Documents!$A$2:$A$1421,$A171,Documents!$C$2:$C$1421,"obsolete")),"")</f>
        <v/>
      </c>
      <c r="V171">
        <f>COUNTIFS(Documents!$A$2:$A$1421,$A171)</f>
        <v/>
      </c>
      <c r="W171">
        <f>COUNTIFS(Documents!$A$2:$A$1421,$A171,Documents!$R$2:$R$1421,"current")</f>
        <v/>
      </c>
      <c r="X171" t="inlineStr"/>
      <c r="Y171" t="inlineStr">
        <is>
          <t>factsheet, wedding, events</t>
        </is>
      </c>
      <c r="Z171" t="inlineStr"/>
    </row>
    <row r="172">
      <c r="A172" t="n">
        <v>171</v>
      </c>
      <c r="B172" t="inlineStr">
        <is>
          <t>Velaa Private Island Maldives</t>
        </is>
      </c>
      <c r="C172" t="inlineStr">
        <is>
          <t>not crawled</t>
        </is>
      </c>
      <c r="D172">
        <f>IFERROR(IF(_xlfn.MAXIFS(Documents!$E$2:$E$1421,Documents!$A$2:$A$1421,$A172,Documents!$C$2:$C$1421,"factsheet")=0,"",_xlfn.MAXIFS(Documents!$E$2:$E$1421,Documents!$A$2:$A$1421,$A172,Documents!$C$2:$C$1421,"factsheet")),"")</f>
        <v/>
      </c>
      <c r="E172">
        <f>IFERROR(IF(_xlfn.MAXIFS(Documents!$E$2:$E$1421,Documents!$A$2:$A$1421,$A172,Documents!$C$2:$C$1421,"wedding")=0,"",_xlfn.MAXIFS(Documents!$E$2:$E$1421,Documents!$A$2:$A$1421,$A172,Documents!$C$2:$C$1421,"wedding")),"")</f>
        <v/>
      </c>
      <c r="F172">
        <f>IFERROR(IF(_xlfn.MAXIFS(Documents!$E$2:$E$1421,Documents!$A$2:$A$1421,$A172,Documents!$C$2:$C$1421,"events")=0,"",_xlfn.MAXIFS(Documents!$E$2:$E$1421,Documents!$A$2:$A$1421,$A172,Documents!$C$2:$C$1421,"events")),"")</f>
        <v/>
      </c>
      <c r="G172">
        <f>IFERROR(IF(_xlfn.MAXIFS(Documents!$E$2:$E$1421,Documents!$A$2:$A$1421,$A172,Documents!$C$2:$C$1421,"map")=0,"",_xlfn.MAXIFS(Documents!$E$2:$E$1421,Documents!$A$2:$A$1421,$A172,Documents!$C$2:$C$1421,"map")),"")</f>
        <v/>
      </c>
      <c r="H172">
        <f>IFERROR(IF(_xlfn.MAXIFS(Documents!$E$2:$E$1421,Documents!$A$2:$A$1421,$A172,Documents!$C$2:$C$1421,"dive_map")=0,"",_xlfn.MAXIFS(Documents!$E$2:$E$1421,Documents!$A$2:$A$1421,$A172,Documents!$C$2:$C$1421,"dive_map")),"")</f>
        <v/>
      </c>
      <c r="I172">
        <f>IFERROR(IF(_xlfn.MAXIFS(Documents!$E$2:$E$1421,Documents!$A$2:$A$1421,$A172,Documents!$C$2:$C$1421,"spa_menu")=0,"",_xlfn.MAXIFS(Documents!$E$2:$E$1421,Documents!$A$2:$A$1421,$A172,Documents!$C$2:$C$1421,"spa_menu")),"")</f>
        <v/>
      </c>
      <c r="J172">
        <f>IFERROR(IF(_xlfn.MAXIFS(Documents!$E$2:$E$1421,Documents!$A$2:$A$1421,$A172,Documents!$C$2:$C$1421,"dining_menu")=0,"",_xlfn.MAXIFS(Documents!$E$2:$E$1421,Documents!$A$2:$A$1421,$A172,Documents!$C$2:$C$1421,"dining_menu")),"")</f>
        <v/>
      </c>
      <c r="K172">
        <f>IFERROR(IF(_xlfn.MAXIFS(Documents!$E$2:$E$1421,Documents!$A$2:$A$1421,$A172,Documents!$C$2:$C$1421,"dive_prices")=0,"",_xlfn.MAXIFS(Documents!$E$2:$E$1421,Documents!$A$2:$A$1421,$A172,Documents!$C$2:$C$1421,"dive_prices")),"")</f>
        <v/>
      </c>
      <c r="L172">
        <f>IFERROR(IF(_xlfn.MAXIFS(Documents!$E$2:$E$1421,Documents!$A$2:$A$1421,$A172,Documents!$C$2:$C$1421,"excursions")=0,"",_xlfn.MAXIFS(Documents!$E$2:$E$1421,Documents!$A$2:$A$1421,$A172,Documents!$C$2:$C$1421,"excursions")),"")</f>
        <v/>
      </c>
      <c r="M172">
        <f>IFERROR(IF(_xlfn.MAXIFS(Documents!$E$2:$E$1421,Documents!$A$2:$A$1421,$A172,Documents!$C$2:$C$1421,"kids")=0,"",_xlfn.MAXIFS(Documents!$E$2:$E$1421,Documents!$A$2:$A$1421,$A172,Documents!$C$2:$C$1421,"kids")),"")</f>
        <v/>
      </c>
      <c r="N172">
        <f>IFERROR(IF(_xlfn.MAXIFS(Documents!$E$2:$E$1421,Documents!$A$2:$A$1421,$A172,Documents!$C$2:$C$1421,"villa_plans")=0,"",_xlfn.MAXIFS(Documents!$E$2:$E$1421,Documents!$A$2:$A$1421,$A172,Documents!$C$2:$C$1421,"villa_plans")),"")</f>
        <v/>
      </c>
      <c r="O172">
        <f>IFERROR(IF(_xlfn.MAXIFS(Documents!$E$2:$E$1421,Documents!$A$2:$A$1421,$A172,Documents!$C$2:$C$1421,"all_inclusive")=0,"",_xlfn.MAXIFS(Documents!$E$2:$E$1421,Documents!$A$2:$A$1421,$A172,Documents!$C$2:$C$1421,"all_inclusive")),"")</f>
        <v/>
      </c>
      <c r="P172">
        <f>IFERROR(IF(_xlfn.MAXIFS(Documents!$E$2:$E$1421,Documents!$A$2:$A$1421,$A172,Documents!$C$2:$C$1421,"sustainability")=0,"",_xlfn.MAXIFS(Documents!$E$2:$E$1421,Documents!$A$2:$A$1421,$A172,Documents!$C$2:$C$1421,"sustainability")),"")</f>
        <v/>
      </c>
      <c r="Q172">
        <f>IFERROR(IF(_xlfn.MAXIFS(Documents!$E$2:$E$1421,Documents!$A$2:$A$1421,$A172,Documents!$C$2:$C$1421,"calendar")=0,"",_xlfn.MAXIFS(Documents!$E$2:$E$1421,Documents!$A$2:$A$1421,$A172,Documents!$C$2:$C$1421,"calendar")),"")</f>
        <v/>
      </c>
      <c r="R172">
        <f>IFERROR(IF(_xlfn.MAXIFS(Documents!$E$2:$E$1421,Documents!$A$2:$A$1421,$A172,Documents!$C$2:$C$1421,"brochure")=0,"",_xlfn.MAXIFS(Documents!$E$2:$E$1421,Documents!$A$2:$A$1421,$A172,Documents!$C$2:$C$1421,"brochure")),"")</f>
        <v/>
      </c>
      <c r="S172">
        <f>IFERROR(IF(_xlfn.MAXIFS(Documents!$E$2:$E$1421,Documents!$A$2:$A$1421,$A172,Documents!$C$2:$C$1421,"press_kit")=0,"",_xlfn.MAXIFS(Documents!$E$2:$E$1421,Documents!$A$2:$A$1421,$A172,Documents!$C$2:$C$1421,"press_kit")),"")</f>
        <v/>
      </c>
      <c r="T172">
        <f>IFERROR(IF(_xlfn.MAXIFS(Documents!$E$2:$E$1421,Documents!$A$2:$A$1421,$A172,Documents!$C$2:$C$1421,"other")=0,"",_xlfn.MAXIFS(Documents!$E$2:$E$1421,Documents!$A$2:$A$1421,$A172,Documents!$C$2:$C$1421,"other")),"")</f>
        <v/>
      </c>
      <c r="U172">
        <f>IFERROR(IF(_xlfn.MAXIFS(Documents!$E$2:$E$1421,Documents!$A$2:$A$1421,$A172,Documents!$C$2:$C$1421,"obsolete")=0,"",_xlfn.MAXIFS(Documents!$E$2:$E$1421,Documents!$A$2:$A$1421,$A172,Documents!$C$2:$C$1421,"obsolete")),"")</f>
        <v/>
      </c>
      <c r="V172">
        <f>COUNTIFS(Documents!$A$2:$A$1421,$A172)</f>
        <v/>
      </c>
      <c r="W172">
        <f>COUNTIFS(Documents!$A$2:$A$1421,$A172,Documents!$R$2:$R$1421,"current")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not crawled</t>
        </is>
      </c>
      <c r="D173">
        <f>IFERROR(IF(_xlfn.MAXIFS(Documents!$E$2:$E$1421,Documents!$A$2:$A$1421,$A173,Documents!$C$2:$C$1421,"factsheet")=0,"",_xlfn.MAXIFS(Documents!$E$2:$E$1421,Documents!$A$2:$A$1421,$A173,Documents!$C$2:$C$1421,"factsheet")),"")</f>
        <v/>
      </c>
      <c r="E173">
        <f>IFERROR(IF(_xlfn.MAXIFS(Documents!$E$2:$E$1421,Documents!$A$2:$A$1421,$A173,Documents!$C$2:$C$1421,"wedding")=0,"",_xlfn.MAXIFS(Documents!$E$2:$E$1421,Documents!$A$2:$A$1421,$A173,Documents!$C$2:$C$1421,"wedding")),"")</f>
        <v/>
      </c>
      <c r="F173">
        <f>IFERROR(IF(_xlfn.MAXIFS(Documents!$E$2:$E$1421,Documents!$A$2:$A$1421,$A173,Documents!$C$2:$C$1421,"events")=0,"",_xlfn.MAXIFS(Documents!$E$2:$E$1421,Documents!$A$2:$A$1421,$A173,Documents!$C$2:$C$1421,"events")),"")</f>
        <v/>
      </c>
      <c r="G173">
        <f>IFERROR(IF(_xlfn.MAXIFS(Documents!$E$2:$E$1421,Documents!$A$2:$A$1421,$A173,Documents!$C$2:$C$1421,"map")=0,"",_xlfn.MAXIFS(Documents!$E$2:$E$1421,Documents!$A$2:$A$1421,$A173,Documents!$C$2:$C$1421,"map")),"")</f>
        <v/>
      </c>
      <c r="H173">
        <f>IFERROR(IF(_xlfn.MAXIFS(Documents!$E$2:$E$1421,Documents!$A$2:$A$1421,$A173,Documents!$C$2:$C$1421,"dive_map")=0,"",_xlfn.MAXIFS(Documents!$E$2:$E$1421,Documents!$A$2:$A$1421,$A173,Documents!$C$2:$C$1421,"dive_map")),"")</f>
        <v/>
      </c>
      <c r="I173">
        <f>IFERROR(IF(_xlfn.MAXIFS(Documents!$E$2:$E$1421,Documents!$A$2:$A$1421,$A173,Documents!$C$2:$C$1421,"spa_menu")=0,"",_xlfn.MAXIFS(Documents!$E$2:$E$1421,Documents!$A$2:$A$1421,$A173,Documents!$C$2:$C$1421,"spa_menu")),"")</f>
        <v/>
      </c>
      <c r="J173">
        <f>IFERROR(IF(_xlfn.MAXIFS(Documents!$E$2:$E$1421,Documents!$A$2:$A$1421,$A173,Documents!$C$2:$C$1421,"dining_menu")=0,"",_xlfn.MAXIFS(Documents!$E$2:$E$1421,Documents!$A$2:$A$1421,$A173,Documents!$C$2:$C$1421,"dining_menu")),"")</f>
        <v/>
      </c>
      <c r="K173">
        <f>IFERROR(IF(_xlfn.MAXIFS(Documents!$E$2:$E$1421,Documents!$A$2:$A$1421,$A173,Documents!$C$2:$C$1421,"dive_prices")=0,"",_xlfn.MAXIFS(Documents!$E$2:$E$1421,Documents!$A$2:$A$1421,$A173,Documents!$C$2:$C$1421,"dive_prices")),"")</f>
        <v/>
      </c>
      <c r="L173">
        <f>IFERROR(IF(_xlfn.MAXIFS(Documents!$E$2:$E$1421,Documents!$A$2:$A$1421,$A173,Documents!$C$2:$C$1421,"excursions")=0,"",_xlfn.MAXIFS(Documents!$E$2:$E$1421,Documents!$A$2:$A$1421,$A173,Documents!$C$2:$C$1421,"excursions")),"")</f>
        <v/>
      </c>
      <c r="M173">
        <f>IFERROR(IF(_xlfn.MAXIFS(Documents!$E$2:$E$1421,Documents!$A$2:$A$1421,$A173,Documents!$C$2:$C$1421,"kids")=0,"",_xlfn.MAXIFS(Documents!$E$2:$E$1421,Documents!$A$2:$A$1421,$A173,Documents!$C$2:$C$1421,"kids")),"")</f>
        <v/>
      </c>
      <c r="N173">
        <f>IFERROR(IF(_xlfn.MAXIFS(Documents!$E$2:$E$1421,Documents!$A$2:$A$1421,$A173,Documents!$C$2:$C$1421,"villa_plans")=0,"",_xlfn.MAXIFS(Documents!$E$2:$E$1421,Documents!$A$2:$A$1421,$A173,Documents!$C$2:$C$1421,"villa_plans")),"")</f>
        <v/>
      </c>
      <c r="O173">
        <f>IFERROR(IF(_xlfn.MAXIFS(Documents!$E$2:$E$1421,Documents!$A$2:$A$1421,$A173,Documents!$C$2:$C$1421,"all_inclusive")=0,"",_xlfn.MAXIFS(Documents!$E$2:$E$1421,Documents!$A$2:$A$1421,$A173,Documents!$C$2:$C$1421,"all_inclusive")),"")</f>
        <v/>
      </c>
      <c r="P173">
        <f>IFERROR(IF(_xlfn.MAXIFS(Documents!$E$2:$E$1421,Documents!$A$2:$A$1421,$A173,Documents!$C$2:$C$1421,"sustainability")=0,"",_xlfn.MAXIFS(Documents!$E$2:$E$1421,Documents!$A$2:$A$1421,$A173,Documents!$C$2:$C$1421,"sustainability")),"")</f>
        <v/>
      </c>
      <c r="Q173">
        <f>IFERROR(IF(_xlfn.MAXIFS(Documents!$E$2:$E$1421,Documents!$A$2:$A$1421,$A173,Documents!$C$2:$C$1421,"calendar")=0,"",_xlfn.MAXIFS(Documents!$E$2:$E$1421,Documents!$A$2:$A$1421,$A173,Documents!$C$2:$C$1421,"calendar")),"")</f>
        <v/>
      </c>
      <c r="R173">
        <f>IFERROR(IF(_xlfn.MAXIFS(Documents!$E$2:$E$1421,Documents!$A$2:$A$1421,$A173,Documents!$C$2:$C$1421,"brochure")=0,"",_xlfn.MAXIFS(Documents!$E$2:$E$1421,Documents!$A$2:$A$1421,$A173,Documents!$C$2:$C$1421,"brochure")),"")</f>
        <v/>
      </c>
      <c r="S173">
        <f>IFERROR(IF(_xlfn.MAXIFS(Documents!$E$2:$E$1421,Documents!$A$2:$A$1421,$A173,Documents!$C$2:$C$1421,"press_kit")=0,"",_xlfn.MAXIFS(Documents!$E$2:$E$1421,Documents!$A$2:$A$1421,$A173,Documents!$C$2:$C$1421,"press_kit")),"")</f>
        <v/>
      </c>
      <c r="T173">
        <f>IFERROR(IF(_xlfn.MAXIFS(Documents!$E$2:$E$1421,Documents!$A$2:$A$1421,$A173,Documents!$C$2:$C$1421,"other")=0,"",_xlfn.MAXIFS(Documents!$E$2:$E$1421,Documents!$A$2:$A$1421,$A173,Documents!$C$2:$C$1421,"other")),"")</f>
        <v/>
      </c>
      <c r="U173">
        <f>IFERROR(IF(_xlfn.MAXIFS(Documents!$E$2:$E$1421,Documents!$A$2:$A$1421,$A173,Documents!$C$2:$C$1421,"obsolete")=0,"",_xlfn.MAXIFS(Documents!$E$2:$E$1421,Documents!$A$2:$A$1421,$A173,Documents!$C$2:$C$1421,"obsolete")),"")</f>
        <v/>
      </c>
      <c r="V173">
        <f>COUNTIFS(Documents!$A$2:$A$1421,$A173)</f>
        <v/>
      </c>
      <c r="W173">
        <f>COUNTIFS(Documents!$A$2:$A$1421,$A173,Documents!$R$2:$R$1421,"current")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not crawled</t>
        </is>
      </c>
      <c r="D174">
        <f>IFERROR(IF(_xlfn.MAXIFS(Documents!$E$2:$E$1421,Documents!$A$2:$A$1421,$A174,Documents!$C$2:$C$1421,"factsheet")=0,"",_xlfn.MAXIFS(Documents!$E$2:$E$1421,Documents!$A$2:$A$1421,$A174,Documents!$C$2:$C$1421,"factsheet")),"")</f>
        <v/>
      </c>
      <c r="E174">
        <f>IFERROR(IF(_xlfn.MAXIFS(Documents!$E$2:$E$1421,Documents!$A$2:$A$1421,$A174,Documents!$C$2:$C$1421,"wedding")=0,"",_xlfn.MAXIFS(Documents!$E$2:$E$1421,Documents!$A$2:$A$1421,$A174,Documents!$C$2:$C$1421,"wedding")),"")</f>
        <v/>
      </c>
      <c r="F174">
        <f>IFERROR(IF(_xlfn.MAXIFS(Documents!$E$2:$E$1421,Documents!$A$2:$A$1421,$A174,Documents!$C$2:$C$1421,"events")=0,"",_xlfn.MAXIFS(Documents!$E$2:$E$1421,Documents!$A$2:$A$1421,$A174,Documents!$C$2:$C$1421,"events")),"")</f>
        <v/>
      </c>
      <c r="G174">
        <f>IFERROR(IF(_xlfn.MAXIFS(Documents!$E$2:$E$1421,Documents!$A$2:$A$1421,$A174,Documents!$C$2:$C$1421,"map")=0,"",_xlfn.MAXIFS(Documents!$E$2:$E$1421,Documents!$A$2:$A$1421,$A174,Documents!$C$2:$C$1421,"map")),"")</f>
        <v/>
      </c>
      <c r="H174">
        <f>IFERROR(IF(_xlfn.MAXIFS(Documents!$E$2:$E$1421,Documents!$A$2:$A$1421,$A174,Documents!$C$2:$C$1421,"dive_map")=0,"",_xlfn.MAXIFS(Documents!$E$2:$E$1421,Documents!$A$2:$A$1421,$A174,Documents!$C$2:$C$1421,"dive_map")),"")</f>
        <v/>
      </c>
      <c r="I174">
        <f>IFERROR(IF(_xlfn.MAXIFS(Documents!$E$2:$E$1421,Documents!$A$2:$A$1421,$A174,Documents!$C$2:$C$1421,"spa_menu")=0,"",_xlfn.MAXIFS(Documents!$E$2:$E$1421,Documents!$A$2:$A$1421,$A174,Documents!$C$2:$C$1421,"spa_menu")),"")</f>
        <v/>
      </c>
      <c r="J174">
        <f>IFERROR(IF(_xlfn.MAXIFS(Documents!$E$2:$E$1421,Documents!$A$2:$A$1421,$A174,Documents!$C$2:$C$1421,"dining_menu")=0,"",_xlfn.MAXIFS(Documents!$E$2:$E$1421,Documents!$A$2:$A$1421,$A174,Documents!$C$2:$C$1421,"dining_menu")),"")</f>
        <v/>
      </c>
      <c r="K174">
        <f>IFERROR(IF(_xlfn.MAXIFS(Documents!$E$2:$E$1421,Documents!$A$2:$A$1421,$A174,Documents!$C$2:$C$1421,"dive_prices")=0,"",_xlfn.MAXIFS(Documents!$E$2:$E$1421,Documents!$A$2:$A$1421,$A174,Documents!$C$2:$C$1421,"dive_prices")),"")</f>
        <v/>
      </c>
      <c r="L174">
        <f>IFERROR(IF(_xlfn.MAXIFS(Documents!$E$2:$E$1421,Documents!$A$2:$A$1421,$A174,Documents!$C$2:$C$1421,"excursions")=0,"",_xlfn.MAXIFS(Documents!$E$2:$E$1421,Documents!$A$2:$A$1421,$A174,Documents!$C$2:$C$1421,"excursions")),"")</f>
        <v/>
      </c>
      <c r="M174">
        <f>IFERROR(IF(_xlfn.MAXIFS(Documents!$E$2:$E$1421,Documents!$A$2:$A$1421,$A174,Documents!$C$2:$C$1421,"kids")=0,"",_xlfn.MAXIFS(Documents!$E$2:$E$1421,Documents!$A$2:$A$1421,$A174,Documents!$C$2:$C$1421,"kids")),"")</f>
        <v/>
      </c>
      <c r="N174">
        <f>IFERROR(IF(_xlfn.MAXIFS(Documents!$E$2:$E$1421,Documents!$A$2:$A$1421,$A174,Documents!$C$2:$C$1421,"villa_plans")=0,"",_xlfn.MAXIFS(Documents!$E$2:$E$1421,Documents!$A$2:$A$1421,$A174,Documents!$C$2:$C$1421,"villa_plans")),"")</f>
        <v/>
      </c>
      <c r="O174">
        <f>IFERROR(IF(_xlfn.MAXIFS(Documents!$E$2:$E$1421,Documents!$A$2:$A$1421,$A174,Documents!$C$2:$C$1421,"all_inclusive")=0,"",_xlfn.MAXIFS(Documents!$E$2:$E$1421,Documents!$A$2:$A$1421,$A174,Documents!$C$2:$C$1421,"all_inclusive")),"")</f>
        <v/>
      </c>
      <c r="P174">
        <f>IFERROR(IF(_xlfn.MAXIFS(Documents!$E$2:$E$1421,Documents!$A$2:$A$1421,$A174,Documents!$C$2:$C$1421,"sustainability")=0,"",_xlfn.MAXIFS(Documents!$E$2:$E$1421,Documents!$A$2:$A$1421,$A174,Documents!$C$2:$C$1421,"sustainability")),"")</f>
        <v/>
      </c>
      <c r="Q174">
        <f>IFERROR(IF(_xlfn.MAXIFS(Documents!$E$2:$E$1421,Documents!$A$2:$A$1421,$A174,Documents!$C$2:$C$1421,"calendar")=0,"",_xlfn.MAXIFS(Documents!$E$2:$E$1421,Documents!$A$2:$A$1421,$A174,Documents!$C$2:$C$1421,"calendar")),"")</f>
        <v/>
      </c>
      <c r="R174">
        <f>IFERROR(IF(_xlfn.MAXIFS(Documents!$E$2:$E$1421,Documents!$A$2:$A$1421,$A174,Documents!$C$2:$C$1421,"brochure")=0,"",_xlfn.MAXIFS(Documents!$E$2:$E$1421,Documents!$A$2:$A$1421,$A174,Documents!$C$2:$C$1421,"brochure")),"")</f>
        <v/>
      </c>
      <c r="S174">
        <f>IFERROR(IF(_xlfn.MAXIFS(Documents!$E$2:$E$1421,Documents!$A$2:$A$1421,$A174,Documents!$C$2:$C$1421,"press_kit")=0,"",_xlfn.MAXIFS(Documents!$E$2:$E$1421,Documents!$A$2:$A$1421,$A174,Documents!$C$2:$C$1421,"press_kit")),"")</f>
        <v/>
      </c>
      <c r="T174">
        <f>IFERROR(IF(_xlfn.MAXIFS(Documents!$E$2:$E$1421,Documents!$A$2:$A$1421,$A174,Documents!$C$2:$C$1421,"other")=0,"",_xlfn.MAXIFS(Documents!$E$2:$E$1421,Documents!$A$2:$A$1421,$A174,Documents!$C$2:$C$1421,"other")),"")</f>
        <v/>
      </c>
      <c r="U174">
        <f>IFERROR(IF(_xlfn.MAXIFS(Documents!$E$2:$E$1421,Documents!$A$2:$A$1421,$A174,Documents!$C$2:$C$1421,"obsolete")=0,"",_xlfn.MAXIFS(Documents!$E$2:$E$1421,Documents!$A$2:$A$1421,$A174,Documents!$C$2:$C$1421,"obsolete")),"")</f>
        <v/>
      </c>
      <c r="V174">
        <f>COUNTIFS(Documents!$A$2:$A$1421,$A174)</f>
        <v/>
      </c>
      <c r="W174">
        <f>COUNTIFS(Documents!$A$2:$A$1421,$A174,Documents!$R$2:$R$1421,"current")</f>
        <v/>
      </c>
      <c r="X174">
        <f>HYPERLINK("https://www.neoscapesmaldives.com/wp-content/uploads/Factsheet-Kurumba-Maldives.pdf","2019_Factsheet-Kurumba-Maldives.pdf")</f>
        <v/>
      </c>
      <c r="Y174" t="inlineStr">
        <is>
          <t>wedding, events</t>
        </is>
      </c>
      <c r="Z174" t="inlineStr"/>
    </row>
    <row r="175">
      <c r="A175" t="n">
        <v>174</v>
      </c>
      <c r="B175" t="inlineStr">
        <is>
          <t>Vilamendhoo Island Resort</t>
        </is>
      </c>
      <c r="C175" t="inlineStr">
        <is>
          <t>not crawled</t>
        </is>
      </c>
      <c r="D175">
        <f>IFERROR(IF(_xlfn.MAXIFS(Documents!$E$2:$E$1421,Documents!$A$2:$A$1421,$A175,Documents!$C$2:$C$1421,"factsheet")=0,"",_xlfn.MAXIFS(Documents!$E$2:$E$1421,Documents!$A$2:$A$1421,$A175,Documents!$C$2:$C$1421,"factsheet")),"")</f>
        <v/>
      </c>
      <c r="E175">
        <f>IFERROR(IF(_xlfn.MAXIFS(Documents!$E$2:$E$1421,Documents!$A$2:$A$1421,$A175,Documents!$C$2:$C$1421,"wedding")=0,"",_xlfn.MAXIFS(Documents!$E$2:$E$1421,Documents!$A$2:$A$1421,$A175,Documents!$C$2:$C$1421,"wedding")),"")</f>
        <v/>
      </c>
      <c r="F175">
        <f>IFERROR(IF(_xlfn.MAXIFS(Documents!$E$2:$E$1421,Documents!$A$2:$A$1421,$A175,Documents!$C$2:$C$1421,"events")=0,"",_xlfn.MAXIFS(Documents!$E$2:$E$1421,Documents!$A$2:$A$1421,$A175,Documents!$C$2:$C$1421,"events")),"")</f>
        <v/>
      </c>
      <c r="G175">
        <f>IFERROR(IF(_xlfn.MAXIFS(Documents!$E$2:$E$1421,Documents!$A$2:$A$1421,$A175,Documents!$C$2:$C$1421,"map")=0,"",_xlfn.MAXIFS(Documents!$E$2:$E$1421,Documents!$A$2:$A$1421,$A175,Documents!$C$2:$C$1421,"map")),"")</f>
        <v/>
      </c>
      <c r="H175">
        <f>IFERROR(IF(_xlfn.MAXIFS(Documents!$E$2:$E$1421,Documents!$A$2:$A$1421,$A175,Documents!$C$2:$C$1421,"dive_map")=0,"",_xlfn.MAXIFS(Documents!$E$2:$E$1421,Documents!$A$2:$A$1421,$A175,Documents!$C$2:$C$1421,"dive_map")),"")</f>
        <v/>
      </c>
      <c r="I175">
        <f>IFERROR(IF(_xlfn.MAXIFS(Documents!$E$2:$E$1421,Documents!$A$2:$A$1421,$A175,Documents!$C$2:$C$1421,"spa_menu")=0,"",_xlfn.MAXIFS(Documents!$E$2:$E$1421,Documents!$A$2:$A$1421,$A175,Documents!$C$2:$C$1421,"spa_menu")),"")</f>
        <v/>
      </c>
      <c r="J175">
        <f>IFERROR(IF(_xlfn.MAXIFS(Documents!$E$2:$E$1421,Documents!$A$2:$A$1421,$A175,Documents!$C$2:$C$1421,"dining_menu")=0,"",_xlfn.MAXIFS(Documents!$E$2:$E$1421,Documents!$A$2:$A$1421,$A175,Documents!$C$2:$C$1421,"dining_menu")),"")</f>
        <v/>
      </c>
      <c r="K175">
        <f>IFERROR(IF(_xlfn.MAXIFS(Documents!$E$2:$E$1421,Documents!$A$2:$A$1421,$A175,Documents!$C$2:$C$1421,"dive_prices")=0,"",_xlfn.MAXIFS(Documents!$E$2:$E$1421,Documents!$A$2:$A$1421,$A175,Documents!$C$2:$C$1421,"dive_prices")),"")</f>
        <v/>
      </c>
      <c r="L175">
        <f>IFERROR(IF(_xlfn.MAXIFS(Documents!$E$2:$E$1421,Documents!$A$2:$A$1421,$A175,Documents!$C$2:$C$1421,"excursions")=0,"",_xlfn.MAXIFS(Documents!$E$2:$E$1421,Documents!$A$2:$A$1421,$A175,Documents!$C$2:$C$1421,"excursions")),"")</f>
        <v/>
      </c>
      <c r="M175">
        <f>IFERROR(IF(_xlfn.MAXIFS(Documents!$E$2:$E$1421,Documents!$A$2:$A$1421,$A175,Documents!$C$2:$C$1421,"kids")=0,"",_xlfn.MAXIFS(Documents!$E$2:$E$1421,Documents!$A$2:$A$1421,$A175,Documents!$C$2:$C$1421,"kids")),"")</f>
        <v/>
      </c>
      <c r="N175">
        <f>IFERROR(IF(_xlfn.MAXIFS(Documents!$E$2:$E$1421,Documents!$A$2:$A$1421,$A175,Documents!$C$2:$C$1421,"villa_plans")=0,"",_xlfn.MAXIFS(Documents!$E$2:$E$1421,Documents!$A$2:$A$1421,$A175,Documents!$C$2:$C$1421,"villa_plans")),"")</f>
        <v/>
      </c>
      <c r="O175">
        <f>IFERROR(IF(_xlfn.MAXIFS(Documents!$E$2:$E$1421,Documents!$A$2:$A$1421,$A175,Documents!$C$2:$C$1421,"all_inclusive")=0,"",_xlfn.MAXIFS(Documents!$E$2:$E$1421,Documents!$A$2:$A$1421,$A175,Documents!$C$2:$C$1421,"all_inclusive")),"")</f>
        <v/>
      </c>
      <c r="P175">
        <f>IFERROR(IF(_xlfn.MAXIFS(Documents!$E$2:$E$1421,Documents!$A$2:$A$1421,$A175,Documents!$C$2:$C$1421,"sustainability")=0,"",_xlfn.MAXIFS(Documents!$E$2:$E$1421,Documents!$A$2:$A$1421,$A175,Documents!$C$2:$C$1421,"sustainability")),"")</f>
        <v/>
      </c>
      <c r="Q175">
        <f>IFERROR(IF(_xlfn.MAXIFS(Documents!$E$2:$E$1421,Documents!$A$2:$A$1421,$A175,Documents!$C$2:$C$1421,"calendar")=0,"",_xlfn.MAXIFS(Documents!$E$2:$E$1421,Documents!$A$2:$A$1421,$A175,Documents!$C$2:$C$1421,"calendar")),"")</f>
        <v/>
      </c>
      <c r="R175">
        <f>IFERROR(IF(_xlfn.MAXIFS(Documents!$E$2:$E$1421,Documents!$A$2:$A$1421,$A175,Documents!$C$2:$C$1421,"brochure")=0,"",_xlfn.MAXIFS(Documents!$E$2:$E$1421,Documents!$A$2:$A$1421,$A175,Documents!$C$2:$C$1421,"brochure")),"")</f>
        <v/>
      </c>
      <c r="S175">
        <f>IFERROR(IF(_xlfn.MAXIFS(Documents!$E$2:$E$1421,Documents!$A$2:$A$1421,$A175,Documents!$C$2:$C$1421,"press_kit")=0,"",_xlfn.MAXIFS(Documents!$E$2:$E$1421,Documents!$A$2:$A$1421,$A175,Documents!$C$2:$C$1421,"press_kit")),"")</f>
        <v/>
      </c>
      <c r="T175">
        <f>IFERROR(IF(_xlfn.MAXIFS(Documents!$E$2:$E$1421,Documents!$A$2:$A$1421,$A175,Documents!$C$2:$C$1421,"other")=0,"",_xlfn.MAXIFS(Documents!$E$2:$E$1421,Documents!$A$2:$A$1421,$A175,Documents!$C$2:$C$1421,"other")),"")</f>
        <v/>
      </c>
      <c r="U175">
        <f>IFERROR(IF(_xlfn.MAXIFS(Documents!$E$2:$E$1421,Documents!$A$2:$A$1421,$A175,Documents!$C$2:$C$1421,"obsolete")=0,"",_xlfn.MAXIFS(Documents!$E$2:$E$1421,Documents!$A$2:$A$1421,$A175,Documents!$C$2:$C$1421,"obsolete")),"")</f>
        <v/>
      </c>
      <c r="V175">
        <f>COUNTIFS(Documents!$A$2:$A$1421,$A175)</f>
        <v/>
      </c>
      <c r="W175">
        <f>COUNTIFS(Documents!$A$2:$A$1421,$A175,Documents!$R$2:$R$1421,"current")</f>
        <v/>
      </c>
      <c r="X175">
        <f>HYPERLINK("https://sales.crownandchamparesorts.com/wp-content/uploads/2025/12/FactSheetVilamendhoo110125103126Ver260425.pdf","2025_FactSheetVilamendhoo110125103126Ver")</f>
        <v/>
      </c>
      <c r="Y175" t="inlineStr">
        <is>
          <t>wedding, events</t>
        </is>
      </c>
      <c r="Z175" t="inlineStr"/>
    </row>
    <row r="176">
      <c r="A176" t="n">
        <v>175</v>
      </c>
      <c r="B176" t="inlineStr">
        <is>
          <t>Villa Nautica Paradise Island</t>
        </is>
      </c>
      <c r="C176" t="inlineStr">
        <is>
          <t>not crawled</t>
        </is>
      </c>
      <c r="D176">
        <f>IFERROR(IF(_xlfn.MAXIFS(Documents!$E$2:$E$1421,Documents!$A$2:$A$1421,$A176,Documents!$C$2:$C$1421,"factsheet")=0,"",_xlfn.MAXIFS(Documents!$E$2:$E$1421,Documents!$A$2:$A$1421,$A176,Documents!$C$2:$C$1421,"factsheet")),"")</f>
        <v/>
      </c>
      <c r="E176">
        <f>IFERROR(IF(_xlfn.MAXIFS(Documents!$E$2:$E$1421,Documents!$A$2:$A$1421,$A176,Documents!$C$2:$C$1421,"wedding")=0,"",_xlfn.MAXIFS(Documents!$E$2:$E$1421,Documents!$A$2:$A$1421,$A176,Documents!$C$2:$C$1421,"wedding")),"")</f>
        <v/>
      </c>
      <c r="F176">
        <f>IFERROR(IF(_xlfn.MAXIFS(Documents!$E$2:$E$1421,Documents!$A$2:$A$1421,$A176,Documents!$C$2:$C$1421,"events")=0,"",_xlfn.MAXIFS(Documents!$E$2:$E$1421,Documents!$A$2:$A$1421,$A176,Documents!$C$2:$C$1421,"events")),"")</f>
        <v/>
      </c>
      <c r="G176">
        <f>IFERROR(IF(_xlfn.MAXIFS(Documents!$E$2:$E$1421,Documents!$A$2:$A$1421,$A176,Documents!$C$2:$C$1421,"map")=0,"",_xlfn.MAXIFS(Documents!$E$2:$E$1421,Documents!$A$2:$A$1421,$A176,Documents!$C$2:$C$1421,"map")),"")</f>
        <v/>
      </c>
      <c r="H176">
        <f>IFERROR(IF(_xlfn.MAXIFS(Documents!$E$2:$E$1421,Documents!$A$2:$A$1421,$A176,Documents!$C$2:$C$1421,"dive_map")=0,"",_xlfn.MAXIFS(Documents!$E$2:$E$1421,Documents!$A$2:$A$1421,$A176,Documents!$C$2:$C$1421,"dive_map")),"")</f>
        <v/>
      </c>
      <c r="I176">
        <f>IFERROR(IF(_xlfn.MAXIFS(Documents!$E$2:$E$1421,Documents!$A$2:$A$1421,$A176,Documents!$C$2:$C$1421,"spa_menu")=0,"",_xlfn.MAXIFS(Documents!$E$2:$E$1421,Documents!$A$2:$A$1421,$A176,Documents!$C$2:$C$1421,"spa_menu")),"")</f>
        <v/>
      </c>
      <c r="J176">
        <f>IFERROR(IF(_xlfn.MAXIFS(Documents!$E$2:$E$1421,Documents!$A$2:$A$1421,$A176,Documents!$C$2:$C$1421,"dining_menu")=0,"",_xlfn.MAXIFS(Documents!$E$2:$E$1421,Documents!$A$2:$A$1421,$A176,Documents!$C$2:$C$1421,"dining_menu")),"")</f>
        <v/>
      </c>
      <c r="K176">
        <f>IFERROR(IF(_xlfn.MAXIFS(Documents!$E$2:$E$1421,Documents!$A$2:$A$1421,$A176,Documents!$C$2:$C$1421,"dive_prices")=0,"",_xlfn.MAXIFS(Documents!$E$2:$E$1421,Documents!$A$2:$A$1421,$A176,Documents!$C$2:$C$1421,"dive_prices")),"")</f>
        <v/>
      </c>
      <c r="L176">
        <f>IFERROR(IF(_xlfn.MAXIFS(Documents!$E$2:$E$1421,Documents!$A$2:$A$1421,$A176,Documents!$C$2:$C$1421,"excursions")=0,"",_xlfn.MAXIFS(Documents!$E$2:$E$1421,Documents!$A$2:$A$1421,$A176,Documents!$C$2:$C$1421,"excursions")),"")</f>
        <v/>
      </c>
      <c r="M176">
        <f>IFERROR(IF(_xlfn.MAXIFS(Documents!$E$2:$E$1421,Documents!$A$2:$A$1421,$A176,Documents!$C$2:$C$1421,"kids")=0,"",_xlfn.MAXIFS(Documents!$E$2:$E$1421,Documents!$A$2:$A$1421,$A176,Documents!$C$2:$C$1421,"kids")),"")</f>
        <v/>
      </c>
      <c r="N176">
        <f>IFERROR(IF(_xlfn.MAXIFS(Documents!$E$2:$E$1421,Documents!$A$2:$A$1421,$A176,Documents!$C$2:$C$1421,"villa_plans")=0,"",_xlfn.MAXIFS(Documents!$E$2:$E$1421,Documents!$A$2:$A$1421,$A176,Documents!$C$2:$C$1421,"villa_plans")),"")</f>
        <v/>
      </c>
      <c r="O176">
        <f>IFERROR(IF(_xlfn.MAXIFS(Documents!$E$2:$E$1421,Documents!$A$2:$A$1421,$A176,Documents!$C$2:$C$1421,"all_inclusive")=0,"",_xlfn.MAXIFS(Documents!$E$2:$E$1421,Documents!$A$2:$A$1421,$A176,Documents!$C$2:$C$1421,"all_inclusive")),"")</f>
        <v/>
      </c>
      <c r="P176">
        <f>IFERROR(IF(_xlfn.MAXIFS(Documents!$E$2:$E$1421,Documents!$A$2:$A$1421,$A176,Documents!$C$2:$C$1421,"sustainability")=0,"",_xlfn.MAXIFS(Documents!$E$2:$E$1421,Documents!$A$2:$A$1421,$A176,Documents!$C$2:$C$1421,"sustainability")),"")</f>
        <v/>
      </c>
      <c r="Q176">
        <f>IFERROR(IF(_xlfn.MAXIFS(Documents!$E$2:$E$1421,Documents!$A$2:$A$1421,$A176,Documents!$C$2:$C$1421,"calendar")=0,"",_xlfn.MAXIFS(Documents!$E$2:$E$1421,Documents!$A$2:$A$1421,$A176,Documents!$C$2:$C$1421,"calendar")),"")</f>
        <v/>
      </c>
      <c r="R176">
        <f>IFERROR(IF(_xlfn.MAXIFS(Documents!$E$2:$E$1421,Documents!$A$2:$A$1421,$A176,Documents!$C$2:$C$1421,"brochure")=0,"",_xlfn.MAXIFS(Documents!$E$2:$E$1421,Documents!$A$2:$A$1421,$A176,Documents!$C$2:$C$1421,"brochure")),"")</f>
        <v/>
      </c>
      <c r="S176">
        <f>IFERROR(IF(_xlfn.MAXIFS(Documents!$E$2:$E$1421,Documents!$A$2:$A$1421,$A176,Documents!$C$2:$C$1421,"press_kit")=0,"",_xlfn.MAXIFS(Documents!$E$2:$E$1421,Documents!$A$2:$A$1421,$A176,Documents!$C$2:$C$1421,"press_kit")),"")</f>
        <v/>
      </c>
      <c r="T176">
        <f>IFERROR(IF(_xlfn.MAXIFS(Documents!$E$2:$E$1421,Documents!$A$2:$A$1421,$A176,Documents!$C$2:$C$1421,"other")=0,"",_xlfn.MAXIFS(Documents!$E$2:$E$1421,Documents!$A$2:$A$1421,$A176,Documents!$C$2:$C$1421,"other")),"")</f>
        <v/>
      </c>
      <c r="U176">
        <f>IFERROR(IF(_xlfn.MAXIFS(Documents!$E$2:$E$1421,Documents!$A$2:$A$1421,$A176,Documents!$C$2:$C$1421,"obsolete")=0,"",_xlfn.MAXIFS(Documents!$E$2:$E$1421,Documents!$A$2:$A$1421,$A176,Documents!$C$2:$C$1421,"obsolete")),"")</f>
        <v/>
      </c>
      <c r="V176">
        <f>COUNTIFS(Documents!$A$2:$A$1421,$A176)</f>
        <v/>
      </c>
      <c r="W176">
        <f>COUNTIFS(Documents!$A$2:$A$1421,$A176,Documents!$R$2:$R$1421,"current")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not crawled</t>
        </is>
      </c>
      <c r="D177">
        <f>IFERROR(IF(_xlfn.MAXIFS(Documents!$E$2:$E$1421,Documents!$A$2:$A$1421,$A177,Documents!$C$2:$C$1421,"factsheet")=0,"",_xlfn.MAXIFS(Documents!$E$2:$E$1421,Documents!$A$2:$A$1421,$A177,Documents!$C$2:$C$1421,"factsheet")),"")</f>
        <v/>
      </c>
      <c r="E177">
        <f>IFERROR(IF(_xlfn.MAXIFS(Documents!$E$2:$E$1421,Documents!$A$2:$A$1421,$A177,Documents!$C$2:$C$1421,"wedding")=0,"",_xlfn.MAXIFS(Documents!$E$2:$E$1421,Documents!$A$2:$A$1421,$A177,Documents!$C$2:$C$1421,"wedding")),"")</f>
        <v/>
      </c>
      <c r="F177">
        <f>IFERROR(IF(_xlfn.MAXIFS(Documents!$E$2:$E$1421,Documents!$A$2:$A$1421,$A177,Documents!$C$2:$C$1421,"events")=0,"",_xlfn.MAXIFS(Documents!$E$2:$E$1421,Documents!$A$2:$A$1421,$A177,Documents!$C$2:$C$1421,"events")),"")</f>
        <v/>
      </c>
      <c r="G177">
        <f>IFERROR(IF(_xlfn.MAXIFS(Documents!$E$2:$E$1421,Documents!$A$2:$A$1421,$A177,Documents!$C$2:$C$1421,"map")=0,"",_xlfn.MAXIFS(Documents!$E$2:$E$1421,Documents!$A$2:$A$1421,$A177,Documents!$C$2:$C$1421,"map")),"")</f>
        <v/>
      </c>
      <c r="H177">
        <f>IFERROR(IF(_xlfn.MAXIFS(Documents!$E$2:$E$1421,Documents!$A$2:$A$1421,$A177,Documents!$C$2:$C$1421,"dive_map")=0,"",_xlfn.MAXIFS(Documents!$E$2:$E$1421,Documents!$A$2:$A$1421,$A177,Documents!$C$2:$C$1421,"dive_map")),"")</f>
        <v/>
      </c>
      <c r="I177">
        <f>IFERROR(IF(_xlfn.MAXIFS(Documents!$E$2:$E$1421,Documents!$A$2:$A$1421,$A177,Documents!$C$2:$C$1421,"spa_menu")=0,"",_xlfn.MAXIFS(Documents!$E$2:$E$1421,Documents!$A$2:$A$1421,$A177,Documents!$C$2:$C$1421,"spa_menu")),"")</f>
        <v/>
      </c>
      <c r="J177">
        <f>IFERROR(IF(_xlfn.MAXIFS(Documents!$E$2:$E$1421,Documents!$A$2:$A$1421,$A177,Documents!$C$2:$C$1421,"dining_menu")=0,"",_xlfn.MAXIFS(Documents!$E$2:$E$1421,Documents!$A$2:$A$1421,$A177,Documents!$C$2:$C$1421,"dining_menu")),"")</f>
        <v/>
      </c>
      <c r="K177">
        <f>IFERROR(IF(_xlfn.MAXIFS(Documents!$E$2:$E$1421,Documents!$A$2:$A$1421,$A177,Documents!$C$2:$C$1421,"dive_prices")=0,"",_xlfn.MAXIFS(Documents!$E$2:$E$1421,Documents!$A$2:$A$1421,$A177,Documents!$C$2:$C$1421,"dive_prices")),"")</f>
        <v/>
      </c>
      <c r="L177">
        <f>IFERROR(IF(_xlfn.MAXIFS(Documents!$E$2:$E$1421,Documents!$A$2:$A$1421,$A177,Documents!$C$2:$C$1421,"excursions")=0,"",_xlfn.MAXIFS(Documents!$E$2:$E$1421,Documents!$A$2:$A$1421,$A177,Documents!$C$2:$C$1421,"excursions")),"")</f>
        <v/>
      </c>
      <c r="M177">
        <f>IFERROR(IF(_xlfn.MAXIFS(Documents!$E$2:$E$1421,Documents!$A$2:$A$1421,$A177,Documents!$C$2:$C$1421,"kids")=0,"",_xlfn.MAXIFS(Documents!$E$2:$E$1421,Documents!$A$2:$A$1421,$A177,Documents!$C$2:$C$1421,"kids")),"")</f>
        <v/>
      </c>
      <c r="N177">
        <f>IFERROR(IF(_xlfn.MAXIFS(Documents!$E$2:$E$1421,Documents!$A$2:$A$1421,$A177,Documents!$C$2:$C$1421,"villa_plans")=0,"",_xlfn.MAXIFS(Documents!$E$2:$E$1421,Documents!$A$2:$A$1421,$A177,Documents!$C$2:$C$1421,"villa_plans")),"")</f>
        <v/>
      </c>
      <c r="O177">
        <f>IFERROR(IF(_xlfn.MAXIFS(Documents!$E$2:$E$1421,Documents!$A$2:$A$1421,$A177,Documents!$C$2:$C$1421,"all_inclusive")=0,"",_xlfn.MAXIFS(Documents!$E$2:$E$1421,Documents!$A$2:$A$1421,$A177,Documents!$C$2:$C$1421,"all_inclusive")),"")</f>
        <v/>
      </c>
      <c r="P177">
        <f>IFERROR(IF(_xlfn.MAXIFS(Documents!$E$2:$E$1421,Documents!$A$2:$A$1421,$A177,Documents!$C$2:$C$1421,"sustainability")=0,"",_xlfn.MAXIFS(Documents!$E$2:$E$1421,Documents!$A$2:$A$1421,$A177,Documents!$C$2:$C$1421,"sustainability")),"")</f>
        <v/>
      </c>
      <c r="Q177">
        <f>IFERROR(IF(_xlfn.MAXIFS(Documents!$E$2:$E$1421,Documents!$A$2:$A$1421,$A177,Documents!$C$2:$C$1421,"calendar")=0,"",_xlfn.MAXIFS(Documents!$E$2:$E$1421,Documents!$A$2:$A$1421,$A177,Documents!$C$2:$C$1421,"calendar")),"")</f>
        <v/>
      </c>
      <c r="R177">
        <f>IFERROR(IF(_xlfn.MAXIFS(Documents!$E$2:$E$1421,Documents!$A$2:$A$1421,$A177,Documents!$C$2:$C$1421,"brochure")=0,"",_xlfn.MAXIFS(Documents!$E$2:$E$1421,Documents!$A$2:$A$1421,$A177,Documents!$C$2:$C$1421,"brochure")),"")</f>
        <v/>
      </c>
      <c r="S177">
        <f>IFERROR(IF(_xlfn.MAXIFS(Documents!$E$2:$E$1421,Documents!$A$2:$A$1421,$A177,Documents!$C$2:$C$1421,"press_kit")=0,"",_xlfn.MAXIFS(Documents!$E$2:$E$1421,Documents!$A$2:$A$1421,$A177,Documents!$C$2:$C$1421,"press_kit")),"")</f>
        <v/>
      </c>
      <c r="T177">
        <f>IFERROR(IF(_xlfn.MAXIFS(Documents!$E$2:$E$1421,Documents!$A$2:$A$1421,$A177,Documents!$C$2:$C$1421,"other")=0,"",_xlfn.MAXIFS(Documents!$E$2:$E$1421,Documents!$A$2:$A$1421,$A177,Documents!$C$2:$C$1421,"other")),"")</f>
        <v/>
      </c>
      <c r="U177">
        <f>IFERROR(IF(_xlfn.MAXIFS(Documents!$E$2:$E$1421,Documents!$A$2:$A$1421,$A177,Documents!$C$2:$C$1421,"obsolete")=0,"",_xlfn.MAXIFS(Documents!$E$2:$E$1421,Documents!$A$2:$A$1421,$A177,Documents!$C$2:$C$1421,"obsolete")),"")</f>
        <v/>
      </c>
      <c r="V177">
        <f>COUNTIFS(Documents!$A$2:$A$1421,$A177)</f>
        <v/>
      </c>
      <c r="W177">
        <f>COUNTIFS(Documents!$A$2:$A$1421,$A177,Documents!$R$2:$R$1421,"current")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not crawled</t>
        </is>
      </c>
      <c r="D178">
        <f>IFERROR(IF(_xlfn.MAXIFS(Documents!$E$2:$E$1421,Documents!$A$2:$A$1421,$A178,Documents!$C$2:$C$1421,"factsheet")=0,"",_xlfn.MAXIFS(Documents!$E$2:$E$1421,Documents!$A$2:$A$1421,$A178,Documents!$C$2:$C$1421,"factsheet")),"")</f>
        <v/>
      </c>
      <c r="E178">
        <f>IFERROR(IF(_xlfn.MAXIFS(Documents!$E$2:$E$1421,Documents!$A$2:$A$1421,$A178,Documents!$C$2:$C$1421,"wedding")=0,"",_xlfn.MAXIFS(Documents!$E$2:$E$1421,Documents!$A$2:$A$1421,$A178,Documents!$C$2:$C$1421,"wedding")),"")</f>
        <v/>
      </c>
      <c r="F178">
        <f>IFERROR(IF(_xlfn.MAXIFS(Documents!$E$2:$E$1421,Documents!$A$2:$A$1421,$A178,Documents!$C$2:$C$1421,"events")=0,"",_xlfn.MAXIFS(Documents!$E$2:$E$1421,Documents!$A$2:$A$1421,$A178,Documents!$C$2:$C$1421,"events")),"")</f>
        <v/>
      </c>
      <c r="G178">
        <f>IFERROR(IF(_xlfn.MAXIFS(Documents!$E$2:$E$1421,Documents!$A$2:$A$1421,$A178,Documents!$C$2:$C$1421,"map")=0,"",_xlfn.MAXIFS(Documents!$E$2:$E$1421,Documents!$A$2:$A$1421,$A178,Documents!$C$2:$C$1421,"map")),"")</f>
        <v/>
      </c>
      <c r="H178">
        <f>IFERROR(IF(_xlfn.MAXIFS(Documents!$E$2:$E$1421,Documents!$A$2:$A$1421,$A178,Documents!$C$2:$C$1421,"dive_map")=0,"",_xlfn.MAXIFS(Documents!$E$2:$E$1421,Documents!$A$2:$A$1421,$A178,Documents!$C$2:$C$1421,"dive_map")),"")</f>
        <v/>
      </c>
      <c r="I178">
        <f>IFERROR(IF(_xlfn.MAXIFS(Documents!$E$2:$E$1421,Documents!$A$2:$A$1421,$A178,Documents!$C$2:$C$1421,"spa_menu")=0,"",_xlfn.MAXIFS(Documents!$E$2:$E$1421,Documents!$A$2:$A$1421,$A178,Documents!$C$2:$C$1421,"spa_menu")),"")</f>
        <v/>
      </c>
      <c r="J178">
        <f>IFERROR(IF(_xlfn.MAXIFS(Documents!$E$2:$E$1421,Documents!$A$2:$A$1421,$A178,Documents!$C$2:$C$1421,"dining_menu")=0,"",_xlfn.MAXIFS(Documents!$E$2:$E$1421,Documents!$A$2:$A$1421,$A178,Documents!$C$2:$C$1421,"dining_menu")),"")</f>
        <v/>
      </c>
      <c r="K178">
        <f>IFERROR(IF(_xlfn.MAXIFS(Documents!$E$2:$E$1421,Documents!$A$2:$A$1421,$A178,Documents!$C$2:$C$1421,"dive_prices")=0,"",_xlfn.MAXIFS(Documents!$E$2:$E$1421,Documents!$A$2:$A$1421,$A178,Documents!$C$2:$C$1421,"dive_prices")),"")</f>
        <v/>
      </c>
      <c r="L178">
        <f>IFERROR(IF(_xlfn.MAXIFS(Documents!$E$2:$E$1421,Documents!$A$2:$A$1421,$A178,Documents!$C$2:$C$1421,"excursions")=0,"",_xlfn.MAXIFS(Documents!$E$2:$E$1421,Documents!$A$2:$A$1421,$A178,Documents!$C$2:$C$1421,"excursions")),"")</f>
        <v/>
      </c>
      <c r="M178">
        <f>IFERROR(IF(_xlfn.MAXIFS(Documents!$E$2:$E$1421,Documents!$A$2:$A$1421,$A178,Documents!$C$2:$C$1421,"kids")=0,"",_xlfn.MAXIFS(Documents!$E$2:$E$1421,Documents!$A$2:$A$1421,$A178,Documents!$C$2:$C$1421,"kids")),"")</f>
        <v/>
      </c>
      <c r="N178">
        <f>IFERROR(IF(_xlfn.MAXIFS(Documents!$E$2:$E$1421,Documents!$A$2:$A$1421,$A178,Documents!$C$2:$C$1421,"villa_plans")=0,"",_xlfn.MAXIFS(Documents!$E$2:$E$1421,Documents!$A$2:$A$1421,$A178,Documents!$C$2:$C$1421,"villa_plans")),"")</f>
        <v/>
      </c>
      <c r="O178">
        <f>IFERROR(IF(_xlfn.MAXIFS(Documents!$E$2:$E$1421,Documents!$A$2:$A$1421,$A178,Documents!$C$2:$C$1421,"all_inclusive")=0,"",_xlfn.MAXIFS(Documents!$E$2:$E$1421,Documents!$A$2:$A$1421,$A178,Documents!$C$2:$C$1421,"all_inclusive")),"")</f>
        <v/>
      </c>
      <c r="P178">
        <f>IFERROR(IF(_xlfn.MAXIFS(Documents!$E$2:$E$1421,Documents!$A$2:$A$1421,$A178,Documents!$C$2:$C$1421,"sustainability")=0,"",_xlfn.MAXIFS(Documents!$E$2:$E$1421,Documents!$A$2:$A$1421,$A178,Documents!$C$2:$C$1421,"sustainability")),"")</f>
        <v/>
      </c>
      <c r="Q178">
        <f>IFERROR(IF(_xlfn.MAXIFS(Documents!$E$2:$E$1421,Documents!$A$2:$A$1421,$A178,Documents!$C$2:$C$1421,"calendar")=0,"",_xlfn.MAXIFS(Documents!$E$2:$E$1421,Documents!$A$2:$A$1421,$A178,Documents!$C$2:$C$1421,"calendar")),"")</f>
        <v/>
      </c>
      <c r="R178">
        <f>IFERROR(IF(_xlfn.MAXIFS(Documents!$E$2:$E$1421,Documents!$A$2:$A$1421,$A178,Documents!$C$2:$C$1421,"brochure")=0,"",_xlfn.MAXIFS(Documents!$E$2:$E$1421,Documents!$A$2:$A$1421,$A178,Documents!$C$2:$C$1421,"brochure")),"")</f>
        <v/>
      </c>
      <c r="S178">
        <f>IFERROR(IF(_xlfn.MAXIFS(Documents!$E$2:$E$1421,Documents!$A$2:$A$1421,$A178,Documents!$C$2:$C$1421,"press_kit")=0,"",_xlfn.MAXIFS(Documents!$E$2:$E$1421,Documents!$A$2:$A$1421,$A178,Documents!$C$2:$C$1421,"press_kit")),"")</f>
        <v/>
      </c>
      <c r="T178">
        <f>IFERROR(IF(_xlfn.MAXIFS(Documents!$E$2:$E$1421,Documents!$A$2:$A$1421,$A178,Documents!$C$2:$C$1421,"other")=0,"",_xlfn.MAXIFS(Documents!$E$2:$E$1421,Documents!$A$2:$A$1421,$A178,Documents!$C$2:$C$1421,"other")),"")</f>
        <v/>
      </c>
      <c r="U178">
        <f>IFERROR(IF(_xlfn.MAXIFS(Documents!$E$2:$E$1421,Documents!$A$2:$A$1421,$A178,Documents!$C$2:$C$1421,"obsolete")=0,"",_xlfn.MAXIFS(Documents!$E$2:$E$1421,Documents!$A$2:$A$1421,$A178,Documents!$C$2:$C$1421,"obsolete")),"")</f>
        <v/>
      </c>
      <c r="V178">
        <f>COUNTIFS(Documents!$A$2:$A$1421,$A178)</f>
        <v/>
      </c>
      <c r="W178">
        <f>COUNTIFS(Documents!$A$2:$A$1421,$A178,Documents!$R$2:$R$1421,"current")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not crawled</t>
        </is>
      </c>
      <c r="D179">
        <f>IFERROR(IF(_xlfn.MAXIFS(Documents!$E$2:$E$1421,Documents!$A$2:$A$1421,$A179,Documents!$C$2:$C$1421,"factsheet")=0,"",_xlfn.MAXIFS(Documents!$E$2:$E$1421,Documents!$A$2:$A$1421,$A179,Documents!$C$2:$C$1421,"factsheet")),"")</f>
        <v/>
      </c>
      <c r="E179">
        <f>IFERROR(IF(_xlfn.MAXIFS(Documents!$E$2:$E$1421,Documents!$A$2:$A$1421,$A179,Documents!$C$2:$C$1421,"wedding")=0,"",_xlfn.MAXIFS(Documents!$E$2:$E$1421,Documents!$A$2:$A$1421,$A179,Documents!$C$2:$C$1421,"wedding")),"")</f>
        <v/>
      </c>
      <c r="F179">
        <f>IFERROR(IF(_xlfn.MAXIFS(Documents!$E$2:$E$1421,Documents!$A$2:$A$1421,$A179,Documents!$C$2:$C$1421,"events")=0,"",_xlfn.MAXIFS(Documents!$E$2:$E$1421,Documents!$A$2:$A$1421,$A179,Documents!$C$2:$C$1421,"events")),"")</f>
        <v/>
      </c>
      <c r="G179">
        <f>IFERROR(IF(_xlfn.MAXIFS(Documents!$E$2:$E$1421,Documents!$A$2:$A$1421,$A179,Documents!$C$2:$C$1421,"map")=0,"",_xlfn.MAXIFS(Documents!$E$2:$E$1421,Documents!$A$2:$A$1421,$A179,Documents!$C$2:$C$1421,"map")),"")</f>
        <v/>
      </c>
      <c r="H179">
        <f>IFERROR(IF(_xlfn.MAXIFS(Documents!$E$2:$E$1421,Documents!$A$2:$A$1421,$A179,Documents!$C$2:$C$1421,"dive_map")=0,"",_xlfn.MAXIFS(Documents!$E$2:$E$1421,Documents!$A$2:$A$1421,$A179,Documents!$C$2:$C$1421,"dive_map")),"")</f>
        <v/>
      </c>
      <c r="I179">
        <f>IFERROR(IF(_xlfn.MAXIFS(Documents!$E$2:$E$1421,Documents!$A$2:$A$1421,$A179,Documents!$C$2:$C$1421,"spa_menu")=0,"",_xlfn.MAXIFS(Documents!$E$2:$E$1421,Documents!$A$2:$A$1421,$A179,Documents!$C$2:$C$1421,"spa_menu")),"")</f>
        <v/>
      </c>
      <c r="J179">
        <f>IFERROR(IF(_xlfn.MAXIFS(Documents!$E$2:$E$1421,Documents!$A$2:$A$1421,$A179,Documents!$C$2:$C$1421,"dining_menu")=0,"",_xlfn.MAXIFS(Documents!$E$2:$E$1421,Documents!$A$2:$A$1421,$A179,Documents!$C$2:$C$1421,"dining_menu")),"")</f>
        <v/>
      </c>
      <c r="K179">
        <f>IFERROR(IF(_xlfn.MAXIFS(Documents!$E$2:$E$1421,Documents!$A$2:$A$1421,$A179,Documents!$C$2:$C$1421,"dive_prices")=0,"",_xlfn.MAXIFS(Documents!$E$2:$E$1421,Documents!$A$2:$A$1421,$A179,Documents!$C$2:$C$1421,"dive_prices")),"")</f>
        <v/>
      </c>
      <c r="L179">
        <f>IFERROR(IF(_xlfn.MAXIFS(Documents!$E$2:$E$1421,Documents!$A$2:$A$1421,$A179,Documents!$C$2:$C$1421,"excursions")=0,"",_xlfn.MAXIFS(Documents!$E$2:$E$1421,Documents!$A$2:$A$1421,$A179,Documents!$C$2:$C$1421,"excursions")),"")</f>
        <v/>
      </c>
      <c r="M179">
        <f>IFERROR(IF(_xlfn.MAXIFS(Documents!$E$2:$E$1421,Documents!$A$2:$A$1421,$A179,Documents!$C$2:$C$1421,"kids")=0,"",_xlfn.MAXIFS(Documents!$E$2:$E$1421,Documents!$A$2:$A$1421,$A179,Documents!$C$2:$C$1421,"kids")),"")</f>
        <v/>
      </c>
      <c r="N179">
        <f>IFERROR(IF(_xlfn.MAXIFS(Documents!$E$2:$E$1421,Documents!$A$2:$A$1421,$A179,Documents!$C$2:$C$1421,"villa_plans")=0,"",_xlfn.MAXIFS(Documents!$E$2:$E$1421,Documents!$A$2:$A$1421,$A179,Documents!$C$2:$C$1421,"villa_plans")),"")</f>
        <v/>
      </c>
      <c r="O179">
        <f>IFERROR(IF(_xlfn.MAXIFS(Documents!$E$2:$E$1421,Documents!$A$2:$A$1421,$A179,Documents!$C$2:$C$1421,"all_inclusive")=0,"",_xlfn.MAXIFS(Documents!$E$2:$E$1421,Documents!$A$2:$A$1421,$A179,Documents!$C$2:$C$1421,"all_inclusive")),"")</f>
        <v/>
      </c>
      <c r="P179">
        <f>IFERROR(IF(_xlfn.MAXIFS(Documents!$E$2:$E$1421,Documents!$A$2:$A$1421,$A179,Documents!$C$2:$C$1421,"sustainability")=0,"",_xlfn.MAXIFS(Documents!$E$2:$E$1421,Documents!$A$2:$A$1421,$A179,Documents!$C$2:$C$1421,"sustainability")),"")</f>
        <v/>
      </c>
      <c r="Q179">
        <f>IFERROR(IF(_xlfn.MAXIFS(Documents!$E$2:$E$1421,Documents!$A$2:$A$1421,$A179,Documents!$C$2:$C$1421,"calendar")=0,"",_xlfn.MAXIFS(Documents!$E$2:$E$1421,Documents!$A$2:$A$1421,$A179,Documents!$C$2:$C$1421,"calendar")),"")</f>
        <v/>
      </c>
      <c r="R179">
        <f>IFERROR(IF(_xlfn.MAXIFS(Documents!$E$2:$E$1421,Documents!$A$2:$A$1421,$A179,Documents!$C$2:$C$1421,"brochure")=0,"",_xlfn.MAXIFS(Documents!$E$2:$E$1421,Documents!$A$2:$A$1421,$A179,Documents!$C$2:$C$1421,"brochure")),"")</f>
        <v/>
      </c>
      <c r="S179">
        <f>IFERROR(IF(_xlfn.MAXIFS(Documents!$E$2:$E$1421,Documents!$A$2:$A$1421,$A179,Documents!$C$2:$C$1421,"press_kit")=0,"",_xlfn.MAXIFS(Documents!$E$2:$E$1421,Documents!$A$2:$A$1421,$A179,Documents!$C$2:$C$1421,"press_kit")),"")</f>
        <v/>
      </c>
      <c r="T179">
        <f>IFERROR(IF(_xlfn.MAXIFS(Documents!$E$2:$E$1421,Documents!$A$2:$A$1421,$A179,Documents!$C$2:$C$1421,"other")=0,"",_xlfn.MAXIFS(Documents!$E$2:$E$1421,Documents!$A$2:$A$1421,$A179,Documents!$C$2:$C$1421,"other")),"")</f>
        <v/>
      </c>
      <c r="U179">
        <f>IFERROR(IF(_xlfn.MAXIFS(Documents!$E$2:$E$1421,Documents!$A$2:$A$1421,$A179,Documents!$C$2:$C$1421,"obsolete")=0,"",_xlfn.MAXIFS(Documents!$E$2:$E$1421,Documents!$A$2:$A$1421,$A179,Documents!$C$2:$C$1421,"obsolete")),"")</f>
        <v/>
      </c>
      <c r="V179">
        <f>COUNTIFS(Documents!$A$2:$A$1421,$A179)</f>
        <v/>
      </c>
      <c r="W179">
        <f>COUNTIFS(Documents!$A$2:$A$1421,$A179,Documents!$R$2:$R$1421,"current")</f>
        <v/>
      </c>
      <c r="X179">
        <f>HYPERLINK("https://neoscapesmaldives.com/wp-content/uploads/Diamonds-Athuruga-Fact-Sheet-2019.pdf","2019_Diamonds-Athuruga-Fact-Sheet-2019.p")</f>
        <v/>
      </c>
      <c r="Y179" t="inlineStr">
        <is>
          <t>wedding, events</t>
        </is>
      </c>
      <c r="Z179" t="inlineStr"/>
    </row>
    <row r="180">
      <c r="A180" t="n">
        <v>179</v>
      </c>
      <c r="B180" t="inlineStr">
        <is>
          <t>Siyam World Maldives</t>
        </is>
      </c>
      <c r="C180" t="inlineStr">
        <is>
          <t>not crawled</t>
        </is>
      </c>
      <c r="D180">
        <f>IFERROR(IF(_xlfn.MAXIFS(Documents!$E$2:$E$1421,Documents!$A$2:$A$1421,$A180,Documents!$C$2:$C$1421,"factsheet")=0,"",_xlfn.MAXIFS(Documents!$E$2:$E$1421,Documents!$A$2:$A$1421,$A180,Documents!$C$2:$C$1421,"factsheet")),"")</f>
        <v/>
      </c>
      <c r="E180">
        <f>IFERROR(IF(_xlfn.MAXIFS(Documents!$E$2:$E$1421,Documents!$A$2:$A$1421,$A180,Documents!$C$2:$C$1421,"wedding")=0,"",_xlfn.MAXIFS(Documents!$E$2:$E$1421,Documents!$A$2:$A$1421,$A180,Documents!$C$2:$C$1421,"wedding")),"")</f>
        <v/>
      </c>
      <c r="F180">
        <f>IFERROR(IF(_xlfn.MAXIFS(Documents!$E$2:$E$1421,Documents!$A$2:$A$1421,$A180,Documents!$C$2:$C$1421,"events")=0,"",_xlfn.MAXIFS(Documents!$E$2:$E$1421,Documents!$A$2:$A$1421,$A180,Documents!$C$2:$C$1421,"events")),"")</f>
        <v/>
      </c>
      <c r="G180">
        <f>IFERROR(IF(_xlfn.MAXIFS(Documents!$E$2:$E$1421,Documents!$A$2:$A$1421,$A180,Documents!$C$2:$C$1421,"map")=0,"",_xlfn.MAXIFS(Documents!$E$2:$E$1421,Documents!$A$2:$A$1421,$A180,Documents!$C$2:$C$1421,"map")),"")</f>
        <v/>
      </c>
      <c r="H180">
        <f>IFERROR(IF(_xlfn.MAXIFS(Documents!$E$2:$E$1421,Documents!$A$2:$A$1421,$A180,Documents!$C$2:$C$1421,"dive_map")=0,"",_xlfn.MAXIFS(Documents!$E$2:$E$1421,Documents!$A$2:$A$1421,$A180,Documents!$C$2:$C$1421,"dive_map")),"")</f>
        <v/>
      </c>
      <c r="I180">
        <f>IFERROR(IF(_xlfn.MAXIFS(Documents!$E$2:$E$1421,Documents!$A$2:$A$1421,$A180,Documents!$C$2:$C$1421,"spa_menu")=0,"",_xlfn.MAXIFS(Documents!$E$2:$E$1421,Documents!$A$2:$A$1421,$A180,Documents!$C$2:$C$1421,"spa_menu")),"")</f>
        <v/>
      </c>
      <c r="J180">
        <f>IFERROR(IF(_xlfn.MAXIFS(Documents!$E$2:$E$1421,Documents!$A$2:$A$1421,$A180,Documents!$C$2:$C$1421,"dining_menu")=0,"",_xlfn.MAXIFS(Documents!$E$2:$E$1421,Documents!$A$2:$A$1421,$A180,Documents!$C$2:$C$1421,"dining_menu")),"")</f>
        <v/>
      </c>
      <c r="K180">
        <f>IFERROR(IF(_xlfn.MAXIFS(Documents!$E$2:$E$1421,Documents!$A$2:$A$1421,$A180,Documents!$C$2:$C$1421,"dive_prices")=0,"",_xlfn.MAXIFS(Documents!$E$2:$E$1421,Documents!$A$2:$A$1421,$A180,Documents!$C$2:$C$1421,"dive_prices")),"")</f>
        <v/>
      </c>
      <c r="L180">
        <f>IFERROR(IF(_xlfn.MAXIFS(Documents!$E$2:$E$1421,Documents!$A$2:$A$1421,$A180,Documents!$C$2:$C$1421,"excursions")=0,"",_xlfn.MAXIFS(Documents!$E$2:$E$1421,Documents!$A$2:$A$1421,$A180,Documents!$C$2:$C$1421,"excursions")),"")</f>
        <v/>
      </c>
      <c r="M180">
        <f>IFERROR(IF(_xlfn.MAXIFS(Documents!$E$2:$E$1421,Documents!$A$2:$A$1421,$A180,Documents!$C$2:$C$1421,"kids")=0,"",_xlfn.MAXIFS(Documents!$E$2:$E$1421,Documents!$A$2:$A$1421,$A180,Documents!$C$2:$C$1421,"kids")),"")</f>
        <v/>
      </c>
      <c r="N180">
        <f>IFERROR(IF(_xlfn.MAXIFS(Documents!$E$2:$E$1421,Documents!$A$2:$A$1421,$A180,Documents!$C$2:$C$1421,"villa_plans")=0,"",_xlfn.MAXIFS(Documents!$E$2:$E$1421,Documents!$A$2:$A$1421,$A180,Documents!$C$2:$C$1421,"villa_plans")),"")</f>
        <v/>
      </c>
      <c r="O180">
        <f>IFERROR(IF(_xlfn.MAXIFS(Documents!$E$2:$E$1421,Documents!$A$2:$A$1421,$A180,Documents!$C$2:$C$1421,"all_inclusive")=0,"",_xlfn.MAXIFS(Documents!$E$2:$E$1421,Documents!$A$2:$A$1421,$A180,Documents!$C$2:$C$1421,"all_inclusive")),"")</f>
        <v/>
      </c>
      <c r="P180">
        <f>IFERROR(IF(_xlfn.MAXIFS(Documents!$E$2:$E$1421,Documents!$A$2:$A$1421,$A180,Documents!$C$2:$C$1421,"sustainability")=0,"",_xlfn.MAXIFS(Documents!$E$2:$E$1421,Documents!$A$2:$A$1421,$A180,Documents!$C$2:$C$1421,"sustainability")),"")</f>
        <v/>
      </c>
      <c r="Q180">
        <f>IFERROR(IF(_xlfn.MAXIFS(Documents!$E$2:$E$1421,Documents!$A$2:$A$1421,$A180,Documents!$C$2:$C$1421,"calendar")=0,"",_xlfn.MAXIFS(Documents!$E$2:$E$1421,Documents!$A$2:$A$1421,$A180,Documents!$C$2:$C$1421,"calendar")),"")</f>
        <v/>
      </c>
      <c r="R180">
        <f>IFERROR(IF(_xlfn.MAXIFS(Documents!$E$2:$E$1421,Documents!$A$2:$A$1421,$A180,Documents!$C$2:$C$1421,"brochure")=0,"",_xlfn.MAXIFS(Documents!$E$2:$E$1421,Documents!$A$2:$A$1421,$A180,Documents!$C$2:$C$1421,"brochure")),"")</f>
        <v/>
      </c>
      <c r="S180">
        <f>IFERROR(IF(_xlfn.MAXIFS(Documents!$E$2:$E$1421,Documents!$A$2:$A$1421,$A180,Documents!$C$2:$C$1421,"press_kit")=0,"",_xlfn.MAXIFS(Documents!$E$2:$E$1421,Documents!$A$2:$A$1421,$A180,Documents!$C$2:$C$1421,"press_kit")),"")</f>
        <v/>
      </c>
      <c r="T180">
        <f>IFERROR(IF(_xlfn.MAXIFS(Documents!$E$2:$E$1421,Documents!$A$2:$A$1421,$A180,Documents!$C$2:$C$1421,"other")=0,"",_xlfn.MAXIFS(Documents!$E$2:$E$1421,Documents!$A$2:$A$1421,$A180,Documents!$C$2:$C$1421,"other")),"")</f>
        <v/>
      </c>
      <c r="U180">
        <f>IFERROR(IF(_xlfn.MAXIFS(Documents!$E$2:$E$1421,Documents!$A$2:$A$1421,$A180,Documents!$C$2:$C$1421,"obsolete")=0,"",_xlfn.MAXIFS(Documents!$E$2:$E$1421,Documents!$A$2:$A$1421,$A180,Documents!$C$2:$C$1421,"obsolete")),"")</f>
        <v/>
      </c>
      <c r="V180">
        <f>COUNTIFS(Documents!$A$2:$A$1421,$A180)</f>
        <v/>
      </c>
      <c r="W180">
        <f>COUNTIFS(Documents!$A$2:$A$1421,$A180,Documents!$R$2:$R$1421,"current")</f>
        <v/>
      </c>
      <c r="X180">
        <f>HYPERLINK("https://www.neoscapesmaldives.com/wp-content/uploads/Siyam-World-Factsheet_02-Nov-2024-31-Oct-25.pdf","2024_Siyam-World-Factsheet_02-Nov-2024-3")</f>
        <v/>
      </c>
      <c r="Y180" t="inlineStr">
        <is>
          <t>wedding, events</t>
        </is>
      </c>
      <c r="Z180" t="inlineStr"/>
    </row>
    <row r="181">
      <c r="A181" t="n">
        <v>180</v>
      </c>
      <c r="B181" t="inlineStr">
        <is>
          <t>Lux* South Ari Atoll, Maldives</t>
        </is>
      </c>
      <c r="C181" t="inlineStr">
        <is>
          <t>not crawled</t>
        </is>
      </c>
      <c r="D181">
        <f>IFERROR(IF(_xlfn.MAXIFS(Documents!$E$2:$E$1421,Documents!$A$2:$A$1421,$A181,Documents!$C$2:$C$1421,"factsheet")=0,"",_xlfn.MAXIFS(Documents!$E$2:$E$1421,Documents!$A$2:$A$1421,$A181,Documents!$C$2:$C$1421,"factsheet")),"")</f>
        <v/>
      </c>
      <c r="E181">
        <f>IFERROR(IF(_xlfn.MAXIFS(Documents!$E$2:$E$1421,Documents!$A$2:$A$1421,$A181,Documents!$C$2:$C$1421,"wedding")=0,"",_xlfn.MAXIFS(Documents!$E$2:$E$1421,Documents!$A$2:$A$1421,$A181,Documents!$C$2:$C$1421,"wedding")),"")</f>
        <v/>
      </c>
      <c r="F181">
        <f>IFERROR(IF(_xlfn.MAXIFS(Documents!$E$2:$E$1421,Documents!$A$2:$A$1421,$A181,Documents!$C$2:$C$1421,"events")=0,"",_xlfn.MAXIFS(Documents!$E$2:$E$1421,Documents!$A$2:$A$1421,$A181,Documents!$C$2:$C$1421,"events")),"")</f>
        <v/>
      </c>
      <c r="G181">
        <f>IFERROR(IF(_xlfn.MAXIFS(Documents!$E$2:$E$1421,Documents!$A$2:$A$1421,$A181,Documents!$C$2:$C$1421,"map")=0,"",_xlfn.MAXIFS(Documents!$E$2:$E$1421,Documents!$A$2:$A$1421,$A181,Documents!$C$2:$C$1421,"map")),"")</f>
        <v/>
      </c>
      <c r="H181">
        <f>IFERROR(IF(_xlfn.MAXIFS(Documents!$E$2:$E$1421,Documents!$A$2:$A$1421,$A181,Documents!$C$2:$C$1421,"dive_map")=0,"",_xlfn.MAXIFS(Documents!$E$2:$E$1421,Documents!$A$2:$A$1421,$A181,Documents!$C$2:$C$1421,"dive_map")),"")</f>
        <v/>
      </c>
      <c r="I181">
        <f>IFERROR(IF(_xlfn.MAXIFS(Documents!$E$2:$E$1421,Documents!$A$2:$A$1421,$A181,Documents!$C$2:$C$1421,"spa_menu")=0,"",_xlfn.MAXIFS(Documents!$E$2:$E$1421,Documents!$A$2:$A$1421,$A181,Documents!$C$2:$C$1421,"spa_menu")),"")</f>
        <v/>
      </c>
      <c r="J181">
        <f>IFERROR(IF(_xlfn.MAXIFS(Documents!$E$2:$E$1421,Documents!$A$2:$A$1421,$A181,Documents!$C$2:$C$1421,"dining_menu")=0,"",_xlfn.MAXIFS(Documents!$E$2:$E$1421,Documents!$A$2:$A$1421,$A181,Documents!$C$2:$C$1421,"dining_menu")),"")</f>
        <v/>
      </c>
      <c r="K181">
        <f>IFERROR(IF(_xlfn.MAXIFS(Documents!$E$2:$E$1421,Documents!$A$2:$A$1421,$A181,Documents!$C$2:$C$1421,"dive_prices")=0,"",_xlfn.MAXIFS(Documents!$E$2:$E$1421,Documents!$A$2:$A$1421,$A181,Documents!$C$2:$C$1421,"dive_prices")),"")</f>
        <v/>
      </c>
      <c r="L181">
        <f>IFERROR(IF(_xlfn.MAXIFS(Documents!$E$2:$E$1421,Documents!$A$2:$A$1421,$A181,Documents!$C$2:$C$1421,"excursions")=0,"",_xlfn.MAXIFS(Documents!$E$2:$E$1421,Documents!$A$2:$A$1421,$A181,Documents!$C$2:$C$1421,"excursions")),"")</f>
        <v/>
      </c>
      <c r="M181">
        <f>IFERROR(IF(_xlfn.MAXIFS(Documents!$E$2:$E$1421,Documents!$A$2:$A$1421,$A181,Documents!$C$2:$C$1421,"kids")=0,"",_xlfn.MAXIFS(Documents!$E$2:$E$1421,Documents!$A$2:$A$1421,$A181,Documents!$C$2:$C$1421,"kids")),"")</f>
        <v/>
      </c>
      <c r="N181">
        <f>IFERROR(IF(_xlfn.MAXIFS(Documents!$E$2:$E$1421,Documents!$A$2:$A$1421,$A181,Documents!$C$2:$C$1421,"villa_plans")=0,"",_xlfn.MAXIFS(Documents!$E$2:$E$1421,Documents!$A$2:$A$1421,$A181,Documents!$C$2:$C$1421,"villa_plans")),"")</f>
        <v/>
      </c>
      <c r="O181">
        <f>IFERROR(IF(_xlfn.MAXIFS(Documents!$E$2:$E$1421,Documents!$A$2:$A$1421,$A181,Documents!$C$2:$C$1421,"all_inclusive")=0,"",_xlfn.MAXIFS(Documents!$E$2:$E$1421,Documents!$A$2:$A$1421,$A181,Documents!$C$2:$C$1421,"all_inclusive")),"")</f>
        <v/>
      </c>
      <c r="P181">
        <f>IFERROR(IF(_xlfn.MAXIFS(Documents!$E$2:$E$1421,Documents!$A$2:$A$1421,$A181,Documents!$C$2:$C$1421,"sustainability")=0,"",_xlfn.MAXIFS(Documents!$E$2:$E$1421,Documents!$A$2:$A$1421,$A181,Documents!$C$2:$C$1421,"sustainability")),"")</f>
        <v/>
      </c>
      <c r="Q181">
        <f>IFERROR(IF(_xlfn.MAXIFS(Documents!$E$2:$E$1421,Documents!$A$2:$A$1421,$A181,Documents!$C$2:$C$1421,"calendar")=0,"",_xlfn.MAXIFS(Documents!$E$2:$E$1421,Documents!$A$2:$A$1421,$A181,Documents!$C$2:$C$1421,"calendar")),"")</f>
        <v/>
      </c>
      <c r="R181">
        <f>IFERROR(IF(_xlfn.MAXIFS(Documents!$E$2:$E$1421,Documents!$A$2:$A$1421,$A181,Documents!$C$2:$C$1421,"brochure")=0,"",_xlfn.MAXIFS(Documents!$E$2:$E$1421,Documents!$A$2:$A$1421,$A181,Documents!$C$2:$C$1421,"brochure")),"")</f>
        <v/>
      </c>
      <c r="S181">
        <f>IFERROR(IF(_xlfn.MAXIFS(Documents!$E$2:$E$1421,Documents!$A$2:$A$1421,$A181,Documents!$C$2:$C$1421,"press_kit")=0,"",_xlfn.MAXIFS(Documents!$E$2:$E$1421,Documents!$A$2:$A$1421,$A181,Documents!$C$2:$C$1421,"press_kit")),"")</f>
        <v/>
      </c>
      <c r="T181">
        <f>IFERROR(IF(_xlfn.MAXIFS(Documents!$E$2:$E$1421,Documents!$A$2:$A$1421,$A181,Documents!$C$2:$C$1421,"other")=0,"",_xlfn.MAXIFS(Documents!$E$2:$E$1421,Documents!$A$2:$A$1421,$A181,Documents!$C$2:$C$1421,"other")),"")</f>
        <v/>
      </c>
      <c r="U181">
        <f>IFERROR(IF(_xlfn.MAXIFS(Documents!$E$2:$E$1421,Documents!$A$2:$A$1421,$A181,Documents!$C$2:$C$1421,"obsolete")=0,"",_xlfn.MAXIFS(Documents!$E$2:$E$1421,Documents!$A$2:$A$1421,$A181,Documents!$C$2:$C$1421,"obsolete")),"")</f>
        <v/>
      </c>
      <c r="V181">
        <f>COUNTIFS(Documents!$A$2:$A$1421,$A181)</f>
        <v/>
      </c>
      <c r="W181">
        <f>COUNTIFS(Documents!$A$2:$A$1421,$A181,Documents!$R$2:$R$1421,"current")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not crawled</t>
        </is>
      </c>
      <c r="D182">
        <f>IFERROR(IF(_xlfn.MAXIFS(Documents!$E$2:$E$1421,Documents!$A$2:$A$1421,$A182,Documents!$C$2:$C$1421,"factsheet")=0,"",_xlfn.MAXIFS(Documents!$E$2:$E$1421,Documents!$A$2:$A$1421,$A182,Documents!$C$2:$C$1421,"factsheet")),"")</f>
        <v/>
      </c>
      <c r="E182">
        <f>IFERROR(IF(_xlfn.MAXIFS(Documents!$E$2:$E$1421,Documents!$A$2:$A$1421,$A182,Documents!$C$2:$C$1421,"wedding")=0,"",_xlfn.MAXIFS(Documents!$E$2:$E$1421,Documents!$A$2:$A$1421,$A182,Documents!$C$2:$C$1421,"wedding")),"")</f>
        <v/>
      </c>
      <c r="F182">
        <f>IFERROR(IF(_xlfn.MAXIFS(Documents!$E$2:$E$1421,Documents!$A$2:$A$1421,$A182,Documents!$C$2:$C$1421,"events")=0,"",_xlfn.MAXIFS(Documents!$E$2:$E$1421,Documents!$A$2:$A$1421,$A182,Documents!$C$2:$C$1421,"events")),"")</f>
        <v/>
      </c>
      <c r="G182">
        <f>IFERROR(IF(_xlfn.MAXIFS(Documents!$E$2:$E$1421,Documents!$A$2:$A$1421,$A182,Documents!$C$2:$C$1421,"map")=0,"",_xlfn.MAXIFS(Documents!$E$2:$E$1421,Documents!$A$2:$A$1421,$A182,Documents!$C$2:$C$1421,"map")),"")</f>
        <v/>
      </c>
      <c r="H182">
        <f>IFERROR(IF(_xlfn.MAXIFS(Documents!$E$2:$E$1421,Documents!$A$2:$A$1421,$A182,Documents!$C$2:$C$1421,"dive_map")=0,"",_xlfn.MAXIFS(Documents!$E$2:$E$1421,Documents!$A$2:$A$1421,$A182,Documents!$C$2:$C$1421,"dive_map")),"")</f>
        <v/>
      </c>
      <c r="I182">
        <f>IFERROR(IF(_xlfn.MAXIFS(Documents!$E$2:$E$1421,Documents!$A$2:$A$1421,$A182,Documents!$C$2:$C$1421,"spa_menu")=0,"",_xlfn.MAXIFS(Documents!$E$2:$E$1421,Documents!$A$2:$A$1421,$A182,Documents!$C$2:$C$1421,"spa_menu")),"")</f>
        <v/>
      </c>
      <c r="J182">
        <f>IFERROR(IF(_xlfn.MAXIFS(Documents!$E$2:$E$1421,Documents!$A$2:$A$1421,$A182,Documents!$C$2:$C$1421,"dining_menu")=0,"",_xlfn.MAXIFS(Documents!$E$2:$E$1421,Documents!$A$2:$A$1421,$A182,Documents!$C$2:$C$1421,"dining_menu")),"")</f>
        <v/>
      </c>
      <c r="K182">
        <f>IFERROR(IF(_xlfn.MAXIFS(Documents!$E$2:$E$1421,Documents!$A$2:$A$1421,$A182,Documents!$C$2:$C$1421,"dive_prices")=0,"",_xlfn.MAXIFS(Documents!$E$2:$E$1421,Documents!$A$2:$A$1421,$A182,Documents!$C$2:$C$1421,"dive_prices")),"")</f>
        <v/>
      </c>
      <c r="L182">
        <f>IFERROR(IF(_xlfn.MAXIFS(Documents!$E$2:$E$1421,Documents!$A$2:$A$1421,$A182,Documents!$C$2:$C$1421,"excursions")=0,"",_xlfn.MAXIFS(Documents!$E$2:$E$1421,Documents!$A$2:$A$1421,$A182,Documents!$C$2:$C$1421,"excursions")),"")</f>
        <v/>
      </c>
      <c r="M182">
        <f>IFERROR(IF(_xlfn.MAXIFS(Documents!$E$2:$E$1421,Documents!$A$2:$A$1421,$A182,Documents!$C$2:$C$1421,"kids")=0,"",_xlfn.MAXIFS(Documents!$E$2:$E$1421,Documents!$A$2:$A$1421,$A182,Documents!$C$2:$C$1421,"kids")),"")</f>
        <v/>
      </c>
      <c r="N182">
        <f>IFERROR(IF(_xlfn.MAXIFS(Documents!$E$2:$E$1421,Documents!$A$2:$A$1421,$A182,Documents!$C$2:$C$1421,"villa_plans")=0,"",_xlfn.MAXIFS(Documents!$E$2:$E$1421,Documents!$A$2:$A$1421,$A182,Documents!$C$2:$C$1421,"villa_plans")),"")</f>
        <v/>
      </c>
      <c r="O182">
        <f>IFERROR(IF(_xlfn.MAXIFS(Documents!$E$2:$E$1421,Documents!$A$2:$A$1421,$A182,Documents!$C$2:$C$1421,"all_inclusive")=0,"",_xlfn.MAXIFS(Documents!$E$2:$E$1421,Documents!$A$2:$A$1421,$A182,Documents!$C$2:$C$1421,"all_inclusive")),"")</f>
        <v/>
      </c>
      <c r="P182">
        <f>IFERROR(IF(_xlfn.MAXIFS(Documents!$E$2:$E$1421,Documents!$A$2:$A$1421,$A182,Documents!$C$2:$C$1421,"sustainability")=0,"",_xlfn.MAXIFS(Documents!$E$2:$E$1421,Documents!$A$2:$A$1421,$A182,Documents!$C$2:$C$1421,"sustainability")),"")</f>
        <v/>
      </c>
      <c r="Q182">
        <f>IFERROR(IF(_xlfn.MAXIFS(Documents!$E$2:$E$1421,Documents!$A$2:$A$1421,$A182,Documents!$C$2:$C$1421,"calendar")=0,"",_xlfn.MAXIFS(Documents!$E$2:$E$1421,Documents!$A$2:$A$1421,$A182,Documents!$C$2:$C$1421,"calendar")),"")</f>
        <v/>
      </c>
      <c r="R182">
        <f>IFERROR(IF(_xlfn.MAXIFS(Documents!$E$2:$E$1421,Documents!$A$2:$A$1421,$A182,Documents!$C$2:$C$1421,"brochure")=0,"",_xlfn.MAXIFS(Documents!$E$2:$E$1421,Documents!$A$2:$A$1421,$A182,Documents!$C$2:$C$1421,"brochure")),"")</f>
        <v/>
      </c>
      <c r="S182">
        <f>IFERROR(IF(_xlfn.MAXIFS(Documents!$E$2:$E$1421,Documents!$A$2:$A$1421,$A182,Documents!$C$2:$C$1421,"press_kit")=0,"",_xlfn.MAXIFS(Documents!$E$2:$E$1421,Documents!$A$2:$A$1421,$A182,Documents!$C$2:$C$1421,"press_kit")),"")</f>
        <v/>
      </c>
      <c r="T182">
        <f>IFERROR(IF(_xlfn.MAXIFS(Documents!$E$2:$E$1421,Documents!$A$2:$A$1421,$A182,Documents!$C$2:$C$1421,"other")=0,"",_xlfn.MAXIFS(Documents!$E$2:$E$1421,Documents!$A$2:$A$1421,$A182,Documents!$C$2:$C$1421,"other")),"")</f>
        <v/>
      </c>
      <c r="U182">
        <f>IFERROR(IF(_xlfn.MAXIFS(Documents!$E$2:$E$1421,Documents!$A$2:$A$1421,$A182,Documents!$C$2:$C$1421,"obsolete")=0,"",_xlfn.MAXIFS(Documents!$E$2:$E$1421,Documents!$A$2:$A$1421,$A182,Documents!$C$2:$C$1421,"obsolete")),"")</f>
        <v/>
      </c>
      <c r="V182">
        <f>COUNTIFS(Documents!$A$2:$A$1421,$A182)</f>
        <v/>
      </c>
      <c r="W182">
        <f>COUNTIFS(Documents!$A$2:$A$1421,$A182,Documents!$R$2:$R$1421,"current")</f>
        <v/>
      </c>
      <c r="X182" t="inlineStr"/>
      <c r="Y182" t="inlineStr">
        <is>
          <t>factsheet, wedding, events</t>
        </is>
      </c>
      <c r="Z182" t="inlineStr"/>
    </row>
    <row r="183">
      <c r="A183" t="n">
        <v>182</v>
      </c>
      <c r="B183" t="inlineStr">
        <is>
          <t>Kuredhivaru Resort and Spa</t>
        </is>
      </c>
      <c r="C183" t="inlineStr">
        <is>
          <t>not crawled</t>
        </is>
      </c>
      <c r="D183">
        <f>IFERROR(IF(_xlfn.MAXIFS(Documents!$E$2:$E$1421,Documents!$A$2:$A$1421,$A183,Documents!$C$2:$C$1421,"factsheet")=0,"",_xlfn.MAXIFS(Documents!$E$2:$E$1421,Documents!$A$2:$A$1421,$A183,Documents!$C$2:$C$1421,"factsheet")),"")</f>
        <v/>
      </c>
      <c r="E183">
        <f>IFERROR(IF(_xlfn.MAXIFS(Documents!$E$2:$E$1421,Documents!$A$2:$A$1421,$A183,Documents!$C$2:$C$1421,"wedding")=0,"",_xlfn.MAXIFS(Documents!$E$2:$E$1421,Documents!$A$2:$A$1421,$A183,Documents!$C$2:$C$1421,"wedding")),"")</f>
        <v/>
      </c>
      <c r="F183">
        <f>IFERROR(IF(_xlfn.MAXIFS(Documents!$E$2:$E$1421,Documents!$A$2:$A$1421,$A183,Documents!$C$2:$C$1421,"events")=0,"",_xlfn.MAXIFS(Documents!$E$2:$E$1421,Documents!$A$2:$A$1421,$A183,Documents!$C$2:$C$1421,"events")),"")</f>
        <v/>
      </c>
      <c r="G183">
        <f>IFERROR(IF(_xlfn.MAXIFS(Documents!$E$2:$E$1421,Documents!$A$2:$A$1421,$A183,Documents!$C$2:$C$1421,"map")=0,"",_xlfn.MAXIFS(Documents!$E$2:$E$1421,Documents!$A$2:$A$1421,$A183,Documents!$C$2:$C$1421,"map")),"")</f>
        <v/>
      </c>
      <c r="H183">
        <f>IFERROR(IF(_xlfn.MAXIFS(Documents!$E$2:$E$1421,Documents!$A$2:$A$1421,$A183,Documents!$C$2:$C$1421,"dive_map")=0,"",_xlfn.MAXIFS(Documents!$E$2:$E$1421,Documents!$A$2:$A$1421,$A183,Documents!$C$2:$C$1421,"dive_map")),"")</f>
        <v/>
      </c>
      <c r="I183">
        <f>IFERROR(IF(_xlfn.MAXIFS(Documents!$E$2:$E$1421,Documents!$A$2:$A$1421,$A183,Documents!$C$2:$C$1421,"spa_menu")=0,"",_xlfn.MAXIFS(Documents!$E$2:$E$1421,Documents!$A$2:$A$1421,$A183,Documents!$C$2:$C$1421,"spa_menu")),"")</f>
        <v/>
      </c>
      <c r="J183">
        <f>IFERROR(IF(_xlfn.MAXIFS(Documents!$E$2:$E$1421,Documents!$A$2:$A$1421,$A183,Documents!$C$2:$C$1421,"dining_menu")=0,"",_xlfn.MAXIFS(Documents!$E$2:$E$1421,Documents!$A$2:$A$1421,$A183,Documents!$C$2:$C$1421,"dining_menu")),"")</f>
        <v/>
      </c>
      <c r="K183">
        <f>IFERROR(IF(_xlfn.MAXIFS(Documents!$E$2:$E$1421,Documents!$A$2:$A$1421,$A183,Documents!$C$2:$C$1421,"dive_prices")=0,"",_xlfn.MAXIFS(Documents!$E$2:$E$1421,Documents!$A$2:$A$1421,$A183,Documents!$C$2:$C$1421,"dive_prices")),"")</f>
        <v/>
      </c>
      <c r="L183">
        <f>IFERROR(IF(_xlfn.MAXIFS(Documents!$E$2:$E$1421,Documents!$A$2:$A$1421,$A183,Documents!$C$2:$C$1421,"excursions")=0,"",_xlfn.MAXIFS(Documents!$E$2:$E$1421,Documents!$A$2:$A$1421,$A183,Documents!$C$2:$C$1421,"excursions")),"")</f>
        <v/>
      </c>
      <c r="M183">
        <f>IFERROR(IF(_xlfn.MAXIFS(Documents!$E$2:$E$1421,Documents!$A$2:$A$1421,$A183,Documents!$C$2:$C$1421,"kids")=0,"",_xlfn.MAXIFS(Documents!$E$2:$E$1421,Documents!$A$2:$A$1421,$A183,Documents!$C$2:$C$1421,"kids")),"")</f>
        <v/>
      </c>
      <c r="N183">
        <f>IFERROR(IF(_xlfn.MAXIFS(Documents!$E$2:$E$1421,Documents!$A$2:$A$1421,$A183,Documents!$C$2:$C$1421,"villa_plans")=0,"",_xlfn.MAXIFS(Documents!$E$2:$E$1421,Documents!$A$2:$A$1421,$A183,Documents!$C$2:$C$1421,"villa_plans")),"")</f>
        <v/>
      </c>
      <c r="O183">
        <f>IFERROR(IF(_xlfn.MAXIFS(Documents!$E$2:$E$1421,Documents!$A$2:$A$1421,$A183,Documents!$C$2:$C$1421,"all_inclusive")=0,"",_xlfn.MAXIFS(Documents!$E$2:$E$1421,Documents!$A$2:$A$1421,$A183,Documents!$C$2:$C$1421,"all_inclusive")),"")</f>
        <v/>
      </c>
      <c r="P183">
        <f>IFERROR(IF(_xlfn.MAXIFS(Documents!$E$2:$E$1421,Documents!$A$2:$A$1421,$A183,Documents!$C$2:$C$1421,"sustainability")=0,"",_xlfn.MAXIFS(Documents!$E$2:$E$1421,Documents!$A$2:$A$1421,$A183,Documents!$C$2:$C$1421,"sustainability")),"")</f>
        <v/>
      </c>
      <c r="Q183">
        <f>IFERROR(IF(_xlfn.MAXIFS(Documents!$E$2:$E$1421,Documents!$A$2:$A$1421,$A183,Documents!$C$2:$C$1421,"calendar")=0,"",_xlfn.MAXIFS(Documents!$E$2:$E$1421,Documents!$A$2:$A$1421,$A183,Documents!$C$2:$C$1421,"calendar")),"")</f>
        <v/>
      </c>
      <c r="R183">
        <f>IFERROR(IF(_xlfn.MAXIFS(Documents!$E$2:$E$1421,Documents!$A$2:$A$1421,$A183,Documents!$C$2:$C$1421,"brochure")=0,"",_xlfn.MAXIFS(Documents!$E$2:$E$1421,Documents!$A$2:$A$1421,$A183,Documents!$C$2:$C$1421,"brochure")),"")</f>
        <v/>
      </c>
      <c r="S183">
        <f>IFERROR(IF(_xlfn.MAXIFS(Documents!$E$2:$E$1421,Documents!$A$2:$A$1421,$A183,Documents!$C$2:$C$1421,"press_kit")=0,"",_xlfn.MAXIFS(Documents!$E$2:$E$1421,Documents!$A$2:$A$1421,$A183,Documents!$C$2:$C$1421,"press_kit")),"")</f>
        <v/>
      </c>
      <c r="T183">
        <f>IFERROR(IF(_xlfn.MAXIFS(Documents!$E$2:$E$1421,Documents!$A$2:$A$1421,$A183,Documents!$C$2:$C$1421,"other")=0,"",_xlfn.MAXIFS(Documents!$E$2:$E$1421,Documents!$A$2:$A$1421,$A183,Documents!$C$2:$C$1421,"other")),"")</f>
        <v/>
      </c>
      <c r="U183">
        <f>IFERROR(IF(_xlfn.MAXIFS(Documents!$E$2:$E$1421,Documents!$A$2:$A$1421,$A183,Documents!$C$2:$C$1421,"obsolete")=0,"",_xlfn.MAXIFS(Documents!$E$2:$E$1421,Documents!$A$2:$A$1421,$A183,Documents!$C$2:$C$1421,"obsolete")),"")</f>
        <v/>
      </c>
      <c r="V183">
        <f>COUNTIFS(Documents!$A$2:$A$1421,$A183)</f>
        <v/>
      </c>
      <c r="W183">
        <f>COUNTIFS(Documents!$A$2:$A$1421,$A183,Documents!$R$2:$R$1421,"current")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4</v>
      </c>
      <c r="B26" t="inlineStr">
        <is>
          <t>Ayada Maldives</t>
        </is>
      </c>
      <c r="C26" t="inlineStr">
        <is>
          <t>factsheet</t>
        </is>
      </c>
      <c r="D26" t="inlineStr">
        <is>
          <t>2024_Ayada-Maldives-Factsheet.pdf</t>
        </is>
      </c>
      <c r="E26" t="n">
        <v>2024</v>
      </c>
      <c r="H26" t="n">
        <v>5</v>
      </c>
      <c r="I26" t="n">
        <v>1010</v>
      </c>
      <c r="J26" t="inlineStr">
        <is>
          <t>Y</t>
        </is>
      </c>
      <c r="K26" t="inlineStr">
        <is>
          <t>neoscapesmaldives.com</t>
        </is>
      </c>
      <c r="L26" t="inlineStr">
        <is>
          <t>dmc-agency</t>
        </is>
      </c>
      <c r="M26" t="inlineStr">
        <is>
          <t>https://www.neoscapesmaldives.com/wp-content/uploads/Ayada-Maldives-Factsheet.pdf</t>
        </is>
      </c>
      <c r="N26" t="inlineStr">
        <is>
          <t>https://www.neoscapesmaldives.com/wp-content/uploads/Ayada-Maldives-Factsheet.pdf</t>
        </is>
      </c>
      <c r="O26" t="inlineStr">
        <is>
          <t>19b02051f838b69028909773e22e302bf07da75a4c7b3814532d31d99b99689b</t>
        </is>
      </c>
      <c r="P26" t="inlineStr">
        <is>
          <t>library/004_ayada-maldives/factsheet/2024_Ayada-Maldives-Factsheet.pdf</t>
        </is>
      </c>
      <c r="R26" t="inlineStr">
        <is>
          <t>outdated</t>
        </is>
      </c>
      <c r="S26" t="inlineStr">
        <is>
          <t>Y</t>
        </is>
      </c>
      <c r="T26" t="inlineStr">
        <is>
          <t>matched</t>
        </is>
      </c>
      <c r="U26" t="inlineStr">
        <is>
          <t>2026-10-04</t>
        </is>
      </c>
      <c r="V26" t="inlineStr"/>
    </row>
    <row r="27">
      <c r="A27" t="n">
        <v>4</v>
      </c>
      <c r="B27" t="inlineStr">
        <is>
          <t>Ayada Maldives</t>
        </is>
      </c>
      <c r="C27" t="inlineStr">
        <is>
          <t>wedding</t>
        </is>
      </c>
      <c r="D27" t="inlineStr">
        <is>
          <t>2024_Ayada-Maldives-Wedding-Package-2024.pdf</t>
        </is>
      </c>
      <c r="E27" t="n">
        <v>2024</v>
      </c>
      <c r="H27" t="n">
        <v>8</v>
      </c>
      <c r="I27" t="n">
        <v>6441</v>
      </c>
      <c r="J27" t="inlineStr">
        <is>
          <t>Y</t>
        </is>
      </c>
      <c r="K27" t="inlineStr">
        <is>
          <t>ayadamaldives.com</t>
        </is>
      </c>
      <c r="L27" t="inlineStr">
        <is>
          <t>official</t>
        </is>
      </c>
      <c r="M27" t="inlineStr">
        <is>
          <t>https://www.ayadamaldives.com/s/Ayada-Maldives-Wedding-Package-2024.pdf</t>
        </is>
      </c>
      <c r="N27" t="inlineStr">
        <is>
          <t>https://www.ayadamaldives.com/s/Ayada-Maldives-Wedding-Package-2024.pdf</t>
        </is>
      </c>
      <c r="O27" t="inlineStr">
        <is>
          <t>6393fde676a95714b524b2051379a2317881bf2a14b9821d15247f38d73a0350</t>
        </is>
      </c>
      <c r="P27" t="inlineStr">
        <is>
          <t>library/004_ayada-maldives/wedding/2024_Ayada-Maldives-Wedding-Package-2024.pdf</t>
        </is>
      </c>
      <c r="R27" t="inlineStr">
        <is>
          <t>outdated</t>
        </is>
      </c>
      <c r="S27" t="inlineStr">
        <is>
          <t>Y</t>
        </is>
      </c>
      <c r="T27" t="inlineStr">
        <is>
          <t>matched</t>
        </is>
      </c>
      <c r="U27" t="inlineStr">
        <is>
          <t>2026-10-04</t>
        </is>
      </c>
      <c r="V27" t="inlineStr"/>
    </row>
    <row r="28">
      <c r="A28" t="n">
        <v>4</v>
      </c>
      <c r="B28" t="inlineStr">
        <is>
          <t>Ayada Maldives</t>
        </is>
      </c>
      <c r="C28" t="inlineStr">
        <is>
          <t>dining_menu</t>
        </is>
      </c>
      <c r="D28" t="inlineStr">
        <is>
          <t>2024_CH-Bev-List.pdf</t>
        </is>
      </c>
      <c r="E28" t="n">
        <v>2024</v>
      </c>
      <c r="H28" t="n">
        <v>10</v>
      </c>
      <c r="I28" t="n">
        <v>2566</v>
      </c>
      <c r="J28" t="inlineStr">
        <is>
          <t>Y</t>
        </is>
      </c>
      <c r="K28" t="inlineStr">
        <is>
          <t>ayadamaldives.com</t>
        </is>
      </c>
      <c r="L28" t="inlineStr">
        <is>
          <t>official</t>
        </is>
      </c>
      <c r="M28" t="inlineStr">
        <is>
          <t>https://www.ayadamaldives.com/s/CH-Bev-List.pdf</t>
        </is>
      </c>
      <c r="N28" t="inlineStr">
        <is>
          <t>https://www.ayadamaldives.com/s/CH-Bev-List.pdf</t>
        </is>
      </c>
      <c r="O28" t="inlineStr">
        <is>
          <t>7066a36fd8272d652962db727a0c622485e7558367863b6a5ac1cad4ac72cee0</t>
        </is>
      </c>
      <c r="P28" t="inlineStr">
        <is>
          <t>library/004_ayada-maldives/dining_menu/2024_CH-Bev-List.pdf</t>
        </is>
      </c>
      <c r="R28" t="inlineStr">
        <is>
          <t>outdated</t>
        </is>
      </c>
      <c r="S28" t="inlineStr">
        <is>
          <t>N</t>
        </is>
      </c>
      <c r="T28" t="inlineStr">
        <is>
          <t>matched</t>
        </is>
      </c>
      <c r="U28" t="inlineStr">
        <is>
          <t>2026-10-04</t>
        </is>
      </c>
      <c r="V28" t="inlineStr"/>
    </row>
    <row r="29">
      <c r="A29" t="n">
        <v>4</v>
      </c>
      <c r="B29" t="inlineStr">
        <is>
          <t>Ayada Maldives</t>
        </is>
      </c>
      <c r="C29" t="inlineStr">
        <is>
          <t>dining_menu</t>
        </is>
      </c>
      <c r="D29" t="inlineStr">
        <is>
          <t>2024_Wine-List-2024-russian.pdf</t>
        </is>
      </c>
      <c r="E29" t="n">
        <v>2024</v>
      </c>
      <c r="H29" t="n">
        <v>11</v>
      </c>
      <c r="I29" t="n">
        <v>675</v>
      </c>
      <c r="J29" t="inlineStr">
        <is>
          <t>Y</t>
        </is>
      </c>
      <c r="K29" t="inlineStr">
        <is>
          <t>ayadamaldives.com</t>
        </is>
      </c>
      <c r="L29" t="inlineStr">
        <is>
          <t>official</t>
        </is>
      </c>
      <c r="M29" t="inlineStr">
        <is>
          <t>https://www.ayadamaldives.com/s/Wine-List-2024-russian.pdf</t>
        </is>
      </c>
      <c r="N29" t="inlineStr">
        <is>
          <t>https://www.ayadamaldives.com/s/Wine-List-2024-russian.pdf</t>
        </is>
      </c>
      <c r="O29" t="inlineStr">
        <is>
          <t>6241fb078a6b38a94889f3acedc4c4e9b7466ba7198a373eee756ab8c9d298fd</t>
        </is>
      </c>
      <c r="P29" t="inlineStr">
        <is>
          <t>library/004_ayada-maldives/dining_menu/2024_Wine-List-2024-russian.pdf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2024_Wine-List-2024.pdf</t>
        </is>
      </c>
      <c r="E30" t="n">
        <v>2024</v>
      </c>
      <c r="H30" t="n">
        <v>11</v>
      </c>
      <c r="I30" t="n">
        <v>613</v>
      </c>
      <c r="J30" t="inlineStr">
        <is>
          <t>Y</t>
        </is>
      </c>
      <c r="K30" t="inlineStr">
        <is>
          <t>ayadamaldives.com</t>
        </is>
      </c>
      <c r="L30" t="inlineStr">
        <is>
          <t>official</t>
        </is>
      </c>
      <c r="M30" t="inlineStr">
        <is>
          <t>https://www.ayadamaldives.com/s/Wine-List-2024.pdf</t>
        </is>
      </c>
      <c r="N30" t="inlineStr">
        <is>
          <t>https://www.ayadamaldives.com/s/Wine-List-2024.pdf</t>
        </is>
      </c>
      <c r="O30" t="inlineStr">
        <is>
          <t>e8afbac975a711457b75da281377a2f797ebdd303b39fb3294d54da5809c5061</t>
        </is>
      </c>
      <c r="P30" t="inlineStr">
        <is>
          <t>library/004_ayada-maldives/dining_menu/2024_Wine-List-2024.pdf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2024_Eng-Bev-List.pdf</t>
        </is>
      </c>
      <c r="E31" t="n">
        <v>2024</v>
      </c>
      <c r="H31" t="n">
        <v>10</v>
      </c>
      <c r="I31" t="n">
        <v>927</v>
      </c>
      <c r="J31" t="inlineStr">
        <is>
          <t>Y</t>
        </is>
      </c>
      <c r="K31" t="inlineStr">
        <is>
          <t>ayadamaldives.com</t>
        </is>
      </c>
      <c r="L31" t="inlineStr">
        <is>
          <t>official</t>
        </is>
      </c>
      <c r="M31" t="inlineStr">
        <is>
          <t>https://www.ayadamaldives.com/s/Eng-Bev-List.pdf</t>
        </is>
      </c>
      <c r="N31" t="inlineStr">
        <is>
          <t>https://www.ayadamaldives.com/s/Eng-Bev-List.pdf</t>
        </is>
      </c>
      <c r="O31" t="inlineStr">
        <is>
          <t>5db2fbe56312d1c7924162b009be0c635809700ffeccb360f81d74116ecef420</t>
        </is>
      </c>
      <c r="P31" t="inlineStr">
        <is>
          <t>library/004_ayada-maldives/dining_menu/2024_Eng-Bev-List.pdf</t>
        </is>
      </c>
      <c r="R31" t="inlineStr">
        <is>
          <t>outdated</t>
        </is>
      </c>
      <c r="S31" t="inlineStr">
        <is>
          <t>N</t>
        </is>
      </c>
      <c r="T31" t="inlineStr">
        <is>
          <t>matched</t>
        </is>
      </c>
      <c r="U31" t="inlineStr">
        <is>
          <t>2026-10-04</t>
        </is>
      </c>
      <c r="V31" t="inlineStr"/>
    </row>
    <row r="32">
      <c r="A32" t="n">
        <v>4</v>
      </c>
      <c r="B32" t="inlineStr">
        <is>
          <t>Ayada Maldives</t>
        </is>
      </c>
      <c r="C32" t="inlineStr">
        <is>
          <t>dining_menu</t>
        </is>
      </c>
      <c r="D32" t="inlineStr">
        <is>
          <t>2024_RU-Bev-List.pdf</t>
        </is>
      </c>
      <c r="E32" t="n">
        <v>2024</v>
      </c>
      <c r="H32" t="n">
        <v>10</v>
      </c>
      <c r="I32" t="n">
        <v>1188</v>
      </c>
      <c r="J32" t="inlineStr">
        <is>
          <t>Y</t>
        </is>
      </c>
      <c r="K32" t="inlineStr">
        <is>
          <t>ayadamaldives.com</t>
        </is>
      </c>
      <c r="L32" t="inlineStr">
        <is>
          <t>official</t>
        </is>
      </c>
      <c r="M32" t="inlineStr">
        <is>
          <t>https://www.ayadamaldives.com/s/RU-Bev-List.pdf</t>
        </is>
      </c>
      <c r="N32" t="inlineStr">
        <is>
          <t>https://www.ayadamaldives.com/s/RU-Bev-List.pdf</t>
        </is>
      </c>
      <c r="O32" t="inlineStr">
        <is>
          <t>2feccd92e690e001116c38de71f8ece41aea48a2261ef7a733949a67ca12205a</t>
        </is>
      </c>
      <c r="P32" t="inlineStr">
        <is>
          <t>library/004_ayada-maldives/dining_menu/2024_RU-Bev-List.pdf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2024_Wine-List-2024-chinese.pdf</t>
        </is>
      </c>
      <c r="E33" t="n">
        <v>2024</v>
      </c>
      <c r="H33" t="n">
        <v>11</v>
      </c>
      <c r="I33" t="n">
        <v>2449</v>
      </c>
      <c r="J33" t="inlineStr">
        <is>
          <t>Y</t>
        </is>
      </c>
      <c r="K33" t="inlineStr">
        <is>
          <t>ayadamaldives.com</t>
        </is>
      </c>
      <c r="L33" t="inlineStr">
        <is>
          <t>official</t>
        </is>
      </c>
      <c r="M33" t="inlineStr">
        <is>
          <t>https://www.ayadamaldives.com/s/Wine-List-2024-chinese.pdf</t>
        </is>
      </c>
      <c r="N33" t="inlineStr">
        <is>
          <t>https://www.ayadamaldives.com/s/Wine-List-2024-chinese.pdf</t>
        </is>
      </c>
      <c r="O33" t="inlineStr">
        <is>
          <t>66021ce4c6422cb1e357ac0dde8148bc1133e9a567521d331fd112872d2f4d78</t>
        </is>
      </c>
      <c r="P33" t="inlineStr">
        <is>
          <t>library/004_ayada-maldives/dining_menu/2024_Wine-List-2024-chinese.pdf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2024_CigarMenu2pdf-onlynames-1.pdf</t>
        </is>
      </c>
      <c r="E34" t="n">
        <v>2024</v>
      </c>
      <c r="H34" t="n">
        <v>1</v>
      </c>
      <c r="I34" t="n">
        <v>4086</v>
      </c>
      <c r="J34" t="inlineStr">
        <is>
          <t>Y</t>
        </is>
      </c>
      <c r="K34" t="inlineStr">
        <is>
          <t>ayadamaldives.com</t>
        </is>
      </c>
      <c r="L34" t="inlineStr">
        <is>
          <t>official</t>
        </is>
      </c>
      <c r="M34" t="inlineStr">
        <is>
          <t>https://www.ayadamaldives.com/s/CigarMenu2pdf-onlynames-1.pdf</t>
        </is>
      </c>
      <c r="N34" t="inlineStr">
        <is>
          <t>https://www.ayadamaldives.com/s/CigarMenu2pdf-onlynames-1.pdf</t>
        </is>
      </c>
      <c r="O34" t="inlineStr">
        <is>
          <t>af0837caf02917d64e4503c3b97a72abffd86bd8d384a299ccfe6fa8f1fd6c8b</t>
        </is>
      </c>
      <c r="P34" t="inlineStr">
        <is>
          <t>library/004_ayada-maldives/dining_menu/2024_CigarMenu2pdf-onlynames-1.pdf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2023_In-Villa-Dinning-Menu-24hrs-English.pdf</t>
        </is>
      </c>
      <c r="E35" t="n">
        <v>2023</v>
      </c>
      <c r="H35" t="n">
        <v>5</v>
      </c>
      <c r="I35" t="n">
        <v>58</v>
      </c>
      <c r="J35" t="inlineStr">
        <is>
          <t>Y</t>
        </is>
      </c>
      <c r="K35" t="inlineStr">
        <is>
          <t>ayadamaldives.com</t>
        </is>
      </c>
      <c r="L35" t="inlineStr">
        <is>
          <t>official</t>
        </is>
      </c>
      <c r="M35" t="inlineStr">
        <is>
          <t>https://www.ayadamaldives.com/s/In-Villa-Dinning-Menu-24hrs-English.pdf</t>
        </is>
      </c>
      <c r="N35" t="inlineStr">
        <is>
          <t>https://www.ayadamaldives.com/s/In-Villa-Dinning-Menu-24hrs-English.pdf</t>
        </is>
      </c>
      <c r="O35" t="inlineStr">
        <is>
          <t>b574fe01ad0cc2cf1333f5bc3b94d6cab24ceb16f08abfd7fd778b3c03491bb7</t>
        </is>
      </c>
      <c r="P35" t="inlineStr">
        <is>
          <t>library/004_ayada-maldives/dining_menu/2023_In-Villa-Dinning-Menu-24hrs-English.pdf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2023_Sea-Salt-new-menu-Russian-re3m.pdf</t>
        </is>
      </c>
      <c r="E36" t="n">
        <v>2023</v>
      </c>
      <c r="H36" t="n">
        <v>1</v>
      </c>
      <c r="I36" t="n">
        <v>194</v>
      </c>
      <c r="J36" t="inlineStr">
        <is>
          <t>Y</t>
        </is>
      </c>
      <c r="K36" t="inlineStr">
        <is>
          <t>ayadamaldives.com</t>
        </is>
      </c>
      <c r="L36" t="inlineStr">
        <is>
          <t>official</t>
        </is>
      </c>
      <c r="M36" t="inlineStr">
        <is>
          <t>https://www.ayadamaldives.com/s/Sea-Salt-new-menu-Russian-re3m.pdf</t>
        </is>
      </c>
      <c r="N36" t="inlineStr">
        <is>
          <t>https://www.ayadamaldives.com/s/Sea-Salt-new-menu-Russian-re3m.pdf</t>
        </is>
      </c>
      <c r="O36" t="inlineStr">
        <is>
          <t>421a0b9258b977d3d57c52a89fcb1acc29c64cd30950b6cc6203a68c024fb0e0</t>
        </is>
      </c>
      <c r="P36" t="inlineStr">
        <is>
          <t>library/004_ayada-maldives/dining_menu/2023_Sea-Salt-new-menu-Russian-re3m.pdf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2023_Sea-Salt-new-menu-p7pe.pdf</t>
        </is>
      </c>
      <c r="E37" t="n">
        <v>2023</v>
      </c>
      <c r="H37" t="n">
        <v>1</v>
      </c>
      <c r="I37" t="n">
        <v>90</v>
      </c>
      <c r="J37" t="inlineStr">
        <is>
          <t>Y</t>
        </is>
      </c>
      <c r="K37" t="inlineStr">
        <is>
          <t>ayadamaldives.com</t>
        </is>
      </c>
      <c r="L37" t="inlineStr">
        <is>
          <t>official</t>
        </is>
      </c>
      <c r="M37" t="inlineStr">
        <is>
          <t>https://www.ayadamaldives.com/s/Sea-Salt-new-menu-p7pe.pdf</t>
        </is>
      </c>
      <c r="N37" t="inlineStr">
        <is>
          <t>https://www.ayadamaldives.com/s/Sea-Salt-new-menu-p7pe.pdf</t>
        </is>
      </c>
      <c r="O37" t="inlineStr">
        <is>
          <t>547fbf548f962acaaf39a52f5dd4b83e5e110f0bc6bb1773d1eb59db6ce4bc6b</t>
        </is>
      </c>
      <c r="P37" t="inlineStr">
        <is>
          <t>library/004_ayada-maldives/dining_menu/2023_Sea-Salt-new-menu-p7pe.pdf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2023_Sea-Salt-new-menu-Chinese-mfnc.pdf</t>
        </is>
      </c>
      <c r="E38" t="n">
        <v>2023</v>
      </c>
      <c r="H38" t="n">
        <v>1</v>
      </c>
      <c r="I38" t="n">
        <v>219</v>
      </c>
      <c r="J38" t="inlineStr">
        <is>
          <t>Y</t>
        </is>
      </c>
      <c r="K38" t="inlineStr">
        <is>
          <t>ayadamaldives.com</t>
        </is>
      </c>
      <c r="L38" t="inlineStr">
        <is>
          <t>official</t>
        </is>
      </c>
      <c r="M38" t="inlineStr">
        <is>
          <t>https://www.ayadamaldives.com/s/Sea-Salt-new-menu-Chinese-mfnc.pdf</t>
        </is>
      </c>
      <c r="N38" t="inlineStr">
        <is>
          <t>https://www.ayadamaldives.com/s/Sea-Salt-new-menu-Chinese-mfnc.pdf</t>
        </is>
      </c>
      <c r="O38" t="inlineStr">
        <is>
          <t>cae35e5f758b161a4f5a2a301fe4eccb255a675b34e99d0856f3c951e3cb2840</t>
        </is>
      </c>
      <c r="P38" t="inlineStr">
        <is>
          <t>library/004_ayada-maldives/dining_menu/2023_Sea-Salt-new-menu-Chinese-mfnc.pdf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2022_IDJ-Bin-end-List-2022-English.pdf</t>
        </is>
      </c>
      <c r="E39" t="n">
        <v>2022</v>
      </c>
      <c r="H39" t="n">
        <v>1</v>
      </c>
      <c r="I39" t="n">
        <v>70</v>
      </c>
      <c r="J39" t="inlineStr">
        <is>
          <t>Y</t>
        </is>
      </c>
      <c r="K39" t="inlineStr">
        <is>
          <t>ayadamaldives.com</t>
        </is>
      </c>
      <c r="L39" t="inlineStr">
        <is>
          <t>official</t>
        </is>
      </c>
      <c r="M39" t="inlineStr">
        <is>
          <t>https://www.ayadamaldives.com/s/IDJ-Bin-end-List-2022-English.pdf</t>
        </is>
      </c>
      <c r="N39" t="inlineStr">
        <is>
          <t>https://www.ayadamaldives.com/s/IDJ-Bin-end-List-2022-English.pdf</t>
        </is>
      </c>
      <c r="O39" t="inlineStr">
        <is>
          <t>2d082c4de6baa295551a709e3f3fe21cfbbf6f47f205f62afacbb96e6d88a542</t>
        </is>
      </c>
      <c r="P39" t="inlineStr">
        <is>
          <t>library/004_ayada-maldives/dining_menu/2022_IDJ-Bin-end-List-2022-English.pdf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2022_Mizu-Menu-2022-ds72.pdf</t>
        </is>
      </c>
      <c r="E40" t="n">
        <v>2022</v>
      </c>
      <c r="H40" t="n">
        <v>1</v>
      </c>
      <c r="I40" t="n">
        <v>157</v>
      </c>
      <c r="J40" t="inlineStr">
        <is>
          <t>Y</t>
        </is>
      </c>
      <c r="K40" t="inlineStr">
        <is>
          <t>ayadamaldives.com</t>
        </is>
      </c>
      <c r="L40" t="inlineStr">
        <is>
          <t>official</t>
        </is>
      </c>
      <c r="M40" t="inlineStr">
        <is>
          <t>https://www.ayadamaldives.com/s/Mizu-Menu-2022-ds72.pdf</t>
        </is>
      </c>
      <c r="N40" t="inlineStr">
        <is>
          <t>https://www.ayadamaldives.com/s/Mizu-Menu-2022-ds72.pdf</t>
        </is>
      </c>
      <c r="O40" t="inlineStr">
        <is>
          <t>02cdfa0e31f1c7a9a8c6892002577af260a8ab63149311448be967c052929c0d</t>
        </is>
      </c>
      <c r="P40" t="inlineStr">
        <is>
          <t>library/004_ayada-maldives/dining_menu/2022_Mizu-Menu-2022-ds72.pdf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2022_Private-Dining-Menu-ca8b.pdf</t>
        </is>
      </c>
      <c r="E41" t="n">
        <v>2022</v>
      </c>
      <c r="H41" t="n">
        <v>1</v>
      </c>
      <c r="I41" t="n">
        <v>2361</v>
      </c>
      <c r="J41" t="inlineStr">
        <is>
          <t>Y</t>
        </is>
      </c>
      <c r="K41" t="inlineStr">
        <is>
          <t>ayadamaldives.com</t>
        </is>
      </c>
      <c r="L41" t="inlineStr">
        <is>
          <t>official</t>
        </is>
      </c>
      <c r="M41" t="inlineStr">
        <is>
          <t>https://www.ayadamaldives.com/s/Private-Dining-Menu-ca8b.pdf</t>
        </is>
      </c>
      <c r="N41" t="inlineStr">
        <is>
          <t>https://www.ayadamaldives.com/s/Private-Dining-Menu-ca8b.pdf</t>
        </is>
      </c>
      <c r="O41" t="inlineStr">
        <is>
          <t>8c794155f4129755f88ee3971e388236b792bac0109c0d35eba11412c0b3c04a</t>
        </is>
      </c>
      <c r="P41" t="inlineStr">
        <is>
          <t>library/004_ayada-maldives/dining_menu/2022_Private-Dining-Menu-ca8b.pdf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2020_Beverage-List-Russian.pdf</t>
        </is>
      </c>
      <c r="E42" t="n">
        <v>2020</v>
      </c>
      <c r="H42" t="n">
        <v>7</v>
      </c>
      <c r="I42" t="n">
        <v>146</v>
      </c>
      <c r="J42" t="inlineStr">
        <is>
          <t>Y</t>
        </is>
      </c>
      <c r="K42" t="inlineStr">
        <is>
          <t>ayadamaldives.com</t>
        </is>
      </c>
      <c r="L42" t="inlineStr">
        <is>
          <t>official</t>
        </is>
      </c>
      <c r="M42" t="inlineStr">
        <is>
          <t>https://www.ayadamaldives.com/s/Beverage-List-Russian.pdf</t>
        </is>
      </c>
      <c r="N42" t="inlineStr">
        <is>
          <t>https://www.ayadamaldives.com/s/Beverage-List-Russian.pdf</t>
        </is>
      </c>
      <c r="O42" t="inlineStr">
        <is>
          <t>97a588b88659b836f4e2d3fe35d53a42fca10829b93f977181421dce0aba3b97</t>
        </is>
      </c>
      <c r="P42" t="inlineStr">
        <is>
          <t>library/004_ayada-maldives/dining_menu/2020_Beverage-List-Russian.pdf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2020_Kai-Menu-October-Russian.pdf</t>
        </is>
      </c>
      <c r="E43" t="n">
        <v>2020</v>
      </c>
      <c r="H43" t="n">
        <v>5</v>
      </c>
      <c r="I43" t="n">
        <v>316</v>
      </c>
      <c r="J43" t="inlineStr">
        <is>
          <t>Y</t>
        </is>
      </c>
      <c r="K43" t="inlineStr">
        <is>
          <t>ayadamaldives.com</t>
        </is>
      </c>
      <c r="L43" t="inlineStr">
        <is>
          <t>official</t>
        </is>
      </c>
      <c r="M43" t="inlineStr">
        <is>
          <t>https://www.ayadamaldives.com/s/Kai-Menu-October-Russian.pdf</t>
        </is>
      </c>
      <c r="N43" t="inlineStr">
        <is>
          <t>https://www.ayadamaldives.com/s/Kai-Menu-October-Russian.pdf</t>
        </is>
      </c>
      <c r="O43" t="inlineStr">
        <is>
          <t>4583c25fcac701cf7a69ddd895698d5f4d120014e177f638081b144dfecb2b22</t>
        </is>
      </c>
      <c r="P43" t="inlineStr">
        <is>
          <t>library/004_ayada-maldives/dining_menu/2020_Kai-Menu-October-Russian.pdf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2020_ZD-October-Menu-Russian-FINAL.pdf</t>
        </is>
      </c>
      <c r="E44" t="n">
        <v>2020</v>
      </c>
      <c r="H44" t="n">
        <v>4</v>
      </c>
      <c r="I44" t="n">
        <v>453</v>
      </c>
      <c r="J44" t="inlineStr">
        <is>
          <t>Y</t>
        </is>
      </c>
      <c r="K44" t="inlineStr">
        <is>
          <t>ayadamaldives.com</t>
        </is>
      </c>
      <c r="L44" t="inlineStr">
        <is>
          <t>official</t>
        </is>
      </c>
      <c r="M44" t="inlineStr">
        <is>
          <t>https://www.ayadamaldives.com/s/ZD-October-Menu-Russian-FINAL.pdf</t>
        </is>
      </c>
      <c r="N44" t="inlineStr">
        <is>
          <t>https://www.ayadamaldives.com/s/ZD-October-Menu-Russian-FINAL.pdf</t>
        </is>
      </c>
      <c r="O44" t="inlineStr">
        <is>
          <t>00a4cde4aac5c7a9b18edd288eba1f4b520f051111b370148c49c16dd913104f</t>
        </is>
      </c>
      <c r="P44" t="inlineStr">
        <is>
          <t>library/004_ayada-maldives/dining_menu/2020_ZD-October-Menu-Russian-FINAL.pdf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2020_Russian-Beach-BBQ-Menu.pdf</t>
        </is>
      </c>
      <c r="E45" t="n">
        <v>2020</v>
      </c>
      <c r="H45" t="n">
        <v>1</v>
      </c>
      <c r="I45" t="n">
        <v>76</v>
      </c>
      <c r="J45" t="inlineStr">
        <is>
          <t>Y</t>
        </is>
      </c>
      <c r="K45" t="inlineStr">
        <is>
          <t>ayadamaldives.com</t>
        </is>
      </c>
      <c r="L45" t="inlineStr">
        <is>
          <t>official</t>
        </is>
      </c>
      <c r="M45" t="inlineStr">
        <is>
          <t>https://www.ayadamaldives.com/s/Russian-Beach-BBQ-Menu.pdf</t>
        </is>
      </c>
      <c r="N45" t="inlineStr">
        <is>
          <t>https://www.ayadamaldives.com/s/Russian-Beach-BBQ-Menu.pdf</t>
        </is>
      </c>
      <c r="O45" t="inlineStr">
        <is>
          <t>781f790a26fa07bc599e04e417d10c65ab9646716cd55bf5c30494f2deab34c1</t>
        </is>
      </c>
      <c r="P45" t="inlineStr">
        <is>
          <t>library/004_ayada-maldives/dining_menu/2020_Russian-Beach-BBQ-Menu.pdf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2020_Ocean-Breeze-Russian-Menu-October-FINAL.pdf</t>
        </is>
      </c>
      <c r="E46" t="n">
        <v>2020</v>
      </c>
      <c r="H46" t="n">
        <v>4</v>
      </c>
      <c r="I46" t="n">
        <v>162</v>
      </c>
      <c r="J46" t="inlineStr">
        <is>
          <t>Y</t>
        </is>
      </c>
      <c r="K46" t="inlineStr">
        <is>
          <t>ayadamaldives.com</t>
        </is>
      </c>
      <c r="L46" t="inlineStr">
        <is>
          <t>official</t>
        </is>
      </c>
      <c r="M46" t="inlineStr">
        <is>
          <t>https://www.ayadamaldives.com/s/Ocean-Breeze-Russian-Menu-October-FINAL.pdf</t>
        </is>
      </c>
      <c r="N46" t="inlineStr">
        <is>
          <t>https://www.ayadamaldives.com/s/Ocean-Breeze-Russian-Menu-October-FINAL.pdf</t>
        </is>
      </c>
      <c r="O46" t="inlineStr">
        <is>
          <t>9e1c4155be3a2ae955dd7f4e0aa538ab36cd5aa54e718bc7365663b884efd89f</t>
        </is>
      </c>
      <c r="P46" t="inlineStr">
        <is>
          <t>library/004_ayada-maldives/dining_menu/2020_Ocean-Breeze-Russian-Menu-October-FINAL.pdf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2019_WineCheesepdf.pdf</t>
        </is>
      </c>
      <c r="E47" t="n">
        <v>2019</v>
      </c>
      <c r="H47" t="n">
        <v>1</v>
      </c>
      <c r="I47" t="n">
        <v>4911</v>
      </c>
      <c r="J47" t="inlineStr">
        <is>
          <t>Y</t>
        </is>
      </c>
      <c r="K47" t="inlineStr">
        <is>
          <t>ayadamaldives.com</t>
        </is>
      </c>
      <c r="L47" t="inlineStr">
        <is>
          <t>official</t>
        </is>
      </c>
      <c r="M47" t="inlineStr">
        <is>
          <t>https://www.ayadamaldives.com/s/WineCheesepdf.pdf</t>
        </is>
      </c>
      <c r="N47" t="inlineStr">
        <is>
          <t>https://www.ayadamaldives.com/s/WineCheesepdf.pdf</t>
        </is>
      </c>
      <c r="O47" t="inlineStr">
        <is>
          <t>a70a63874e27d4f867e4d100e0fd56f81598e12b8f6749adcb8d413baba3050b</t>
        </is>
      </c>
      <c r="P47" t="inlineStr">
        <is>
          <t>library/004_ayada-maldives/dining_menu/2019_WineCheesepdf.pdf</t>
        </is>
      </c>
      <c r="R47" t="inlineStr">
        <is>
          <t>outdated</t>
        </is>
      </c>
      <c r="S47" t="inlineStr">
        <is>
          <t>N</t>
        </is>
      </c>
      <c r="T47" t="inlineStr">
        <is>
          <t>matched</t>
        </is>
      </c>
      <c r="U47" t="inlineStr">
        <is>
          <t>2026-10-04</t>
        </is>
      </c>
      <c r="V47" t="inlineStr"/>
    </row>
    <row r="48">
      <c r="A48" t="n">
        <v>4</v>
      </c>
      <c r="B48" t="inlineStr">
        <is>
          <t>Ayada Maldives</t>
        </is>
      </c>
      <c r="C48" t="inlineStr">
        <is>
          <t>dive_prices</t>
        </is>
      </c>
      <c r="D48" t="inlineStr">
        <is>
          <t>2025_Watersports-_Prices_2025-2.pdf</t>
        </is>
      </c>
      <c r="E48" t="n">
        <v>2025</v>
      </c>
      <c r="H48" t="n">
        <v>2</v>
      </c>
      <c r="I48" t="n">
        <v>75</v>
      </c>
      <c r="J48" t="inlineStr">
        <is>
          <t>Y</t>
        </is>
      </c>
      <c r="K48" t="inlineStr">
        <is>
          <t>ayadamaldives.com</t>
        </is>
      </c>
      <c r="L48" t="inlineStr">
        <is>
          <t>official</t>
        </is>
      </c>
      <c r="M48" t="inlineStr">
        <is>
          <t>https://www.ayadamaldives.com/s/Watersports-_Prices_2025-2.pdf</t>
        </is>
      </c>
      <c r="N48" t="inlineStr">
        <is>
          <t>https://www.ayadamaldives.com/s/Watersports-_Prices_2025-2.pdf</t>
        </is>
      </c>
      <c r="O48" t="inlineStr">
        <is>
          <t>ded0ba0e00cbbe402086857b7bb2fbf3e121d204b3b1d086ea2fb4b640491ce0</t>
        </is>
      </c>
      <c r="P48" t="inlineStr">
        <is>
          <t>library/004_ayada-maldives/dive_prices/2025_Watersports-_Prices_2025-2.pdf</t>
        </is>
      </c>
      <c r="R48" t="inlineStr">
        <is>
          <t>current</t>
        </is>
      </c>
      <c r="S48" t="inlineStr">
        <is>
          <t>Y</t>
        </is>
      </c>
      <c r="T48" t="inlineStr">
        <is>
          <t>matched</t>
        </is>
      </c>
      <c r="U48" t="inlineStr">
        <is>
          <t>2026-10-04</t>
        </is>
      </c>
      <c r="V48" t="inlineStr"/>
    </row>
    <row r="49">
      <c r="A49" t="n">
        <v>4</v>
      </c>
      <c r="B49" t="inlineStr">
        <is>
          <t>Ayada Maldives</t>
        </is>
      </c>
      <c r="C49" t="inlineStr">
        <is>
          <t>dive_prices</t>
        </is>
      </c>
      <c r="D49" t="inlineStr">
        <is>
          <t>2022_Safety-Information.pdf</t>
        </is>
      </c>
      <c r="E49" t="n">
        <v>2022</v>
      </c>
      <c r="H49" t="n">
        <v>2</v>
      </c>
      <c r="I49" t="n">
        <v>3718</v>
      </c>
      <c r="J49" t="inlineStr">
        <is>
          <t>Y</t>
        </is>
      </c>
      <c r="K49" t="inlineStr">
        <is>
          <t>ayadamaldives.com</t>
        </is>
      </c>
      <c r="L49" t="inlineStr">
        <is>
          <t>official</t>
        </is>
      </c>
      <c r="M49" t="inlineStr">
        <is>
          <t>https://www.ayadamaldives.com/s/Safety-Information.pdf</t>
        </is>
      </c>
      <c r="N49" t="inlineStr">
        <is>
          <t>https://www.ayadamaldives.com/s/Safety-Information.pdf</t>
        </is>
      </c>
      <c r="O49" t="inlineStr">
        <is>
          <t>49fed3f5e9e0cf235e9cce18c9e3a56a7d47577101c89e511300609a6f4ea443</t>
        </is>
      </c>
      <c r="P49" t="inlineStr">
        <is>
          <t>library/004_ayada-maldives/dive_prices/2022_Safety-Information.pdf</t>
        </is>
      </c>
      <c r="R49" t="inlineStr">
        <is>
          <t>outdated</t>
        </is>
      </c>
      <c r="S49" t="inlineStr">
        <is>
          <t>N</t>
        </is>
      </c>
      <c r="T49" t="inlineStr">
        <is>
          <t>matched</t>
        </is>
      </c>
      <c r="U49" t="inlineStr">
        <is>
          <t>2026-10-04</t>
        </is>
      </c>
      <c r="V49" t="inlineStr"/>
    </row>
    <row r="50">
      <c r="A50" t="n">
        <v>4</v>
      </c>
      <c r="B50" t="inlineStr">
        <is>
          <t>Ayada Maldives</t>
        </is>
      </c>
      <c r="C50" t="inlineStr">
        <is>
          <t>excursions</t>
        </is>
      </c>
      <c r="D50" t="inlineStr">
        <is>
          <t>2024_Jet-Car-zytf.pdf</t>
        </is>
      </c>
      <c r="E50" t="n">
        <v>2024</v>
      </c>
      <c r="H50" t="n">
        <v>1</v>
      </c>
      <c r="I50" t="n">
        <v>1897</v>
      </c>
      <c r="J50" t="inlineStr">
        <is>
          <t>Y</t>
        </is>
      </c>
      <c r="K50" t="inlineStr">
        <is>
          <t>ayadamaldives.com</t>
        </is>
      </c>
      <c r="L50" t="inlineStr">
        <is>
          <t>official</t>
        </is>
      </c>
      <c r="M50" t="inlineStr">
        <is>
          <t>https://www.ayadamaldives.com/s/Jet-Car-zytf.pdf</t>
        </is>
      </c>
      <c r="N50" t="inlineStr">
        <is>
          <t>https://www.ayadamaldives.com/s/Jet-Car-zytf.pdf</t>
        </is>
      </c>
      <c r="O50" t="inlineStr">
        <is>
          <t>a5a17131ac1daf4087229fd2bc638a9d2c765d311f86c45b4c62b35d36f4caf5</t>
        </is>
      </c>
      <c r="P50" t="inlineStr">
        <is>
          <t>library/004_ayada-maldives/excursions/2024_Jet-Car-zytf.pdf</t>
        </is>
      </c>
      <c r="R50" t="inlineStr">
        <is>
          <t>outdated</t>
        </is>
      </c>
      <c r="S50" t="inlineStr">
        <is>
          <t>Y</t>
        </is>
      </c>
      <c r="T50" t="inlineStr">
        <is>
          <t>matched</t>
        </is>
      </c>
      <c r="U50" t="inlineStr">
        <is>
          <t>2026-10-04</t>
        </is>
      </c>
      <c r="V50" t="inlineStr"/>
    </row>
    <row r="51">
      <c r="A51" t="n">
        <v>4</v>
      </c>
      <c r="B51" t="inlineStr">
        <is>
          <t>Ayada Maldives</t>
        </is>
      </c>
      <c r="C51" t="inlineStr">
        <is>
          <t>all_inclusive</t>
        </is>
      </c>
      <c r="D51" t="inlineStr">
        <is>
          <t>2025_Photography2025.pdf</t>
        </is>
      </c>
      <c r="E51" t="n">
        <v>2025</v>
      </c>
      <c r="H51" t="n">
        <v>7</v>
      </c>
      <c r="I51" t="n">
        <v>2196</v>
      </c>
      <c r="J51" t="inlineStr">
        <is>
          <t>Y</t>
        </is>
      </c>
      <c r="K51" t="inlineStr">
        <is>
          <t>ayadamaldives.com</t>
        </is>
      </c>
      <c r="L51" t="inlineStr">
        <is>
          <t>official</t>
        </is>
      </c>
      <c r="M51" t="inlineStr">
        <is>
          <t>https://www.ayadamaldives.com/s/Photography2025.pdf</t>
        </is>
      </c>
      <c r="N51" t="inlineStr">
        <is>
          <t>https://www.ayadamaldives.com/s/Photography2025.pdf</t>
        </is>
      </c>
      <c r="O51" t="inlineStr">
        <is>
          <t>733b3493a7d6c9d29bb404b740cb51448fc2851e57df7b9ec5c7c0e02547c6cb</t>
        </is>
      </c>
      <c r="P51" t="inlineStr">
        <is>
          <t>library/004_ayada-maldives/all_inclusive/2025_Photography2025.pdf</t>
        </is>
      </c>
      <c r="R51" t="inlineStr">
        <is>
          <t>current</t>
        </is>
      </c>
      <c r="S51" t="inlineStr">
        <is>
          <t>Y</t>
        </is>
      </c>
      <c r="T51" t="inlineStr">
        <is>
          <t>matched</t>
        </is>
      </c>
      <c r="U51" t="inlineStr">
        <is>
          <t>2026-10-04</t>
        </is>
      </c>
      <c r="V51" t="inlineStr"/>
    </row>
    <row r="52">
      <c r="A52" t="n">
        <v>4</v>
      </c>
      <c r="B52" t="inlineStr">
        <is>
          <t>Ayada Maldives</t>
        </is>
      </c>
      <c r="C52" t="inlineStr">
        <is>
          <t>all_inclusive</t>
        </is>
      </c>
      <c r="D52" t="inlineStr">
        <is>
          <t>2021_Diamond-All-Inclusive.pdf</t>
        </is>
      </c>
      <c r="E52" t="n">
        <v>2021</v>
      </c>
      <c r="H52" t="n">
        <v>1</v>
      </c>
      <c r="I52" t="n">
        <v>425</v>
      </c>
      <c r="J52" t="inlineStr">
        <is>
          <t>Y</t>
        </is>
      </c>
      <c r="K52" t="inlineStr">
        <is>
          <t>ayadamaldives.com</t>
        </is>
      </c>
      <c r="L52" t="inlineStr">
        <is>
          <t>official</t>
        </is>
      </c>
      <c r="M52" t="inlineStr">
        <is>
          <t>https://ayada2.squarespace.com/s/Diamond-All-Inclusive.pdf</t>
        </is>
      </c>
      <c r="N52" t="inlineStr">
        <is>
          <t>https://ayada2.squarespace.com/s/Diamond-All-Inclusive.pdf</t>
        </is>
      </c>
      <c r="O52" t="inlineStr">
        <is>
          <t>ee423ef4674887941b9f0022a63001786843f0a02362696538a54cd620263d73</t>
        </is>
      </c>
      <c r="P52" t="inlineStr">
        <is>
          <t>library/004_ayada-maldives/all_inclusive/2021_Diamond-All-Inclusive.pdf</t>
        </is>
      </c>
      <c r="R52" t="inlineStr">
        <is>
          <t>outdated</t>
        </is>
      </c>
      <c r="S52" t="inlineStr">
        <is>
          <t>N</t>
        </is>
      </c>
      <c r="T52" t="inlineStr">
        <is>
          <t>matched</t>
        </is>
      </c>
      <c r="U52" t="inlineStr">
        <is>
          <t>2026-10-04</t>
        </is>
      </c>
      <c r="V52" t="inlineStr"/>
    </row>
    <row r="53">
      <c r="A53" t="n">
        <v>4</v>
      </c>
      <c r="B53" t="inlineStr">
        <is>
          <t>Ayada Maldives</t>
        </is>
      </c>
      <c r="C53" t="inlineStr">
        <is>
          <t>brochure</t>
        </is>
      </c>
      <c r="D53" t="inlineStr">
        <is>
          <t>2021_Ayada-Reopening-Guidelines-Revised.pdf</t>
        </is>
      </c>
      <c r="E53" t="n">
        <v>2021</v>
      </c>
      <c r="H53" t="n">
        <v>1</v>
      </c>
      <c r="I53" t="n">
        <v>3660</v>
      </c>
      <c r="J53" t="inlineStr">
        <is>
          <t>Y</t>
        </is>
      </c>
      <c r="K53" t="inlineStr">
        <is>
          <t>ayadamaldives.com</t>
        </is>
      </c>
      <c r="L53" t="inlineStr">
        <is>
          <t>official</t>
        </is>
      </c>
      <c r="M53" t="inlineStr">
        <is>
          <t>https://www.ayadamaldives.com/s/Ayada-Reopening-Guidelines-Revised.pdf</t>
        </is>
      </c>
      <c r="N53" t="inlineStr">
        <is>
          <t>https://www.ayadamaldives.com/s/Ayada-Reopening-Guidelines-Revised.pdf</t>
        </is>
      </c>
      <c r="O53" t="inlineStr">
        <is>
          <t>275e7380109c3b7d6c9d54e332ef2f283cece6b69d80e760e217b8036bdb5c72</t>
        </is>
      </c>
      <c r="P53" t="inlineStr">
        <is>
          <t>library/004_ayada-maldives/brochure/2021_Ayada-Reopening-Guidelines-Revised.pdf</t>
        </is>
      </c>
      <c r="R53" t="inlineStr">
        <is>
          <t>outdated</t>
        </is>
      </c>
      <c r="S53" t="inlineStr">
        <is>
          <t>Y</t>
        </is>
      </c>
      <c r="T53" t="inlineStr">
        <is>
          <t>matched</t>
        </is>
      </c>
      <c r="U53" t="inlineStr">
        <is>
          <t>2026-10-04</t>
        </is>
      </c>
      <c r="V53" t="inlineStr"/>
    </row>
    <row r="54">
      <c r="A54" t="n">
        <v>4</v>
      </c>
      <c r="B54" t="inlineStr">
        <is>
          <t>Ayada Maldives</t>
        </is>
      </c>
      <c r="C54" t="inlineStr">
        <is>
          <t>press_kit</t>
        </is>
      </c>
      <c r="D54" t="inlineStr">
        <is>
          <t>2023_OttomanBevList-Eng_compressed.pdf</t>
        </is>
      </c>
      <c r="E54" t="n">
        <v>2023</v>
      </c>
      <c r="H54" t="n">
        <v>1</v>
      </c>
      <c r="I54" t="n">
        <v>39</v>
      </c>
      <c r="J54" t="inlineStr">
        <is>
          <t>Y</t>
        </is>
      </c>
      <c r="K54" t="inlineStr">
        <is>
          <t>ayadamaldives.com</t>
        </is>
      </c>
      <c r="L54" t="inlineStr">
        <is>
          <t>official</t>
        </is>
      </c>
      <c r="M54" t="inlineStr">
        <is>
          <t>https://www.ayadamaldives.com/s/OttomanBevList-Eng_compressed.pdf</t>
        </is>
      </c>
      <c r="N54" t="inlineStr">
        <is>
          <t>https://www.ayadamaldives.com/s/OttomanBevList-Eng_compressed.pdf | https://www.ayadamaldives.com/s/Ottoman-Bev-List-Eng_compressed.pdf</t>
        </is>
      </c>
      <c r="O54" t="inlineStr">
        <is>
          <t>0509a538702e6003e43ce3a5cadd04b5a6041bd668038e6865491c1cff751345</t>
        </is>
      </c>
      <c r="P54" t="inlineStr">
        <is>
          <t>library/004_ayada-maldives/press_kit/2023_OttomanBevList-Eng_compressed.pdf</t>
        </is>
      </c>
      <c r="R54" t="inlineStr">
        <is>
          <t>outdated</t>
        </is>
      </c>
      <c r="S54" t="inlineStr">
        <is>
          <t>Y</t>
        </is>
      </c>
      <c r="T54" t="inlineStr">
        <is>
          <t>matched</t>
        </is>
      </c>
      <c r="U54" t="inlineStr">
        <is>
          <t>2026-10-04</t>
        </is>
      </c>
      <c r="V54" t="inlineStr"/>
    </row>
    <row r="55">
      <c r="A55" t="n">
        <v>4</v>
      </c>
      <c r="B55" t="inlineStr">
        <is>
          <t>Ayada Maldives</t>
        </is>
      </c>
      <c r="C55" t="inlineStr">
        <is>
          <t>other</t>
        </is>
      </c>
      <c r="D55" t="inlineStr">
        <is>
          <t>2024_Jet-Car-Russian.pdf</t>
        </is>
      </c>
      <c r="E55" t="n">
        <v>2024</v>
      </c>
      <c r="H55" t="n">
        <v>1</v>
      </c>
      <c r="I55" t="n">
        <v>1903</v>
      </c>
      <c r="J55" t="inlineStr">
        <is>
          <t>Y</t>
        </is>
      </c>
      <c r="K55" t="inlineStr">
        <is>
          <t>ayadamaldives.com</t>
        </is>
      </c>
      <c r="L55" t="inlineStr">
        <is>
          <t>official</t>
        </is>
      </c>
      <c r="M55" t="inlineStr">
        <is>
          <t>https://www.ayadamaldives.com/s/Jet-Car-Russian.pdf</t>
        </is>
      </c>
      <c r="N55" t="inlineStr">
        <is>
          <t>https://www.ayadamaldives.com/s/Jet-Car-Russian.pdf</t>
        </is>
      </c>
      <c r="O55" t="inlineStr">
        <is>
          <t>aefc0aa8f91be2517c276bc4659c932706511fd0897171e11cb65a49152b8167</t>
        </is>
      </c>
      <c r="P55" t="inlineStr">
        <is>
          <t>library/004_ayada-maldives/other/2024_Jet-Car-Russian.pdf</t>
        </is>
      </c>
      <c r="R55" t="inlineStr">
        <is>
          <t>outdated</t>
        </is>
      </c>
      <c r="S55" t="inlineStr">
        <is>
          <t>Y</t>
        </is>
      </c>
      <c r="T55" t="inlineStr">
        <is>
          <t>matched</t>
        </is>
      </c>
      <c r="U55" t="inlineStr">
        <is>
          <t>2026-10-04</t>
        </is>
      </c>
      <c r="V55" t="inlineStr"/>
    </row>
    <row r="56">
      <c r="A56" t="n">
        <v>5</v>
      </c>
      <c r="B56" t="inlineStr">
        <is>
          <t>Bolifushi Island Resort</t>
        </is>
      </c>
      <c r="C56" t="inlineStr">
        <is>
          <t>factsheet</t>
        </is>
      </c>
      <c r="D56" t="inlineStr">
        <is>
          <t>2023_OZEN-RESERVE-BOLIFUSHI-Fact-Sheet.pdf</t>
        </is>
      </c>
      <c r="E56" t="n">
        <v>2023</v>
      </c>
      <c r="H56" t="n">
        <v>16</v>
      </c>
      <c r="I56" t="n">
        <v>3164</v>
      </c>
      <c r="J56" t="inlineStr">
        <is>
          <t>Y</t>
        </is>
      </c>
      <c r="K56" t="inlineStr">
        <is>
          <t>neoscapesmaldives.com</t>
        </is>
      </c>
      <c r="L56" t="inlineStr">
        <is>
          <t>dmc-agency</t>
        </is>
      </c>
      <c r="M56" t="inlineStr">
        <is>
          <t>https://www.neoscapesmaldives.com/wp-content/uploads/OZEN-RESERVE-BOLIFUSHI-Fact-Sheet.pdf</t>
        </is>
      </c>
      <c r="N56" t="inlineStr">
        <is>
          <t>https://www.neoscapesmaldives.com/wp-content/uploads/OZEN-RESERVE-BOLIFUSHI-Fact-Sheet.pdf</t>
        </is>
      </c>
      <c r="O56" t="inlineStr">
        <is>
          <t>7ed1921719e7da56c5cbd60a08b4d7caaa3c7c7d8e4ddfe5d9f707be2f6e5c18</t>
        </is>
      </c>
      <c r="P56" t="inlineStr">
        <is>
          <t>library/005_bolifushi-island-resort/factsheet/2023_OZEN-RESERVE-BOLIFUSHI-Fact-Sheet.pdf</t>
        </is>
      </c>
      <c r="R56" t="inlineStr">
        <is>
          <t>outdated</t>
        </is>
      </c>
      <c r="S56" t="inlineStr">
        <is>
          <t>Y</t>
        </is>
      </c>
      <c r="T56" t="inlineStr">
        <is>
          <t>matched</t>
        </is>
      </c>
      <c r="U56" t="inlineStr">
        <is>
          <t>2026-10-04</t>
        </is>
      </c>
      <c r="V56" t="inlineStr"/>
    </row>
    <row r="57">
      <c r="A57" t="n">
        <v>5</v>
      </c>
      <c r="B57" t="inlineStr">
        <is>
          <t>Bolifushi Island Resort</t>
        </is>
      </c>
      <c r="C57" t="inlineStr">
        <is>
          <t>map</t>
        </is>
      </c>
      <c r="D57" t="inlineStr">
        <is>
          <t>2023_OZEN-RESERVE-BOLIFUSHI-Resort-Map-1.pdf</t>
        </is>
      </c>
      <c r="E57" t="n">
        <v>2023</v>
      </c>
      <c r="H57" t="n">
        <v>1</v>
      </c>
      <c r="I57" t="n">
        <v>289</v>
      </c>
      <c r="J57" t="inlineStr">
        <is>
          <t>Y</t>
        </is>
      </c>
      <c r="K57" t="inlineStr">
        <is>
          <t>neoscapesmaldives.com</t>
        </is>
      </c>
      <c r="L57" t="inlineStr">
        <is>
          <t>dmc-agency</t>
        </is>
      </c>
      <c r="M57" t="inlineStr">
        <is>
          <t>https://www.neoscapesmaldives.com/wp-content/uploads/OZEN-RESERVE-BOLIFUSHI-Resort-Map-1.pdf</t>
        </is>
      </c>
      <c r="N57" t="inlineStr">
        <is>
          <t>https://www.neoscapesmaldives.com/wp-content/uploads/OZEN-RESERVE-BOLIFUSHI-Resort-Map-1.pdf</t>
        </is>
      </c>
      <c r="O57" t="inlineStr">
        <is>
          <t>2dbf84410d5c1fcd345ba54a1a8db59029d55fba891f362311f8f475b03f3ef6</t>
        </is>
      </c>
      <c r="P57" t="inlineStr">
        <is>
          <t>library/005_bolifushi-island-resort/map/2023_OZEN-RESERVE-BOLIFUSHI-Resort-Map-1.pdf</t>
        </is>
      </c>
      <c r="R57" t="inlineStr">
        <is>
          <t>outdated</t>
        </is>
      </c>
      <c r="S57" t="inlineStr">
        <is>
          <t>Y</t>
        </is>
      </c>
      <c r="T57" t="inlineStr">
        <is>
          <t>matched</t>
        </is>
      </c>
      <c r="U57" t="inlineStr">
        <is>
          <t>2026-10-04</t>
        </is>
      </c>
      <c r="V57" t="inlineStr"/>
    </row>
    <row r="58">
      <c r="A58" t="n">
        <v>6</v>
      </c>
      <c r="B58" t="inlineStr">
        <is>
          <t>Joali Being Bodufushi</t>
        </is>
      </c>
      <c r="C58" t="inlineStr">
        <is>
          <t>factsheet</t>
        </is>
      </c>
      <c r="D58" t="inlineStr">
        <is>
          <t>2025_JoaliBeing_Factsheet_V13.pdf</t>
        </is>
      </c>
      <c r="E58" t="n">
        <v>2025</v>
      </c>
      <c r="H58" t="n">
        <v>6</v>
      </c>
      <c r="I58" t="n">
        <v>9076</v>
      </c>
      <c r="J58" t="inlineStr">
        <is>
          <t>Y</t>
        </is>
      </c>
      <c r="K58" t="inlineStr">
        <is>
          <t>neoscapesmaldives.com</t>
        </is>
      </c>
      <c r="L58" t="inlineStr">
        <is>
          <t>dmc-agency</t>
        </is>
      </c>
      <c r="M58" t="inlineStr">
        <is>
          <t>https://www.neoscapesmaldives.com/wp-content/uploads/JoaliBeing_Factsheet_V13.pdf</t>
        </is>
      </c>
      <c r="N58" t="inlineStr">
        <is>
          <t>https://www.neoscapesmaldives.com/wp-content/uploads/JoaliBeing_Factsheet_V13.pdf</t>
        </is>
      </c>
      <c r="O58" t="inlineStr">
        <is>
          <t>9ad07a852c3410a087dd9af50cffcddaa1341e032690482fb80ead824656d515</t>
        </is>
      </c>
      <c r="P58" t="inlineStr">
        <is>
          <t>library/006_joali-being-bodufushi/factsheet/2025_JoaliBeing_Factsheet_V13.pdf</t>
        </is>
      </c>
      <c r="R58" t="inlineStr">
        <is>
          <t>current</t>
        </is>
      </c>
      <c r="S58" t="inlineStr">
        <is>
          <t>Y</t>
        </is>
      </c>
      <c r="T58" t="inlineStr">
        <is>
          <t>matched</t>
        </is>
      </c>
      <c r="U58" t="inlineStr">
        <is>
          <t>2026-10-04</t>
        </is>
      </c>
      <c r="V58" t="inlineStr"/>
    </row>
    <row r="59">
      <c r="A59" t="n">
        <v>6</v>
      </c>
      <c r="B59" t="inlineStr">
        <is>
          <t>Joali Being Bodufushi</t>
        </is>
      </c>
      <c r="C59" t="inlineStr">
        <is>
          <t>map</t>
        </is>
      </c>
      <c r="D59" t="inlineStr">
        <is>
          <t>2024_Map_25x30_V3.pdf</t>
        </is>
      </c>
      <c r="E59" t="n">
        <v>2024</v>
      </c>
      <c r="H59" t="n">
        <v>2</v>
      </c>
      <c r="I59" t="n">
        <v>7549</v>
      </c>
      <c r="J59" t="inlineStr">
        <is>
          <t>Y</t>
        </is>
      </c>
      <c r="K59" t="inlineStr">
        <is>
          <t>neoscapesmaldives.com</t>
        </is>
      </c>
      <c r="L59" t="inlineStr">
        <is>
          <t>dmc-agency</t>
        </is>
      </c>
      <c r="M59" t="inlineStr">
        <is>
          <t>https://www.neoscapesmaldives.com/wp-content/uploads/Map_25x30_V3.pdf</t>
        </is>
      </c>
      <c r="N59" t="inlineStr">
        <is>
          <t>https://www.neoscapesmaldives.com/wp-content/uploads/Map_25x30_V3.pdf</t>
        </is>
      </c>
      <c r="O59" t="inlineStr">
        <is>
          <t>44d13728557e1bd7adf711a79098f565301e93d297f5e61dbfcfc6f8af309e51</t>
        </is>
      </c>
      <c r="P59" t="inlineStr">
        <is>
          <t>library/006_joali-being-bodufushi/map/2024_Map_25x30_V3.pdf</t>
        </is>
      </c>
      <c r="R59" t="inlineStr">
        <is>
          <t>outdated</t>
        </is>
      </c>
      <c r="S59" t="inlineStr">
        <is>
          <t>Y</t>
        </is>
      </c>
      <c r="T59" t="inlineStr">
        <is>
          <t>needs-review</t>
        </is>
      </c>
      <c r="U59" t="inlineStr">
        <is>
          <t>2026-10-04</t>
        </is>
      </c>
      <c r="V59" t="inlineStr">
        <is>
          <t>ambiguous match [6]</t>
        </is>
      </c>
    </row>
    <row r="60">
      <c r="A60" t="n">
        <v>7</v>
      </c>
      <c r="B60" t="inlineStr">
        <is>
          <t>Joali Muravandhoo</t>
        </is>
      </c>
      <c r="C60" t="inlineStr">
        <is>
          <t>factsheet</t>
        </is>
      </c>
      <c r="D60" t="inlineStr">
        <is>
          <t>2023_JOALI-Maldives-Factsheet.pdf</t>
        </is>
      </c>
      <c r="E60" t="n">
        <v>2023</v>
      </c>
      <c r="H60" t="n">
        <v>4</v>
      </c>
      <c r="I60" t="n">
        <v>1549</v>
      </c>
      <c r="J60" t="inlineStr">
        <is>
          <t>Y</t>
        </is>
      </c>
      <c r="K60" t="inlineStr">
        <is>
          <t>neoscapesmaldives.com</t>
        </is>
      </c>
      <c r="L60" t="inlineStr">
        <is>
          <t>dmc-agency</t>
        </is>
      </c>
      <c r="M60" t="inlineStr">
        <is>
          <t>https://www.neoscapesmaldives.com/wp-content/uploads/JOALI-Maldives-Factsheet.pdf</t>
        </is>
      </c>
      <c r="N60" t="inlineStr">
        <is>
          <t>https://www.neoscapesmaldives.com/wp-content/uploads/JOALI-Maldives-Factsheet.pdf</t>
        </is>
      </c>
      <c r="O60" t="inlineStr">
        <is>
          <t>6bae9d01e36b8840ecdec117eb478c8c9420eb0389239e53aeec1022b734028d</t>
        </is>
      </c>
      <c r="P60" t="inlineStr">
        <is>
          <t>library/007_joali-muravandhoo/factsheet/2023_JOALI-Maldives-Factsheet.pdf</t>
        </is>
      </c>
      <c r="R60" t="inlineStr">
        <is>
          <t>outdated</t>
        </is>
      </c>
      <c r="S60" t="inlineStr">
        <is>
          <t>Y</t>
        </is>
      </c>
      <c r="T60" t="inlineStr">
        <is>
          <t>matched</t>
        </is>
      </c>
      <c r="U60" t="inlineStr">
        <is>
          <t>2026-10-04</t>
        </is>
      </c>
      <c r="V60" t="inlineStr"/>
    </row>
    <row r="61">
      <c r="A61" t="n">
        <v>7</v>
      </c>
      <c r="B61" t="inlineStr">
        <is>
          <t>Joali Muravandhoo</t>
        </is>
      </c>
      <c r="C61" t="inlineStr">
        <is>
          <t>map</t>
        </is>
      </c>
      <c r="D61" t="inlineStr">
        <is>
          <t>2023_JOALI-Maldives-Island-Map.pdf</t>
        </is>
      </c>
      <c r="E61" t="n">
        <v>2023</v>
      </c>
      <c r="H61" t="n">
        <v>2</v>
      </c>
      <c r="I61" t="n">
        <v>2717</v>
      </c>
      <c r="J61" t="inlineStr">
        <is>
          <t>N</t>
        </is>
      </c>
      <c r="K61" t="inlineStr">
        <is>
          <t>neoscapesmaldives.com</t>
        </is>
      </c>
      <c r="L61" t="inlineStr">
        <is>
          <t>dmc-agency</t>
        </is>
      </c>
      <c r="M61" t="inlineStr">
        <is>
          <t>https://www.neoscapesmaldives.com/wp-content/uploads/JOALI-Maldives-Island-Map.pdf</t>
        </is>
      </c>
      <c r="N61" t="inlineStr">
        <is>
          <t>https://www.neoscapesmaldives.com/wp-content/uploads/JOALI-Maldives-Island-Map.pdf</t>
        </is>
      </c>
      <c r="O61" t="inlineStr">
        <is>
          <t>3510c6fa7c7effb2c089f422de3f188b7a6fd8effe0a3b37cd057cd784d18a0f</t>
        </is>
      </c>
      <c r="P61" t="inlineStr">
        <is>
          <t>library/007_joali-muravandhoo/map/2023_JOALI-Maldives-Island-Map.pdf</t>
        </is>
      </c>
      <c r="R61" t="inlineStr">
        <is>
          <t>outdated</t>
        </is>
      </c>
      <c r="S61" t="inlineStr">
        <is>
          <t>Y</t>
        </is>
      </c>
      <c r="T61" t="inlineStr">
        <is>
          <t>matched</t>
        </is>
      </c>
      <c r="U61" t="inlineStr">
        <is>
          <t>2026-10-04</t>
        </is>
      </c>
      <c r="V61" t="inlineStr"/>
    </row>
    <row r="62">
      <c r="A62" t="n">
        <v>7</v>
      </c>
      <c r="B62" t="inlineStr">
        <is>
          <t>Joali Muravandhoo</t>
        </is>
      </c>
      <c r="C62" t="inlineStr">
        <is>
          <t>villa_plans</t>
        </is>
      </c>
      <c r="D62" t="inlineStr">
        <is>
          <t>2026_Joali-Maldives.pdf</t>
        </is>
      </c>
      <c r="E62" t="n">
        <v>2026</v>
      </c>
      <c r="H62" t="n">
        <v>8</v>
      </c>
      <c r="I62" t="n">
        <v>5371</v>
      </c>
      <c r="J62" t="inlineStr">
        <is>
          <t>Y</t>
        </is>
      </c>
      <c r="K62" t="inlineStr">
        <is>
          <t>awesomegetawaymaldives.com</t>
        </is>
      </c>
      <c r="L62" t="inlineStr">
        <is>
          <t>dmc-agency</t>
        </is>
      </c>
      <c r="M62" t="inlineStr">
        <is>
          <t>https://awesomegetawaymaldives.com/wp-content/uploads/2026/03/Joali-Maldives.pdf</t>
        </is>
      </c>
      <c r="N62" t="inlineStr">
        <is>
          <t>https://awesomegetawaymaldives.com/wp-content/uploads/2026/03/Joali-Maldives.pdf | https://awesomegetawaymaldives.com/wp-content/uploads/2026/03/joali-factsheet.pdf</t>
        </is>
      </c>
      <c r="O62" t="inlineStr">
        <is>
          <t>fb90b5a3f1c9362b2f5250893a034dcea2af5eeabe75e724fe646e0b74d55f41</t>
        </is>
      </c>
      <c r="P62" t="inlineStr">
        <is>
          <t>library/007_joali-muravandhoo/villa_plans/2026_Joali-Maldives.pdf</t>
        </is>
      </c>
      <c r="R62" t="inlineStr">
        <is>
          <t>current</t>
        </is>
      </c>
      <c r="S62" t="inlineStr">
        <is>
          <t>Y</t>
        </is>
      </c>
      <c r="T62" t="inlineStr">
        <is>
          <t>matched</t>
        </is>
      </c>
      <c r="U62" t="inlineStr">
        <is>
          <t>2026-10-04</t>
        </is>
      </c>
      <c r="V62" t="inlineStr"/>
    </row>
    <row r="63">
      <c r="A63" t="n">
        <v>7</v>
      </c>
      <c r="B63" t="inlineStr">
        <is>
          <t>Joali Muravandhoo</t>
        </is>
      </c>
      <c r="C63" t="inlineStr">
        <is>
          <t>sustainability</t>
        </is>
      </c>
      <c r="D63" t="inlineStr">
        <is>
          <t>2026_so_sotogrande_press-release_green-key_ES.pdf</t>
        </is>
      </c>
      <c r="E63" t="n">
        <v>2026</v>
      </c>
      <c r="H63" t="n">
        <v>3</v>
      </c>
      <c r="I63" t="n">
        <v>753</v>
      </c>
      <c r="J63" t="inlineStr">
        <is>
          <t>Y</t>
        </is>
      </c>
      <c r="K63" t="inlineStr">
        <is>
          <t>so-hotels.com</t>
        </is>
      </c>
      <c r="L63" t="inlineStr">
        <is>
          <t>official</t>
        </is>
      </c>
      <c r="M63" t="inlineStr">
        <is>
          <t>https://so-hotels.com/wp-content/uploads/sites/19/2026/01/so_sotogrande_press-release_green-key_ES.pdf</t>
        </is>
      </c>
      <c r="N63" t="inlineStr">
        <is>
          <t>https://so-hotels.com/wp-content/uploads/sites/19/2026/01/so_sotogrande_press-release_green-key_ES.pdf</t>
        </is>
      </c>
      <c r="O63" t="inlineStr">
        <is>
          <t>9b506f6f364cfbdeb8e595905b7a296c9bdd9a13d28003ac14a08d84c89d66bb</t>
        </is>
      </c>
      <c r="P63" t="inlineStr">
        <is>
          <t>library/007_joali-muravandhoo/sustainability/2026_so_sotogrande_press-release_green-key_ES.pdf</t>
        </is>
      </c>
      <c r="R63" t="inlineStr">
        <is>
          <t>current</t>
        </is>
      </c>
      <c r="S63" t="inlineStr">
        <is>
          <t>Y</t>
        </is>
      </c>
      <c r="T63" t="inlineStr">
        <is>
          <t>matched</t>
        </is>
      </c>
      <c r="U63" t="inlineStr">
        <is>
          <t>2026-10-04</t>
        </is>
      </c>
      <c r="V63" t="inlineStr"/>
    </row>
    <row r="64">
      <c r="A64" t="n">
        <v>7</v>
      </c>
      <c r="B64" t="inlineStr">
        <is>
          <t>Joali Muravandhoo</t>
        </is>
      </c>
      <c r="C64" t="inlineStr">
        <is>
          <t>brochure</t>
        </is>
      </c>
      <c r="D64" t="inlineStr">
        <is>
          <t>2026_Joali-Eid-Al-Fitr-Digital-Flyer_V2-002-1.pdf</t>
        </is>
      </c>
      <c r="E64" t="n">
        <v>2026</v>
      </c>
      <c r="H64" t="n">
        <v>1</v>
      </c>
      <c r="I64" t="n">
        <v>5154</v>
      </c>
      <c r="J64" t="inlineStr">
        <is>
          <t>Y</t>
        </is>
      </c>
      <c r="K64" t="inlineStr">
        <is>
          <t>letsgomaldives.com</t>
        </is>
      </c>
      <c r="L64" t="inlineStr">
        <is>
          <t>dmc-agency</t>
        </is>
      </c>
      <c r="M64" t="inlineStr">
        <is>
          <t>https://letsgomaldives.com/wp-content/uploads/2026/03/Joali-Eid-Al-Fitr-Digital-Flyer_V2-002-1.pdf</t>
        </is>
      </c>
      <c r="N64" t="inlineStr">
        <is>
          <t>https://letsgomaldives.com/wp-content/uploads/2026/03/Joali-Eid-Al-Fitr-Digital-Flyer_V2-002-1.pdf</t>
        </is>
      </c>
      <c r="O64" t="inlineStr">
        <is>
          <t>d472420236e62656e0c44572aac50b84217d954c951d7b82e455b7607a62d87d</t>
        </is>
      </c>
      <c r="P64" t="inlineStr">
        <is>
          <t>library/007_joali-muravandhoo/brochure/2026_Joali-Eid-Al-Fitr-Digital-Flyer_V2-002-1.pdf</t>
        </is>
      </c>
      <c r="R64" t="inlineStr">
        <is>
          <t>current</t>
        </is>
      </c>
      <c r="S64" t="inlineStr">
        <is>
          <t>Y</t>
        </is>
      </c>
      <c r="T64" t="inlineStr">
        <is>
          <t>matched</t>
        </is>
      </c>
      <c r="U64" t="inlineStr">
        <is>
          <t>2026-10-04</t>
        </is>
      </c>
      <c r="V64" t="inlineStr"/>
    </row>
    <row r="65">
      <c r="A65" t="n">
        <v>8</v>
      </c>
      <c r="B65" t="inlineStr">
        <is>
          <t>Hilton Maldives Amingiri Resort &amp; Spa</t>
        </is>
      </c>
      <c r="C65" t="inlineStr">
        <is>
          <t>factsheet</t>
        </is>
      </c>
      <c r="D65" t="inlineStr">
        <is>
          <t>2025_MLEAI_Factsheet-March-2025.pdf</t>
        </is>
      </c>
      <c r="E65" t="n">
        <v>2025</v>
      </c>
      <c r="H65" t="n">
        <v>2</v>
      </c>
      <c r="I65" t="n">
        <v>250</v>
      </c>
      <c r="J65" t="inlineStr">
        <is>
          <t>Y</t>
        </is>
      </c>
      <c r="K65" t="inlineStr">
        <is>
          <t>neoscapesmaldives.com</t>
        </is>
      </c>
      <c r="L65" t="inlineStr">
        <is>
          <t>dmc-agency</t>
        </is>
      </c>
      <c r="M65" t="inlineStr">
        <is>
          <t>https://www.neoscapesmaldives.com/wp-content/uploads/MLEAI_Factsheet-March-2025.pdf</t>
        </is>
      </c>
      <c r="N65" t="inlineStr">
        <is>
          <t>https://www.neoscapesmaldives.com/wp-content/uploads/MLEAI_Factsheet-March-2025.pdf</t>
        </is>
      </c>
      <c r="O65" t="inlineStr">
        <is>
          <t>51b24e8c0b5a444c26b336cca78a0fc740bbc207e6a34b0ba0491150fb079a55</t>
        </is>
      </c>
      <c r="P65" t="inlineStr">
        <is>
          <t>library/008_hilton-maldives-amingiri-resort-spa/factsheet/2025_MLEAI_Factsheet-March-2025.pdf</t>
        </is>
      </c>
      <c r="R65" t="inlineStr">
        <is>
          <t>current</t>
        </is>
      </c>
      <c r="S65" t="inlineStr">
        <is>
          <t>Y</t>
        </is>
      </c>
      <c r="T65" t="inlineStr">
        <is>
          <t>matched</t>
        </is>
      </c>
      <c r="U65" t="inlineStr">
        <is>
          <t>2026-10-04</t>
        </is>
      </c>
      <c r="V65" t="inlineStr"/>
    </row>
    <row r="66">
      <c r="A66" t="n">
        <v>8</v>
      </c>
      <c r="B66" t="inlineStr">
        <is>
          <t>Hilton Maldives Amingiri Resort &amp; Spa</t>
        </is>
      </c>
      <c r="C66" t="inlineStr">
        <is>
          <t>map</t>
        </is>
      </c>
      <c r="D66" t="inlineStr">
        <is>
          <t>2025_2025-Hilton-Maldives-Amingiri-Resort-_-Spa-Map.pdf</t>
        </is>
      </c>
      <c r="E66" t="n">
        <v>2025</v>
      </c>
      <c r="H66" t="n">
        <v>1</v>
      </c>
      <c r="I66" t="n">
        <v>622</v>
      </c>
      <c r="J66" t="inlineStr">
        <is>
          <t>N</t>
        </is>
      </c>
      <c r="K66" t="inlineStr">
        <is>
          <t>neoscapesmaldives.com</t>
        </is>
      </c>
      <c r="L66" t="inlineStr">
        <is>
          <t>dmc-agency</t>
        </is>
      </c>
      <c r="M66" t="inlineStr">
        <is>
          <t>https://www.neoscapesmaldives.com/wp-content/uploads/2025-Hilton-Maldives-Amingiri-Resort-_-Spa-Map.pdf</t>
        </is>
      </c>
      <c r="N66" t="inlineStr">
        <is>
          <t>https://www.neoscapesmaldives.com/wp-content/uploads/2025-Hilton-Maldives-Amingiri-Resort-_-Spa-Map.pdf</t>
        </is>
      </c>
      <c r="O66" t="inlineStr">
        <is>
          <t>4825c21a657592a7077412dd1beabaa7c1a0373f1160e7b8434c0c757b211393</t>
        </is>
      </c>
      <c r="P66" t="inlineStr">
        <is>
          <t>library/008_hilton-maldives-amingiri-resort-spa/map/2025_2025-Hilton-Maldives-Amingiri-Resort-_-Spa-Map.pdf</t>
        </is>
      </c>
      <c r="R66" t="inlineStr">
        <is>
          <t>current</t>
        </is>
      </c>
      <c r="S66" t="inlineStr">
        <is>
          <t>Y</t>
        </is>
      </c>
      <c r="T66" t="inlineStr">
        <is>
          <t>matched</t>
        </is>
      </c>
      <c r="U66" t="inlineStr">
        <is>
          <t>2026-10-04</t>
        </is>
      </c>
      <c r="V66" t="inlineStr"/>
    </row>
    <row r="67">
      <c r="A67" t="n">
        <v>8</v>
      </c>
      <c r="B67" t="inlineStr">
        <is>
          <t>Hilton Maldives Amingiri Resort &amp; Spa</t>
        </is>
      </c>
      <c r="C67" t="inlineStr">
        <is>
          <t>map</t>
        </is>
      </c>
      <c r="D67" t="inlineStr">
        <is>
          <t>2022_Hilton-Maldives-Amingiri-Resort-Spa-Map.pdf</t>
        </is>
      </c>
      <c r="E67" t="n">
        <v>2022</v>
      </c>
      <c r="H67" t="n">
        <v>1</v>
      </c>
      <c r="I67" t="n">
        <v>10101</v>
      </c>
      <c r="J67" t="inlineStr">
        <is>
          <t>Y</t>
        </is>
      </c>
      <c r="K67" t="inlineStr">
        <is>
          <t>letsgomaldives.com</t>
        </is>
      </c>
      <c r="L67" t="inlineStr">
        <is>
          <t>dmc-agency</t>
        </is>
      </c>
      <c r="M67" t="inlineStr">
        <is>
          <t>https://letsgomaldives.com/wp-content/uploads/2023/06/Hilton-Maldives-Amingiri-Resort-Spa-Map.pdf</t>
        </is>
      </c>
      <c r="N67" t="inlineStr">
        <is>
          <t>https://letsgomaldives.com/wp-content/uploads/2023/06/Hilton-Maldives-Amingiri-Resort-Spa-Map.pdf</t>
        </is>
      </c>
      <c r="O67" t="inlineStr">
        <is>
          <t>c0261d4e03d9c1028e7d997c3ccb58cf7c18282ca977000ced0162b972e6ac52</t>
        </is>
      </c>
      <c r="P67" t="inlineStr">
        <is>
          <t>library/008_hilton-maldives-amingiri-resort-spa/map/2022_Hilton-Maldives-Amingiri-Resort-Spa-Map.pdf</t>
        </is>
      </c>
      <c r="R67" t="inlineStr">
        <is>
          <t>outdated</t>
        </is>
      </c>
      <c r="S67" t="inlineStr">
        <is>
          <t>N</t>
        </is>
      </c>
      <c r="T67" t="inlineStr">
        <is>
          <t>matched</t>
        </is>
      </c>
      <c r="U67" t="inlineStr">
        <is>
          <t>2026-10-04</t>
        </is>
      </c>
      <c r="V67" t="inlineStr"/>
    </row>
    <row r="68">
      <c r="A68" t="n">
        <v>9</v>
      </c>
      <c r="B68" t="inlineStr">
        <is>
          <t>Amilla Fushi</t>
        </is>
      </c>
      <c r="C68" t="inlineStr">
        <is>
          <t>factsheet</t>
        </is>
      </c>
      <c r="D68" t="inlineStr">
        <is>
          <t>2026_Amilla-Maldives_Fact-Sheet_2026.pdf</t>
        </is>
      </c>
      <c r="E68" t="n">
        <v>2026</v>
      </c>
      <c r="H68" t="n">
        <v>10</v>
      </c>
      <c r="I68" t="n">
        <v>26830</v>
      </c>
      <c r="J68" t="inlineStr">
        <is>
          <t>Y</t>
        </is>
      </c>
      <c r="K68" t="inlineStr">
        <is>
          <t>amilla.com</t>
        </is>
      </c>
      <c r="L68" t="inlineStr">
        <is>
          <t>official</t>
        </is>
      </c>
      <c r="M68" t="inlineStr">
        <is>
          <t>https://amilla.com/wp-content/uploads/Amilla-Maldives_Fact-Sheet_2026.pdf</t>
        </is>
      </c>
      <c r="N68" t="inlineStr">
        <is>
          <t>https://amilla.com/wp-content/uploads/Amilla-Maldives_Fact-Sheet_2026.pdf</t>
        </is>
      </c>
      <c r="O68" t="inlineStr">
        <is>
          <t>55c3d64c2e4bd1a4b767e8b0bc371ce254898ff8a114450cce3bc0f9307dd3be</t>
        </is>
      </c>
      <c r="P68" t="inlineStr">
        <is>
          <t>library/009_amilla-fushi/factsheet/2026_Amilla-Maldives_Fact-Sheet_2026.pdf</t>
        </is>
      </c>
      <c r="R68" t="inlineStr">
        <is>
          <t>current</t>
        </is>
      </c>
      <c r="S68" t="inlineStr">
        <is>
          <t>Y</t>
        </is>
      </c>
      <c r="T68" t="inlineStr">
        <is>
          <t>matched</t>
        </is>
      </c>
      <c r="U68" t="inlineStr">
        <is>
          <t>2026-10-04</t>
        </is>
      </c>
      <c r="V68" t="inlineStr"/>
    </row>
    <row r="69">
      <c r="A69" t="n">
        <v>9</v>
      </c>
      <c r="B69" t="inlineStr">
        <is>
          <t>Amilla Fushi</t>
        </is>
      </c>
      <c r="C69" t="inlineStr">
        <is>
          <t>factsheet</t>
        </is>
      </c>
      <c r="D69" t="inlineStr">
        <is>
          <t>2023_Amilla-Maldives-Resort-Residences-Fact-Sheet.pdf</t>
        </is>
      </c>
      <c r="E69" t="n">
        <v>2023</v>
      </c>
      <c r="H69" t="n">
        <v>6</v>
      </c>
      <c r="I69" t="n">
        <v>21584</v>
      </c>
      <c r="J69" t="inlineStr">
        <is>
          <t>Y</t>
        </is>
      </c>
      <c r="K69" t="inlineStr">
        <is>
          <t>amilla.com</t>
        </is>
      </c>
      <c r="L69" t="inlineStr">
        <is>
          <t>official</t>
        </is>
      </c>
      <c r="M69" t="inlineStr">
        <is>
          <t>https://amilla.com/wp-content/uploads/2023/05/Amilla-Maldives-Resort-Residences-Fact-Sheet.pdf</t>
        </is>
      </c>
      <c r="N69" t="inlineStr">
        <is>
          <t>https://amilla.com/wp-content/uploads/2023/05/Amilla-Maldives-Resort-Residences-Fact-Sheet.pdf</t>
        </is>
      </c>
      <c r="O69" t="inlineStr">
        <is>
          <t>9a5a8207ac7acf1a8f114401cd9fcc960981b3a8a7378f009a59fa514e02be1b</t>
        </is>
      </c>
      <c r="P69" t="inlineStr">
        <is>
          <t>library/009_amilla-fushi/factsheet/2023_Amilla-Maldives-Resort-Residences-Fact-Sheet.pdf</t>
        </is>
      </c>
      <c r="R69" t="inlineStr">
        <is>
          <t>outdated</t>
        </is>
      </c>
      <c r="S69" t="inlineStr">
        <is>
          <t>N</t>
        </is>
      </c>
      <c r="T69" t="inlineStr">
        <is>
          <t>matched</t>
        </is>
      </c>
      <c r="U69" t="inlineStr">
        <is>
          <t>2026-10-04</t>
        </is>
      </c>
      <c r="V69" t="inlineStr"/>
    </row>
    <row r="70">
      <c r="A70" t="n">
        <v>9</v>
      </c>
      <c r="B70" t="inlineStr">
        <is>
          <t>Amilla Fushi</t>
        </is>
      </c>
      <c r="C70" t="inlineStr">
        <is>
          <t>factsheet</t>
        </is>
      </c>
      <c r="D70" t="inlineStr">
        <is>
          <t>2021_Amilla-Maldives-Resort-and-Residences_Villas_Fact_Sheet.pdf</t>
        </is>
      </c>
      <c r="E70" t="n">
        <v>2021</v>
      </c>
      <c r="H70" t="n">
        <v>6</v>
      </c>
      <c r="I70" t="n">
        <v>1370</v>
      </c>
      <c r="J70" t="inlineStr">
        <is>
          <t>Y</t>
        </is>
      </c>
      <c r="K70" t="inlineStr">
        <is>
          <t>letsgomaldives.com</t>
        </is>
      </c>
      <c r="L70" t="inlineStr">
        <is>
          <t>dmc-agency</t>
        </is>
      </c>
      <c r="M70" t="inlineStr">
        <is>
          <t>https://letsgomaldives.com/wp-content/uploads/2017/07/Amilla-Maldives-Resort-and-Residences_Villas_Fact_Sheet.pdf</t>
        </is>
      </c>
      <c r="N70" t="inlineStr">
        <is>
          <t>https://letsgomaldives.com/wp-content/uploads/2017/07/Amilla-Maldives-Resort-and-Residences_Villas_Fact_Sheet.pdf</t>
        </is>
      </c>
      <c r="O70" t="inlineStr">
        <is>
          <t>15eb1f174d8f4699b70a8fcdc9e7c3ba69d14db397c26430c0a07fee5fe08822</t>
        </is>
      </c>
      <c r="P70" t="inlineStr">
        <is>
          <t>library/009_amilla-fushi/factsheet/2021_Amilla-Maldives-Resort-and-Residences_Villas_Fact_Sheet.pdf</t>
        </is>
      </c>
      <c r="R70" t="inlineStr">
        <is>
          <t>outdated</t>
        </is>
      </c>
      <c r="S70" t="inlineStr">
        <is>
          <t>N</t>
        </is>
      </c>
      <c r="T70" t="inlineStr">
        <is>
          <t>matched</t>
        </is>
      </c>
      <c r="U70" t="inlineStr">
        <is>
          <t>2026-10-04</t>
        </is>
      </c>
      <c r="V70" t="inlineStr"/>
    </row>
    <row r="71">
      <c r="A71" t="n">
        <v>9</v>
      </c>
      <c r="B71" t="inlineStr">
        <is>
          <t>Amilla Fushi</t>
        </is>
      </c>
      <c r="C71" t="inlineStr">
        <is>
          <t>wedding</t>
        </is>
      </c>
      <c r="D71" t="inlineStr">
        <is>
          <t>2024_Football-Camp-with-Mikael-Silvestre.pdf</t>
        </is>
      </c>
      <c r="E71" t="n">
        <v>2024</v>
      </c>
      <c r="H71" t="n">
        <v>1</v>
      </c>
      <c r="I71" t="n">
        <v>410</v>
      </c>
      <c r="J71" t="inlineStr">
        <is>
          <t>Y</t>
        </is>
      </c>
      <c r="K71" t="inlineStr">
        <is>
          <t>amilla.com</t>
        </is>
      </c>
      <c r="L71" t="inlineStr">
        <is>
          <t>official</t>
        </is>
      </c>
      <c r="M71" t="inlineStr">
        <is>
          <t>https://amilla.com/wp-content/uploads/Football-Camp-with-Mikael-Silvestre.pdf</t>
        </is>
      </c>
      <c r="N71" t="inlineStr">
        <is>
          <t>https://amilla.com/wp-content/uploads/Football-Camp-with-Mikael-Silvestre.pdf</t>
        </is>
      </c>
      <c r="O71" t="inlineStr">
        <is>
          <t>d294a688db2c5eba9a9f2df90f75a268d9b1c44b451140c90bc2a388dc1f3ce4</t>
        </is>
      </c>
      <c r="P71" t="inlineStr">
        <is>
          <t>library/009_amilla-fushi/wedding/2024_Football-Camp-with-Mikael-Silvestre.pdf</t>
        </is>
      </c>
      <c r="R71" t="inlineStr">
        <is>
          <t>outdated</t>
        </is>
      </c>
      <c r="S71" t="inlineStr">
        <is>
          <t>Y</t>
        </is>
      </c>
      <c r="T71" t="inlineStr">
        <is>
          <t>matched</t>
        </is>
      </c>
      <c r="U71" t="inlineStr">
        <is>
          <t>2026-10-04</t>
        </is>
      </c>
      <c r="V71" t="inlineStr"/>
    </row>
    <row r="72">
      <c r="A72" t="n">
        <v>9</v>
      </c>
      <c r="B72" t="inlineStr">
        <is>
          <t>Amilla Fushi</t>
        </is>
      </c>
      <c r="C72" t="inlineStr">
        <is>
          <t>wedding</t>
        </is>
      </c>
      <c r="D72" t="inlineStr">
        <is>
          <t>2024_Football-camp-with-Teddy-Sheringham-2024.pdf</t>
        </is>
      </c>
      <c r="E72" t="n">
        <v>2024</v>
      </c>
      <c r="H72" t="n">
        <v>1</v>
      </c>
      <c r="I72" t="n">
        <v>274</v>
      </c>
      <c r="J72" t="inlineStr">
        <is>
          <t>Y</t>
        </is>
      </c>
      <c r="K72" t="inlineStr">
        <is>
          <t>amilla.com</t>
        </is>
      </c>
      <c r="L72" t="inlineStr">
        <is>
          <t>official</t>
        </is>
      </c>
      <c r="M72" t="inlineStr">
        <is>
          <t>https://amilla.com/wp-content/uploads/Football-camp-with-Teddy-Sheringham-2024.pdf</t>
        </is>
      </c>
      <c r="N72" t="inlineStr">
        <is>
          <t>https://amilla.com/wp-content/uploads/Football-camp-with-Teddy-Sheringham-2024.pdf</t>
        </is>
      </c>
      <c r="O72" t="inlineStr">
        <is>
          <t>31bc94cf68093d6626384afbfd2e46689db77b8f82c2f33175be467469e3964d</t>
        </is>
      </c>
      <c r="P72" t="inlineStr">
        <is>
          <t>library/009_amilla-fushi/wedding/2024_Football-camp-with-Teddy-Sheringham-2024.pdf</t>
        </is>
      </c>
      <c r="R72" t="inlineStr">
        <is>
          <t>outdated</t>
        </is>
      </c>
      <c r="S72" t="inlineStr">
        <is>
          <t>N</t>
        </is>
      </c>
      <c r="T72" t="inlineStr">
        <is>
          <t>matched</t>
        </is>
      </c>
      <c r="U72" t="inlineStr">
        <is>
          <t>2026-10-04</t>
        </is>
      </c>
      <c r="V72" t="inlineStr"/>
    </row>
    <row r="73">
      <c r="A73" t="n">
        <v>9</v>
      </c>
      <c r="B73" t="inlineStr">
        <is>
          <t>Amilla Fushi</t>
        </is>
      </c>
      <c r="C73" t="inlineStr">
        <is>
          <t>map</t>
        </is>
      </c>
      <c r="D73" t="inlineStr">
        <is>
          <t>2024_Resort-Map-2024_Updated_LR.pdf</t>
        </is>
      </c>
      <c r="E73" t="n">
        <v>2024</v>
      </c>
      <c r="H73" t="n">
        <v>1</v>
      </c>
      <c r="I73" t="n">
        <v>1232</v>
      </c>
      <c r="J73" t="inlineStr">
        <is>
          <t>Y</t>
        </is>
      </c>
      <c r="K73" t="inlineStr">
        <is>
          <t>amilla.com</t>
        </is>
      </c>
      <c r="L73" t="inlineStr">
        <is>
          <t>official</t>
        </is>
      </c>
      <c r="M73" t="inlineStr">
        <is>
          <t>https://amilla.com/wp-content/uploads/2023/04/Resort-Map-2024_Updated_LR.pdf</t>
        </is>
      </c>
      <c r="N73" t="inlineStr">
        <is>
          <t>https://amilla.com/wp-content/uploads/2023/04/Resort-Map-2024_Updated_LR.pdf</t>
        </is>
      </c>
      <c r="O73" t="inlineStr">
        <is>
          <t>c6126df98b7665fd3ad9a243e7d4cce80c0d5d6f25c918e04cb5d9e5a4de315e</t>
        </is>
      </c>
      <c r="P73" t="inlineStr">
        <is>
          <t>library/009_amilla-fushi/map/2024_Resort-Map-2024_Updated_LR.pdf</t>
        </is>
      </c>
      <c r="R73" t="inlineStr">
        <is>
          <t>outdated</t>
        </is>
      </c>
      <c r="S73" t="inlineStr">
        <is>
          <t>Y</t>
        </is>
      </c>
      <c r="T73" t="inlineStr">
        <is>
          <t>matched</t>
        </is>
      </c>
      <c r="U73" t="inlineStr">
        <is>
          <t>2026-10-04</t>
        </is>
      </c>
      <c r="V73" t="inlineStr"/>
    </row>
    <row r="74">
      <c r="A74" t="n">
        <v>9</v>
      </c>
      <c r="B74" t="inlineStr">
        <is>
          <t>Amilla Fushi</t>
        </is>
      </c>
      <c r="C74" t="inlineStr">
        <is>
          <t>map</t>
        </is>
      </c>
      <c r="D74" t="inlineStr">
        <is>
          <t>2019_Amilla-Resort-Map.pdf</t>
        </is>
      </c>
      <c r="E74" t="n">
        <v>2019</v>
      </c>
      <c r="H74" t="n">
        <v>1</v>
      </c>
      <c r="I74" t="n">
        <v>3237</v>
      </c>
      <c r="J74" t="inlineStr">
        <is>
          <t>N</t>
        </is>
      </c>
      <c r="K74" t="inlineStr">
        <is>
          <t>neoscapesmaldives.com</t>
        </is>
      </c>
      <c r="L74" t="inlineStr">
        <is>
          <t>dmc-agency</t>
        </is>
      </c>
      <c r="M74" t="inlineStr">
        <is>
          <t>https://www.neoscapesmaldives.com/wp-content/uploads/Amilla-Resort-Map.pdf</t>
        </is>
      </c>
      <c r="N74" t="inlineStr">
        <is>
          <t>https://www.neoscapesmaldives.com/wp-content/uploads/Amilla-Resort-Map.pdf</t>
        </is>
      </c>
      <c r="O74" t="inlineStr">
        <is>
          <t>ccb74f3d025b7ac4fa42b815e7428b9bd43082913f65dc5953a33e093c29dc5b</t>
        </is>
      </c>
      <c r="P74" t="inlineStr">
        <is>
          <t>library/009_amilla-fushi/map/2019_Amilla-Resort-Map.pdf</t>
        </is>
      </c>
      <c r="R74" t="inlineStr">
        <is>
          <t>outdated</t>
        </is>
      </c>
      <c r="S74" t="inlineStr">
        <is>
          <t>N</t>
        </is>
      </c>
      <c r="T74" t="inlineStr">
        <is>
          <t>matched</t>
        </is>
      </c>
      <c r="U74" t="inlineStr">
        <is>
          <t>2026-10-04</t>
        </is>
      </c>
      <c r="V74" t="inlineStr"/>
    </row>
    <row r="75">
      <c r="A75" t="n">
        <v>9</v>
      </c>
      <c r="B75" t="inlineStr">
        <is>
          <t>Amilla Fushi</t>
        </is>
      </c>
      <c r="C75" t="inlineStr">
        <is>
          <t>spa_menu</t>
        </is>
      </c>
      <c r="D75" t="inlineStr">
        <is>
          <t>2026_International-Yoga-Day-2026.pdf</t>
        </is>
      </c>
      <c r="E75" t="n">
        <v>2026</v>
      </c>
      <c r="H75" t="n">
        <v>1</v>
      </c>
      <c r="I75" t="n">
        <v>666</v>
      </c>
      <c r="J75" t="inlineStr">
        <is>
          <t>Y</t>
        </is>
      </c>
      <c r="K75" t="inlineStr">
        <is>
          <t>amilla.com</t>
        </is>
      </c>
      <c r="L75" t="inlineStr">
        <is>
          <t>official</t>
        </is>
      </c>
      <c r="M75" t="inlineStr">
        <is>
          <t>https://amilla.com/wp-content/uploads/International-Yoga-Day-2026.pdf</t>
        </is>
      </c>
      <c r="N75" t="inlineStr">
        <is>
          <t>https://amilla.com/wp-content/uploads/International-Yoga-Day-2026.pdf</t>
        </is>
      </c>
      <c r="O75" t="inlineStr">
        <is>
          <t>13a5ece2a73f38e2f9e1b617c5a5bc00ddeacbf3b90d7147770ba8ddea9579c2</t>
        </is>
      </c>
      <c r="P75" t="inlineStr">
        <is>
          <t>library/009_amilla-fushi/spa_menu/2026_International-Yoga-Day-2026.pdf</t>
        </is>
      </c>
      <c r="R75" t="inlineStr">
        <is>
          <t>current</t>
        </is>
      </c>
      <c r="S75" t="inlineStr">
        <is>
          <t>N</t>
        </is>
      </c>
      <c r="T75" t="inlineStr">
        <is>
          <t>matched</t>
        </is>
      </c>
      <c r="U75" t="inlineStr">
        <is>
          <t>2026-10-04</t>
        </is>
      </c>
      <c r="V75" t="inlineStr"/>
    </row>
    <row r="76">
      <c r="A76" t="n">
        <v>9</v>
      </c>
      <c r="B76" t="inlineStr">
        <is>
          <t>Amilla Fushi</t>
        </is>
      </c>
      <c r="C76" t="inlineStr">
        <is>
          <t>spa_menu</t>
        </is>
      </c>
      <c r="D76" t="inlineStr">
        <is>
          <t>2026_Global-Wellness-Day.pdf</t>
        </is>
      </c>
      <c r="E76" t="n">
        <v>2026</v>
      </c>
      <c r="H76" t="n">
        <v>1</v>
      </c>
      <c r="I76" t="n">
        <v>2414</v>
      </c>
      <c r="J76" t="inlineStr">
        <is>
          <t>Y</t>
        </is>
      </c>
      <c r="K76" t="inlineStr">
        <is>
          <t>amilla.com</t>
        </is>
      </c>
      <c r="L76" t="inlineStr">
        <is>
          <t>official</t>
        </is>
      </c>
      <c r="M76" t="inlineStr">
        <is>
          <t>https://amilla.com/wp-content/uploads/Global-Wellness-Day.pdf</t>
        </is>
      </c>
      <c r="N76" t="inlineStr">
        <is>
          <t>https://amilla.com/wp-content/uploads/Global-Wellness-Day.pdf</t>
        </is>
      </c>
      <c r="O76" t="inlineStr">
        <is>
          <t>20f8cef18f949295945ee5798e1add033df0f3bdfad9fd49016f8e6cb0ad20df</t>
        </is>
      </c>
      <c r="P76" t="inlineStr">
        <is>
          <t>library/009_amilla-fushi/spa_menu/2026_Global-Wellness-Day.pdf</t>
        </is>
      </c>
      <c r="R76" t="inlineStr">
        <is>
          <t>current</t>
        </is>
      </c>
      <c r="S76" t="inlineStr">
        <is>
          <t>N</t>
        </is>
      </c>
      <c r="T76" t="inlineStr">
        <is>
          <t>matched</t>
        </is>
      </c>
      <c r="U76" t="inlineStr">
        <is>
          <t>2026-10-04</t>
        </is>
      </c>
      <c r="V76" t="inlineStr"/>
    </row>
    <row r="77">
      <c r="A77" t="n">
        <v>9</v>
      </c>
      <c r="B77" t="inlineStr">
        <is>
          <t>Amilla Fushi</t>
        </is>
      </c>
      <c r="C77" t="inlineStr">
        <is>
          <t>spa_menu</t>
        </is>
      </c>
      <c r="D77" t="inlineStr">
        <is>
          <t>2026_Mothers-Day_2026.pdf</t>
        </is>
      </c>
      <c r="E77" t="n">
        <v>2026</v>
      </c>
      <c r="H77" t="n">
        <v>2</v>
      </c>
      <c r="I77" t="n">
        <v>7202</v>
      </c>
      <c r="J77" t="inlineStr">
        <is>
          <t>Y</t>
        </is>
      </c>
      <c r="K77" t="inlineStr">
        <is>
          <t>amilla.com</t>
        </is>
      </c>
      <c r="L77" t="inlineStr">
        <is>
          <t>official</t>
        </is>
      </c>
      <c r="M77" t="inlineStr">
        <is>
          <t>https://amilla.com/wp-content/uploads/Mothers-Day_2026.pdf</t>
        </is>
      </c>
      <c r="N77" t="inlineStr">
        <is>
          <t>https://amilla.com/wp-content/uploads/Mothers-Day_2026.pdf</t>
        </is>
      </c>
      <c r="O77" t="inlineStr">
        <is>
          <t>b0e6fe529bbeca1b8e0e2e2df8e3f0a69537c20d72e5724f37cd67e2fc634781</t>
        </is>
      </c>
      <c r="P77" t="inlineStr">
        <is>
          <t>library/009_amilla-fushi/spa_menu/2026_Mothers-Day_2026.pdf</t>
        </is>
      </c>
      <c r="R77" t="inlineStr">
        <is>
          <t>current</t>
        </is>
      </c>
      <c r="S77" t="inlineStr">
        <is>
          <t>Y</t>
        </is>
      </c>
      <c r="T77" t="inlineStr">
        <is>
          <t>matched</t>
        </is>
      </c>
      <c r="U77" t="inlineStr">
        <is>
          <t>2026-10-04</t>
        </is>
      </c>
      <c r="V77" t="inlineStr"/>
    </row>
    <row r="78">
      <c r="A78" t="n">
        <v>9</v>
      </c>
      <c r="B78" t="inlineStr">
        <is>
          <t>Amilla Fushi</t>
        </is>
      </c>
      <c r="C78" t="inlineStr">
        <is>
          <t>spa_menu</t>
        </is>
      </c>
      <c r="D78" t="inlineStr">
        <is>
          <t>2024_Javvu-Spa-Menu_October2024_v2.pdf</t>
        </is>
      </c>
      <c r="E78" t="n">
        <v>2024</v>
      </c>
      <c r="H78" t="n">
        <v>7</v>
      </c>
      <c r="I78" t="n">
        <v>615</v>
      </c>
      <c r="J78" t="inlineStr">
        <is>
          <t>Y</t>
        </is>
      </c>
      <c r="K78" t="inlineStr">
        <is>
          <t>amilla.com</t>
        </is>
      </c>
      <c r="L78" t="inlineStr">
        <is>
          <t>official</t>
        </is>
      </c>
      <c r="M78" t="inlineStr">
        <is>
          <t>https://amilla.com/wp-content/uploads/Javvu-Spa-Menu_October2024_v2.pdf</t>
        </is>
      </c>
      <c r="N78" t="inlineStr">
        <is>
          <t>https://amilla.com/wp-content/uploads/Javvu-Spa-Menu_October2024_v2.pdf</t>
        </is>
      </c>
      <c r="O78" t="inlineStr">
        <is>
          <t>1e36b525946f3b33dcddd20e490ebb273f4a401252ab29ed38e84a34ec413d0d</t>
        </is>
      </c>
      <c r="P78" t="inlineStr">
        <is>
          <t>library/009_amilla-fushi/spa_menu/2024_Javvu-Spa-Menu_October2024_v2.pdf</t>
        </is>
      </c>
      <c r="R78" t="inlineStr">
        <is>
          <t>outdated</t>
        </is>
      </c>
      <c r="S78" t="inlineStr">
        <is>
          <t>N</t>
        </is>
      </c>
      <c r="T78" t="inlineStr">
        <is>
          <t>matched</t>
        </is>
      </c>
      <c r="U78" t="inlineStr">
        <is>
          <t>2026-10-04</t>
        </is>
      </c>
      <c r="V78" t="inlineStr"/>
    </row>
    <row r="79">
      <c r="A79" t="n">
        <v>9</v>
      </c>
      <c r="B79" t="inlineStr">
        <is>
          <t>Amilla Fushi</t>
        </is>
      </c>
      <c r="C79" t="inlineStr">
        <is>
          <t>spa_menu</t>
        </is>
      </c>
      <c r="D79" t="inlineStr">
        <is>
          <t>2024_Claire-OSullivan-July-VP.pdf</t>
        </is>
      </c>
      <c r="E79" t="n">
        <v>2024</v>
      </c>
      <c r="H79" t="n">
        <v>2</v>
      </c>
      <c r="I79" t="n">
        <v>220</v>
      </c>
      <c r="J79" t="inlineStr">
        <is>
          <t>Y</t>
        </is>
      </c>
      <c r="K79" t="inlineStr">
        <is>
          <t>amilla.com</t>
        </is>
      </c>
      <c r="L79" t="inlineStr">
        <is>
          <t>official</t>
        </is>
      </c>
      <c r="M79" t="inlineStr">
        <is>
          <t>https://amilla.com/wp-content/uploads/Claire-OSullivan-July-VP.pdf</t>
        </is>
      </c>
      <c r="N79" t="inlineStr">
        <is>
          <t>https://amilla.com/wp-content/uploads/Claire-OSullivan-July-VP.pdf</t>
        </is>
      </c>
      <c r="O79" t="inlineStr">
        <is>
          <t>a508b7213ba08258f69d1624b4b7957432ef079a1d6d88da3cec7c14616172cb</t>
        </is>
      </c>
      <c r="P79" t="inlineStr">
        <is>
          <t>library/009_amilla-fushi/spa_menu/2024_Claire-OSullivan-July-VP.pdf</t>
        </is>
      </c>
      <c r="R79" t="inlineStr">
        <is>
          <t>outdated</t>
        </is>
      </c>
      <c r="S79" t="inlineStr">
        <is>
          <t>N</t>
        </is>
      </c>
      <c r="T79" t="inlineStr">
        <is>
          <t>matched</t>
        </is>
      </c>
      <c r="U79" t="inlineStr">
        <is>
          <t>2026-10-04</t>
        </is>
      </c>
      <c r="V79" t="inlineStr"/>
    </row>
    <row r="80">
      <c r="A80" t="n">
        <v>9</v>
      </c>
      <c r="B80" t="inlineStr">
        <is>
          <t>Amilla Fushi</t>
        </is>
      </c>
      <c r="C80" t="inlineStr">
        <is>
          <t>spa_menu</t>
        </is>
      </c>
      <c r="D80" t="inlineStr">
        <is>
          <t>2024_Consuelo-Sayoran-August-2024.pdf</t>
        </is>
      </c>
      <c r="E80" t="n">
        <v>2024</v>
      </c>
      <c r="H80" t="n">
        <v>2</v>
      </c>
      <c r="I80" t="n">
        <v>162</v>
      </c>
      <c r="J80" t="inlineStr">
        <is>
          <t>Y</t>
        </is>
      </c>
      <c r="K80" t="inlineStr">
        <is>
          <t>amilla.com</t>
        </is>
      </c>
      <c r="L80" t="inlineStr">
        <is>
          <t>official</t>
        </is>
      </c>
      <c r="M80" t="inlineStr">
        <is>
          <t>https://amilla.com/wp-content/uploads/Consuelo-Sayoran-August-2024.pdf</t>
        </is>
      </c>
      <c r="N80" t="inlineStr">
        <is>
          <t>https://amilla.com/wp-content/uploads/Consuelo-Sayoran-August-2024.pdf</t>
        </is>
      </c>
      <c r="O80" t="inlineStr">
        <is>
          <t>d85db066b8706b13cc52de294624eb7c84e6da96ae4bc7ae4a34b97c78812c5b</t>
        </is>
      </c>
      <c r="P80" t="inlineStr">
        <is>
          <t>library/009_amilla-fushi/spa_menu/2024_Consuelo-Sayoran-August-2024.pdf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2024_AmillaMaldives_Javvu-Spa-Menu-2024.pdf</t>
        </is>
      </c>
      <c r="E81" t="n">
        <v>2024</v>
      </c>
      <c r="H81" t="n">
        <v>6</v>
      </c>
      <c r="I81" t="n">
        <v>398</v>
      </c>
      <c r="J81" t="inlineStr">
        <is>
          <t>Y</t>
        </is>
      </c>
      <c r="K81" t="inlineStr">
        <is>
          <t>amilla.com</t>
        </is>
      </c>
      <c r="L81" t="inlineStr">
        <is>
          <t>official</t>
        </is>
      </c>
      <c r="M81" t="inlineStr">
        <is>
          <t>https://amilla.com/wp-content/uploads/AmillaMaldives_Javvu-Spa-Menu-2024.pdf</t>
        </is>
      </c>
      <c r="N81" t="inlineStr">
        <is>
          <t>https://amilla.com/wp-content/uploads/AmillaMaldives_Javvu-Spa-Menu-2024.pdf</t>
        </is>
      </c>
      <c r="O81" t="inlineStr">
        <is>
          <t>05e6a9324a90c6ffac3a16f8076ef754d6f4a00636ba13607f99d7707c297d21</t>
        </is>
      </c>
      <c r="P81" t="inlineStr">
        <is>
          <t>library/009_amilla-fushi/spa_menu/2024_AmillaMaldives_Javvu-Spa-Menu-2024.pdf</t>
        </is>
      </c>
      <c r="R81" t="inlineStr">
        <is>
          <t>outdated</t>
        </is>
      </c>
      <c r="S81" t="inlineStr">
        <is>
          <t>N</t>
        </is>
      </c>
      <c r="T81" t="inlineStr">
        <is>
          <t>matched</t>
        </is>
      </c>
      <c r="U81" t="inlineStr">
        <is>
          <t>2026-10-04</t>
        </is>
      </c>
      <c r="V81" t="inlineStr"/>
    </row>
    <row r="82">
      <c r="A82" t="n">
        <v>9</v>
      </c>
      <c r="B82" t="inlineStr">
        <is>
          <t>Amilla Fushi</t>
        </is>
      </c>
      <c r="C82" t="inlineStr">
        <is>
          <t>spa_menu</t>
        </is>
      </c>
      <c r="D82" t="inlineStr">
        <is>
          <t>2024_Master-Sifu-Aniket-Visiting-Practitioner.pdf</t>
        </is>
      </c>
      <c r="E82" t="n">
        <v>2024</v>
      </c>
      <c r="H82" t="n">
        <v>3</v>
      </c>
      <c r="I82" t="n">
        <v>359</v>
      </c>
      <c r="J82" t="inlineStr">
        <is>
          <t>Y</t>
        </is>
      </c>
      <c r="K82" t="inlineStr">
        <is>
          <t>amilla.com</t>
        </is>
      </c>
      <c r="L82" t="inlineStr">
        <is>
          <t>official</t>
        </is>
      </c>
      <c r="M82" t="inlineStr">
        <is>
          <t>https://amilla.com/wp-content/uploads/Master-Sifu-Aniket-Visiting-Practitioner.pdf</t>
        </is>
      </c>
      <c r="N82" t="inlineStr">
        <is>
          <t>https://amilla.com/wp-content/uploads/Master-Sifu-Aniket-Visiting-Practitioner.pdf</t>
        </is>
      </c>
      <c r="O82" t="inlineStr">
        <is>
          <t>faaf2eacd99edf4233d97d0b8f6be3e77bb21748f959b58acfa53bfe6916e63a</t>
        </is>
      </c>
      <c r="P82" t="inlineStr">
        <is>
          <t>library/009_amilla-fushi/spa_menu/2024_Master-Sifu-Aniket-Visiting-Practitioner.pdf</t>
        </is>
      </c>
      <c r="R82" t="inlineStr">
        <is>
          <t>outdated</t>
        </is>
      </c>
      <c r="S82" t="inlineStr">
        <is>
          <t>N</t>
        </is>
      </c>
      <c r="T82" t="inlineStr">
        <is>
          <t>matched</t>
        </is>
      </c>
      <c r="U82" t="inlineStr">
        <is>
          <t>2026-10-04</t>
        </is>
      </c>
      <c r="V82" t="inlineStr"/>
    </row>
    <row r="83">
      <c r="A83" t="n">
        <v>9</v>
      </c>
      <c r="B83" t="inlineStr">
        <is>
          <t>Amilla Fushi</t>
        </is>
      </c>
      <c r="C83" t="inlineStr">
        <is>
          <t>spa_menu</t>
        </is>
      </c>
      <c r="D83" t="inlineStr">
        <is>
          <t>2024_Jang-Kanlayanee.pdf</t>
        </is>
      </c>
      <c r="E83" t="n">
        <v>2024</v>
      </c>
      <c r="H83" t="n">
        <v>3</v>
      </c>
      <c r="I83" t="n">
        <v>296</v>
      </c>
      <c r="J83" t="inlineStr">
        <is>
          <t>Y</t>
        </is>
      </c>
      <c r="K83" t="inlineStr">
        <is>
          <t>amilla.com</t>
        </is>
      </c>
      <c r="L83" t="inlineStr">
        <is>
          <t>official</t>
        </is>
      </c>
      <c r="M83" t="inlineStr">
        <is>
          <t>https://amilla.com/wp-content/uploads/Jang-Kanlayanee.pdf</t>
        </is>
      </c>
      <c r="N83" t="inlineStr">
        <is>
          <t>https://amilla.com/wp-content/uploads/Jang-Kanlayanee.pdf</t>
        </is>
      </c>
      <c r="O83" t="inlineStr">
        <is>
          <t>387e7c78d444418e5c96d391188dabc1650e149157b07c55f31795955c53b7d5</t>
        </is>
      </c>
      <c r="P83" t="inlineStr">
        <is>
          <t>library/009_amilla-fushi/spa_menu/2024_Jang-Kanlayanee.pdf</t>
        </is>
      </c>
      <c r="R83" t="inlineStr">
        <is>
          <t>outdated</t>
        </is>
      </c>
      <c r="S83" t="inlineStr">
        <is>
          <t>N</t>
        </is>
      </c>
      <c r="T83" t="inlineStr">
        <is>
          <t>matched</t>
        </is>
      </c>
      <c r="U83" t="inlineStr">
        <is>
          <t>2026-10-04</t>
        </is>
      </c>
      <c r="V83" t="inlineStr"/>
    </row>
    <row r="84">
      <c r="A84" t="n">
        <v>9</v>
      </c>
      <c r="B84" t="inlineStr">
        <is>
          <t>Amilla Fushi</t>
        </is>
      </c>
      <c r="C84" t="inlineStr">
        <is>
          <t>spa_menu</t>
        </is>
      </c>
      <c r="D84" t="inlineStr">
        <is>
          <t>2024_Shyam.K.C.pdf</t>
        </is>
      </c>
      <c r="E84" t="n">
        <v>2024</v>
      </c>
      <c r="H84" t="n">
        <v>2</v>
      </c>
      <c r="I84" t="n">
        <v>216</v>
      </c>
      <c r="J84" t="inlineStr">
        <is>
          <t>Y</t>
        </is>
      </c>
      <c r="K84" t="inlineStr">
        <is>
          <t>amilla.com</t>
        </is>
      </c>
      <c r="L84" t="inlineStr">
        <is>
          <t>official</t>
        </is>
      </c>
      <c r="M84" t="inlineStr">
        <is>
          <t>https://amilla.com/wp-content/uploads/Shyam.K.C.pdf</t>
        </is>
      </c>
      <c r="N84" t="inlineStr">
        <is>
          <t>https://amilla.com/wp-content/uploads/Shyam.K.C.pdf</t>
        </is>
      </c>
      <c r="O84" t="inlineStr">
        <is>
          <t>6fd718e05875e109de5752c8966d03e371832f51ef716a41c0e5c0a58416c848</t>
        </is>
      </c>
      <c r="P84" t="inlineStr">
        <is>
          <t>library/009_amilla-fushi/spa_menu/2024_Shyam.K.C.pdf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2024_Valentines-Day-at-Javvu-Spa-1.pdf</t>
        </is>
      </c>
      <c r="E85" t="n">
        <v>2024</v>
      </c>
      <c r="H85" t="n">
        <v>1</v>
      </c>
      <c r="I85" t="n">
        <v>419</v>
      </c>
      <c r="J85" t="inlineStr">
        <is>
          <t>Y</t>
        </is>
      </c>
      <c r="K85" t="inlineStr">
        <is>
          <t>amilla.com</t>
        </is>
      </c>
      <c r="L85" t="inlineStr">
        <is>
          <t>official</t>
        </is>
      </c>
      <c r="M85" t="inlineStr">
        <is>
          <t>https://amilla.com/wp-content/uploads/Valentines-Day-at-Javvu-Spa-1.pdf</t>
        </is>
      </c>
      <c r="N85" t="inlineStr">
        <is>
          <t>https://amilla.com/wp-content/uploads/Valentines-Day-at-Javvu-Spa-1.pdf</t>
        </is>
      </c>
      <c r="O85" t="inlineStr">
        <is>
          <t>c7406d3de8a4656f684530e00b19750d8b83090ca7f0328b928c32a5d91fc52b</t>
        </is>
      </c>
      <c r="P85" t="inlineStr">
        <is>
          <t>library/009_amilla-fushi/spa_menu/2024_Valentines-Day-at-Javvu-Spa-1.pdf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2024_Dr.-Fabio-Massimo-Paciucci-.pdf</t>
        </is>
      </c>
      <c r="E86" t="n">
        <v>2024</v>
      </c>
      <c r="H86" t="n">
        <v>2</v>
      </c>
      <c r="I86" t="n">
        <v>155</v>
      </c>
      <c r="J86" t="inlineStr">
        <is>
          <t>Y</t>
        </is>
      </c>
      <c r="K86" t="inlineStr">
        <is>
          <t>amilla.com</t>
        </is>
      </c>
      <c r="L86" t="inlineStr">
        <is>
          <t>official</t>
        </is>
      </c>
      <c r="M86" t="inlineStr">
        <is>
          <t>https://amilla.com/wp-content/uploads/Dr.-Fabio-Massimo-Paciucci-.pdf</t>
        </is>
      </c>
      <c r="N86" t="inlineStr">
        <is>
          <t>https://amilla.com/wp-content/uploads/Dr.-Fabio-Massimo-Paciucci-.pdf</t>
        </is>
      </c>
      <c r="O86" t="inlineStr">
        <is>
          <t>39d4b4f98a7839c1ea4e7b5e77c0a1cdfde45cc1fdc3749019a57d9532f744a2</t>
        </is>
      </c>
      <c r="P86" t="inlineStr">
        <is>
          <t>library/009_amilla-fushi/spa_menu/2024_Dr.-Fabio-Massimo-Paciucci-.pdf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2024_Katrina-Valente.pdf</t>
        </is>
      </c>
      <c r="E87" t="n">
        <v>2024</v>
      </c>
      <c r="H87" t="n">
        <v>2</v>
      </c>
      <c r="I87" t="n">
        <v>613</v>
      </c>
      <c r="J87" t="inlineStr">
        <is>
          <t>Y</t>
        </is>
      </c>
      <c r="K87" t="inlineStr">
        <is>
          <t>amilla.com</t>
        </is>
      </c>
      <c r="L87" t="inlineStr">
        <is>
          <t>official</t>
        </is>
      </c>
      <c r="M87" t="inlineStr">
        <is>
          <t>https://amilla.com/wp-content/uploads/Katrina-Valente.pdf</t>
        </is>
      </c>
      <c r="N87" t="inlineStr">
        <is>
          <t>https://amilla.com/wp-content/uploads/Katrina-Valente.pdf</t>
        </is>
      </c>
      <c r="O87" t="inlineStr">
        <is>
          <t>59e3abb4ed57202a7a183a01287a4788a176c65e040e08063a367a9e10238bf9</t>
        </is>
      </c>
      <c r="P87" t="inlineStr">
        <is>
          <t>library/009_amilla-fushi/spa_menu/2024_Katrina-Valente.pdf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2023_Tridendra-Shayak.pdf</t>
        </is>
      </c>
      <c r="E88" t="n">
        <v>2023</v>
      </c>
      <c r="H88" t="n">
        <v>2</v>
      </c>
      <c r="I88" t="n">
        <v>579</v>
      </c>
      <c r="J88" t="inlineStr">
        <is>
          <t>Y</t>
        </is>
      </c>
      <c r="K88" t="inlineStr">
        <is>
          <t>amilla.com</t>
        </is>
      </c>
      <c r="L88" t="inlineStr">
        <is>
          <t>official</t>
        </is>
      </c>
      <c r="M88" t="inlineStr">
        <is>
          <t>https://amilla.com/wp-content/uploads/Tridendra-Shayak.pdf</t>
        </is>
      </c>
      <c r="N88" t="inlineStr">
        <is>
          <t>https://amilla.com/wp-content/uploads/Tridendra-Shayak.pdf</t>
        </is>
      </c>
      <c r="O88" t="inlineStr">
        <is>
          <t>0ec88840a60bda1cddefdce25c6906433f8e7375b7b70957415059242d256742</t>
        </is>
      </c>
      <c r="P88" t="inlineStr">
        <is>
          <t>library/009_amilla-fushi/spa_menu/2023_Tridendra-Shayak.pdf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2023_Paul-Emery.pdf</t>
        </is>
      </c>
      <c r="E89" t="n">
        <v>2023</v>
      </c>
      <c r="H89" t="n">
        <v>2</v>
      </c>
      <c r="I89" t="n">
        <v>476</v>
      </c>
      <c r="J89" t="inlineStr">
        <is>
          <t>Y</t>
        </is>
      </c>
      <c r="K89" t="inlineStr">
        <is>
          <t>amilla.com</t>
        </is>
      </c>
      <c r="L89" t="inlineStr">
        <is>
          <t>official</t>
        </is>
      </c>
      <c r="M89" t="inlineStr">
        <is>
          <t>https://amilla.com/wp-content/uploads/Paul-Emery.pdf</t>
        </is>
      </c>
      <c r="N89" t="inlineStr">
        <is>
          <t>https://amilla.com/wp-content/uploads/Paul-Emery.pdf</t>
        </is>
      </c>
      <c r="O89" t="inlineStr">
        <is>
          <t>a62a859c09a5dcacb16a717567794b258fa0f1f1374cd62640c03fe7eadc22fc</t>
        </is>
      </c>
      <c r="P89" t="inlineStr">
        <is>
          <t>library/009_amilla-fushi/spa_menu/2023_Paul-Emery.pdf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2023_George-Kleopas.pdf</t>
        </is>
      </c>
      <c r="E90" t="n">
        <v>2023</v>
      </c>
      <c r="H90" t="n">
        <v>2</v>
      </c>
      <c r="I90" t="n">
        <v>669</v>
      </c>
      <c r="J90" t="inlineStr">
        <is>
          <t>Y</t>
        </is>
      </c>
      <c r="K90" t="inlineStr">
        <is>
          <t>amilla.com</t>
        </is>
      </c>
      <c r="L90" t="inlineStr">
        <is>
          <t>official</t>
        </is>
      </c>
      <c r="M90" t="inlineStr">
        <is>
          <t>https://amilla.com/wp-content/uploads/George-Kleopas.pdf</t>
        </is>
      </c>
      <c r="N90" t="inlineStr">
        <is>
          <t>https://amilla.com/wp-content/uploads/George-Kleopas.pdf</t>
        </is>
      </c>
      <c r="O90" t="inlineStr">
        <is>
          <t>07c89c144b8b1a8dd8e783ded982e5ad3bc40c970e915d9067a00497ba19ce99</t>
        </is>
      </c>
      <c r="P90" t="inlineStr">
        <is>
          <t>library/009_amilla-fushi/spa_menu/2023_George-Kleopas.pdf</t>
        </is>
      </c>
      <c r="R90" t="inlineStr">
        <is>
          <t>outdated</t>
        </is>
      </c>
      <c r="S90" t="inlineStr">
        <is>
          <t>N</t>
        </is>
      </c>
      <c r="T90" t="inlineStr">
        <is>
          <t>matched</t>
        </is>
      </c>
      <c r="U90" t="inlineStr">
        <is>
          <t>2026-10-04</t>
        </is>
      </c>
      <c r="V90" t="inlineStr"/>
    </row>
    <row r="91">
      <c r="A91" t="n">
        <v>9</v>
      </c>
      <c r="B91" t="inlineStr">
        <is>
          <t>Amilla Fushi</t>
        </is>
      </c>
      <c r="C91" t="inlineStr">
        <is>
          <t>dining_menu</t>
        </is>
      </c>
      <c r="D91" t="inlineStr">
        <is>
          <t>2026_Menu-_-Dr.-Lim-1.pdf</t>
        </is>
      </c>
      <c r="E91" t="n">
        <v>2026</v>
      </c>
      <c r="H91" t="n">
        <v>1</v>
      </c>
      <c r="I91" t="n">
        <v>65</v>
      </c>
      <c r="J91" t="inlineStr">
        <is>
          <t>Y</t>
        </is>
      </c>
      <c r="K91" t="inlineStr">
        <is>
          <t>amilla.com</t>
        </is>
      </c>
      <c r="L91" t="inlineStr">
        <is>
          <t>official</t>
        </is>
      </c>
      <c r="M91" t="inlineStr">
        <is>
          <t>https://amilla.com/wp-content/uploads/Menu-_-Dr.-Lim-1.pdf</t>
        </is>
      </c>
      <c r="N91" t="inlineStr">
        <is>
          <t>https://amilla.com/wp-content/uploads/Menu-_-Dr.-Lim-1.pdf</t>
        </is>
      </c>
      <c r="O91" t="inlineStr">
        <is>
          <t>cee517b94b038f925a9178fde2046a61f97618274f54ee3c5f405b392085952b</t>
        </is>
      </c>
      <c r="P91" t="inlineStr">
        <is>
          <t>library/009_amilla-fushi/dining_menu/2026_Menu-_-Dr.-Lim-1.pdf</t>
        </is>
      </c>
      <c r="R91" t="inlineStr">
        <is>
          <t>current</t>
        </is>
      </c>
      <c r="S91" t="inlineStr">
        <is>
          <t>N</t>
        </is>
      </c>
      <c r="T91" t="inlineStr">
        <is>
          <t>matched</t>
        </is>
      </c>
      <c r="U91" t="inlineStr">
        <is>
          <t>2026-10-04</t>
        </is>
      </c>
      <c r="V91" t="inlineStr"/>
    </row>
    <row r="92">
      <c r="A92" t="n">
        <v>9</v>
      </c>
      <c r="B92" t="inlineStr">
        <is>
          <t>Amilla Fushi</t>
        </is>
      </c>
      <c r="C92" t="inlineStr">
        <is>
          <t>dining_menu</t>
        </is>
      </c>
      <c r="D92" t="inlineStr">
        <is>
          <t>2026_Final.pdf</t>
        </is>
      </c>
      <c r="E92" t="n">
        <v>2026</v>
      </c>
      <c r="H92" t="n">
        <v>1</v>
      </c>
      <c r="I92" t="n">
        <v>3054</v>
      </c>
      <c r="J92" t="inlineStr">
        <is>
          <t>Y</t>
        </is>
      </c>
      <c r="K92" t="inlineStr">
        <is>
          <t>amilla.com</t>
        </is>
      </c>
      <c r="L92" t="inlineStr">
        <is>
          <t>official</t>
        </is>
      </c>
      <c r="M92" t="inlineStr">
        <is>
          <t>https://amilla.com/wp-content/uploads/Final.pdf</t>
        </is>
      </c>
      <c r="N92" t="inlineStr">
        <is>
          <t>https://amilla.com/wp-content/uploads/Final.pdf</t>
        </is>
      </c>
      <c r="O92" t="inlineStr">
        <is>
          <t>4956d1b78b78de83b54194c3420a035bef2e516b28dc8ef5e52b30d86695fa17</t>
        </is>
      </c>
      <c r="P92" t="inlineStr">
        <is>
          <t>library/009_amilla-fushi/dining_menu/2026_Final.pdf</t>
        </is>
      </c>
      <c r="R92" t="inlineStr">
        <is>
          <t>current</t>
        </is>
      </c>
      <c r="S92" t="inlineStr">
        <is>
          <t>N</t>
        </is>
      </c>
      <c r="T92" t="inlineStr">
        <is>
          <t>matched</t>
        </is>
      </c>
      <c r="U92" t="inlineStr">
        <is>
          <t>2026-10-04</t>
        </is>
      </c>
      <c r="V92" t="inlineStr"/>
    </row>
    <row r="93">
      <c r="A93" t="n">
        <v>9</v>
      </c>
      <c r="B93" t="inlineStr">
        <is>
          <t>Amilla Fushi</t>
        </is>
      </c>
      <c r="C93" t="inlineStr">
        <is>
          <t>dining_menu</t>
        </is>
      </c>
      <c r="D93" t="inlineStr">
        <is>
          <t>2026_Menu_Nikki_.pdf</t>
        </is>
      </c>
      <c r="E93" t="n">
        <v>2026</v>
      </c>
      <c r="H93" t="n">
        <v>1</v>
      </c>
      <c r="I93" t="n">
        <v>37</v>
      </c>
      <c r="J93" t="inlineStr">
        <is>
          <t>Y</t>
        </is>
      </c>
      <c r="K93" t="inlineStr">
        <is>
          <t>amilla.com</t>
        </is>
      </c>
      <c r="L93" t="inlineStr">
        <is>
          <t>official</t>
        </is>
      </c>
      <c r="M93" t="inlineStr">
        <is>
          <t>https://amilla.com/wp-content/uploads/Menu_Nikki_.pdf</t>
        </is>
      </c>
      <c r="N93" t="inlineStr">
        <is>
          <t>https://amilla.com/wp-content/uploads/Menu_Nikki_.pdf</t>
        </is>
      </c>
      <c r="O93" t="inlineStr">
        <is>
          <t>c0ef1254a0880be774668aea530cdb966043484e056945a7275f2c1c4c974e11</t>
        </is>
      </c>
      <c r="P93" t="inlineStr">
        <is>
          <t>library/009_amilla-fushi/dining_menu/2026_Menu_Nikki_.pdf</t>
        </is>
      </c>
      <c r="R93" t="inlineStr">
        <is>
          <t>current</t>
        </is>
      </c>
      <c r="S93" t="inlineStr">
        <is>
          <t>N</t>
        </is>
      </c>
      <c r="T93" t="inlineStr">
        <is>
          <t>matched</t>
        </is>
      </c>
      <c r="U93" t="inlineStr">
        <is>
          <t>2026-10-04</t>
        </is>
      </c>
      <c r="V93" t="inlineStr"/>
    </row>
    <row r="94">
      <c r="A94" t="n">
        <v>9</v>
      </c>
      <c r="B94" t="inlineStr">
        <is>
          <t>Amilla Fushi</t>
        </is>
      </c>
      <c r="C94" t="inlineStr">
        <is>
          <t>dining_menu</t>
        </is>
      </c>
      <c r="D94" t="inlineStr">
        <is>
          <t>2026_Clay-Studio-Menu.pdf</t>
        </is>
      </c>
      <c r="E94" t="n">
        <v>2026</v>
      </c>
      <c r="H94" t="n">
        <v>3</v>
      </c>
      <c r="I94" t="n">
        <v>657</v>
      </c>
      <c r="J94" t="inlineStr">
        <is>
          <t>Y</t>
        </is>
      </c>
      <c r="K94" t="inlineStr">
        <is>
          <t>amilla.com</t>
        </is>
      </c>
      <c r="L94" t="inlineStr">
        <is>
          <t>official</t>
        </is>
      </c>
      <c r="M94" t="inlineStr">
        <is>
          <t>https://amilla.com/wp-content/uploads/Clay-Studio-Menu.pdf</t>
        </is>
      </c>
      <c r="N94" t="inlineStr">
        <is>
          <t>https://amilla.com/wp-content/uploads/Clay-Studio-Menu.pdf</t>
        </is>
      </c>
      <c r="O94" t="inlineStr">
        <is>
          <t>67eb48e9e29bffbf68e1f2869b24d93b539474b0f8b14b4479ef713e8d45ef6f</t>
        </is>
      </c>
      <c r="P94" t="inlineStr">
        <is>
          <t>library/009_amilla-fushi/dining_menu/2026_Clay-Studio-Menu.pdf</t>
        </is>
      </c>
      <c r="R94" t="inlineStr">
        <is>
          <t>current</t>
        </is>
      </c>
      <c r="S94" t="inlineStr">
        <is>
          <t>N</t>
        </is>
      </c>
      <c r="T94" t="inlineStr">
        <is>
          <t>matched</t>
        </is>
      </c>
      <c r="U94" t="inlineStr">
        <is>
          <t>2026-10-04</t>
        </is>
      </c>
      <c r="V94" t="inlineStr"/>
    </row>
    <row r="95">
      <c r="A95" t="n">
        <v>9</v>
      </c>
      <c r="B95" t="inlineStr">
        <is>
          <t>Amilla Fushi</t>
        </is>
      </c>
      <c r="C95" t="inlineStr">
        <is>
          <t>dining_menu</t>
        </is>
      </c>
      <c r="D95" t="inlineStr">
        <is>
          <t>2026_Menu_Dr.-Shagnika.pdf</t>
        </is>
      </c>
      <c r="E95" t="n">
        <v>2026</v>
      </c>
      <c r="H95" t="n">
        <v>2</v>
      </c>
      <c r="I95" t="n">
        <v>2588</v>
      </c>
      <c r="J95" t="inlineStr">
        <is>
          <t>Y</t>
        </is>
      </c>
      <c r="K95" t="inlineStr">
        <is>
          <t>amilla.com</t>
        </is>
      </c>
      <c r="L95" t="inlineStr">
        <is>
          <t>official</t>
        </is>
      </c>
      <c r="M95" t="inlineStr">
        <is>
          <t>https://amilla.com/wp-content/uploads/Menu_Dr.-Shagnika.pdf</t>
        </is>
      </c>
      <c r="N95" t="inlineStr">
        <is>
          <t>https://amilla.com/wp-content/uploads/Menu_Dr.-Shagnika.pdf</t>
        </is>
      </c>
      <c r="O95" t="inlineStr">
        <is>
          <t>87a9469554863bb8c6d24224fa26e6b8b8e775ca0025ee07eb00c666f7a1f3f2</t>
        </is>
      </c>
      <c r="P95" t="inlineStr">
        <is>
          <t>library/009_amilla-fushi/dining_menu/2026_Menu_Dr.-Shagnika.pdf</t>
        </is>
      </c>
      <c r="R95" t="inlineStr">
        <is>
          <t>current</t>
        </is>
      </c>
      <c r="S95" t="inlineStr">
        <is>
          <t>N</t>
        </is>
      </c>
      <c r="T95" t="inlineStr">
        <is>
          <t>matched</t>
        </is>
      </c>
      <c r="U95" t="inlineStr">
        <is>
          <t>2026-10-04</t>
        </is>
      </c>
      <c r="V95" t="inlineStr"/>
    </row>
    <row r="96">
      <c r="A96" t="n">
        <v>9</v>
      </c>
      <c r="B96" t="inlineStr">
        <is>
          <t>Amilla Fushi</t>
        </is>
      </c>
      <c r="C96" t="inlineStr">
        <is>
          <t>dining_menu</t>
        </is>
      </c>
      <c r="D96" t="inlineStr">
        <is>
          <t>2026_Eid-Al-adha_2026.pdf</t>
        </is>
      </c>
      <c r="E96" t="n">
        <v>2026</v>
      </c>
      <c r="H96" t="n">
        <v>7</v>
      </c>
      <c r="I96" t="n">
        <v>22845</v>
      </c>
      <c r="J96" t="inlineStr">
        <is>
          <t>Y</t>
        </is>
      </c>
      <c r="K96" t="inlineStr">
        <is>
          <t>amilla.com</t>
        </is>
      </c>
      <c r="L96" t="inlineStr">
        <is>
          <t>official</t>
        </is>
      </c>
      <c r="M96" t="inlineStr">
        <is>
          <t>https://amilla.com/wp-content/uploads/Eid-Al-adha_2026.pdf</t>
        </is>
      </c>
      <c r="N96" t="inlineStr">
        <is>
          <t>https://amilla.com/wp-content/uploads/Eid-Al-adha_2026.pdf</t>
        </is>
      </c>
      <c r="O96" t="inlineStr">
        <is>
          <t>39d61ffc69d62256b5a97e003ddfc1ee7a3c3b68024d54a0e14cfbf667f36701</t>
        </is>
      </c>
      <c r="P96" t="inlineStr">
        <is>
          <t>library/009_amilla-fushi/dining_menu/2026_Eid-Al-adha_2026.pdf</t>
        </is>
      </c>
      <c r="R96" t="inlineStr">
        <is>
          <t>current</t>
        </is>
      </c>
      <c r="S96" t="inlineStr">
        <is>
          <t>Y</t>
        </is>
      </c>
      <c r="T96" t="inlineStr">
        <is>
          <t>matched</t>
        </is>
      </c>
      <c r="U96" t="inlineStr">
        <is>
          <t>2026-10-04</t>
        </is>
      </c>
      <c r="V96" t="inlineStr"/>
    </row>
    <row r="97">
      <c r="A97" t="n">
        <v>9</v>
      </c>
      <c r="B97" t="inlineStr">
        <is>
          <t>Amilla Fushi</t>
        </is>
      </c>
      <c r="C97" t="inlineStr">
        <is>
          <t>dining_menu</t>
        </is>
      </c>
      <c r="D97" t="inlineStr">
        <is>
          <t>2026_Dr.-Shreejit_Menu.pdf</t>
        </is>
      </c>
      <c r="E97" t="n">
        <v>2026</v>
      </c>
      <c r="H97" t="n">
        <v>3</v>
      </c>
      <c r="I97" t="n">
        <v>207</v>
      </c>
      <c r="J97" t="inlineStr">
        <is>
          <t>Y</t>
        </is>
      </c>
      <c r="K97" t="inlineStr">
        <is>
          <t>amilla.com</t>
        </is>
      </c>
      <c r="L97" t="inlineStr">
        <is>
          <t>official</t>
        </is>
      </c>
      <c r="M97" t="inlineStr">
        <is>
          <t>https://amilla.com/wp-content/uploads/Dr.-Shreejit_Menu.pdf</t>
        </is>
      </c>
      <c r="N97" t="inlineStr">
        <is>
          <t>https://amilla.com/wp-content/uploads/Dr.-Shreejit_Menu.pdf</t>
        </is>
      </c>
      <c r="O97" t="inlineStr">
        <is>
          <t>6429a16c8cdae48a88ebc3fac237240c97f76c9cf2694720b7ed987ed1ee497b</t>
        </is>
      </c>
      <c r="P97" t="inlineStr">
        <is>
          <t>library/009_amilla-fushi/dining_menu/2026_Dr.-Shreejit_Menu.pdf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2026_Amp_Menu.pdf</t>
        </is>
      </c>
      <c r="E98" t="n">
        <v>2026</v>
      </c>
      <c r="H98" t="n">
        <v>2</v>
      </c>
      <c r="I98" t="n">
        <v>234</v>
      </c>
      <c r="J98" t="inlineStr">
        <is>
          <t>Y</t>
        </is>
      </c>
      <c r="K98" t="inlineStr">
        <is>
          <t>amilla.com</t>
        </is>
      </c>
      <c r="L98" t="inlineStr">
        <is>
          <t>official</t>
        </is>
      </c>
      <c r="M98" t="inlineStr">
        <is>
          <t>https://amilla.com/wp-content/uploads/Amp_Menu.pdf</t>
        </is>
      </c>
      <c r="N98" t="inlineStr">
        <is>
          <t>https://amilla.com/wp-content/uploads/Amp_Menu.pdf</t>
        </is>
      </c>
      <c r="O98" t="inlineStr">
        <is>
          <t>363b6c35f2ce5e3168747e230009279493f54596c38ea801b8974f351be67c4a</t>
        </is>
      </c>
      <c r="P98" t="inlineStr">
        <is>
          <t>library/009_amilla-fushi/dining_menu/2026_Amp_Menu.pdf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2026_Jang-Menu.pdf</t>
        </is>
      </c>
      <c r="E99" t="n">
        <v>2026</v>
      </c>
      <c r="H99" t="n">
        <v>2</v>
      </c>
      <c r="I99" t="n">
        <v>213</v>
      </c>
      <c r="J99" t="inlineStr">
        <is>
          <t>Y</t>
        </is>
      </c>
      <c r="K99" t="inlineStr">
        <is>
          <t>amilla.com</t>
        </is>
      </c>
      <c r="L99" t="inlineStr">
        <is>
          <t>official</t>
        </is>
      </c>
      <c r="M99" t="inlineStr">
        <is>
          <t>https://amilla.com/wp-content/uploads/Jang-Menu.pdf</t>
        </is>
      </c>
      <c r="N99" t="inlineStr">
        <is>
          <t>https://amilla.com/wp-content/uploads/Jang-Menu.pdf</t>
        </is>
      </c>
      <c r="O99" t="inlineStr">
        <is>
          <t>40e7c165774bfdfe584cd47aec14e44500521caef427be42d36eafd550c6cf00</t>
        </is>
      </c>
      <c r="P99" t="inlineStr">
        <is>
          <t>library/009_amilla-fushi/dining_menu/2026_Jang-Menu.pdf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2026_Francesc_Menu.pdf</t>
        </is>
      </c>
      <c r="E100" t="n">
        <v>2026</v>
      </c>
      <c r="H100" t="n">
        <v>2</v>
      </c>
      <c r="I100" t="n">
        <v>152</v>
      </c>
      <c r="J100" t="inlineStr">
        <is>
          <t>Y</t>
        </is>
      </c>
      <c r="K100" t="inlineStr">
        <is>
          <t>amilla.com</t>
        </is>
      </c>
      <c r="L100" t="inlineStr">
        <is>
          <t>official</t>
        </is>
      </c>
      <c r="M100" t="inlineStr">
        <is>
          <t>https://amilla.com/wp-content/uploads/Francesc_Menu.pdf</t>
        </is>
      </c>
      <c r="N100" t="inlineStr">
        <is>
          <t>https://amilla.com/wp-content/uploads/Francesc_Menu.pdf</t>
        </is>
      </c>
      <c r="O100" t="inlineStr">
        <is>
          <t>9922000d1bae659209241d90a23b73467116b8a37ea2eb032b247f276e03c75e</t>
        </is>
      </c>
      <c r="P100" t="inlineStr">
        <is>
          <t>library/009_amilla-fushi/dining_menu/2026_Francesc_Menu.pdf</t>
        </is>
      </c>
      <c r="R100" t="inlineStr">
        <is>
          <t>current</t>
        </is>
      </c>
      <c r="S100" t="inlineStr">
        <is>
          <t>Y</t>
        </is>
      </c>
      <c r="T100" t="inlineStr">
        <is>
          <t>needs-review</t>
        </is>
      </c>
      <c r="U100" t="inlineStr">
        <is>
          <t>2026-10-04</t>
        </is>
      </c>
      <c r="V100" t="inlineStr">
        <is>
          <t>ambiguous match [9, 128]</t>
        </is>
      </c>
    </row>
    <row r="101">
      <c r="A101" t="n">
        <v>128</v>
      </c>
      <c r="B101" t="inlineStr">
        <is>
          <t>One &amp; Only Reethi Rah, Maldives</t>
        </is>
      </c>
      <c r="C101" t="inlineStr">
        <is>
          <t>dining_menu</t>
        </is>
      </c>
      <c r="D101" t="inlineStr">
        <is>
          <t>2026_Francesc_Menu.pdf</t>
        </is>
      </c>
      <c r="E101" t="n">
        <v>2026</v>
      </c>
      <c r="H101" t="n">
        <v>2</v>
      </c>
      <c r="I101" t="n">
        <v>152</v>
      </c>
      <c r="J101" t="inlineStr">
        <is>
          <t>Y</t>
        </is>
      </c>
      <c r="K101" t="inlineStr">
        <is>
          <t>amilla.com</t>
        </is>
      </c>
      <c r="L101" t="inlineStr">
        <is>
          <t>official</t>
        </is>
      </c>
      <c r="M101" t="inlineStr">
        <is>
          <t>https://amilla.com/wp-content/uploads/Francesc_Menu.pdf</t>
        </is>
      </c>
      <c r="N101" t="inlineStr">
        <is>
          <t>https://amilla.com/wp-content/uploads/Francesc_Menu.pdf</t>
        </is>
      </c>
      <c r="O101" t="inlineStr">
        <is>
          <t>9922000d1bae659209241d90a23b73467116b8a37ea2eb032b247f276e03c75e</t>
        </is>
      </c>
      <c r="P101" t="inlineStr">
        <is>
          <t>library/009_amilla-fushi/dining_menu/2026_Francesc_Menu.pdf</t>
        </is>
      </c>
      <c r="R101" t="inlineStr">
        <is>
          <t>current</t>
        </is>
      </c>
      <c r="S101" t="inlineStr">
        <is>
          <t>Y</t>
        </is>
      </c>
      <c r="T101" t="inlineStr">
        <is>
          <t>needs-review</t>
        </is>
      </c>
      <c r="U101" t="inlineStr">
        <is>
          <t>2026-10-04</t>
        </is>
      </c>
      <c r="V101" t="inlineStr">
        <is>
          <t>ambiguous match [9, 128]</t>
        </is>
      </c>
    </row>
    <row r="102">
      <c r="A102" t="n">
        <v>9</v>
      </c>
      <c r="B102" t="inlineStr">
        <is>
          <t>Amilla Fushi</t>
        </is>
      </c>
      <c r="C102" t="inlineStr">
        <is>
          <t>dining_menu</t>
        </is>
      </c>
      <c r="D102" t="inlineStr">
        <is>
          <t>2025_DBI-Amilla-Tablet-Mobile-Menu-July-2025.pdf</t>
        </is>
      </c>
      <c r="E102" t="n">
        <v>2025</v>
      </c>
      <c r="H102" t="n">
        <v>18</v>
      </c>
      <c r="I102" t="n">
        <v>5022</v>
      </c>
      <c r="J102" t="inlineStr">
        <is>
          <t>Y</t>
        </is>
      </c>
      <c r="K102" t="inlineStr">
        <is>
          <t>amilla.com</t>
        </is>
      </c>
      <c r="L102" t="inlineStr">
        <is>
          <t>official</t>
        </is>
      </c>
      <c r="M102" t="inlineStr">
        <is>
          <t>https://amilla.com/wp-content/uploads/DBI-Amilla-Tablet-Mobile-Menu-July-2025.pdf</t>
        </is>
      </c>
      <c r="N102" t="inlineStr">
        <is>
          <t>https://amilla.com/wp-content/uploads/DBI-Amilla-Tablet-Mobile-Menu-July-2025.pdf</t>
        </is>
      </c>
      <c r="O102" t="inlineStr">
        <is>
          <t>da5f146cb1e112b3dc801b1f934687c26cec651cdbc72776ff85dbdf04bf0cda</t>
        </is>
      </c>
      <c r="P102" t="inlineStr">
        <is>
          <t>library/009_amilla-fushi/dining_menu/2025_DBI-Amilla-Tablet-Mobile-Menu-July-2025.pdf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2025_Yoko-Kawaguchi_Menu.pdf</t>
        </is>
      </c>
      <c r="E103" t="n">
        <v>2025</v>
      </c>
      <c r="H103" t="n">
        <v>2</v>
      </c>
      <c r="I103" t="n">
        <v>181</v>
      </c>
      <c r="J103" t="inlineStr">
        <is>
          <t>Y</t>
        </is>
      </c>
      <c r="K103" t="inlineStr">
        <is>
          <t>amilla.com</t>
        </is>
      </c>
      <c r="L103" t="inlineStr">
        <is>
          <t>official</t>
        </is>
      </c>
      <c r="M103" t="inlineStr">
        <is>
          <t>https://amilla.com/wp-content/uploads/Yoko-Kawaguchi_Menu.pdf</t>
        </is>
      </c>
      <c r="N103" t="inlineStr">
        <is>
          <t>https://amilla.com/wp-content/uploads/Yoko-Kawaguchi_Menu.pdf</t>
        </is>
      </c>
      <c r="O103" t="inlineStr">
        <is>
          <t>b3e799bc4814fe49a72a9e01154d355e9428af739e924ec3ef4725f8767df2ea</t>
        </is>
      </c>
      <c r="P103" t="inlineStr">
        <is>
          <t>library/009_amilla-fushi/dining_menu/2025_Yoko-Kawaguchi_Menu.pdf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2025_Rashdy-Ahmad_Menu.pdf</t>
        </is>
      </c>
      <c r="E104" t="n">
        <v>2025</v>
      </c>
      <c r="H104" t="n">
        <v>2</v>
      </c>
      <c r="I104" t="n">
        <v>219</v>
      </c>
      <c r="J104" t="inlineStr">
        <is>
          <t>Y</t>
        </is>
      </c>
      <c r="K104" t="inlineStr">
        <is>
          <t>amilla.com</t>
        </is>
      </c>
      <c r="L104" t="inlineStr">
        <is>
          <t>official</t>
        </is>
      </c>
      <c r="M104" t="inlineStr">
        <is>
          <t>https://amilla.com/wp-content/uploads/Rashdy-Ahmad_Menu.pdf</t>
        </is>
      </c>
      <c r="N104" t="inlineStr">
        <is>
          <t>https://amilla.com/wp-content/uploads/Rashdy-Ahmad_Menu.pdf</t>
        </is>
      </c>
      <c r="O104" t="inlineStr">
        <is>
          <t>cb89e0e749e9ba529965605ac4b921c8a73ec6962faf67092eeb12cce1bd5f94</t>
        </is>
      </c>
      <c r="P104" t="inlineStr">
        <is>
          <t>library/009_amilla-fushi/dining_menu/2025_Rashdy-Ahmad_Menu.pdf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2025_Dr.-Amit_Menu.pdf</t>
        </is>
      </c>
      <c r="E105" t="n">
        <v>2025</v>
      </c>
      <c r="H105" t="n">
        <v>3</v>
      </c>
      <c r="I105" t="n">
        <v>236</v>
      </c>
      <c r="J105" t="inlineStr">
        <is>
          <t>Y</t>
        </is>
      </c>
      <c r="K105" t="inlineStr">
        <is>
          <t>amilla.com</t>
        </is>
      </c>
      <c r="L105" t="inlineStr">
        <is>
          <t>official</t>
        </is>
      </c>
      <c r="M105" t="inlineStr">
        <is>
          <t>https://amilla.com/wp-content/uploads/Dr.-Amit_Menu.pdf</t>
        </is>
      </c>
      <c r="N105" t="inlineStr">
        <is>
          <t>https://amilla.com/wp-content/uploads/Dr.-Amit_Menu.pdf</t>
        </is>
      </c>
      <c r="O105" t="inlineStr">
        <is>
          <t>f0bc24b0388fed390b01d1cb4a1578bd0f685886ad705b68e49b4e38fef888df</t>
        </is>
      </c>
      <c r="P105" t="inlineStr">
        <is>
          <t>library/009_amilla-fushi/dining_menu/2025_Dr.-Amit_Menu.pdf</t>
        </is>
      </c>
      <c r="R105" t="inlineStr">
        <is>
          <t>current</t>
        </is>
      </c>
      <c r="S105" t="inlineStr">
        <is>
          <t>N</t>
        </is>
      </c>
      <c r="T105" t="inlineStr">
        <is>
          <t>matched</t>
        </is>
      </c>
      <c r="U105" t="inlineStr">
        <is>
          <t>2026-10-04</t>
        </is>
      </c>
      <c r="V105" t="inlineStr"/>
    </row>
    <row r="106">
      <c r="A106" t="n">
        <v>9</v>
      </c>
      <c r="B106" t="inlineStr">
        <is>
          <t>Amilla Fushi</t>
        </is>
      </c>
      <c r="C106" t="inlineStr">
        <is>
          <t>dining_menu</t>
        </is>
      </c>
      <c r="D106" t="inlineStr">
        <is>
          <t>2025_Karol_Menu.pdf</t>
        </is>
      </c>
      <c r="E106" t="n">
        <v>2025</v>
      </c>
      <c r="H106" t="n">
        <v>3</v>
      </c>
      <c r="I106" t="n">
        <v>149</v>
      </c>
      <c r="J106" t="inlineStr">
        <is>
          <t>Y</t>
        </is>
      </c>
      <c r="K106" t="inlineStr">
        <is>
          <t>amilla.com</t>
        </is>
      </c>
      <c r="L106" t="inlineStr">
        <is>
          <t>official</t>
        </is>
      </c>
      <c r="M106" t="inlineStr">
        <is>
          <t>https://amilla.com/wp-content/uploads/Karol_Menu.pdf</t>
        </is>
      </c>
      <c r="N106" t="inlineStr">
        <is>
          <t>https://amilla.com/wp-content/uploads/Karol_Menu.pdf</t>
        </is>
      </c>
      <c r="O106" t="inlineStr">
        <is>
          <t>1025b3da4761a5e9733f41f665c9291a1959dd5e5e4ebfde7274ffe78bc346da</t>
        </is>
      </c>
      <c r="P106" t="inlineStr">
        <is>
          <t>library/009_amilla-fushi/dining_menu/2025_Karol_Menu.pdf</t>
        </is>
      </c>
      <c r="R106" t="inlineStr">
        <is>
          <t>current</t>
        </is>
      </c>
      <c r="S106" t="inlineStr">
        <is>
          <t>N</t>
        </is>
      </c>
      <c r="T106" t="inlineStr">
        <is>
          <t>matched</t>
        </is>
      </c>
      <c r="U106" t="inlineStr">
        <is>
          <t>2026-10-04</t>
        </is>
      </c>
      <c r="V106" t="inlineStr"/>
    </row>
    <row r="107">
      <c r="A107" t="n">
        <v>9</v>
      </c>
      <c r="B107" t="inlineStr">
        <is>
          <t>Amilla Fushi</t>
        </is>
      </c>
      <c r="C107" t="inlineStr">
        <is>
          <t>dining_menu</t>
        </is>
      </c>
      <c r="D107" t="inlineStr">
        <is>
          <t>2025_Dr.-Sohal_Menu-1.pdf</t>
        </is>
      </c>
      <c r="E107" t="n">
        <v>2025</v>
      </c>
      <c r="H107" t="n">
        <v>2</v>
      </c>
      <c r="I107" t="n">
        <v>206</v>
      </c>
      <c r="J107" t="inlineStr">
        <is>
          <t>Y</t>
        </is>
      </c>
      <c r="K107" t="inlineStr">
        <is>
          <t>amilla.com</t>
        </is>
      </c>
      <c r="L107" t="inlineStr">
        <is>
          <t>official</t>
        </is>
      </c>
      <c r="M107" t="inlineStr">
        <is>
          <t>https://amilla.com/wp-content/uploads/Dr.-Sohal_Menu-1.pdf</t>
        </is>
      </c>
      <c r="N107" t="inlineStr">
        <is>
          <t>https://amilla.com/wp-content/uploads/Dr.-Sohal_Menu-1.pdf</t>
        </is>
      </c>
      <c r="O107" t="inlineStr">
        <is>
          <t>706ca1c5b3079cc14e2d5b30ca3955e71dd25e6b851d4019e4b7102eaed92853</t>
        </is>
      </c>
      <c r="P107" t="inlineStr">
        <is>
          <t>library/009_amilla-fushi/dining_menu/2025_Dr.-Sohal_Menu-1.pdf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2025_Lisa_Menu.pdf</t>
        </is>
      </c>
      <c r="E108" t="n">
        <v>2025</v>
      </c>
      <c r="H108" t="n">
        <v>2</v>
      </c>
      <c r="I108" t="n">
        <v>254</v>
      </c>
      <c r="J108" t="inlineStr">
        <is>
          <t>Y</t>
        </is>
      </c>
      <c r="K108" t="inlineStr">
        <is>
          <t>amilla.com</t>
        </is>
      </c>
      <c r="L108" t="inlineStr">
        <is>
          <t>official</t>
        </is>
      </c>
      <c r="M108" t="inlineStr">
        <is>
          <t>https://amilla.com/wp-content/uploads/Lisa_Menu.pdf</t>
        </is>
      </c>
      <c r="N108" t="inlineStr">
        <is>
          <t>https://amilla.com/wp-content/uploads/Lisa_Menu.pdf</t>
        </is>
      </c>
      <c r="O108" t="inlineStr">
        <is>
          <t>5ed4a8109cb1b0c125b2e4488d2ece9912d3ef659eb3075180db9418ceac17aa</t>
        </is>
      </c>
      <c r="P108" t="inlineStr">
        <is>
          <t>library/009_amilla-fushi/dining_menu/2025_Lisa_Menu.pdf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2025_Pallavi-Sawant_Menu-1.pdf</t>
        </is>
      </c>
      <c r="E109" t="n">
        <v>2025</v>
      </c>
      <c r="H109" t="n">
        <v>2</v>
      </c>
      <c r="I109" t="n">
        <v>374</v>
      </c>
      <c r="J109" t="inlineStr">
        <is>
          <t>Y</t>
        </is>
      </c>
      <c r="K109" t="inlineStr">
        <is>
          <t>amilla.com</t>
        </is>
      </c>
      <c r="L109" t="inlineStr">
        <is>
          <t>official</t>
        </is>
      </c>
      <c r="M109" t="inlineStr">
        <is>
          <t>https://amilla.com/wp-content/uploads/Pallavi-Sawant_Menu-1.pdf</t>
        </is>
      </c>
      <c r="N109" t="inlineStr">
        <is>
          <t>https://amilla.com/wp-content/uploads/Pallavi-Sawant_Menu-1.pdf</t>
        </is>
      </c>
      <c r="O109" t="inlineStr">
        <is>
          <t>09bec42eb0549689873bb77b063ccb913bc93fa101060e7eb372d225abdd2632</t>
        </is>
      </c>
      <c r="P109" t="inlineStr">
        <is>
          <t>library/009_amilla-fushi/dining_menu/2025_Pallavi-Sawant_Menu-1.pdf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2025_Pallavi-Sawant_Menu.pdf</t>
        </is>
      </c>
      <c r="E110" t="n">
        <v>2025</v>
      </c>
      <c r="H110" t="n">
        <v>2</v>
      </c>
      <c r="I110" t="n">
        <v>361</v>
      </c>
      <c r="J110" t="inlineStr">
        <is>
          <t>Y</t>
        </is>
      </c>
      <c r="K110" t="inlineStr">
        <is>
          <t>amilla.com</t>
        </is>
      </c>
      <c r="L110" t="inlineStr">
        <is>
          <t>official</t>
        </is>
      </c>
      <c r="M110" t="inlineStr">
        <is>
          <t>https://amilla.com/wp-content/uploads/Pallavi-Sawant_Menu.pdf</t>
        </is>
      </c>
      <c r="N110" t="inlineStr">
        <is>
          <t>https://amilla.com/wp-content/uploads/Pallavi-Sawant_Menu.pdf</t>
        </is>
      </c>
      <c r="O110" t="inlineStr">
        <is>
          <t>bb7d6d5f29f618ee184e070aa18a8d2c0543ff21289a5a9df831a800c4b89921</t>
        </is>
      </c>
      <c r="P110" t="inlineStr">
        <is>
          <t>library/009_amilla-fushi/dining_menu/2025_Pallavi-Sawant_Menu.pdf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2025_Patience_Menu-1.pdf</t>
        </is>
      </c>
      <c r="E111" t="n">
        <v>2025</v>
      </c>
      <c r="H111" t="n">
        <v>2</v>
      </c>
      <c r="I111" t="n">
        <v>216</v>
      </c>
      <c r="J111" t="inlineStr">
        <is>
          <t>Y</t>
        </is>
      </c>
      <c r="K111" t="inlineStr">
        <is>
          <t>amilla.com</t>
        </is>
      </c>
      <c r="L111" t="inlineStr">
        <is>
          <t>official</t>
        </is>
      </c>
      <c r="M111" t="inlineStr">
        <is>
          <t>https://amilla.com/wp-content/uploads/Patience_Menu-1.pdf</t>
        </is>
      </c>
      <c r="N111" t="inlineStr">
        <is>
          <t>https://amilla.com/wp-content/uploads/Patience_Menu-1.pdf</t>
        </is>
      </c>
      <c r="O111" t="inlineStr">
        <is>
          <t>6189784ec0967047996ce2256625a13588880062b18fd39f8b0574ae10099aad</t>
        </is>
      </c>
      <c r="P111" t="inlineStr">
        <is>
          <t>library/009_amilla-fushi/dining_menu/2025_Patience_Menu-1.pdf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2025_Patience_Menu.pdf</t>
        </is>
      </c>
      <c r="E112" t="n">
        <v>2025</v>
      </c>
      <c r="H112" t="n">
        <v>2</v>
      </c>
      <c r="I112" t="n">
        <v>204</v>
      </c>
      <c r="J112" t="inlineStr">
        <is>
          <t>Y</t>
        </is>
      </c>
      <c r="K112" t="inlineStr">
        <is>
          <t>amilla.com</t>
        </is>
      </c>
      <c r="L112" t="inlineStr">
        <is>
          <t>official</t>
        </is>
      </c>
      <c r="M112" t="inlineStr">
        <is>
          <t>https://amilla.com/wp-content/uploads/Patience_Menu.pdf</t>
        </is>
      </c>
      <c r="N112" t="inlineStr">
        <is>
          <t>https://amilla.com/wp-content/uploads/Patience_Menu.pdf</t>
        </is>
      </c>
      <c r="O112" t="inlineStr">
        <is>
          <t>1d5173245b98c8e37a739876ad923929082e1f1c0e8089445dd11cee2a6ca1e2</t>
        </is>
      </c>
      <c r="P112" t="inlineStr">
        <is>
          <t>library/009_amilla-fushi/dining_menu/2025_Patience_Menu.pdf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2024_VP-Dr.-Tridendra-Service-Menu-2.pdf</t>
        </is>
      </c>
      <c r="E113" t="n">
        <v>2024</v>
      </c>
      <c r="H113" t="n">
        <v>2</v>
      </c>
      <c r="I113" t="n">
        <v>243</v>
      </c>
      <c r="J113" t="inlineStr">
        <is>
          <t>Y</t>
        </is>
      </c>
      <c r="K113" t="inlineStr">
        <is>
          <t>amilla.com</t>
        </is>
      </c>
      <c r="L113" t="inlineStr">
        <is>
          <t>official</t>
        </is>
      </c>
      <c r="M113" t="inlineStr">
        <is>
          <t>https://amilla.com/wp-content/uploads/VP-Dr.-Tridendra-Service-Menu-2.pdf</t>
        </is>
      </c>
      <c r="N113" t="inlineStr">
        <is>
          <t>https://amilla.com/wp-content/uploads/VP-Dr.-Tridendra-Service-Menu-2.pdf</t>
        </is>
      </c>
      <c r="O113" t="inlineStr">
        <is>
          <t>abcb00154c181d8b8f057fa72cbbea38e66d4049e953c966951c07ab963b8b44</t>
        </is>
      </c>
      <c r="P113" t="inlineStr">
        <is>
          <t>library/009_amilla-fushi/dining_menu/2024_VP-Dr.-Tridendra-Service-Menu-2.pdf</t>
        </is>
      </c>
      <c r="R113" t="inlineStr">
        <is>
          <t>outdated</t>
        </is>
      </c>
      <c r="S113" t="inlineStr">
        <is>
          <t>N</t>
        </is>
      </c>
      <c r="T113" t="inlineStr">
        <is>
          <t>matched</t>
        </is>
      </c>
      <c r="U113" t="inlineStr">
        <is>
          <t>2026-10-04</t>
        </is>
      </c>
      <c r="V113" t="inlineStr"/>
    </row>
    <row r="114">
      <c r="A114" t="n">
        <v>9</v>
      </c>
      <c r="B114" t="inlineStr">
        <is>
          <t>Amilla Fushi</t>
        </is>
      </c>
      <c r="C114" t="inlineStr">
        <is>
          <t>dining_menu</t>
        </is>
      </c>
      <c r="D114" t="inlineStr">
        <is>
          <t>2024_Umana-Noordeen_Menu.pdf</t>
        </is>
      </c>
      <c r="E114" t="n">
        <v>2024</v>
      </c>
      <c r="H114" t="n">
        <v>2</v>
      </c>
      <c r="I114" t="n">
        <v>300</v>
      </c>
      <c r="J114" t="inlineStr">
        <is>
          <t>Y</t>
        </is>
      </c>
      <c r="K114" t="inlineStr">
        <is>
          <t>amilla.com</t>
        </is>
      </c>
      <c r="L114" t="inlineStr">
        <is>
          <t>official</t>
        </is>
      </c>
      <c r="M114" t="inlineStr">
        <is>
          <t>https://amilla.com/wp-content/uploads/Umana-Noordeen_Menu.pdf</t>
        </is>
      </c>
      <c r="N114" t="inlineStr">
        <is>
          <t>https://amilla.com/wp-content/uploads/Umana-Noordeen_Menu.pdf</t>
        </is>
      </c>
      <c r="O114" t="inlineStr">
        <is>
          <t>f411c44b9381e6b441dad084b442b89dd2949ae277e4afe896ce535d0b7c62e8</t>
        </is>
      </c>
      <c r="P114" t="inlineStr">
        <is>
          <t>library/009_amilla-fushi/dining_menu/2024_Umana-Noordeen_Menu.pdf</t>
        </is>
      </c>
      <c r="R114" t="inlineStr">
        <is>
          <t>outdated</t>
        </is>
      </c>
      <c r="S114" t="inlineStr">
        <is>
          <t>N</t>
        </is>
      </c>
      <c r="T114" t="inlineStr">
        <is>
          <t>matched</t>
        </is>
      </c>
      <c r="U114" t="inlineStr">
        <is>
          <t>2026-10-04</t>
        </is>
      </c>
      <c r="V114" t="inlineStr"/>
    </row>
    <row r="115">
      <c r="A115" t="n">
        <v>9</v>
      </c>
      <c r="B115" t="inlineStr">
        <is>
          <t>Amilla Fushi</t>
        </is>
      </c>
      <c r="C115" t="inlineStr">
        <is>
          <t>dining_menu</t>
        </is>
      </c>
      <c r="D115" t="inlineStr">
        <is>
          <t>2024_Umana-Noordeen_Menu-1.pdf</t>
        </is>
      </c>
      <c r="E115" t="n">
        <v>2024</v>
      </c>
      <c r="H115" t="n">
        <v>2</v>
      </c>
      <c r="I115" t="n">
        <v>521</v>
      </c>
      <c r="J115" t="inlineStr">
        <is>
          <t>Y</t>
        </is>
      </c>
      <c r="K115" t="inlineStr">
        <is>
          <t>amilla.com</t>
        </is>
      </c>
      <c r="L115" t="inlineStr">
        <is>
          <t>official</t>
        </is>
      </c>
      <c r="M115" t="inlineStr">
        <is>
          <t>https://amilla.com/wp-content/uploads/Umana-Noordeen_Menu-1.pdf</t>
        </is>
      </c>
      <c r="N115" t="inlineStr">
        <is>
          <t>https://amilla.com/wp-content/uploads/Umana-Noordeen_Menu-1.pdf</t>
        </is>
      </c>
      <c r="O115" t="inlineStr">
        <is>
          <t>d30ce892564f4323ea97d3a264750f4fe564b074241cd75e31f8c0aefc193c68</t>
        </is>
      </c>
      <c r="P115" t="inlineStr">
        <is>
          <t>library/009_amilla-fushi/dining_menu/2024_Umana-Noordeen_Menu-1.pdf</t>
        </is>
      </c>
      <c r="R115" t="inlineStr">
        <is>
          <t>outdated</t>
        </is>
      </c>
      <c r="S115" t="inlineStr">
        <is>
          <t>N</t>
        </is>
      </c>
      <c r="T115" t="inlineStr">
        <is>
          <t>matched</t>
        </is>
      </c>
      <c r="U115" t="inlineStr">
        <is>
          <t>2026-10-04</t>
        </is>
      </c>
      <c r="V115" t="inlineStr"/>
    </row>
    <row r="116">
      <c r="A116" t="n">
        <v>9</v>
      </c>
      <c r="B116" t="inlineStr">
        <is>
          <t>Amilla Fushi</t>
        </is>
      </c>
      <c r="C116" t="inlineStr">
        <is>
          <t>dining_menu</t>
        </is>
      </c>
      <c r="D116" t="inlineStr">
        <is>
          <t>2024_VP-Dr.-Tridendra-Service-Menu-1.pdf</t>
        </is>
      </c>
      <c r="E116" t="n">
        <v>2024</v>
      </c>
      <c r="H116" t="n">
        <v>2</v>
      </c>
      <c r="I116" t="n">
        <v>266</v>
      </c>
      <c r="J116" t="inlineStr">
        <is>
          <t>Y</t>
        </is>
      </c>
      <c r="K116" t="inlineStr">
        <is>
          <t>amilla.com</t>
        </is>
      </c>
      <c r="L116" t="inlineStr">
        <is>
          <t>official</t>
        </is>
      </c>
      <c r="M116" t="inlineStr">
        <is>
          <t>https://amilla.com/wp-content/uploads/VP-Dr.-Tridendra-Service-Menu-1.pdf</t>
        </is>
      </c>
      <c r="N116" t="inlineStr">
        <is>
          <t>https://amilla.com/wp-content/uploads/VP-Dr.-Tridendra-Service-Menu-1.pdf</t>
        </is>
      </c>
      <c r="O116" t="inlineStr">
        <is>
          <t>491c943ce57c2a2b2f590c2af1866c7dadb38eadb1b744c515759cbca1d8789a</t>
        </is>
      </c>
      <c r="P116" t="inlineStr">
        <is>
          <t>library/009_amilla-fushi/dining_menu/2024_VP-Dr.-Tridendra-Service-Menu-1.pdf</t>
        </is>
      </c>
      <c r="R116" t="inlineStr">
        <is>
          <t>outdated</t>
        </is>
      </c>
      <c r="S116" t="inlineStr">
        <is>
          <t>N</t>
        </is>
      </c>
      <c r="T116" t="inlineStr">
        <is>
          <t>matched</t>
        </is>
      </c>
      <c r="U116" t="inlineStr">
        <is>
          <t>2026-10-04</t>
        </is>
      </c>
      <c r="V116" t="inlineStr"/>
    </row>
    <row r="117">
      <c r="A117" t="n">
        <v>9</v>
      </c>
      <c r="B117" t="inlineStr">
        <is>
          <t>Amilla Fushi</t>
        </is>
      </c>
      <c r="C117" t="inlineStr">
        <is>
          <t>dining_menu</t>
        </is>
      </c>
      <c r="D117" t="inlineStr">
        <is>
          <t>2024_DBI-Amilla-2024.pdf</t>
        </is>
      </c>
      <c r="E117" t="n">
        <v>2024</v>
      </c>
      <c r="H117" t="n">
        <v>18</v>
      </c>
      <c r="I117" t="n">
        <v>4756</v>
      </c>
      <c r="J117" t="inlineStr">
        <is>
          <t>Y</t>
        </is>
      </c>
      <c r="K117" t="inlineStr">
        <is>
          <t>amilla.com</t>
        </is>
      </c>
      <c r="L117" t="inlineStr">
        <is>
          <t>official</t>
        </is>
      </c>
      <c r="M117" t="inlineStr">
        <is>
          <t>https://amilla.com/wp-content/uploads/DBI-Amilla-2024.pdf</t>
        </is>
      </c>
      <c r="N117" t="inlineStr">
        <is>
          <t>https://amilla.com/wp-content/uploads/DBI-Amilla-2024.pdf</t>
        </is>
      </c>
      <c r="O117" t="inlineStr">
        <is>
          <t>f3b2bf04e133103d3854de0aed3b574f957350bb7b34d446c699114221f0a092</t>
        </is>
      </c>
      <c r="P117" t="inlineStr">
        <is>
          <t>library/009_amilla-fushi/dining_menu/2024_DBI-Amilla-2024.pdf</t>
        </is>
      </c>
      <c r="R117" t="inlineStr">
        <is>
          <t>outdated</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2024_VP-Dr.-Tridendra-Service-Menu.pdf</t>
        </is>
      </c>
      <c r="E118" t="n">
        <v>2024</v>
      </c>
      <c r="H118" t="n">
        <v>2</v>
      </c>
      <c r="I118" t="n">
        <v>266</v>
      </c>
      <c r="J118" t="inlineStr">
        <is>
          <t>Y</t>
        </is>
      </c>
      <c r="K118" t="inlineStr">
        <is>
          <t>amilla.com</t>
        </is>
      </c>
      <c r="L118" t="inlineStr">
        <is>
          <t>official</t>
        </is>
      </c>
      <c r="M118" t="inlineStr">
        <is>
          <t>https://amilla.com/wp-content/uploads/VP-Dr.-Tridendra-Service-Menu.pdf</t>
        </is>
      </c>
      <c r="N118" t="inlineStr">
        <is>
          <t>https://amilla.com/wp-content/uploads/VP-Dr.-Tridendra-Service-Menu.pdf</t>
        </is>
      </c>
      <c r="O118" t="inlineStr">
        <is>
          <t>52c6662e77026593283683fc002e28e2925c71eb834fb23a82dea7299cd279a5</t>
        </is>
      </c>
      <c r="P118" t="inlineStr">
        <is>
          <t>library/009_amilla-fushi/dining_menu/2024_VP-Dr.-Tridendra-Service-Menu.pdf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2024_Eid-al-Fitr-at-Amilla.pdf</t>
        </is>
      </c>
      <c r="E119" t="n">
        <v>2024</v>
      </c>
      <c r="H119" t="n">
        <v>1</v>
      </c>
      <c r="I119" t="n">
        <v>497</v>
      </c>
      <c r="J119" t="inlineStr">
        <is>
          <t>Y</t>
        </is>
      </c>
      <c r="K119" t="inlineStr">
        <is>
          <t>amilla.com</t>
        </is>
      </c>
      <c r="L119" t="inlineStr">
        <is>
          <t>official</t>
        </is>
      </c>
      <c r="M119" t="inlineStr">
        <is>
          <t>https://amilla.com/wp-content/uploads/Eid-al-Fitr-at-Amilla.pdf</t>
        </is>
      </c>
      <c r="N119" t="inlineStr">
        <is>
          <t>https://amilla.com/wp-content/uploads/Eid-al-Fitr-at-Amilla.pdf</t>
        </is>
      </c>
      <c r="O119" t="inlineStr">
        <is>
          <t>92d7cb125ef9ec34e59a76f771263b9b6f31ac079c6be284b0e97464010df104</t>
        </is>
      </c>
      <c r="P119" t="inlineStr">
        <is>
          <t>library/009_amilla-fushi/dining_menu/2024_Eid-al-Fitr-at-Amilla.pdf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2024_Elle-Lenka-Fernandes-Menu.pdf</t>
        </is>
      </c>
      <c r="E120" t="n">
        <v>2024</v>
      </c>
      <c r="H120" t="n">
        <v>2</v>
      </c>
      <c r="I120" t="n">
        <v>159</v>
      </c>
      <c r="J120" t="inlineStr">
        <is>
          <t>Y</t>
        </is>
      </c>
      <c r="K120" t="inlineStr">
        <is>
          <t>amilla.com</t>
        </is>
      </c>
      <c r="L120" t="inlineStr">
        <is>
          <t>official</t>
        </is>
      </c>
      <c r="M120" t="inlineStr">
        <is>
          <t>https://amilla.com/wp-content/uploads/Elle-Lenka-Fernandes-Menu.pdf</t>
        </is>
      </c>
      <c r="N120" t="inlineStr">
        <is>
          <t>https://amilla.com/wp-content/uploads/Elle-Lenka-Fernandes-Menu.pdf</t>
        </is>
      </c>
      <c r="O120" t="inlineStr">
        <is>
          <t>ae786440033a8d5cc14149cd78b4eebc02b478a95cb329df777b8f6ddbe8860f</t>
        </is>
      </c>
      <c r="P120" t="inlineStr">
        <is>
          <t>library/009_amilla-fushi/dining_menu/2024_Elle-Lenka-Fernandes-Menu.pdf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2023_East-WYW-Menu.pdf</t>
        </is>
      </c>
      <c r="E121" t="n">
        <v>2023</v>
      </c>
      <c r="H121" t="n">
        <v>7</v>
      </c>
      <c r="I121" t="n">
        <v>315</v>
      </c>
      <c r="J121" t="inlineStr">
        <is>
          <t>Y</t>
        </is>
      </c>
      <c r="K121" t="inlineStr">
        <is>
          <t>amilla.com</t>
        </is>
      </c>
      <c r="L121" t="inlineStr">
        <is>
          <t>official</t>
        </is>
      </c>
      <c r="M121" t="inlineStr">
        <is>
          <t>https://amilla.com/wp-content/uploads/East-WYW-Menu.pdf</t>
        </is>
      </c>
      <c r="N121" t="inlineStr">
        <is>
          <t>https://amilla.com/wp-content/uploads/East-WYW-Menu.pdf</t>
        </is>
      </c>
      <c r="O121" t="inlineStr">
        <is>
          <t>1a1300de3203f2e2bec7d2d2173a132edf6ef0d949a99f1ced3dde0956c4514c</t>
        </is>
      </c>
      <c r="P121" t="inlineStr">
        <is>
          <t>library/009_amilla-fushi/dining_menu/2023_East-WYW-Menu.pdf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2023_East-Menu.pdf</t>
        </is>
      </c>
      <c r="E122" t="n">
        <v>2023</v>
      </c>
      <c r="H122" t="n">
        <v>2</v>
      </c>
      <c r="I122" t="n">
        <v>297</v>
      </c>
      <c r="J122" t="inlineStr">
        <is>
          <t>Y</t>
        </is>
      </c>
      <c r="K122" t="inlineStr">
        <is>
          <t>amilla.com</t>
        </is>
      </c>
      <c r="L122" t="inlineStr">
        <is>
          <t>official</t>
        </is>
      </c>
      <c r="M122" t="inlineStr">
        <is>
          <t>https://amilla.com/wp-content/uploads/East-Menu.pdf</t>
        </is>
      </c>
      <c r="N122" t="inlineStr">
        <is>
          <t>https://amilla.com/wp-content/uploads/East-Menu.pdf</t>
        </is>
      </c>
      <c r="O122" t="inlineStr">
        <is>
          <t>a27c87dce601a8de88412133f18b944f521dcfd941a9ae81b5937fc8ed64181e</t>
        </is>
      </c>
      <c r="P122" t="inlineStr">
        <is>
          <t>library/009_amilla-fushi/dining_menu/2023_East-Menu.pdf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2023_Joes-Pizza-Menu.pdf</t>
        </is>
      </c>
      <c r="E123" t="n">
        <v>2023</v>
      </c>
      <c r="H123" t="n">
        <v>1</v>
      </c>
      <c r="I123" t="n">
        <v>668</v>
      </c>
      <c r="J123" t="inlineStr">
        <is>
          <t>Y</t>
        </is>
      </c>
      <c r="K123" t="inlineStr">
        <is>
          <t>amilla.com</t>
        </is>
      </c>
      <c r="L123" t="inlineStr">
        <is>
          <t>official</t>
        </is>
      </c>
      <c r="M123" t="inlineStr">
        <is>
          <t>https://amilla.com/wp-content/uploads/Joes-Pizza-Menu.pdf</t>
        </is>
      </c>
      <c r="N123" t="inlineStr">
        <is>
          <t>https://amilla.com/wp-content/uploads/Joes-Pizza-Menu.pdf</t>
        </is>
      </c>
      <c r="O123" t="inlineStr">
        <is>
          <t>dbfc140aa72090dd2899c9fc2f4c81ae4e79b811b145c69b20cefe62de1ff457</t>
        </is>
      </c>
      <c r="P123" t="inlineStr">
        <is>
          <t>library/009_amilla-fushi/dining_menu/2023_Joes-Pizza-Menu.pdf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2023_In-Villa-Home-Delivery-Menu.pdf</t>
        </is>
      </c>
      <c r="E124" t="n">
        <v>2023</v>
      </c>
      <c r="H124" t="n">
        <v>26</v>
      </c>
      <c r="I124" t="n">
        <v>9116</v>
      </c>
      <c r="J124" t="inlineStr">
        <is>
          <t>Y</t>
        </is>
      </c>
      <c r="K124" t="inlineStr">
        <is>
          <t>amilla.com</t>
        </is>
      </c>
      <c r="L124" t="inlineStr">
        <is>
          <t>official</t>
        </is>
      </c>
      <c r="M124" t="inlineStr">
        <is>
          <t>https://amilla.com/wp-content/uploads/In-Villa-Home-Delivery-Menu.pdf</t>
        </is>
      </c>
      <c r="N124" t="inlineStr">
        <is>
          <t>https://amilla.com/wp-content/uploads/In-Villa-Home-Delivery-Menu.pdf</t>
        </is>
      </c>
      <c r="O124" t="inlineStr">
        <is>
          <t>aad7a54b1e88e590d182305f4ff0e84e5fb951955903524ca8b66c9a3a513f82</t>
        </is>
      </c>
      <c r="P124" t="inlineStr">
        <is>
          <t>library/009_amilla-fushi/dining_menu/2023_In-Villa-Home-Delivery-Menu.pdf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2020_Wine-List.pdf</t>
        </is>
      </c>
      <c r="E125" t="n">
        <v>2020</v>
      </c>
      <c r="H125" t="n">
        <v>6</v>
      </c>
      <c r="I125" t="n">
        <v>315</v>
      </c>
      <c r="J125" t="inlineStr">
        <is>
          <t>Y</t>
        </is>
      </c>
      <c r="K125" t="inlineStr">
        <is>
          <t>amilla.com</t>
        </is>
      </c>
      <c r="L125" t="inlineStr">
        <is>
          <t>official</t>
        </is>
      </c>
      <c r="M125" t="inlineStr">
        <is>
          <t>https://amilla.com/wp-content/uploads/Wine-List.pdf</t>
        </is>
      </c>
      <c r="N125" t="inlineStr">
        <is>
          <t>https://amilla.com/wp-content/uploads/Wine-List.pdf</t>
        </is>
      </c>
      <c r="O125" t="inlineStr">
        <is>
          <t>9fb31674abfec0ec93851829d18e5cdccce692671e6c3ef4631296da7b7db280</t>
        </is>
      </c>
      <c r="P125" t="inlineStr">
        <is>
          <t>library/009_amilla-fushi/dining_menu/2020_Wine-List.pdf</t>
        </is>
      </c>
      <c r="R125" t="inlineStr">
        <is>
          <t>outdated</t>
        </is>
      </c>
      <c r="S125" t="inlineStr">
        <is>
          <t>N</t>
        </is>
      </c>
      <c r="T125" t="inlineStr">
        <is>
          <t>matched</t>
        </is>
      </c>
      <c r="U125" t="inlineStr">
        <is>
          <t>2026-10-04</t>
        </is>
      </c>
      <c r="V125" t="inlineStr"/>
    </row>
    <row r="126">
      <c r="A126" t="n">
        <v>9</v>
      </c>
      <c r="B126" t="inlineStr">
        <is>
          <t>Amilla Fushi</t>
        </is>
      </c>
      <c r="C126" t="inlineStr">
        <is>
          <t>dive_prices</t>
        </is>
      </c>
      <c r="D126" t="inlineStr">
        <is>
          <t>2025_GSTUPD_DBI-Amilla-WS-Price-List-2025_online.pdf</t>
        </is>
      </c>
      <c r="E126" t="n">
        <v>2025</v>
      </c>
      <c r="H126" t="n">
        <v>15</v>
      </c>
      <c r="I126" t="n">
        <v>2310</v>
      </c>
      <c r="J126" t="inlineStr">
        <is>
          <t>Y</t>
        </is>
      </c>
      <c r="K126" t="inlineStr">
        <is>
          <t>amilla.com</t>
        </is>
      </c>
      <c r="L126" t="inlineStr">
        <is>
          <t>official</t>
        </is>
      </c>
      <c r="M126" t="inlineStr">
        <is>
          <t>https://amilla.com/wp-content/uploads/GSTUPD_DBI-Amilla-WS-Price-List-2025_online.pdf</t>
        </is>
      </c>
      <c r="N126" t="inlineStr">
        <is>
          <t>https://amilla.com/wp-content/uploads/GSTUPD_DBI-Amilla-WS-Price-List-2025_online.pdf</t>
        </is>
      </c>
      <c r="O126" t="inlineStr">
        <is>
          <t>a16fad4103e7f4cc0a7fdfc3645a4838d1ce6045921a144ffdfbcfb77c1a22fd</t>
        </is>
      </c>
      <c r="P126" t="inlineStr">
        <is>
          <t>library/009_amilla-fushi/dive_prices/2025_GSTUPD_DBI-Amilla-WS-Price-List-2025_online.pdf</t>
        </is>
      </c>
      <c r="R126" t="inlineStr">
        <is>
          <t>current</t>
        </is>
      </c>
      <c r="S126" t="inlineStr">
        <is>
          <t>Y</t>
        </is>
      </c>
      <c r="T126" t="inlineStr">
        <is>
          <t>matched</t>
        </is>
      </c>
      <c r="U126" t="inlineStr">
        <is>
          <t>2026-10-04</t>
        </is>
      </c>
      <c r="V126" t="inlineStr"/>
    </row>
    <row r="127">
      <c r="A127" t="n">
        <v>9</v>
      </c>
      <c r="B127" t="inlineStr">
        <is>
          <t>Amilla Fushi</t>
        </is>
      </c>
      <c r="C127" t="inlineStr">
        <is>
          <t>dive_prices</t>
        </is>
      </c>
      <c r="D127" t="inlineStr">
        <is>
          <t>2025_Sports-Fishing-2025.pdf</t>
        </is>
      </c>
      <c r="E127" t="n">
        <v>2025</v>
      </c>
      <c r="H127" t="n">
        <v>7</v>
      </c>
      <c r="I127" t="n">
        <v>598</v>
      </c>
      <c r="J127" t="inlineStr">
        <is>
          <t>Y</t>
        </is>
      </c>
      <c r="K127" t="inlineStr">
        <is>
          <t>amilla.com</t>
        </is>
      </c>
      <c r="L127" t="inlineStr">
        <is>
          <t>official</t>
        </is>
      </c>
      <c r="M127" t="inlineStr">
        <is>
          <t>https://amilla.com/wp-content/uploads/Sports-Fishing-2025.pdf</t>
        </is>
      </c>
      <c r="N127" t="inlineStr">
        <is>
          <t>https://amilla.com/wp-content/uploads/Sports-Fishing-2025.pdf</t>
        </is>
      </c>
      <c r="O127" t="inlineStr">
        <is>
          <t>0e98291911f7e62e2bc40acb6865daee2e7a2ca392ab4b0c380f09bba664dda3</t>
        </is>
      </c>
      <c r="P127" t="inlineStr">
        <is>
          <t>library/009_amilla-fushi/dive_prices/2025_Sports-Fishing-2025.pdf</t>
        </is>
      </c>
      <c r="R127" t="inlineStr">
        <is>
          <t>current</t>
        </is>
      </c>
      <c r="S127" t="inlineStr">
        <is>
          <t>N</t>
        </is>
      </c>
      <c r="T127" t="inlineStr">
        <is>
          <t>matched</t>
        </is>
      </c>
      <c r="U127" t="inlineStr">
        <is>
          <t>2026-10-04</t>
        </is>
      </c>
      <c r="V127" t="inlineStr"/>
    </row>
    <row r="128">
      <c r="A128" t="n">
        <v>9</v>
      </c>
      <c r="B128" t="inlineStr">
        <is>
          <t>Amilla Fushi</t>
        </is>
      </c>
      <c r="C128" t="inlineStr">
        <is>
          <t>dive_prices</t>
        </is>
      </c>
      <c r="D128" t="inlineStr">
        <is>
          <t>2024_Marine-Life-Information.pdf</t>
        </is>
      </c>
      <c r="E128" t="n">
        <v>2024</v>
      </c>
      <c r="H128" t="n">
        <v>11</v>
      </c>
      <c r="I128" t="n">
        <v>3038</v>
      </c>
      <c r="J128" t="inlineStr">
        <is>
          <t>Y</t>
        </is>
      </c>
      <c r="K128" t="inlineStr">
        <is>
          <t>amilla.com</t>
        </is>
      </c>
      <c r="L128" t="inlineStr">
        <is>
          <t>official</t>
        </is>
      </c>
      <c r="M128" t="inlineStr">
        <is>
          <t>https://amilla.com/wp-content/uploads/Marine-Life-Information.pdf</t>
        </is>
      </c>
      <c r="N128" t="inlineStr">
        <is>
          <t>https://amilla.com/wp-content/uploads/Marine-Life-Information.pdf</t>
        </is>
      </c>
      <c r="O128" t="inlineStr">
        <is>
          <t>0382fff749e13fb5f3b5162c1a5d2f49a42c336568d77b820c83ca50e29c02a3</t>
        </is>
      </c>
      <c r="P128" t="inlineStr">
        <is>
          <t>library/009_amilla-fushi/dive_prices/2024_Marine-Life-Information.pdf</t>
        </is>
      </c>
      <c r="R128" t="inlineStr">
        <is>
          <t>outdated</t>
        </is>
      </c>
      <c r="S128" t="inlineStr">
        <is>
          <t>N</t>
        </is>
      </c>
      <c r="T128" t="inlineStr">
        <is>
          <t>matched</t>
        </is>
      </c>
      <c r="U128" t="inlineStr">
        <is>
          <t>2026-10-04</t>
        </is>
      </c>
      <c r="V128" t="inlineStr"/>
    </row>
    <row r="129">
      <c r="A129" t="n">
        <v>9</v>
      </c>
      <c r="B129" t="inlineStr">
        <is>
          <t>Amilla Fushi</t>
        </is>
      </c>
      <c r="C129" t="inlineStr">
        <is>
          <t>dive_prices</t>
        </is>
      </c>
      <c r="D129" t="inlineStr">
        <is>
          <t>2024_Snorkelling-at-Amilla-01.pdf</t>
        </is>
      </c>
      <c r="E129" t="n">
        <v>2024</v>
      </c>
      <c r="H129" t="n">
        <v>2</v>
      </c>
      <c r="I129" t="n">
        <v>1316</v>
      </c>
      <c r="J129" t="inlineStr">
        <is>
          <t>Y</t>
        </is>
      </c>
      <c r="K129" t="inlineStr">
        <is>
          <t>amilla.com</t>
        </is>
      </c>
      <c r="L129" t="inlineStr">
        <is>
          <t>official</t>
        </is>
      </c>
      <c r="M129" t="inlineStr">
        <is>
          <t>https://amilla.com/wp-content/uploads/Snorkelling-at-Amilla-01.pdf</t>
        </is>
      </c>
      <c r="N129" t="inlineStr">
        <is>
          <t>https://amilla.com/wp-content/uploads/Snorkelling-at-Amilla-01.pdf</t>
        </is>
      </c>
      <c r="O129" t="inlineStr">
        <is>
          <t>134fb76922f439b00bb018ea7b479240495595d6118fa517013cee01b175de75</t>
        </is>
      </c>
      <c r="P129" t="inlineStr">
        <is>
          <t>library/009_amilla-fushi/dive_prices/2024_Snorkelling-at-Amilla-01.pdf</t>
        </is>
      </c>
      <c r="R129" t="inlineStr">
        <is>
          <t>outdated</t>
        </is>
      </c>
      <c r="S129" t="inlineStr">
        <is>
          <t>N</t>
        </is>
      </c>
      <c r="T129" t="inlineStr">
        <is>
          <t>matched</t>
        </is>
      </c>
      <c r="U129" t="inlineStr">
        <is>
          <t>2026-10-04</t>
        </is>
      </c>
      <c r="V129" t="inlineStr"/>
    </row>
    <row r="130">
      <c r="A130" t="n">
        <v>9</v>
      </c>
      <c r="B130" t="inlineStr">
        <is>
          <t>Amilla Fushi</t>
        </is>
      </c>
      <c r="C130" t="inlineStr">
        <is>
          <t>dive_prices</t>
        </is>
      </c>
      <c r="D130" t="inlineStr">
        <is>
          <t>2023_Amilla-Penguin-Journey.pdf</t>
        </is>
      </c>
      <c r="E130" t="n">
        <v>2023</v>
      </c>
      <c r="H130" t="n">
        <v>1</v>
      </c>
      <c r="I130" t="n">
        <v>892</v>
      </c>
      <c r="J130" t="inlineStr">
        <is>
          <t>Y</t>
        </is>
      </c>
      <c r="K130" t="inlineStr">
        <is>
          <t>amilla.com</t>
        </is>
      </c>
      <c r="L130" t="inlineStr">
        <is>
          <t>official</t>
        </is>
      </c>
      <c r="M130" t="inlineStr">
        <is>
          <t>https://amilla.com/wp-content/uploads/Amilla-Penguin-Journey.pdf</t>
        </is>
      </c>
      <c r="N130" t="inlineStr">
        <is>
          <t>https://amilla.com/wp-content/uploads/Amilla-Penguin-Journey.pdf</t>
        </is>
      </c>
      <c r="O130" t="inlineStr">
        <is>
          <t>7d2cf3b5a980c6f5b0c2011ec5690961197487b3ea0e1a45ee21411b0d3e117c</t>
        </is>
      </c>
      <c r="P130" t="inlineStr">
        <is>
          <t>library/009_amilla-fushi/dive_prices/2023_Amilla-Penguin-Journey.pdf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2023_DBI-Amilla-Watersports.pdf</t>
        </is>
      </c>
      <c r="E131" t="n">
        <v>2023</v>
      </c>
      <c r="H131" t="n">
        <v>3</v>
      </c>
      <c r="I131" t="n">
        <v>7647</v>
      </c>
      <c r="J131" t="inlineStr">
        <is>
          <t>Y</t>
        </is>
      </c>
      <c r="K131" t="inlineStr">
        <is>
          <t>amilla.com</t>
        </is>
      </c>
      <c r="L131" t="inlineStr">
        <is>
          <t>official</t>
        </is>
      </c>
      <c r="M131" t="inlineStr">
        <is>
          <t>https://amilla.com/wp-content/uploads/DBI-Amilla-Watersports.pdf</t>
        </is>
      </c>
      <c r="N131" t="inlineStr">
        <is>
          <t>https://amilla.com/wp-content/uploads/DBI-Amilla-Watersports.pdf</t>
        </is>
      </c>
      <c r="O131" t="inlineStr">
        <is>
          <t>234f8222ae618b4f507b1e72db0447872fbc3566180e4f1951314e20a8eb9aff</t>
        </is>
      </c>
      <c r="P131" t="inlineStr">
        <is>
          <t>library/009_amilla-fushi/dive_prices/2023_DBI-Amilla-Watersports.pdf</t>
        </is>
      </c>
      <c r="R131" t="inlineStr">
        <is>
          <t>outdated</t>
        </is>
      </c>
      <c r="S131" t="inlineStr">
        <is>
          <t>N</t>
        </is>
      </c>
      <c r="T131" t="inlineStr">
        <is>
          <t>matched</t>
        </is>
      </c>
      <c r="U131" t="inlineStr">
        <is>
          <t>2026-10-04</t>
        </is>
      </c>
      <c r="V131" t="inlineStr"/>
    </row>
    <row r="132">
      <c r="A132" t="n">
        <v>9</v>
      </c>
      <c r="B132" t="inlineStr">
        <is>
          <t>Amilla Fushi</t>
        </is>
      </c>
      <c r="C132" t="inlineStr">
        <is>
          <t>dive_prices</t>
        </is>
      </c>
      <c r="D132" t="inlineStr">
        <is>
          <t>2011_DBI-Amilla-Compendium-Diving-Rates.pdf</t>
        </is>
      </c>
      <c r="E132" t="n">
        <v>2011</v>
      </c>
      <c r="H132" t="n">
        <v>25</v>
      </c>
      <c r="I132" t="n">
        <v>1613</v>
      </c>
      <c r="J132" t="inlineStr">
        <is>
          <t>Y</t>
        </is>
      </c>
      <c r="K132" t="inlineStr">
        <is>
          <t>amilla.com</t>
        </is>
      </c>
      <c r="L132" t="inlineStr">
        <is>
          <t>official</t>
        </is>
      </c>
      <c r="M132" t="inlineStr">
        <is>
          <t>https://amilla.com/wp-content/uploads/DBI-Amilla-Compendium-Diving-Rates.pdf</t>
        </is>
      </c>
      <c r="N132" t="inlineStr">
        <is>
          <t>https://amilla.com/wp-content/uploads/DBI-Amilla-Compendium-Diving-Rates.pdf</t>
        </is>
      </c>
      <c r="O132" t="inlineStr">
        <is>
          <t>ce3ee1670d66600cf3b453a9041ada45e83ccbad659d948a41a98ab5c65959f7</t>
        </is>
      </c>
      <c r="P132" t="inlineStr">
        <is>
          <t>library/009_amilla-fushi/dive_prices/2011_DBI-Amilla-Compendium-Diving-Rates.pdf</t>
        </is>
      </c>
      <c r="R132" t="inlineStr">
        <is>
          <t>outdated</t>
        </is>
      </c>
      <c r="S132" t="inlineStr">
        <is>
          <t>N</t>
        </is>
      </c>
      <c r="T132" t="inlineStr">
        <is>
          <t>matched</t>
        </is>
      </c>
      <c r="U132" t="inlineStr">
        <is>
          <t>2026-10-04</t>
        </is>
      </c>
      <c r="V132" t="inlineStr"/>
    </row>
    <row r="133">
      <c r="A133" t="n">
        <v>9</v>
      </c>
      <c r="B133" t="inlineStr">
        <is>
          <t>Amilla Fushi</t>
        </is>
      </c>
      <c r="C133" t="inlineStr">
        <is>
          <t>excursions</t>
        </is>
      </c>
      <c r="D133" t="inlineStr">
        <is>
          <t>2025_Excursions_-September-2025.pdf</t>
        </is>
      </c>
      <c r="E133" t="n">
        <v>2025</v>
      </c>
      <c r="H133" t="n">
        <v>3</v>
      </c>
      <c r="I133" t="n">
        <v>418</v>
      </c>
      <c r="J133" t="inlineStr">
        <is>
          <t>Y</t>
        </is>
      </c>
      <c r="K133" t="inlineStr">
        <is>
          <t>amilla.com</t>
        </is>
      </c>
      <c r="L133" t="inlineStr">
        <is>
          <t>official</t>
        </is>
      </c>
      <c r="M133" t="inlineStr">
        <is>
          <t>https://amilla.com/wp-content/uploads/Excursions_-September-2025.pdf</t>
        </is>
      </c>
      <c r="N133" t="inlineStr">
        <is>
          <t>https://amilla.com/wp-content/uploads/Excursions_-September-2025.pdf</t>
        </is>
      </c>
      <c r="O133" t="inlineStr">
        <is>
          <t>26e14d964532cb09480541d1f420273ff5b63fb67cf19a6f31b7af11aa61a18c</t>
        </is>
      </c>
      <c r="P133" t="inlineStr">
        <is>
          <t>library/009_amilla-fushi/excursions/2025_Excursions_-September-2025.pdf</t>
        </is>
      </c>
      <c r="R133" t="inlineStr">
        <is>
          <t>current</t>
        </is>
      </c>
      <c r="S133" t="inlineStr">
        <is>
          <t>Y</t>
        </is>
      </c>
      <c r="T133" t="inlineStr">
        <is>
          <t>matched</t>
        </is>
      </c>
      <c r="U133" t="inlineStr">
        <is>
          <t>2026-10-04</t>
        </is>
      </c>
      <c r="V133" t="inlineStr"/>
    </row>
    <row r="134">
      <c r="A134" t="n">
        <v>9</v>
      </c>
      <c r="B134" t="inlineStr">
        <is>
          <t>Amilla Fushi</t>
        </is>
      </c>
      <c r="C134" t="inlineStr">
        <is>
          <t>excursions</t>
        </is>
      </c>
      <c r="D134" t="inlineStr">
        <is>
          <t>2025_Excursions_2025-2-1.pdf</t>
        </is>
      </c>
      <c r="E134" t="n">
        <v>2025</v>
      </c>
      <c r="H134" t="n">
        <v>3</v>
      </c>
      <c r="I134" t="n">
        <v>458</v>
      </c>
      <c r="J134" t="inlineStr">
        <is>
          <t>Y</t>
        </is>
      </c>
      <c r="K134" t="inlineStr">
        <is>
          <t>amilla.com</t>
        </is>
      </c>
      <c r="L134" t="inlineStr">
        <is>
          <t>official</t>
        </is>
      </c>
      <c r="M134" t="inlineStr">
        <is>
          <t>https://amilla.com/wp-content/uploads/Excursions_2025-2-1.pdf</t>
        </is>
      </c>
      <c r="N134" t="inlineStr">
        <is>
          <t>https://amilla.com/wp-content/uploads/Excursions_2025-2-1.pdf | https://amilla.com/wp-content/uploads/Excursions_2025-2.pdf</t>
        </is>
      </c>
      <c r="O134" t="inlineStr">
        <is>
          <t>3425cb4d732c0389dbb0c607e6a0a7b44895f5fd5c4028574061c6d07f33ead5</t>
        </is>
      </c>
      <c r="P134" t="inlineStr">
        <is>
          <t>library/009_amilla-fushi/excursions/2025_Excursions_2025-2-1.pdf</t>
        </is>
      </c>
      <c r="R134" t="inlineStr">
        <is>
          <t>current</t>
        </is>
      </c>
      <c r="S134" t="inlineStr">
        <is>
          <t>N</t>
        </is>
      </c>
      <c r="T134" t="inlineStr">
        <is>
          <t>matched</t>
        </is>
      </c>
      <c r="U134" t="inlineStr">
        <is>
          <t>2026-10-04</t>
        </is>
      </c>
      <c r="V134" t="inlineStr"/>
    </row>
    <row r="135">
      <c r="A135" t="n">
        <v>9</v>
      </c>
      <c r="B135" t="inlineStr">
        <is>
          <t>Amilla Fushi</t>
        </is>
      </c>
      <c r="C135" t="inlineStr">
        <is>
          <t>excursions</t>
        </is>
      </c>
      <c r="D135" t="inlineStr">
        <is>
          <t>2024_Earth-Day-at-Amilla-2024.pdf</t>
        </is>
      </c>
      <c r="E135" t="n">
        <v>2024</v>
      </c>
      <c r="H135" t="n">
        <v>1</v>
      </c>
      <c r="I135" t="n">
        <v>522</v>
      </c>
      <c r="J135" t="inlineStr">
        <is>
          <t>Y</t>
        </is>
      </c>
      <c r="K135" t="inlineStr">
        <is>
          <t>amilla.com</t>
        </is>
      </c>
      <c r="L135" t="inlineStr">
        <is>
          <t>official</t>
        </is>
      </c>
      <c r="M135" t="inlineStr">
        <is>
          <t>https://amilla.com/wp-content/uploads/Earth-Day-at-Amilla-2024.pdf</t>
        </is>
      </c>
      <c r="N135" t="inlineStr">
        <is>
          <t>https://amilla.com/wp-content/uploads/Earth-Day-at-Amilla-2024.pdf</t>
        </is>
      </c>
      <c r="O135" t="inlineStr">
        <is>
          <t>84b6cf65a7892b858e2a4b7fab2585f9c8b270bc25f87336bd943b184380fb20</t>
        </is>
      </c>
      <c r="P135" t="inlineStr">
        <is>
          <t>library/009_amilla-fushi/excursions/2024_Earth-Day-at-Amilla-2024.pdf</t>
        </is>
      </c>
      <c r="R135" t="inlineStr">
        <is>
          <t>outdated</t>
        </is>
      </c>
      <c r="S135" t="inlineStr">
        <is>
          <t>N</t>
        </is>
      </c>
      <c r="T135" t="inlineStr">
        <is>
          <t>matched</t>
        </is>
      </c>
      <c r="U135" t="inlineStr">
        <is>
          <t>2026-10-04</t>
        </is>
      </c>
      <c r="V135" t="inlineStr"/>
    </row>
    <row r="136">
      <c r="A136" t="n">
        <v>9</v>
      </c>
      <c r="B136" t="inlineStr">
        <is>
          <t>Amilla Fushi</t>
        </is>
      </c>
      <c r="C136" t="inlineStr">
        <is>
          <t>kids</t>
        </is>
      </c>
      <c r="D136" t="inlineStr">
        <is>
          <t>2025_Tennis-1.pdf</t>
        </is>
      </c>
      <c r="E136" t="n">
        <v>2025</v>
      </c>
      <c r="H136" t="n">
        <v>1</v>
      </c>
      <c r="I136" t="n">
        <v>1421</v>
      </c>
      <c r="J136" t="inlineStr">
        <is>
          <t>Y</t>
        </is>
      </c>
      <c r="K136" t="inlineStr">
        <is>
          <t>amilla.com</t>
        </is>
      </c>
      <c r="L136" t="inlineStr">
        <is>
          <t>official</t>
        </is>
      </c>
      <c r="M136" t="inlineStr">
        <is>
          <t>https://amilla.com/wp-content/uploads/Tennis-1.pdf</t>
        </is>
      </c>
      <c r="N136" t="inlineStr">
        <is>
          <t>https://amilla.com/wp-content/uploads/Tennis-1.pdf</t>
        </is>
      </c>
      <c r="O136" t="inlineStr">
        <is>
          <t>cf64b42b1388f8801cafce1bf7e59e99bc0ecca72c4d77b6f6d06f5dc5b9af58</t>
        </is>
      </c>
      <c r="P136" t="inlineStr">
        <is>
          <t>library/009_amilla-fushi/kids/2025_Tennis-1.pdf</t>
        </is>
      </c>
      <c r="R136" t="inlineStr">
        <is>
          <t>current</t>
        </is>
      </c>
      <c r="S136" t="inlineStr">
        <is>
          <t>Y</t>
        </is>
      </c>
      <c r="T136" t="inlineStr">
        <is>
          <t>matched</t>
        </is>
      </c>
      <c r="U136" t="inlineStr">
        <is>
          <t>2026-10-04</t>
        </is>
      </c>
      <c r="V136" t="inlineStr"/>
    </row>
    <row r="137">
      <c r="A137" t="n">
        <v>9</v>
      </c>
      <c r="B137" t="inlineStr">
        <is>
          <t>Amilla Fushi</t>
        </is>
      </c>
      <c r="C137" t="inlineStr">
        <is>
          <t>kids</t>
        </is>
      </c>
      <c r="D137" t="inlineStr">
        <is>
          <t>2024_Kids-Club-Schedule_2024.pdf</t>
        </is>
      </c>
      <c r="E137" t="n">
        <v>2024</v>
      </c>
      <c r="H137" t="n">
        <v>2</v>
      </c>
      <c r="I137" t="n">
        <v>216</v>
      </c>
      <c r="J137" t="inlineStr">
        <is>
          <t>Y</t>
        </is>
      </c>
      <c r="K137" t="inlineStr">
        <is>
          <t>amilla.com</t>
        </is>
      </c>
      <c r="L137" t="inlineStr">
        <is>
          <t>official</t>
        </is>
      </c>
      <c r="M137" t="inlineStr">
        <is>
          <t>https://amilla.com/wp-content/uploads/Kids-Club-Schedule_2024.pdf</t>
        </is>
      </c>
      <c r="N137" t="inlineStr">
        <is>
          <t>https://amilla.com/wp-content/uploads/Kids-Club-Schedule_2024.pdf</t>
        </is>
      </c>
      <c r="O137" t="inlineStr">
        <is>
          <t>038050272549bdd9795c8cc51cff23784aa7a3e73e9e61b213b92d8cacaea8e4</t>
        </is>
      </c>
      <c r="P137" t="inlineStr">
        <is>
          <t>library/009_amilla-fushi/kids/2024_Kids-Club-Schedule_2024.pdf</t>
        </is>
      </c>
      <c r="R137" t="inlineStr">
        <is>
          <t>outdated</t>
        </is>
      </c>
      <c r="S137" t="inlineStr">
        <is>
          <t>N</t>
        </is>
      </c>
      <c r="T137" t="inlineStr">
        <is>
          <t>matched</t>
        </is>
      </c>
      <c r="U137" t="inlineStr">
        <is>
          <t>2026-10-04</t>
        </is>
      </c>
      <c r="V137" t="inlineStr"/>
    </row>
    <row r="138">
      <c r="A138" t="n">
        <v>9</v>
      </c>
      <c r="B138" t="inlineStr">
        <is>
          <t>Amilla Fushi</t>
        </is>
      </c>
      <c r="C138" t="inlineStr">
        <is>
          <t>kids</t>
        </is>
      </c>
      <c r="D138" t="inlineStr">
        <is>
          <t>2024_Tennis_Vlad_2024.pdf</t>
        </is>
      </c>
      <c r="E138" t="n">
        <v>2024</v>
      </c>
      <c r="H138" t="n">
        <v>1</v>
      </c>
      <c r="I138" t="n">
        <v>1487</v>
      </c>
      <c r="J138" t="inlineStr">
        <is>
          <t>Y</t>
        </is>
      </c>
      <c r="K138" t="inlineStr">
        <is>
          <t>amilla.com</t>
        </is>
      </c>
      <c r="L138" t="inlineStr">
        <is>
          <t>official</t>
        </is>
      </c>
      <c r="M138" t="inlineStr">
        <is>
          <t>https://amilla.com/wp-content/uploads/Tennis_Vlad_2024.pdf</t>
        </is>
      </c>
      <c r="N138" t="inlineStr">
        <is>
          <t>https://amilla.com/wp-content/uploads/Tennis_Vlad_2024.pdf</t>
        </is>
      </c>
      <c r="O138" t="inlineStr">
        <is>
          <t>a68d17cf46131a3fa6fe6e13dac1e6eb6047630c1c9669ab39c440b5810d8ad8</t>
        </is>
      </c>
      <c r="P138" t="inlineStr">
        <is>
          <t>library/009_amilla-fushi/kids/2024_Tennis_Vlad_2024.pdf</t>
        </is>
      </c>
      <c r="R138" t="inlineStr">
        <is>
          <t>outdated</t>
        </is>
      </c>
      <c r="S138" t="inlineStr">
        <is>
          <t>N</t>
        </is>
      </c>
      <c r="T138" t="inlineStr">
        <is>
          <t>matched</t>
        </is>
      </c>
      <c r="U138" t="inlineStr">
        <is>
          <t>2026-10-04</t>
        </is>
      </c>
      <c r="V138" t="inlineStr"/>
    </row>
    <row r="139">
      <c r="A139" t="n">
        <v>9</v>
      </c>
      <c r="B139" t="inlineStr">
        <is>
          <t>Amilla Fushi</t>
        </is>
      </c>
      <c r="C139" t="inlineStr">
        <is>
          <t>kids</t>
        </is>
      </c>
      <c r="D139" t="inlineStr">
        <is>
          <t>2023_Tennis.pdf</t>
        </is>
      </c>
      <c r="E139" t="n">
        <v>2023</v>
      </c>
      <c r="H139" t="n">
        <v>1</v>
      </c>
      <c r="I139" t="n">
        <v>1393</v>
      </c>
      <c r="J139" t="inlineStr">
        <is>
          <t>Y</t>
        </is>
      </c>
      <c r="K139" t="inlineStr">
        <is>
          <t>amilla.com</t>
        </is>
      </c>
      <c r="L139" t="inlineStr">
        <is>
          <t>official</t>
        </is>
      </c>
      <c r="M139" t="inlineStr">
        <is>
          <t>https://amilla.com/wp-content/uploads/Tennis.pdf</t>
        </is>
      </c>
      <c r="N139" t="inlineStr">
        <is>
          <t>https://amilla.com/wp-content/uploads/Tennis.pdf</t>
        </is>
      </c>
      <c r="O139" t="inlineStr">
        <is>
          <t>4a74be1913d5106c5a62598a6c30da30226700e0d9b27c33fbde4d28f1335fb1</t>
        </is>
      </c>
      <c r="P139" t="inlineStr">
        <is>
          <t>library/009_amilla-fushi/kids/2023_Tennis.pdf</t>
        </is>
      </c>
      <c r="R139" t="inlineStr">
        <is>
          <t>outdated</t>
        </is>
      </c>
      <c r="S139" t="inlineStr">
        <is>
          <t>N</t>
        </is>
      </c>
      <c r="T139" t="inlineStr">
        <is>
          <t>matched</t>
        </is>
      </c>
      <c r="U139" t="inlineStr">
        <is>
          <t>2026-10-04</t>
        </is>
      </c>
      <c r="V139" t="inlineStr"/>
    </row>
    <row r="140">
      <c r="A140" t="n">
        <v>9</v>
      </c>
      <c r="B140" t="inlineStr">
        <is>
          <t>Amilla Fushi</t>
        </is>
      </c>
      <c r="C140" t="inlineStr">
        <is>
          <t>villa_plans</t>
        </is>
      </c>
      <c r="D140" t="inlineStr">
        <is>
          <t>2026_Accessibility-Inclusivity_2026.pdf</t>
        </is>
      </c>
      <c r="E140" t="n">
        <v>2026</v>
      </c>
      <c r="H140" t="n">
        <v>6</v>
      </c>
      <c r="I140" t="n">
        <v>2247</v>
      </c>
      <c r="J140" t="inlineStr">
        <is>
          <t>Y</t>
        </is>
      </c>
      <c r="K140" t="inlineStr">
        <is>
          <t>amilla.com</t>
        </is>
      </c>
      <c r="L140" t="inlineStr">
        <is>
          <t>official</t>
        </is>
      </c>
      <c r="M140" t="inlineStr">
        <is>
          <t>https://amilla.com/wp-content/uploads/Accessibility-Inclusivity_2026.pdf</t>
        </is>
      </c>
      <c r="N140" t="inlineStr">
        <is>
          <t>https://amilla.com/wp-content/uploads/Accessibility-Inclusivity_2026.pdf</t>
        </is>
      </c>
      <c r="O140" t="inlineStr">
        <is>
          <t>5d6ec2cb3dd7f90f349168366790baff90a9a032b3d4f153d778fdd3e155cd9a</t>
        </is>
      </c>
      <c r="P140" t="inlineStr">
        <is>
          <t>library/009_amilla-fushi/villa_plans/2026_Accessibility-Inclusivity_2026.pdf</t>
        </is>
      </c>
      <c r="R140" t="inlineStr">
        <is>
          <t>current</t>
        </is>
      </c>
      <c r="S140" t="inlineStr">
        <is>
          <t>Y</t>
        </is>
      </c>
      <c r="T140" t="inlineStr">
        <is>
          <t>matched</t>
        </is>
      </c>
      <c r="U140" t="inlineStr">
        <is>
          <t>2026-10-04</t>
        </is>
      </c>
      <c r="V140" t="inlineStr"/>
    </row>
    <row r="141">
      <c r="A141" t="n">
        <v>9</v>
      </c>
      <c r="B141" t="inlineStr">
        <is>
          <t>Amilla Fushi</t>
        </is>
      </c>
      <c r="C141" t="inlineStr">
        <is>
          <t>villa_plans</t>
        </is>
      </c>
      <c r="D141" t="inlineStr">
        <is>
          <t>2025_Four-Bedroom-Residence-.pdf</t>
        </is>
      </c>
      <c r="E141" t="n">
        <v>2025</v>
      </c>
      <c r="H141" t="n">
        <v>2</v>
      </c>
      <c r="I141" t="n">
        <v>6294</v>
      </c>
      <c r="J141" t="inlineStr">
        <is>
          <t>N</t>
        </is>
      </c>
      <c r="K141" t="inlineStr">
        <is>
          <t>amilla.com</t>
        </is>
      </c>
      <c r="L141" t="inlineStr">
        <is>
          <t>official</t>
        </is>
      </c>
      <c r="M141" t="inlineStr">
        <is>
          <t>https://amilla.com/wp-content/uploads/Four-Bedroom-Residence-.pdf</t>
        </is>
      </c>
      <c r="N141" t="inlineStr">
        <is>
          <t>https://amilla.com/wp-content/uploads/Four-Bedroom-Residence-.pdf</t>
        </is>
      </c>
      <c r="O141" t="inlineStr">
        <is>
          <t>916e2a6dc0ad87e3d032556ba020442c95637f6f855a66550f9b1d8fe4e0968d</t>
        </is>
      </c>
      <c r="P141" t="inlineStr">
        <is>
          <t>library/009_amilla-fushi/villa_plans/2025_Four-Bedroom-Residence-.pdf</t>
        </is>
      </c>
      <c r="R141" t="inlineStr">
        <is>
          <t>current</t>
        </is>
      </c>
      <c r="S141" t="inlineStr">
        <is>
          <t>N</t>
        </is>
      </c>
      <c r="T141" t="inlineStr">
        <is>
          <t>matched</t>
        </is>
      </c>
      <c r="U141" t="inlineStr">
        <is>
          <t>2026-10-04</t>
        </is>
      </c>
      <c r="V141" t="inlineStr"/>
    </row>
    <row r="142">
      <c r="A142" t="n">
        <v>9</v>
      </c>
      <c r="B142" t="inlineStr">
        <is>
          <t>Amilla Fushi</t>
        </is>
      </c>
      <c r="C142" t="inlineStr">
        <is>
          <t>villa_plans</t>
        </is>
      </c>
      <c r="D142" t="inlineStr">
        <is>
          <t>2025_The-Great-Beach-Residence.pdf</t>
        </is>
      </c>
      <c r="E142" t="n">
        <v>2025</v>
      </c>
      <c r="H142" t="n">
        <v>2</v>
      </c>
      <c r="I142" t="n">
        <v>6410</v>
      </c>
      <c r="J142" t="inlineStr">
        <is>
          <t>N</t>
        </is>
      </c>
      <c r="K142" t="inlineStr">
        <is>
          <t>amilla.com</t>
        </is>
      </c>
      <c r="L142" t="inlineStr">
        <is>
          <t>official</t>
        </is>
      </c>
      <c r="M142" t="inlineStr">
        <is>
          <t>https://amilla.com/wp-content/uploads/The-Great-Beach-Residence.pdf</t>
        </is>
      </c>
      <c r="N142" t="inlineStr">
        <is>
          <t>https://amilla.com/wp-content/uploads/The-Great-Beach-Residence.pdf</t>
        </is>
      </c>
      <c r="O142" t="inlineStr">
        <is>
          <t>4c97a2e690993cc917f951cf5d97e4c6f0dada94cd76a48c1978c52b6cfb89a8</t>
        </is>
      </c>
      <c r="P142" t="inlineStr">
        <is>
          <t>library/009_amilla-fushi/villa_plans/2025_The-Great-Beach-Residence.pdf</t>
        </is>
      </c>
      <c r="R142" t="inlineStr">
        <is>
          <t>current</t>
        </is>
      </c>
      <c r="S142" t="inlineStr">
        <is>
          <t>N</t>
        </is>
      </c>
      <c r="T142" t="inlineStr">
        <is>
          <t>matched</t>
        </is>
      </c>
      <c r="U142" t="inlineStr">
        <is>
          <t>2026-10-04</t>
        </is>
      </c>
      <c r="V142" t="inlineStr"/>
    </row>
    <row r="143">
      <c r="A143" t="n">
        <v>9</v>
      </c>
      <c r="B143" t="inlineStr">
        <is>
          <t>Amilla Fushi</t>
        </is>
      </c>
      <c r="C143" t="inlineStr">
        <is>
          <t>villa_plans</t>
        </is>
      </c>
      <c r="D143" t="inlineStr">
        <is>
          <t>2022_Fatcheet-Amilla-Maldives-Resort-and-Residences.pdf</t>
        </is>
      </c>
      <c r="E143" t="n">
        <v>2022</v>
      </c>
      <c r="H143" t="n">
        <v>3</v>
      </c>
      <c r="I143" t="n">
        <v>708</v>
      </c>
      <c r="J143" t="inlineStr">
        <is>
          <t>Y</t>
        </is>
      </c>
      <c r="K143" t="inlineStr">
        <is>
          <t>neoscapesmaldives.com</t>
        </is>
      </c>
      <c r="L143" t="inlineStr">
        <is>
          <t>dmc-agency</t>
        </is>
      </c>
      <c r="M143" t="inlineStr">
        <is>
          <t>https://www.neoscapesmaldives.com/wp-content/uploads/Fatcheet-Amilla-Maldives-Resort-and-Residences.pdf</t>
        </is>
      </c>
      <c r="N143" t="inlineStr">
        <is>
          <t>https://www.neoscapesmaldives.com/wp-content/uploads/Fatcheet-Amilla-Maldives-Resort-and-Residences.pdf</t>
        </is>
      </c>
      <c r="O143" t="inlineStr">
        <is>
          <t>074e637d7db166970972d1c5137ebfb87cc1142febadf8df6968e3291a14869e</t>
        </is>
      </c>
      <c r="P143" t="inlineStr">
        <is>
          <t>library/009_amilla-fushi/villa_plans/2022_Fatcheet-Amilla-Maldives-Resort-and-Residences.pdf</t>
        </is>
      </c>
      <c r="R143" t="inlineStr">
        <is>
          <t>outdated</t>
        </is>
      </c>
      <c r="S143" t="inlineStr">
        <is>
          <t>N</t>
        </is>
      </c>
      <c r="T143" t="inlineStr">
        <is>
          <t>matched</t>
        </is>
      </c>
      <c r="U143" t="inlineStr">
        <is>
          <t>2026-10-04</t>
        </is>
      </c>
      <c r="V143" t="inlineStr"/>
    </row>
    <row r="144">
      <c r="A144" t="n">
        <v>9</v>
      </c>
      <c r="B144" t="inlineStr">
        <is>
          <t>Amilla Fushi</t>
        </is>
      </c>
      <c r="C144" t="inlineStr">
        <is>
          <t>all_inclusive</t>
        </is>
      </c>
      <c r="D144" t="inlineStr">
        <is>
          <t>2025_Meal-Plans-2025-Updated.pdf</t>
        </is>
      </c>
      <c r="E144" t="n">
        <v>2025</v>
      </c>
      <c r="H144" t="n">
        <v>2</v>
      </c>
      <c r="I144" t="n">
        <v>96</v>
      </c>
      <c r="J144" t="inlineStr">
        <is>
          <t>Y</t>
        </is>
      </c>
      <c r="K144" t="inlineStr">
        <is>
          <t>amilla.com</t>
        </is>
      </c>
      <c r="L144" t="inlineStr">
        <is>
          <t>official</t>
        </is>
      </c>
      <c r="M144" t="inlineStr">
        <is>
          <t>https://amilla.com/wp-content/uploads/Meal-Plans-2025-Updated.pdf</t>
        </is>
      </c>
      <c r="N144" t="inlineStr">
        <is>
          <t>https://amilla.com/wp-content/uploads/Meal-Plans-2025-Updated.pdf | https://amilla.com/wp-content/uploads/Amilla-Maldives-Meal-Plans-2026.pdf</t>
        </is>
      </c>
      <c r="O144" t="inlineStr">
        <is>
          <t>d86650416ae42f1a3762a45e9029c35856294fb1573d34ad51eb9fcc8de21657</t>
        </is>
      </c>
      <c r="P144" t="inlineStr">
        <is>
          <t>library/009_amilla-fushi/all_inclusive/2025_Meal-Plans-2025-Updated.pdf</t>
        </is>
      </c>
      <c r="R144" t="inlineStr">
        <is>
          <t>current</t>
        </is>
      </c>
      <c r="S144" t="inlineStr">
        <is>
          <t>N</t>
        </is>
      </c>
      <c r="T144" t="inlineStr">
        <is>
          <t>matched</t>
        </is>
      </c>
      <c r="U144" t="inlineStr">
        <is>
          <t>2026-10-04</t>
        </is>
      </c>
      <c r="V144" t="inlineStr"/>
    </row>
    <row r="145">
      <c r="A145" t="n">
        <v>9</v>
      </c>
      <c r="B145" t="inlineStr">
        <is>
          <t>Amilla Fushi</t>
        </is>
      </c>
      <c r="C145" t="inlineStr">
        <is>
          <t>all_inclusive</t>
        </is>
      </c>
      <c r="D145" t="inlineStr">
        <is>
          <t>2025_Bluejay_Packages_v3.pdf</t>
        </is>
      </c>
      <c r="E145" t="n">
        <v>2025</v>
      </c>
      <c r="H145" t="n">
        <v>4</v>
      </c>
      <c r="I145" t="n">
        <v>619</v>
      </c>
      <c r="J145" t="inlineStr">
        <is>
          <t>Y</t>
        </is>
      </c>
      <c r="K145" t="inlineStr">
        <is>
          <t>amilla.com</t>
        </is>
      </c>
      <c r="L145" t="inlineStr">
        <is>
          <t>official</t>
        </is>
      </c>
      <c r="M145" t="inlineStr">
        <is>
          <t>https://amilla.com/wp-content/uploads/Bluejay_Packages_v3.pdf</t>
        </is>
      </c>
      <c r="N145" t="inlineStr">
        <is>
          <t>https://amilla.com/wp-content/uploads/Bluejay_Packages_v3.pdf</t>
        </is>
      </c>
      <c r="O145" t="inlineStr">
        <is>
          <t>3f84e7a2859a05dc143b93ec46ca2c03edec046de5a95dc13a324d5588ae4893</t>
        </is>
      </c>
      <c r="P145" t="inlineStr">
        <is>
          <t>library/009_amilla-fushi/all_inclusive/2025_Bluejay_Packages_v3.pdf</t>
        </is>
      </c>
      <c r="R145" t="inlineStr">
        <is>
          <t>current</t>
        </is>
      </c>
      <c r="S145" t="inlineStr">
        <is>
          <t>Y</t>
        </is>
      </c>
      <c r="T145" t="inlineStr">
        <is>
          <t>matched</t>
        </is>
      </c>
      <c r="U145" t="inlineStr">
        <is>
          <t>2026-10-04</t>
        </is>
      </c>
      <c r="V145" t="inlineStr"/>
    </row>
    <row r="146">
      <c r="A146" t="n">
        <v>9</v>
      </c>
      <c r="B146" t="inlineStr">
        <is>
          <t>Amilla Fushi</t>
        </is>
      </c>
      <c r="C146" t="inlineStr">
        <is>
          <t>all_inclusive</t>
        </is>
      </c>
      <c r="D146" t="inlineStr">
        <is>
          <t>2024_Bluejay-Photography-Packages.pdf</t>
        </is>
      </c>
      <c r="E146" t="n">
        <v>2024</v>
      </c>
      <c r="H146" t="n">
        <v>4</v>
      </c>
      <c r="I146" t="n">
        <v>235</v>
      </c>
      <c r="J146" t="inlineStr">
        <is>
          <t>Y</t>
        </is>
      </c>
      <c r="K146" t="inlineStr">
        <is>
          <t>amilla.com</t>
        </is>
      </c>
      <c r="L146" t="inlineStr">
        <is>
          <t>official</t>
        </is>
      </c>
      <c r="M146" t="inlineStr">
        <is>
          <t>https://amilla.com/wp-content/uploads/Bluejay-Photography-Packages.pdf</t>
        </is>
      </c>
      <c r="N146" t="inlineStr">
        <is>
          <t>https://amilla.com/wp-content/uploads/Bluejay-Photography-Packages.pdf</t>
        </is>
      </c>
      <c r="O146" t="inlineStr">
        <is>
          <t>f8ce19c101455eb8f5cc087c2b3c53804fbe710d8532c75e09678911d918ac76</t>
        </is>
      </c>
      <c r="P146" t="inlineStr">
        <is>
          <t>library/009_amilla-fushi/all_inclusive/2024_Bluejay-Photography-Packages.pdf</t>
        </is>
      </c>
      <c r="R146" t="inlineStr">
        <is>
          <t>outdated</t>
        </is>
      </c>
      <c r="S146" t="inlineStr">
        <is>
          <t>N</t>
        </is>
      </c>
      <c r="T146" t="inlineStr">
        <is>
          <t>matched</t>
        </is>
      </c>
      <c r="U146" t="inlineStr">
        <is>
          <t>2026-10-04</t>
        </is>
      </c>
      <c r="V146" t="inlineStr"/>
    </row>
    <row r="147">
      <c r="A147" t="n">
        <v>9</v>
      </c>
      <c r="B147" t="inlineStr">
        <is>
          <t>Amilla Fushi</t>
        </is>
      </c>
      <c r="C147" t="inlineStr">
        <is>
          <t>all_inclusive</t>
        </is>
      </c>
      <c r="D147" t="inlineStr">
        <is>
          <t>2023_Inclusive-travel-accessibility.pdf</t>
        </is>
      </c>
      <c r="E147" t="n">
        <v>2023</v>
      </c>
      <c r="H147" t="n">
        <v>6</v>
      </c>
      <c r="I147" t="n">
        <v>940</v>
      </c>
      <c r="J147" t="inlineStr">
        <is>
          <t>Y</t>
        </is>
      </c>
      <c r="K147" t="inlineStr">
        <is>
          <t>amilla.com</t>
        </is>
      </c>
      <c r="L147" t="inlineStr">
        <is>
          <t>official</t>
        </is>
      </c>
      <c r="M147" t="inlineStr">
        <is>
          <t>https://amilla.com/wp-content/uploads/Inclusive-travel-accessibility.pdf</t>
        </is>
      </c>
      <c r="N147" t="inlineStr">
        <is>
          <t>https://amilla.com/wp-content/uploads/Inclusive-travel-accessibility.pdf</t>
        </is>
      </c>
      <c r="O147" t="inlineStr">
        <is>
          <t>a1ffe90d32647b1545f513de1e9cbae200311ff0b34efa412bcbaf56306e4302</t>
        </is>
      </c>
      <c r="P147" t="inlineStr">
        <is>
          <t>library/009_amilla-fushi/all_inclusive/2023_Inclusive-travel-accessibility.pdf</t>
        </is>
      </c>
      <c r="R147" t="inlineStr">
        <is>
          <t>outdated</t>
        </is>
      </c>
      <c r="S147" t="inlineStr">
        <is>
          <t>N</t>
        </is>
      </c>
      <c r="T147" t="inlineStr">
        <is>
          <t>matched</t>
        </is>
      </c>
      <c r="U147" t="inlineStr">
        <is>
          <t>2026-10-04</t>
        </is>
      </c>
      <c r="V147" t="inlineStr"/>
    </row>
    <row r="148">
      <c r="A148" t="n">
        <v>9</v>
      </c>
      <c r="B148" t="inlineStr">
        <is>
          <t>Amilla Fushi</t>
        </is>
      </c>
      <c r="C148" t="inlineStr">
        <is>
          <t>sustainability</t>
        </is>
      </c>
      <c r="D148" t="inlineStr">
        <is>
          <t>2026_World-Sea-Turtle-Day-Flyer.pdf</t>
        </is>
      </c>
      <c r="E148" t="n">
        <v>2026</v>
      </c>
      <c r="H148" t="n">
        <v>1</v>
      </c>
      <c r="I148" t="n">
        <v>2599</v>
      </c>
      <c r="J148" t="inlineStr">
        <is>
          <t>Y</t>
        </is>
      </c>
      <c r="K148" t="inlineStr">
        <is>
          <t>amilla.com</t>
        </is>
      </c>
      <c r="L148" t="inlineStr">
        <is>
          <t>official</t>
        </is>
      </c>
      <c r="M148" t="inlineStr">
        <is>
          <t>https://amilla.com/wp-content/uploads/World-Sea-Turtle-Day-Flyer.pdf</t>
        </is>
      </c>
      <c r="N148" t="inlineStr">
        <is>
          <t>https://amilla.com/wp-content/uploads/World-Sea-Turtle-Day-Flyer.pdf</t>
        </is>
      </c>
      <c r="O148" t="inlineStr">
        <is>
          <t>88c702ccb5c011b33ac9f9efb51fa1b8b478970e151927bd392bbd965596b8ef</t>
        </is>
      </c>
      <c r="P148" t="inlineStr">
        <is>
          <t>library/009_amilla-fushi/sustainability/2026_World-Sea-Turtle-Day-Flyer.pdf</t>
        </is>
      </c>
      <c r="R148" t="inlineStr">
        <is>
          <t>current</t>
        </is>
      </c>
      <c r="S148" t="inlineStr">
        <is>
          <t>N</t>
        </is>
      </c>
      <c r="T148" t="inlineStr">
        <is>
          <t>matched</t>
        </is>
      </c>
      <c r="U148" t="inlineStr">
        <is>
          <t>2026-10-04</t>
        </is>
      </c>
      <c r="V148" t="inlineStr"/>
    </row>
    <row r="149">
      <c r="A149" t="n">
        <v>9</v>
      </c>
      <c r="B149" t="inlineStr">
        <is>
          <t>Amilla Fushi</t>
        </is>
      </c>
      <c r="C149" t="inlineStr">
        <is>
          <t>sustainability</t>
        </is>
      </c>
      <c r="D149" t="inlineStr">
        <is>
          <t>2026_Amilla-Maldives_Sustainability_2026.pdf</t>
        </is>
      </c>
      <c r="E149" t="n">
        <v>2026</v>
      </c>
      <c r="H149" t="n">
        <v>4</v>
      </c>
      <c r="I149" t="n">
        <v>2560</v>
      </c>
      <c r="J149" t="inlineStr">
        <is>
          <t>Y</t>
        </is>
      </c>
      <c r="K149" t="inlineStr">
        <is>
          <t>amilla.com</t>
        </is>
      </c>
      <c r="L149" t="inlineStr">
        <is>
          <t>official</t>
        </is>
      </c>
      <c r="M149" t="inlineStr">
        <is>
          <t>https://amilla.com/wp-content/uploads/Amilla-Maldives_Sustainability_2026.pdf</t>
        </is>
      </c>
      <c r="N149" t="inlineStr">
        <is>
          <t>https://amilla.com/wp-content/uploads/Amilla-Maldives_Sustainability_2026.pdf</t>
        </is>
      </c>
      <c r="O149" t="inlineStr">
        <is>
          <t>b443dd440d6820ecaceb36d8a82925ad1631ecd2446dcdf41d1345fdec07a62c</t>
        </is>
      </c>
      <c r="P149" t="inlineStr">
        <is>
          <t>library/009_amilla-fushi/sustainability/2026_Amilla-Maldives_Sustainability_2026.pdf</t>
        </is>
      </c>
      <c r="R149" t="inlineStr">
        <is>
          <t>current</t>
        </is>
      </c>
      <c r="S149" t="inlineStr">
        <is>
          <t>Y</t>
        </is>
      </c>
      <c r="T149" t="inlineStr">
        <is>
          <t>matched</t>
        </is>
      </c>
      <c r="U149" t="inlineStr">
        <is>
          <t>2026-10-04</t>
        </is>
      </c>
      <c r="V149" t="inlineStr"/>
    </row>
    <row r="150">
      <c r="A150" t="n">
        <v>9</v>
      </c>
      <c r="B150" t="inlineStr">
        <is>
          <t>Amilla Fushi</t>
        </is>
      </c>
      <c r="C150" t="inlineStr">
        <is>
          <t>calendar</t>
        </is>
      </c>
      <c r="D150" t="inlineStr">
        <is>
          <t>2024_Orthodox-Easter_2024.pdf</t>
        </is>
      </c>
      <c r="E150" t="n">
        <v>2024</v>
      </c>
      <c r="H150" t="n">
        <v>1</v>
      </c>
      <c r="I150" t="n">
        <v>162</v>
      </c>
      <c r="J150" t="inlineStr">
        <is>
          <t>Y</t>
        </is>
      </c>
      <c r="K150" t="inlineStr">
        <is>
          <t>amilla.com</t>
        </is>
      </c>
      <c r="L150" t="inlineStr">
        <is>
          <t>official</t>
        </is>
      </c>
      <c r="M150" t="inlineStr">
        <is>
          <t>https://amilla.com/wp-content/uploads/Orthodox-Easter_2024.pdf</t>
        </is>
      </c>
      <c r="N150" t="inlineStr">
        <is>
          <t>https://amilla.com/wp-content/uploads/Orthodox-Easter_2024.pdf</t>
        </is>
      </c>
      <c r="O150" t="inlineStr">
        <is>
          <t>6382de2bc74ec1f5ee4566a8325ff4829f3a428433d1df758a5a7dffa33fd2fa</t>
        </is>
      </c>
      <c r="P150" t="inlineStr">
        <is>
          <t>library/009_amilla-fushi/calendar/2024_Orthodox-Easter_2024.pdf</t>
        </is>
      </c>
      <c r="R150" t="inlineStr">
        <is>
          <t>outdated</t>
        </is>
      </c>
      <c r="S150" t="inlineStr">
        <is>
          <t>Y</t>
        </is>
      </c>
      <c r="T150" t="inlineStr">
        <is>
          <t>matched</t>
        </is>
      </c>
      <c r="U150" t="inlineStr">
        <is>
          <t>2026-10-04</t>
        </is>
      </c>
      <c r="V150" t="inlineStr"/>
    </row>
    <row r="151">
      <c r="A151" t="n">
        <v>9</v>
      </c>
      <c r="B151" t="inlineStr">
        <is>
          <t>Amilla Fushi</t>
        </is>
      </c>
      <c r="C151" t="inlineStr">
        <is>
          <t>calendar</t>
        </is>
      </c>
      <c r="D151" t="inlineStr">
        <is>
          <t>2024_Chinese-New-Year-2024.pdf</t>
        </is>
      </c>
      <c r="E151" t="n">
        <v>2024</v>
      </c>
      <c r="H151" t="n">
        <v>1</v>
      </c>
      <c r="I151" t="n">
        <v>585</v>
      </c>
      <c r="J151" t="inlineStr">
        <is>
          <t>Y</t>
        </is>
      </c>
      <c r="K151" t="inlineStr">
        <is>
          <t>amilla.com</t>
        </is>
      </c>
      <c r="L151" t="inlineStr">
        <is>
          <t>official</t>
        </is>
      </c>
      <c r="M151" t="inlineStr">
        <is>
          <t>https://amilla.com/wp-content/uploads/Chinese-New-Year-2024.pdf</t>
        </is>
      </c>
      <c r="N151" t="inlineStr">
        <is>
          <t>https://amilla.com/wp-content/uploads/Chinese-New-Year-2024.pdf</t>
        </is>
      </c>
      <c r="O151" t="inlineStr">
        <is>
          <t>cb1df5fa1c32ec40f0e6a3f4b871ec7fda22c4c5e4d5b5c62896acf43c0a04c7</t>
        </is>
      </c>
      <c r="P151" t="inlineStr">
        <is>
          <t>library/009_amilla-fushi/calendar/2024_Chinese-New-Year-2024.pdf</t>
        </is>
      </c>
      <c r="R151" t="inlineStr">
        <is>
          <t>outdated</t>
        </is>
      </c>
      <c r="S151" t="inlineStr">
        <is>
          <t>N</t>
        </is>
      </c>
      <c r="T151" t="inlineStr">
        <is>
          <t>matched</t>
        </is>
      </c>
      <c r="U151" t="inlineStr">
        <is>
          <t>2026-10-04</t>
        </is>
      </c>
      <c r="V151" t="inlineStr"/>
    </row>
    <row r="152">
      <c r="A152" t="n">
        <v>9</v>
      </c>
      <c r="B152" t="inlineStr">
        <is>
          <t>Amilla Fushi</t>
        </is>
      </c>
      <c r="C152" t="inlineStr">
        <is>
          <t>calendar</t>
        </is>
      </c>
      <c r="D152" t="inlineStr">
        <is>
          <t>2023_Pause-Retreat.pdf</t>
        </is>
      </c>
      <c r="E152" t="n">
        <v>2023</v>
      </c>
      <c r="H152" t="n">
        <v>6</v>
      </c>
      <c r="I152" t="n">
        <v>2879</v>
      </c>
      <c r="J152" t="inlineStr">
        <is>
          <t>Y</t>
        </is>
      </c>
      <c r="K152" t="inlineStr">
        <is>
          <t>amilla.com</t>
        </is>
      </c>
      <c r="L152" t="inlineStr">
        <is>
          <t>official</t>
        </is>
      </c>
      <c r="M152" t="inlineStr">
        <is>
          <t>https://amilla.com/wp-content/uploads/Pause-Retreat.pdf</t>
        </is>
      </c>
      <c r="N152" t="inlineStr">
        <is>
          <t>https://amilla.com/wp-content/uploads/Pause-Retreat.pdf</t>
        </is>
      </c>
      <c r="O152" t="inlineStr">
        <is>
          <t>f3f7f0305171accb354ec52bdcbfc46e173e31471dd1b14564f809800faead49</t>
        </is>
      </c>
      <c r="P152" t="inlineStr">
        <is>
          <t>library/009_amilla-fushi/calendar/2023_Pause-Retreat.pdf</t>
        </is>
      </c>
      <c r="R152" t="inlineStr">
        <is>
          <t>outdated</t>
        </is>
      </c>
      <c r="S152" t="inlineStr">
        <is>
          <t>N</t>
        </is>
      </c>
      <c r="T152" t="inlineStr">
        <is>
          <t>matched</t>
        </is>
      </c>
      <c r="U152" t="inlineStr">
        <is>
          <t>2026-10-04</t>
        </is>
      </c>
      <c r="V152" t="inlineStr"/>
    </row>
    <row r="153">
      <c r="A153" t="n">
        <v>9</v>
      </c>
      <c r="B153" t="inlineStr">
        <is>
          <t>Amilla Fushi</t>
        </is>
      </c>
      <c r="C153" t="inlineStr">
        <is>
          <t>brochure</t>
        </is>
      </c>
      <c r="D153" t="inlineStr">
        <is>
          <t>2026_International-Coffee-Day-2026-Final.pdf</t>
        </is>
      </c>
      <c r="E153" t="n">
        <v>2026</v>
      </c>
      <c r="H153" t="n">
        <v>1</v>
      </c>
      <c r="I153" t="n">
        <v>363</v>
      </c>
      <c r="J153" t="inlineStr">
        <is>
          <t>Y</t>
        </is>
      </c>
      <c r="K153" t="inlineStr">
        <is>
          <t>amilla.com</t>
        </is>
      </c>
      <c r="L153" t="inlineStr">
        <is>
          <t>official</t>
        </is>
      </c>
      <c r="M153" t="inlineStr">
        <is>
          <t>https://amilla.com/wp-content/uploads/International-Coffee-Day-2026-Final.pdf</t>
        </is>
      </c>
      <c r="N153" t="inlineStr">
        <is>
          <t>https://amilla.com/wp-content/uploads/International-Coffee-Day-2026-Final.pdf</t>
        </is>
      </c>
      <c r="O153" t="inlineStr">
        <is>
          <t>46f4836c5ac9084b8181ecf757149d837919af4624709411a92354f98bf87021</t>
        </is>
      </c>
      <c r="P153" t="inlineStr">
        <is>
          <t>library/009_amilla-fushi/brochure/2026_International-Coffee-Day-2026-Final.pdf</t>
        </is>
      </c>
      <c r="R153" t="inlineStr">
        <is>
          <t>current</t>
        </is>
      </c>
      <c r="S153" t="inlineStr">
        <is>
          <t>Y</t>
        </is>
      </c>
      <c r="T153" t="inlineStr">
        <is>
          <t>matched</t>
        </is>
      </c>
      <c r="U153" t="inlineStr">
        <is>
          <t>2026-10-04</t>
        </is>
      </c>
      <c r="V153" t="inlineStr"/>
    </row>
    <row r="154">
      <c r="A154" t="n">
        <v>9</v>
      </c>
      <c r="B154" t="inlineStr">
        <is>
          <t>Amilla Fushi</t>
        </is>
      </c>
      <c r="C154" t="inlineStr">
        <is>
          <t>brochure</t>
        </is>
      </c>
      <c r="D154" t="inlineStr">
        <is>
          <t>2026_Flyer-_-Dr.-Lim.pdf</t>
        </is>
      </c>
      <c r="E154" t="n">
        <v>2026</v>
      </c>
      <c r="H154" t="n">
        <v>1</v>
      </c>
      <c r="I154" t="n">
        <v>463</v>
      </c>
      <c r="J154" t="inlineStr">
        <is>
          <t>Y</t>
        </is>
      </c>
      <c r="K154" t="inlineStr">
        <is>
          <t>amilla.com</t>
        </is>
      </c>
      <c r="L154" t="inlineStr">
        <is>
          <t>official</t>
        </is>
      </c>
      <c r="M154" t="inlineStr">
        <is>
          <t>https://amilla.com/wp-content/uploads/Flyer-_-Dr.-Lim.pdf</t>
        </is>
      </c>
      <c r="N154" t="inlineStr">
        <is>
          <t>https://amilla.com/wp-content/uploads/Flyer-_-Dr.-Lim.pdf</t>
        </is>
      </c>
      <c r="O154" t="inlineStr">
        <is>
          <t>f921eadad747927457903c403e220b18d75d2363d090bc17d37e9add1656c7ec</t>
        </is>
      </c>
      <c r="P154" t="inlineStr">
        <is>
          <t>library/009_amilla-fushi/brochure/2026_Flyer-_-Dr.-Lim.pdf</t>
        </is>
      </c>
      <c r="R154" t="inlineStr">
        <is>
          <t>current</t>
        </is>
      </c>
      <c r="S154" t="inlineStr">
        <is>
          <t>N</t>
        </is>
      </c>
      <c r="T154" t="inlineStr">
        <is>
          <t>matched</t>
        </is>
      </c>
      <c r="U154" t="inlineStr">
        <is>
          <t>2026-10-04</t>
        </is>
      </c>
      <c r="V154" t="inlineStr"/>
    </row>
    <row r="155">
      <c r="A155" t="n">
        <v>9</v>
      </c>
      <c r="B155" t="inlineStr">
        <is>
          <t>Amilla Fushi</t>
        </is>
      </c>
      <c r="C155" t="inlineStr">
        <is>
          <t>brochure</t>
        </is>
      </c>
      <c r="D155" t="inlineStr">
        <is>
          <t>2026_Flyer-_-Dr.-Tridendra-1.pdf</t>
        </is>
      </c>
      <c r="E155" t="n">
        <v>2026</v>
      </c>
      <c r="H155" t="n">
        <v>1</v>
      </c>
      <c r="I155" t="n">
        <v>543</v>
      </c>
      <c r="J155" t="inlineStr">
        <is>
          <t>Y</t>
        </is>
      </c>
      <c r="K155" t="inlineStr">
        <is>
          <t>amilla.com</t>
        </is>
      </c>
      <c r="L155" t="inlineStr">
        <is>
          <t>official</t>
        </is>
      </c>
      <c r="M155" t="inlineStr">
        <is>
          <t>https://amilla.com/wp-content/uploads/Flyer-_-Dr.-Tridendra-1.pdf</t>
        </is>
      </c>
      <c r="N155" t="inlineStr">
        <is>
          <t>https://amilla.com/wp-content/uploads/Flyer-_-Dr.-Tridendra-1.pdf</t>
        </is>
      </c>
      <c r="O155" t="inlineStr">
        <is>
          <t>72f2759948a93c78f812a92a77452265161f4cfd70ee5245763632ae7c914583</t>
        </is>
      </c>
      <c r="P155" t="inlineStr">
        <is>
          <t>library/009_amilla-fushi/brochure/2026_Flyer-_-Dr.-Tridendra-1.pdf</t>
        </is>
      </c>
      <c r="R155" t="inlineStr">
        <is>
          <t>current</t>
        </is>
      </c>
      <c r="S155" t="inlineStr">
        <is>
          <t>N</t>
        </is>
      </c>
      <c r="T155" t="inlineStr">
        <is>
          <t>matched</t>
        </is>
      </c>
      <c r="U155" t="inlineStr">
        <is>
          <t>2026-10-04</t>
        </is>
      </c>
      <c r="V155" t="inlineStr"/>
    </row>
    <row r="156">
      <c r="A156" t="n">
        <v>9</v>
      </c>
      <c r="B156" t="inlineStr">
        <is>
          <t>Amilla Fushi</t>
        </is>
      </c>
      <c r="C156" t="inlineStr">
        <is>
          <t>brochure</t>
        </is>
      </c>
      <c r="D156" t="inlineStr">
        <is>
          <t>2026_Flyer-_-Dr.-Lim-2.pdf</t>
        </is>
      </c>
      <c r="E156" t="n">
        <v>2026</v>
      </c>
      <c r="H156" t="n">
        <v>1</v>
      </c>
      <c r="I156" t="n">
        <v>463</v>
      </c>
      <c r="J156" t="inlineStr">
        <is>
          <t>Y</t>
        </is>
      </c>
      <c r="K156" t="inlineStr">
        <is>
          <t>amilla.com</t>
        </is>
      </c>
      <c r="L156" t="inlineStr">
        <is>
          <t>official</t>
        </is>
      </c>
      <c r="M156" t="inlineStr">
        <is>
          <t>https://amilla.com/wp-content/uploads/Flyer-_-Dr.-Lim-2.pdf</t>
        </is>
      </c>
      <c r="N156" t="inlineStr">
        <is>
          <t>https://amilla.com/wp-content/uploads/Flyer-_-Dr.-Lim-2.pdf</t>
        </is>
      </c>
      <c r="O156" t="inlineStr">
        <is>
          <t>0d5927179e4e0e2830a080aec724e24f5954353cd5431bafb2e3734634c27b98</t>
        </is>
      </c>
      <c r="P156" t="inlineStr">
        <is>
          <t>library/009_amilla-fushi/brochure/2026_Flyer-_-Dr.-Lim-2.pdf</t>
        </is>
      </c>
      <c r="R156" t="inlineStr">
        <is>
          <t>current</t>
        </is>
      </c>
      <c r="S156" t="inlineStr">
        <is>
          <t>N</t>
        </is>
      </c>
      <c r="T156" t="inlineStr">
        <is>
          <t>matched</t>
        </is>
      </c>
      <c r="U156" t="inlineStr">
        <is>
          <t>2026-10-04</t>
        </is>
      </c>
      <c r="V156" t="inlineStr"/>
    </row>
    <row r="157">
      <c r="A157" t="n">
        <v>9</v>
      </c>
      <c r="B157" t="inlineStr">
        <is>
          <t>Amilla Fushi</t>
        </is>
      </c>
      <c r="C157" t="inlineStr">
        <is>
          <t>brochure</t>
        </is>
      </c>
      <c r="D157" t="inlineStr">
        <is>
          <t>2026_VP-Flyer_Nikki-new-2.pdf</t>
        </is>
      </c>
      <c r="E157" t="n">
        <v>2026</v>
      </c>
      <c r="H157" t="n">
        <v>1</v>
      </c>
      <c r="I157" t="n">
        <v>1877</v>
      </c>
      <c r="J157" t="inlineStr">
        <is>
          <t>Y</t>
        </is>
      </c>
      <c r="K157" t="inlineStr">
        <is>
          <t>amilla.com</t>
        </is>
      </c>
      <c r="L157" t="inlineStr">
        <is>
          <t>official</t>
        </is>
      </c>
      <c r="M157" t="inlineStr">
        <is>
          <t>https://amilla.com/wp-content/uploads/VP-Flyer_Nikki-new-2.pdf</t>
        </is>
      </c>
      <c r="N157" t="inlineStr">
        <is>
          <t>https://amilla.com/wp-content/uploads/VP-Flyer_Nikki-new-2.pdf</t>
        </is>
      </c>
      <c r="O157" t="inlineStr">
        <is>
          <t>ad6807b06105cd5ac420c693f40c613a33e3db6c65ecc347ee137fb345c4dcd3</t>
        </is>
      </c>
      <c r="P157" t="inlineStr">
        <is>
          <t>library/009_amilla-fushi/brochure/2026_VP-Flyer_Nikki-new-2.pdf</t>
        </is>
      </c>
      <c r="R157" t="inlineStr">
        <is>
          <t>current</t>
        </is>
      </c>
      <c r="S157" t="inlineStr">
        <is>
          <t>N</t>
        </is>
      </c>
      <c r="T157" t="inlineStr">
        <is>
          <t>matched</t>
        </is>
      </c>
      <c r="U157" t="inlineStr">
        <is>
          <t>2026-10-04</t>
        </is>
      </c>
      <c r="V157" t="inlineStr"/>
    </row>
    <row r="158">
      <c r="A158" t="n">
        <v>9</v>
      </c>
      <c r="B158" t="inlineStr">
        <is>
          <t>Amilla Fushi</t>
        </is>
      </c>
      <c r="C158" t="inlineStr">
        <is>
          <t>brochure</t>
        </is>
      </c>
      <c r="D158" t="inlineStr">
        <is>
          <t>2024_Football-Academy_Flyer.pdf</t>
        </is>
      </c>
      <c r="E158" t="n">
        <v>2024</v>
      </c>
      <c r="H158" t="n">
        <v>2</v>
      </c>
      <c r="I158" t="n">
        <v>444</v>
      </c>
      <c r="J158" t="inlineStr">
        <is>
          <t>Y</t>
        </is>
      </c>
      <c r="K158" t="inlineStr">
        <is>
          <t>amilla.com</t>
        </is>
      </c>
      <c r="L158" t="inlineStr">
        <is>
          <t>official</t>
        </is>
      </c>
      <c r="M158" t="inlineStr">
        <is>
          <t>https://amilla.com/wp-content/uploads/Football-Academy_Flyer.pdf</t>
        </is>
      </c>
      <c r="N158" t="inlineStr">
        <is>
          <t>https://amilla.com/wp-content/uploads/Football-Academy_Flyer.pdf</t>
        </is>
      </c>
      <c r="O158" t="inlineStr">
        <is>
          <t>9815ac7b889bfd62a3a31f896446bfe629b9b3c91a4424606f14288abe6e1c9a</t>
        </is>
      </c>
      <c r="P158" t="inlineStr">
        <is>
          <t>library/009_amilla-fushi/brochure/2024_Football-Academy_Flyer.pdf</t>
        </is>
      </c>
      <c r="R158" t="inlineStr">
        <is>
          <t>outdated</t>
        </is>
      </c>
      <c r="S158" t="inlineStr">
        <is>
          <t>N</t>
        </is>
      </c>
      <c r="T158" t="inlineStr">
        <is>
          <t>matched</t>
        </is>
      </c>
      <c r="U158" t="inlineStr">
        <is>
          <t>2026-10-04</t>
        </is>
      </c>
      <c r="V158" t="inlineStr"/>
    </row>
    <row r="159">
      <c r="A159" t="n">
        <v>9</v>
      </c>
      <c r="B159" t="inlineStr">
        <is>
          <t>Amilla Fushi</t>
        </is>
      </c>
      <c r="C159" t="inlineStr">
        <is>
          <t>brochure</t>
        </is>
      </c>
      <c r="D159" t="inlineStr">
        <is>
          <t>2024_Halloween-Flyer-Revised_LR.pdf</t>
        </is>
      </c>
      <c r="E159" t="n">
        <v>2024</v>
      </c>
      <c r="H159" t="n">
        <v>5</v>
      </c>
      <c r="I159" t="n">
        <v>1956</v>
      </c>
      <c r="J159" t="inlineStr">
        <is>
          <t>N</t>
        </is>
      </c>
      <c r="K159" t="inlineStr">
        <is>
          <t>amilla.com</t>
        </is>
      </c>
      <c r="L159" t="inlineStr">
        <is>
          <t>official</t>
        </is>
      </c>
      <c r="M159" t="inlineStr">
        <is>
          <t>https://amilla.com/wp-content/uploads/Halloween-Flyer-Revised_LR.pdf</t>
        </is>
      </c>
      <c r="N159" t="inlineStr">
        <is>
          <t>https://amilla.com/wp-content/uploads/Halloween-Flyer-Revised_LR.pdf</t>
        </is>
      </c>
      <c r="O159" t="inlineStr">
        <is>
          <t>2b1e3071adc6c11b62d094feebfb368efaa83f9797bb9d937095fcb372b53f1c</t>
        </is>
      </c>
      <c r="P159" t="inlineStr">
        <is>
          <t>library/009_amilla-fushi/brochure/2024_Halloween-Flyer-Revised_LR.pdf</t>
        </is>
      </c>
      <c r="R159" t="inlineStr">
        <is>
          <t>outdated</t>
        </is>
      </c>
      <c r="S159" t="inlineStr">
        <is>
          <t>N</t>
        </is>
      </c>
      <c r="T159" t="inlineStr">
        <is>
          <t>matched</t>
        </is>
      </c>
      <c r="U159" t="inlineStr">
        <is>
          <t>2026-10-04</t>
        </is>
      </c>
      <c r="V159" t="inlineStr"/>
    </row>
    <row r="160">
      <c r="A160" t="n">
        <v>9</v>
      </c>
      <c r="B160" t="inlineStr">
        <is>
          <t>Amilla Fushi</t>
        </is>
      </c>
      <c r="C160" t="inlineStr">
        <is>
          <t>brochure</t>
        </is>
      </c>
      <c r="D160" t="inlineStr">
        <is>
          <t>2024_Amilla-Maldives.pdf</t>
        </is>
      </c>
      <c r="E160" t="n">
        <v>2024</v>
      </c>
      <c r="H160" t="n">
        <v>28</v>
      </c>
      <c r="I160" t="n">
        <v>7819</v>
      </c>
      <c r="J160" t="inlineStr">
        <is>
          <t>Y</t>
        </is>
      </c>
      <c r="K160" t="inlineStr">
        <is>
          <t>letsgomaldives.com</t>
        </is>
      </c>
      <c r="L160" t="inlineStr">
        <is>
          <t>dmc-agency</t>
        </is>
      </c>
      <c r="M160" t="inlineStr">
        <is>
          <t>https://letsgomaldives.com/wp-content/uploads/2024/03/Amilla-Maldives.pdf</t>
        </is>
      </c>
      <c r="N160" t="inlineStr">
        <is>
          <t>https://letsgomaldives.com/wp-content/uploads/2024/03/Amilla-Maldives.pdf</t>
        </is>
      </c>
      <c r="O160" t="inlineStr">
        <is>
          <t>ba2c76aecc8908af1543e2c3bdcef51b8c76a5e2094652ef53753ee6a3e67c1c</t>
        </is>
      </c>
      <c r="P160" t="inlineStr">
        <is>
          <t>library/009_amilla-fushi/brochure/2024_Amilla-Maldives.pdf</t>
        </is>
      </c>
      <c r="R160" t="inlineStr">
        <is>
          <t>outdated</t>
        </is>
      </c>
      <c r="S160" t="inlineStr">
        <is>
          <t>N</t>
        </is>
      </c>
      <c r="T160" t="inlineStr">
        <is>
          <t>matched</t>
        </is>
      </c>
      <c r="U160" t="inlineStr">
        <is>
          <t>2026-10-04</t>
        </is>
      </c>
      <c r="V160" t="inlineStr"/>
    </row>
    <row r="161">
      <c r="A161" t="n">
        <v>9</v>
      </c>
      <c r="B161" t="inlineStr">
        <is>
          <t>Amilla Fushi</t>
        </is>
      </c>
      <c r="C161" t="inlineStr">
        <is>
          <t>other</t>
        </is>
      </c>
      <c r="D161" t="inlineStr">
        <is>
          <t>2025_The-Amilla-Estate.pdf</t>
        </is>
      </c>
      <c r="E161" t="n">
        <v>2025</v>
      </c>
      <c r="H161" t="n">
        <v>2</v>
      </c>
      <c r="I161" t="n">
        <v>6080</v>
      </c>
      <c r="J161" t="inlineStr">
        <is>
          <t>N</t>
        </is>
      </c>
      <c r="K161" t="inlineStr">
        <is>
          <t>amilla.com</t>
        </is>
      </c>
      <c r="L161" t="inlineStr">
        <is>
          <t>official</t>
        </is>
      </c>
      <c r="M161" t="inlineStr">
        <is>
          <t>https://amilla.com/wp-content/uploads/The-Amilla-Estate.pdf</t>
        </is>
      </c>
      <c r="N161" t="inlineStr">
        <is>
          <t>https://amilla.com/wp-content/uploads/The-Amilla-Estate.pdf</t>
        </is>
      </c>
      <c r="O161" t="inlineStr">
        <is>
          <t>91b912bbe0aff0ac5f7dcd3c1f24860bab0a10b04386d5f32d75bd55bae9d504</t>
        </is>
      </c>
      <c r="P161" t="inlineStr">
        <is>
          <t>library/009_amilla-fushi/other/2025_The-Amilla-Estate.pdf</t>
        </is>
      </c>
      <c r="R161" t="inlineStr">
        <is>
          <t>current</t>
        </is>
      </c>
      <c r="S161" t="inlineStr">
        <is>
          <t>Y</t>
        </is>
      </c>
      <c r="T161" t="inlineStr">
        <is>
          <t>matched</t>
        </is>
      </c>
      <c r="U161" t="inlineStr">
        <is>
          <t>2026-10-04</t>
        </is>
      </c>
      <c r="V161" t="inlineStr"/>
    </row>
    <row r="162">
      <c r="A162" t="n">
        <v>10</v>
      </c>
      <c r="B162" t="inlineStr">
        <is>
          <t>Dreamland - The Unique Sea &amp; Lake Resort/Spa</t>
        </is>
      </c>
      <c r="C162" t="inlineStr">
        <is>
          <t>factsheet</t>
        </is>
      </c>
      <c r="D162" t="inlineStr">
        <is>
          <t>2023_DreamLand-FactSheet-English-2023.pdf</t>
        </is>
      </c>
      <c r="E162" t="n">
        <v>2023</v>
      </c>
      <c r="H162" t="n">
        <v>2</v>
      </c>
      <c r="I162" t="n">
        <v>190</v>
      </c>
      <c r="J162" t="inlineStr">
        <is>
          <t>Y</t>
        </is>
      </c>
      <c r="K162" t="inlineStr">
        <is>
          <t>dreamland.com.mv</t>
        </is>
      </c>
      <c r="L162" t="inlineStr">
        <is>
          <t>official</t>
        </is>
      </c>
      <c r="M162" t="inlineStr">
        <is>
          <t>https://dreamland.com.mv/wp-content/uploads/2024/08/DreamLand-FactSheet-English-2023.pdf</t>
        </is>
      </c>
      <c r="N162" t="inlineStr">
        <is>
          <t>https://dreamland.com.mv/wp-content/uploads/2024/08/DreamLand-FactSheet-English-2023.pdf</t>
        </is>
      </c>
      <c r="O162" t="inlineStr">
        <is>
          <t>b7c9cceae616a3daae6c96f5aca1a3f83ec70b9667d828d8abecca0303a9db2b</t>
        </is>
      </c>
      <c r="P162" t="inlineStr">
        <is>
          <t>library/010_dreamland-the-unique-sea-lake-resort-spa/factsheet/2023_DreamLand-FactSheet-English-2023.pdf</t>
        </is>
      </c>
      <c r="R162" t="inlineStr">
        <is>
          <t>outdated</t>
        </is>
      </c>
      <c r="S162" t="inlineStr">
        <is>
          <t>N</t>
        </is>
      </c>
      <c r="T162" t="inlineStr">
        <is>
          <t>matched</t>
        </is>
      </c>
      <c r="U162" t="inlineStr">
        <is>
          <t>2026-10-04</t>
        </is>
      </c>
      <c r="V162" t="inlineStr"/>
    </row>
    <row r="163">
      <c r="A163" t="n">
        <v>10</v>
      </c>
      <c r="B163" t="inlineStr">
        <is>
          <t>Dreamland - The Unique Sea &amp; Lake Resort/Spa</t>
        </is>
      </c>
      <c r="C163" t="inlineStr">
        <is>
          <t>factsheet</t>
        </is>
      </c>
      <c r="D163" t="inlineStr">
        <is>
          <t>2023_DREAMLAND-GENERAL-INFORMATION-GERMAN-2023.pdf</t>
        </is>
      </c>
      <c r="E163" t="n">
        <v>2023</v>
      </c>
      <c r="H163" t="n">
        <v>4</v>
      </c>
      <c r="I163" t="n">
        <v>181</v>
      </c>
      <c r="J163" t="inlineStr">
        <is>
          <t>Y</t>
        </is>
      </c>
      <c r="K163" t="inlineStr">
        <is>
          <t>dreamland.com.mv</t>
        </is>
      </c>
      <c r="L163" t="inlineStr">
        <is>
          <t>official</t>
        </is>
      </c>
      <c r="M163" t="inlineStr">
        <is>
          <t>https://dreamland.com.mv/wp-content/uploads/2024/08/DREAMLAND-GENERAL-INFORMATION-GERMAN-2023.pdf</t>
        </is>
      </c>
      <c r="N163" t="inlineStr">
        <is>
          <t>https://dreamland.com.mv/wp-content/uploads/2024/08/DREAMLAND-GENERAL-INFORMATION-GERMAN-2023.pdf</t>
        </is>
      </c>
      <c r="O163" t="inlineStr">
        <is>
          <t>7fba6015395f655e20df36bbb24e9ef54f57467f7cbb5dddbe126494f3c28ea0</t>
        </is>
      </c>
      <c r="P163" t="inlineStr">
        <is>
          <t>library/010_dreamland-the-unique-sea-lake-resort-spa/factsheet/2023_DREAMLAND-GENERAL-INFORMATION-GERMAN-2023.pdf</t>
        </is>
      </c>
      <c r="R163" t="inlineStr">
        <is>
          <t>outdated</t>
        </is>
      </c>
      <c r="S163" t="inlineStr">
        <is>
          <t>Y</t>
        </is>
      </c>
      <c r="T163" t="inlineStr">
        <is>
          <t>matched</t>
        </is>
      </c>
      <c r="U163" t="inlineStr">
        <is>
          <t>2026-10-04</t>
        </is>
      </c>
      <c r="V163" t="inlineStr"/>
    </row>
    <row r="164">
      <c r="A164" t="n">
        <v>10</v>
      </c>
      <c r="B164" t="inlineStr">
        <is>
          <t>Dreamland - The Unique Sea &amp; Lake Resort/Spa</t>
        </is>
      </c>
      <c r="C164" t="inlineStr">
        <is>
          <t>factsheet</t>
        </is>
      </c>
      <c r="D164" t="inlineStr">
        <is>
          <t>2023_DREAMLAND-GENERAL-INFORMATION-ENGLISH-2023.pdf</t>
        </is>
      </c>
      <c r="E164" t="n">
        <v>2023</v>
      </c>
      <c r="H164" t="n">
        <v>3</v>
      </c>
      <c r="I164" t="n">
        <v>137</v>
      </c>
      <c r="J164" t="inlineStr">
        <is>
          <t>Y</t>
        </is>
      </c>
      <c r="K164" t="inlineStr">
        <is>
          <t>dreamland.com.mv</t>
        </is>
      </c>
      <c r="L164" t="inlineStr">
        <is>
          <t>official</t>
        </is>
      </c>
      <c r="M164" t="inlineStr">
        <is>
          <t>https://dreamland.com.mv/wp-content/uploads/2024/08/DREAMLAND-GENERAL-INFORMATION-ENGLISH-2023.pdf</t>
        </is>
      </c>
      <c r="N164" t="inlineStr">
        <is>
          <t>https://dreamland.com.mv/wp-content/uploads/2024/08/DREAMLAND-GENERAL-INFORMATION-ENGLISH-2023.pdf</t>
        </is>
      </c>
      <c r="O164" t="inlineStr">
        <is>
          <t>78a09624937797f1367e781352ee24c4c19b2844eccfc2b3023dcf292d4427c9</t>
        </is>
      </c>
      <c r="P164" t="inlineStr">
        <is>
          <t>library/010_dreamland-the-unique-sea-lake-resort-spa/factsheet/2023_DREAMLAND-GENERAL-INFORMATION-ENGLISH-2023.pdf</t>
        </is>
      </c>
      <c r="R164" t="inlineStr">
        <is>
          <t>outdated</t>
        </is>
      </c>
      <c r="S164" t="inlineStr">
        <is>
          <t>N</t>
        </is>
      </c>
      <c r="T164" t="inlineStr">
        <is>
          <t>matched</t>
        </is>
      </c>
      <c r="U164" t="inlineStr">
        <is>
          <t>2026-10-04</t>
        </is>
      </c>
      <c r="V164" t="inlineStr"/>
    </row>
    <row r="165">
      <c r="A165" t="n">
        <v>10</v>
      </c>
      <c r="B165" t="inlineStr">
        <is>
          <t>Dreamland - The Unique Sea &amp; Lake Resort/Spa</t>
        </is>
      </c>
      <c r="C165" t="inlineStr">
        <is>
          <t>factsheet</t>
        </is>
      </c>
      <c r="D165" t="inlineStr">
        <is>
          <t>2023_DREAMLAND-GENERAL-INFORMATION-CHINESE-2023.pdf</t>
        </is>
      </c>
      <c r="E165" t="n">
        <v>2023</v>
      </c>
      <c r="H165" t="n">
        <v>2</v>
      </c>
      <c r="I165" t="n">
        <v>225</v>
      </c>
      <c r="J165" t="inlineStr">
        <is>
          <t>Y</t>
        </is>
      </c>
      <c r="K165" t="inlineStr">
        <is>
          <t>dreamland.com.mv</t>
        </is>
      </c>
      <c r="L165" t="inlineStr">
        <is>
          <t>official</t>
        </is>
      </c>
      <c r="M165" t="inlineStr">
        <is>
          <t>https://dreamland.com.mv/wp-content/uploads/2024/08/DREAMLAND-GENERAL-INFORMATION-CHINESE-2023.pdf</t>
        </is>
      </c>
      <c r="N165" t="inlineStr">
        <is>
          <t>https://dreamland.com.mv/wp-content/uploads/2024/08/DREAMLAND-GENERAL-INFORMATION-CHINESE-2023.pdf</t>
        </is>
      </c>
      <c r="O165" t="inlineStr">
        <is>
          <t>7ed40fce906e7874cac568a12aaf8e1fb2ddf19f256621ecd4f784647b0bf313</t>
        </is>
      </c>
      <c r="P165" t="inlineStr">
        <is>
          <t>library/010_dreamland-the-unique-sea-lake-resort-spa/factsheet/2023_DREAMLAND-GENERAL-INFORMATION-CHINESE-2023.pdf</t>
        </is>
      </c>
      <c r="R165" t="inlineStr">
        <is>
          <t>outdated</t>
        </is>
      </c>
      <c r="S165" t="inlineStr">
        <is>
          <t>N</t>
        </is>
      </c>
      <c r="T165" t="inlineStr">
        <is>
          <t>matched</t>
        </is>
      </c>
      <c r="U165" t="inlineStr">
        <is>
          <t>2026-10-04</t>
        </is>
      </c>
      <c r="V165" t="inlineStr"/>
    </row>
    <row r="166">
      <c r="A166" t="n">
        <v>10</v>
      </c>
      <c r="B166" t="inlineStr">
        <is>
          <t>Dreamland - The Unique Sea &amp; Lake Resort/Spa</t>
        </is>
      </c>
      <c r="C166" t="inlineStr">
        <is>
          <t>wedding</t>
        </is>
      </c>
      <c r="D166" t="inlineStr">
        <is>
          <t>2023_DREAMLAND-VOW-CEREMONY-2023.pdf</t>
        </is>
      </c>
      <c r="E166" t="n">
        <v>2023</v>
      </c>
      <c r="H166" t="n">
        <v>2</v>
      </c>
      <c r="I166" t="n">
        <v>88</v>
      </c>
      <c r="J166" t="inlineStr">
        <is>
          <t>Y</t>
        </is>
      </c>
      <c r="K166" t="inlineStr">
        <is>
          <t>dreamland.com.mv</t>
        </is>
      </c>
      <c r="L166" t="inlineStr">
        <is>
          <t>official</t>
        </is>
      </c>
      <c r="M166" t="inlineStr">
        <is>
          <t>https://dreamland.com.mv/wp-content/uploads/2024/08/DREAMLAND-VOW-CEREMONY-2023.pdf</t>
        </is>
      </c>
      <c r="N166" t="inlineStr">
        <is>
          <t>https://dreamland.com.mv/wp-content/uploads/2024/08/DREAMLAND-VOW-CEREMONY-2023.pdf</t>
        </is>
      </c>
      <c r="O166" t="inlineStr">
        <is>
          <t>a8b3ce7d22fab85dd2fc10f01a11672809951ff9fc97f03c657b744e4e7e3783</t>
        </is>
      </c>
      <c r="P166" t="inlineStr">
        <is>
          <t>library/010_dreamland-the-unique-sea-lake-resort-spa/wedding/2023_DREAMLAND-VOW-CEREMONY-2023.pdf</t>
        </is>
      </c>
      <c r="R166" t="inlineStr">
        <is>
          <t>outdated</t>
        </is>
      </c>
      <c r="S166" t="inlineStr">
        <is>
          <t>Y</t>
        </is>
      </c>
      <c r="T166" t="inlineStr">
        <is>
          <t>matched</t>
        </is>
      </c>
      <c r="U166" t="inlineStr">
        <is>
          <t>2026-10-04</t>
        </is>
      </c>
      <c r="V166" t="inlineStr"/>
    </row>
    <row r="167">
      <c r="A167" t="n">
        <v>10</v>
      </c>
      <c r="B167" t="inlineStr">
        <is>
          <t>Dreamland - The Unique Sea &amp; Lake Resort/Spa</t>
        </is>
      </c>
      <c r="C167" t="inlineStr">
        <is>
          <t>map</t>
        </is>
      </c>
      <c r="D167" t="inlineStr">
        <is>
          <t>2023_DreamLand-Meal-Plan-Upgrade-2023.pdf</t>
        </is>
      </c>
      <c r="E167" t="n">
        <v>2023</v>
      </c>
      <c r="H167" t="n">
        <v>1</v>
      </c>
      <c r="I167" t="n">
        <v>105</v>
      </c>
      <c r="J167" t="inlineStr">
        <is>
          <t>Y</t>
        </is>
      </c>
      <c r="K167" t="inlineStr">
        <is>
          <t>dreamland.com.mv</t>
        </is>
      </c>
      <c r="L167" t="inlineStr">
        <is>
          <t>official</t>
        </is>
      </c>
      <c r="M167" t="inlineStr">
        <is>
          <t>https://dreamland.com.mv/wp-content/uploads/2024/08/DreamLand-Meal-Plan-Upgrade-2023.pdf</t>
        </is>
      </c>
      <c r="N167" t="inlineStr">
        <is>
          <t>https://dreamland.com.mv/wp-content/uploads/2024/08/DreamLand-Meal-Plan-Upgrade-2023.pdf</t>
        </is>
      </c>
      <c r="O167" t="inlineStr">
        <is>
          <t>3c861980a6a6351e9ab546400cee400d4af103d23296c04262a6f3fdd3cb9bbd</t>
        </is>
      </c>
      <c r="P167" t="inlineStr">
        <is>
          <t>library/010_dreamland-the-unique-sea-lake-resort-spa/map/2023_DreamLand-Meal-Plan-Upgrade-2023.pdf</t>
        </is>
      </c>
      <c r="R167" t="inlineStr">
        <is>
          <t>outdated</t>
        </is>
      </c>
      <c r="S167" t="inlineStr">
        <is>
          <t>Y</t>
        </is>
      </c>
      <c r="T167" t="inlineStr">
        <is>
          <t>matched</t>
        </is>
      </c>
      <c r="U167" t="inlineStr">
        <is>
          <t>2026-10-04</t>
        </is>
      </c>
      <c r="V167" t="inlineStr"/>
    </row>
    <row r="168">
      <c r="A168" t="n">
        <v>10</v>
      </c>
      <c r="B168" t="inlineStr">
        <is>
          <t>Dreamland - The Unique Sea &amp; Lake Resort/Spa</t>
        </is>
      </c>
      <c r="C168" t="inlineStr">
        <is>
          <t>map</t>
        </is>
      </c>
      <c r="D168" t="inlineStr">
        <is>
          <t>2018_SPLENDID_DREAMLAND_RESORT-MAP_EDITED.pdf</t>
        </is>
      </c>
      <c r="E168" t="n">
        <v>2018</v>
      </c>
      <c r="H168" t="n">
        <v>1</v>
      </c>
      <c r="I168" t="n">
        <v>22398</v>
      </c>
      <c r="J168" t="inlineStr">
        <is>
          <t>Y</t>
        </is>
      </c>
      <c r="K168" t="inlineStr">
        <is>
          <t>dreamland.com.mv</t>
        </is>
      </c>
      <c r="L168" t="inlineStr">
        <is>
          <t>official</t>
        </is>
      </c>
      <c r="M168" t="inlineStr">
        <is>
          <t>https://dreamland.com.mv/wp-content/uploads/2024/08/SPLENDID_DREAMLAND_RESORT-MAP_EDITED.pdf</t>
        </is>
      </c>
      <c r="N168" t="inlineStr">
        <is>
          <t>https://dreamland.com.mv/wp-content/uploads/2024/08/SPLENDID_DREAMLAND_RESORT-MAP_EDITED.pdf</t>
        </is>
      </c>
      <c r="O168" t="inlineStr">
        <is>
          <t>fcad8c12d2ff65684e7531a0ec997d120a8cf173f9c33778c9e4285537b78e1c</t>
        </is>
      </c>
      <c r="P168" t="inlineStr">
        <is>
          <t>library/010_dreamland-the-unique-sea-lake-resort-spa/map/2018_SPLENDID_DREAMLAND_RESORT-MAP_EDITED.pdf</t>
        </is>
      </c>
      <c r="R168" t="inlineStr">
        <is>
          <t>outdated</t>
        </is>
      </c>
      <c r="S168" t="inlineStr">
        <is>
          <t>N</t>
        </is>
      </c>
      <c r="T168" t="inlineStr">
        <is>
          <t>matched</t>
        </is>
      </c>
      <c r="U168" t="inlineStr">
        <is>
          <t>2026-10-04</t>
        </is>
      </c>
      <c r="V168" t="inlineStr"/>
    </row>
    <row r="169">
      <c r="A169" t="n">
        <v>10</v>
      </c>
      <c r="B169" t="inlineStr">
        <is>
          <t>Dreamland - The Unique Sea &amp; Lake Resort/Spa</t>
        </is>
      </c>
      <c r="C169" t="inlineStr">
        <is>
          <t>spa_menu</t>
        </is>
      </c>
      <c r="D169" t="inlineStr">
        <is>
          <t>2023_Duny-Spa-menu-chineese-2023.pdf</t>
        </is>
      </c>
      <c r="E169" t="n">
        <v>2023</v>
      </c>
      <c r="H169" t="n">
        <v>12</v>
      </c>
      <c r="I169" t="n">
        <v>586</v>
      </c>
      <c r="J169" t="inlineStr">
        <is>
          <t>Y</t>
        </is>
      </c>
      <c r="K169" t="inlineStr">
        <is>
          <t>dreamland.com.mv</t>
        </is>
      </c>
      <c r="L169" t="inlineStr">
        <is>
          <t>official</t>
        </is>
      </c>
      <c r="M169" t="inlineStr">
        <is>
          <t>https://dreamland.com.mv/wp-content/uploads/2024/08/Duny-Spa-menu-chineese-2023.pdf</t>
        </is>
      </c>
      <c r="N169" t="inlineStr">
        <is>
          <t>https://dreamland.com.mv/wp-content/uploads/2024/08/Duny-Spa-menu-chineese-2023.pdf | https://dreamland.com.mv/wp-content/uploads/2024/07/Duny-Spa-menu-chineese-2023.pdf</t>
        </is>
      </c>
      <c r="O169" t="inlineStr">
        <is>
          <t>8738c0005ca175eeb5b45338c291ae69d1d0e8967aef3654a5c50e453e6ebe21</t>
        </is>
      </c>
      <c r="P169" t="inlineStr">
        <is>
          <t>library/010_dreamland-the-unique-sea-lake-resort-spa/spa_menu/2023_Duny-Spa-menu-chineese-2023.pdf</t>
        </is>
      </c>
      <c r="R169" t="inlineStr">
        <is>
          <t>outdated</t>
        </is>
      </c>
      <c r="S169" t="inlineStr">
        <is>
          <t>Y</t>
        </is>
      </c>
      <c r="T169" t="inlineStr">
        <is>
          <t>matched</t>
        </is>
      </c>
      <c r="U169" t="inlineStr">
        <is>
          <t>2026-10-04</t>
        </is>
      </c>
      <c r="V169" t="inlineStr"/>
    </row>
    <row r="170">
      <c r="A170" t="n">
        <v>10</v>
      </c>
      <c r="B170" t="inlineStr">
        <is>
          <t>Dreamland - The Unique Sea &amp; Lake Resort/Spa</t>
        </is>
      </c>
      <c r="C170" t="inlineStr">
        <is>
          <t>dining_menu</t>
        </is>
      </c>
      <c r="D170" t="inlineStr">
        <is>
          <t>2023_DreamLand-Private-Lobster-Dinner-Menu-2023.pdf</t>
        </is>
      </c>
      <c r="E170" t="n">
        <v>2023</v>
      </c>
      <c r="H170" t="n">
        <v>1</v>
      </c>
      <c r="I170" t="n">
        <v>688</v>
      </c>
      <c r="J170" t="inlineStr">
        <is>
          <t>Y</t>
        </is>
      </c>
      <c r="K170" t="inlineStr">
        <is>
          <t>dreamland.com.mv</t>
        </is>
      </c>
      <c r="L170" t="inlineStr">
        <is>
          <t>official</t>
        </is>
      </c>
      <c r="M170" t="inlineStr">
        <is>
          <t>https://dreamland.com.mv/wp-content/uploads/2024/08/DreamLand-Private-Lobster-Dinner-Menu-2023.pdf</t>
        </is>
      </c>
      <c r="N170" t="inlineStr">
        <is>
          <t>https://dreamland.com.mv/wp-content/uploads/2024/08/DreamLand-Private-Lobster-Dinner-Menu-2023.pdf</t>
        </is>
      </c>
      <c r="O170" t="inlineStr">
        <is>
          <t>ec15d5c1b393fbc4982e86b46b714a7782992af227e58da44c01a6edac42631c</t>
        </is>
      </c>
      <c r="P170" t="inlineStr">
        <is>
          <t>library/010_dreamland-the-unique-sea-lake-resort-spa/dining_menu/2023_DreamLand-Private-Lobster-Dinner-Menu-2023.pdf</t>
        </is>
      </c>
      <c r="R170" t="inlineStr">
        <is>
          <t>outdated</t>
        </is>
      </c>
      <c r="S170" t="inlineStr">
        <is>
          <t>N</t>
        </is>
      </c>
      <c r="T170" t="inlineStr">
        <is>
          <t>matched</t>
        </is>
      </c>
      <c r="U170" t="inlineStr">
        <is>
          <t>2026-10-04</t>
        </is>
      </c>
      <c r="V170" t="inlineStr"/>
    </row>
    <row r="171">
      <c r="A171" t="n">
        <v>10</v>
      </c>
      <c r="B171" t="inlineStr">
        <is>
          <t>Dreamland - The Unique Sea &amp; Lake Resort/Spa</t>
        </is>
      </c>
      <c r="C171" t="inlineStr">
        <is>
          <t>dining_menu</t>
        </is>
      </c>
      <c r="D171" t="inlineStr">
        <is>
          <t>2023_DreamLand-Private-BBQ-Seafood-Menu-2023.pdf</t>
        </is>
      </c>
      <c r="E171" t="n">
        <v>2023</v>
      </c>
      <c r="H171" t="n">
        <v>1</v>
      </c>
      <c r="I171" t="n">
        <v>689</v>
      </c>
      <c r="J171" t="inlineStr">
        <is>
          <t>Y</t>
        </is>
      </c>
      <c r="K171" t="inlineStr">
        <is>
          <t>dreamland.com.mv</t>
        </is>
      </c>
      <c r="L171" t="inlineStr">
        <is>
          <t>official</t>
        </is>
      </c>
      <c r="M171" t="inlineStr">
        <is>
          <t>https://dreamland.com.mv/wp-content/uploads/2024/08/DreamLand-Private-BBQ-Seafood-Menu-2023.pdf</t>
        </is>
      </c>
      <c r="N171" t="inlineStr">
        <is>
          <t>https://dreamland.com.mv/wp-content/uploads/2024/08/DreamLand-Private-BBQ-Seafood-Menu-2023.pdf</t>
        </is>
      </c>
      <c r="O171" t="inlineStr">
        <is>
          <t>45870abcd0157d4b207e0e901f78c3a92c2b5f9ab721b81a836f994454950d1f</t>
        </is>
      </c>
      <c r="P171" t="inlineStr">
        <is>
          <t>library/010_dreamland-the-unique-sea-lake-resort-spa/dining_menu/2023_DreamLand-Private-BBQ-Seafood-Menu-2023.pdf</t>
        </is>
      </c>
      <c r="R171" t="inlineStr">
        <is>
          <t>outdated</t>
        </is>
      </c>
      <c r="S171" t="inlineStr">
        <is>
          <t>N</t>
        </is>
      </c>
      <c r="T171" t="inlineStr">
        <is>
          <t>matched</t>
        </is>
      </c>
      <c r="U171" t="inlineStr">
        <is>
          <t>2026-10-04</t>
        </is>
      </c>
      <c r="V171" t="inlineStr"/>
    </row>
    <row r="172">
      <c r="A172" t="n">
        <v>10</v>
      </c>
      <c r="B172" t="inlineStr">
        <is>
          <t>Dreamland - The Unique Sea &amp; Lake Resort/Spa</t>
        </is>
      </c>
      <c r="C172" t="inlineStr">
        <is>
          <t>dining_menu</t>
        </is>
      </c>
      <c r="D172" t="inlineStr">
        <is>
          <t>2023_DreamLand-Private-BBQ-Meat-Menu-2023.pdf</t>
        </is>
      </c>
      <c r="E172" t="n">
        <v>2023</v>
      </c>
      <c r="H172" t="n">
        <v>1</v>
      </c>
      <c r="I172" t="n">
        <v>594</v>
      </c>
      <c r="J172" t="inlineStr">
        <is>
          <t>Y</t>
        </is>
      </c>
      <c r="K172" t="inlineStr">
        <is>
          <t>dreamland.com.mv</t>
        </is>
      </c>
      <c r="L172" t="inlineStr">
        <is>
          <t>official</t>
        </is>
      </c>
      <c r="M172" t="inlineStr">
        <is>
          <t>https://dreamland.com.mv/wp-content/uploads/2024/08/DreamLand-Private-BBQ-Meat-Menu-2023.pdf</t>
        </is>
      </c>
      <c r="N172" t="inlineStr">
        <is>
          <t>https://dreamland.com.mv/wp-content/uploads/2024/08/DreamLand-Private-BBQ-Meat-Menu-2023.pdf</t>
        </is>
      </c>
      <c r="O172" t="inlineStr">
        <is>
          <t>7a11afee2a1dee4fa82ef4cb9d7a0f9190a925d4d8ee082fe4566817c8ac7662</t>
        </is>
      </c>
      <c r="P172" t="inlineStr">
        <is>
          <t>library/010_dreamland-the-unique-sea-lake-resort-spa/dining_menu/2023_DreamLand-Private-BBQ-Meat-Menu-2023.pdf</t>
        </is>
      </c>
      <c r="R172" t="inlineStr">
        <is>
          <t>outdated</t>
        </is>
      </c>
      <c r="S172" t="inlineStr">
        <is>
          <t>N</t>
        </is>
      </c>
      <c r="T172" t="inlineStr">
        <is>
          <t>matched</t>
        </is>
      </c>
      <c r="U172" t="inlineStr">
        <is>
          <t>2026-10-04</t>
        </is>
      </c>
      <c r="V172" t="inlineStr"/>
    </row>
    <row r="173">
      <c r="A173" t="n">
        <v>10</v>
      </c>
      <c r="B173" t="inlineStr">
        <is>
          <t>Dreamland - The Unique Sea &amp; Lake Resort/Spa</t>
        </is>
      </c>
      <c r="C173" t="inlineStr">
        <is>
          <t>dining_menu</t>
        </is>
      </c>
      <c r="D173" t="inlineStr">
        <is>
          <t>2023_DreamLand-HoneyMoon-Dinner-with-Fish-Starter-1-2023.pdf</t>
        </is>
      </c>
      <c r="E173" t="n">
        <v>2023</v>
      </c>
      <c r="H173" t="n">
        <v>1</v>
      </c>
      <c r="I173" t="n">
        <v>171</v>
      </c>
      <c r="J173" t="inlineStr">
        <is>
          <t>Y</t>
        </is>
      </c>
      <c r="K173" t="inlineStr">
        <is>
          <t>dreamland.com.mv</t>
        </is>
      </c>
      <c r="L173" t="inlineStr">
        <is>
          <t>official</t>
        </is>
      </c>
      <c r="M173" t="inlineStr">
        <is>
          <t>https://dreamland.com.mv/wp-content/uploads/2024/08/DreamLand-HoneyMoon-Dinner-with-Fish-Starter-1-2023.pdf</t>
        </is>
      </c>
      <c r="N173" t="inlineStr">
        <is>
          <t>https://dreamland.com.mv/wp-content/uploads/2024/08/DreamLand-HoneyMoon-Dinner-with-Fish-Starter-1-2023.pdf</t>
        </is>
      </c>
      <c r="O173" t="inlineStr">
        <is>
          <t>1df23c1bf8fb998fb579a1e865397d7d75952cbbbed475129666104e9c2f3c44</t>
        </is>
      </c>
      <c r="P173" t="inlineStr">
        <is>
          <t>library/010_dreamland-the-unique-sea-lake-resort-spa/dining_menu/2023_DreamLand-HoneyMoon-Dinner-with-Fish-Starter-1-2023.pdf</t>
        </is>
      </c>
      <c r="R173" t="inlineStr">
        <is>
          <t>outdated</t>
        </is>
      </c>
      <c r="S173" t="inlineStr">
        <is>
          <t>N</t>
        </is>
      </c>
      <c r="T173" t="inlineStr">
        <is>
          <t>matched</t>
        </is>
      </c>
      <c r="U173" t="inlineStr">
        <is>
          <t>2026-10-04</t>
        </is>
      </c>
      <c r="V173" t="inlineStr"/>
    </row>
    <row r="174">
      <c r="A174" t="n">
        <v>10</v>
      </c>
      <c r="B174" t="inlineStr">
        <is>
          <t>Dreamland - The Unique Sea &amp; Lake Resort/Spa</t>
        </is>
      </c>
      <c r="C174" t="inlineStr">
        <is>
          <t>dining_menu</t>
        </is>
      </c>
      <c r="D174" t="inlineStr">
        <is>
          <t>2023_DreamLand-Eat-Enjoy-Menu-2023.pdf</t>
        </is>
      </c>
      <c r="E174" t="n">
        <v>2023</v>
      </c>
      <c r="H174" t="n">
        <v>13</v>
      </c>
      <c r="I174" t="n">
        <v>1722</v>
      </c>
      <c r="J174" t="inlineStr">
        <is>
          <t>Y</t>
        </is>
      </c>
      <c r="K174" t="inlineStr">
        <is>
          <t>dreamland.com.mv</t>
        </is>
      </c>
      <c r="L174" t="inlineStr">
        <is>
          <t>official</t>
        </is>
      </c>
      <c r="M174" t="inlineStr">
        <is>
          <t>https://dreamland.com.mv/wp-content/uploads/2024/08/DreamLand-Eat-Enjoy-Menu-2023.pdf</t>
        </is>
      </c>
      <c r="N174" t="inlineStr">
        <is>
          <t>https://dreamland.com.mv/wp-content/uploads/2024/08/DreamLand-Eat-Enjoy-Menu-2023.pdf | https://dreamland.com.mv/wp-content/uploads/2023/08/DreamLand-Eat-Enjoy-Menu-2023.pdf</t>
        </is>
      </c>
      <c r="O174" t="inlineStr">
        <is>
          <t>cedf8383c8b19e49c17219565aee7a24d2f9d87dc51a879f3720cf328fc6e4fe</t>
        </is>
      </c>
      <c r="P174" t="inlineStr">
        <is>
          <t>library/010_dreamland-the-unique-sea-lake-resort-spa/dining_menu/2023_DreamLand-Eat-Enjoy-Menu-2023.pdf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dining_menu</t>
        </is>
      </c>
      <c r="D175" t="inlineStr">
        <is>
          <t>2023_DreamLand-Beverage-Menu-2023.pdf</t>
        </is>
      </c>
      <c r="E175" t="n">
        <v>2023</v>
      </c>
      <c r="H175" t="n">
        <v>14</v>
      </c>
      <c r="I175" t="n">
        <v>2021</v>
      </c>
      <c r="J175" t="inlineStr">
        <is>
          <t>Y</t>
        </is>
      </c>
      <c r="K175" t="inlineStr">
        <is>
          <t>dreamland.com.mv</t>
        </is>
      </c>
      <c r="L175" t="inlineStr">
        <is>
          <t>official</t>
        </is>
      </c>
      <c r="M175" t="inlineStr">
        <is>
          <t>https://dreamland.com.mv/wp-content/uploads/2024/08/DreamLand-Beverage-Menu-2023.pdf</t>
        </is>
      </c>
      <c r="N175" t="inlineStr">
        <is>
          <t>https://dreamland.com.mv/wp-content/uploads/2024/08/DreamLand-Beverage-Menu-2023.pdf | https://dreamland.com.mv/wp-content/uploads/2023/08/DreamLand-Beverage-Menu-2023.pdf</t>
        </is>
      </c>
      <c r="O175" t="inlineStr">
        <is>
          <t>447c8384ed85cb6e25d0892e225d4ea265dd4c6f81592c66e73fad99c40db39e</t>
        </is>
      </c>
      <c r="P175" t="inlineStr">
        <is>
          <t>library/010_dreamland-the-unique-sea-lake-resort-spa/dining_menu/2023_DreamLand-Beverage-Menu-2023.pdf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dining_menu</t>
        </is>
      </c>
      <c r="D176" t="inlineStr">
        <is>
          <t>2023_DreamLand-WINE-MENU-2023.pdf</t>
        </is>
      </c>
      <c r="E176" t="n">
        <v>2023</v>
      </c>
      <c r="H176" t="n">
        <v>9</v>
      </c>
      <c r="I176" t="n">
        <v>3318</v>
      </c>
      <c r="J176" t="inlineStr">
        <is>
          <t>N</t>
        </is>
      </c>
      <c r="K176" t="inlineStr">
        <is>
          <t>dreamland.com.mv</t>
        </is>
      </c>
      <c r="L176" t="inlineStr">
        <is>
          <t>official</t>
        </is>
      </c>
      <c r="M176" t="inlineStr">
        <is>
          <t>https://dreamland.com.mv/wp-content/uploads/2024/08/DreamLand-WINE-MENU-2023.pdf</t>
        </is>
      </c>
      <c r="N176" t="inlineStr">
        <is>
          <t>https://dreamland.com.mv/wp-content/uploads/2024/08/DreamLand-WINE-MENU-2023.pdf | https://dreamland.com.mv/wp-content/uploads/2023/08/DreamLand-WINE-MENU-2023.pdf</t>
        </is>
      </c>
      <c r="O176" t="inlineStr">
        <is>
          <t>59b6dc17932894ce2c5681b46ba5adf59623982a4155360f530b11f12d1e3f8c</t>
        </is>
      </c>
      <c r="P176" t="inlineStr">
        <is>
          <t>library/010_dreamland-the-unique-sea-lake-resort-spa/dining_menu/2023_DreamLand-WINE-MENU-2023.pdf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dining_menu</t>
        </is>
      </c>
      <c r="D177" t="inlineStr">
        <is>
          <t>2023_DreamLand-AI-MENU-2023.pdf</t>
        </is>
      </c>
      <c r="E177" t="n">
        <v>2023</v>
      </c>
      <c r="H177" t="n">
        <v>6</v>
      </c>
      <c r="I177" t="n">
        <v>1128</v>
      </c>
      <c r="J177" t="inlineStr">
        <is>
          <t>Y</t>
        </is>
      </c>
      <c r="K177" t="inlineStr">
        <is>
          <t>dreamland.com.mv</t>
        </is>
      </c>
      <c r="L177" t="inlineStr">
        <is>
          <t>official</t>
        </is>
      </c>
      <c r="M177" t="inlineStr">
        <is>
          <t>https://dreamland.com.mv/wp-content/uploads/2024/08/DreamLand-AI-MENU-2023.pdf</t>
        </is>
      </c>
      <c r="N177" t="inlineStr">
        <is>
          <t>https://dreamland.com.mv/wp-content/uploads/2024/08/DreamLand-AI-MENU-2023.pdf | https://dreamland.com.mv/wp-content/uploads/2023/08/DreamLand-AI-MENU-2023.pdf</t>
        </is>
      </c>
      <c r="O177" t="inlineStr">
        <is>
          <t>1d667c60be4113afe2eaeaca1d8eba7518e2fcc24af5616452eeb4d4b51c2e86</t>
        </is>
      </c>
      <c r="P177" t="inlineStr">
        <is>
          <t>library/010_dreamland-the-unique-sea-lake-resort-spa/dining_menu/2023_DreamLand-AI-MENU-2023.pdf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dive_prices</t>
        </is>
      </c>
      <c r="D178" t="inlineStr">
        <is>
          <t>2023_DC-Pricelist-2023-Dreamland.pdf</t>
        </is>
      </c>
      <c r="E178" t="n">
        <v>2023</v>
      </c>
      <c r="H178" t="n">
        <v>2</v>
      </c>
      <c r="I178" t="n">
        <v>53</v>
      </c>
      <c r="J178" t="inlineStr">
        <is>
          <t>Y</t>
        </is>
      </c>
      <c r="K178" t="inlineStr">
        <is>
          <t>dreamland.com.mv</t>
        </is>
      </c>
      <c r="L178" t="inlineStr">
        <is>
          <t>official</t>
        </is>
      </c>
      <c r="M178" t="inlineStr">
        <is>
          <t>https://dreamland.com.mv/wp-content/uploads/2023/08/DC-Pricelist-2023-Dreamland.pdf</t>
        </is>
      </c>
      <c r="N178" t="inlineStr">
        <is>
          <t>https://dreamland.com.mv/wp-content/uploads/2023/08/DC-Pricelist-2023-Dreamland.pdf</t>
        </is>
      </c>
      <c r="O178" t="inlineStr">
        <is>
          <t>e7eb5d68862a66750eadcd2e58dac934ec3d942f5de2894fbe1a96ff0d2eea0d</t>
        </is>
      </c>
      <c r="P178" t="inlineStr">
        <is>
          <t>library/010_dreamland-the-unique-sea-lake-resort-spa/dive_prices/2023_DC-Pricelist-2023-Dreamland.pdf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excursions</t>
        </is>
      </c>
      <c r="D179" t="inlineStr">
        <is>
          <t>2023_DREAMLAND-Private-Excursion-Trips-2023.pdf</t>
        </is>
      </c>
      <c r="E179" t="n">
        <v>2023</v>
      </c>
      <c r="H179" t="n">
        <v>1</v>
      </c>
      <c r="I179" t="n">
        <v>143</v>
      </c>
      <c r="J179" t="inlineStr">
        <is>
          <t>Y</t>
        </is>
      </c>
      <c r="K179" t="inlineStr">
        <is>
          <t>dreamland.com.mv</t>
        </is>
      </c>
      <c r="L179" t="inlineStr">
        <is>
          <t>official</t>
        </is>
      </c>
      <c r="M179" t="inlineStr">
        <is>
          <t>https://dreamland.com.mv/wp-content/uploads/2024/08/DREAMLAND-Private-Excursion-Trips-2023.pdf</t>
        </is>
      </c>
      <c r="N179" t="inlineStr">
        <is>
          <t>https://dreamland.com.mv/wp-content/uploads/2024/08/DREAMLAND-Private-Excursion-Trips-2023.pdf | https://dreamland.com.mv/wp-content/uploads/2024/07/DREAMLAND-Private-Excursion-Trips-2023.pdf</t>
        </is>
      </c>
      <c r="O179" t="inlineStr">
        <is>
          <t>603c856fa3f372af025b4a7220d343deeaf2466d2ab1529f3201ff4f3f97c63e</t>
        </is>
      </c>
      <c r="P179" t="inlineStr">
        <is>
          <t>library/010_dreamland-the-unique-sea-lake-resort-spa/excursions/2023_DREAMLAND-Private-Excursion-Trips-2023.pdf</t>
        </is>
      </c>
      <c r="R179" t="inlineStr">
        <is>
          <t>outdated</t>
        </is>
      </c>
      <c r="S179" t="inlineStr">
        <is>
          <t>N</t>
        </is>
      </c>
      <c r="T179" t="inlineStr">
        <is>
          <t>matched</t>
        </is>
      </c>
      <c r="U179" t="inlineStr">
        <is>
          <t>2026-10-04</t>
        </is>
      </c>
      <c r="V179" t="inlineStr"/>
    </row>
    <row r="180">
      <c r="A180" t="n">
        <v>10</v>
      </c>
      <c r="B180" t="inlineStr">
        <is>
          <t>Dreamland - The Unique Sea &amp; Lake Resort/Spa</t>
        </is>
      </c>
      <c r="C180" t="inlineStr">
        <is>
          <t>excursions</t>
        </is>
      </c>
      <c r="D180" t="inlineStr">
        <is>
          <t>2023_DREAMLAND-Excursion-updated-2023.pdf</t>
        </is>
      </c>
      <c r="E180" t="n">
        <v>2023</v>
      </c>
      <c r="H180" t="n">
        <v>3</v>
      </c>
      <c r="I180" t="n">
        <v>202</v>
      </c>
      <c r="J180" t="inlineStr">
        <is>
          <t>Y</t>
        </is>
      </c>
      <c r="K180" t="inlineStr">
        <is>
          <t>dreamland.com.mv</t>
        </is>
      </c>
      <c r="L180" t="inlineStr">
        <is>
          <t>official</t>
        </is>
      </c>
      <c r="M180" t="inlineStr">
        <is>
          <t>https://dreamland.com.mv/wp-content/uploads/2024/08/DREAMLAND-Excursion-updated-2023.pdf</t>
        </is>
      </c>
      <c r="N180" t="inlineStr">
        <is>
          <t>https://dreamland.com.mv/wp-content/uploads/2024/08/DREAMLAND-Excursion-updated-2023.pdf | https://dreamland.com.mv/wp-content/uploads/2024/07/DREAMLAND-Excursion-updated-2023.pdf</t>
        </is>
      </c>
      <c r="O180" t="inlineStr">
        <is>
          <t>869ff951cedb0725aa60443b8d74377bb6a9424365b262018a5946c2bc15f6bc</t>
        </is>
      </c>
      <c r="P180" t="inlineStr">
        <is>
          <t>library/010_dreamland-the-unique-sea-lake-resort-spa/excursions/2023_DREAMLAND-Excursion-updated-2023.pdf</t>
        </is>
      </c>
      <c r="R180" t="inlineStr">
        <is>
          <t>outdated</t>
        </is>
      </c>
      <c r="S180" t="inlineStr">
        <is>
          <t>Y</t>
        </is>
      </c>
      <c r="T180" t="inlineStr">
        <is>
          <t>matched</t>
        </is>
      </c>
      <c r="U180" t="inlineStr">
        <is>
          <t>2026-10-04</t>
        </is>
      </c>
      <c r="V180" t="inlineStr"/>
    </row>
    <row r="181">
      <c r="A181" t="n">
        <v>10</v>
      </c>
      <c r="B181" t="inlineStr">
        <is>
          <t>Dreamland - The Unique Sea &amp; Lake Resort/Spa</t>
        </is>
      </c>
      <c r="C181" t="inlineStr">
        <is>
          <t>all_inclusive</t>
        </is>
      </c>
      <c r="D181" t="inlineStr">
        <is>
          <t>2023_DreamLand-All-Inclusive-Package-German-2023.pdf</t>
        </is>
      </c>
      <c r="E181" t="n">
        <v>2023</v>
      </c>
      <c r="H181" t="n">
        <v>1</v>
      </c>
      <c r="I181" t="n">
        <v>126</v>
      </c>
      <c r="J181" t="inlineStr">
        <is>
          <t>Y</t>
        </is>
      </c>
      <c r="K181" t="inlineStr">
        <is>
          <t>dreamland.com.mv</t>
        </is>
      </c>
      <c r="L181" t="inlineStr">
        <is>
          <t>official</t>
        </is>
      </c>
      <c r="M181" t="inlineStr">
        <is>
          <t>https://dreamland.com.mv/wp-content/uploads/2024/08/DreamLand-All-Inclusive-Package-German-2023.pdf</t>
        </is>
      </c>
      <c r="N181" t="inlineStr">
        <is>
          <t>https://dreamland.com.mv/wp-content/uploads/2024/08/DreamLand-All-Inclusive-Package-German-2023.pdf | https://dreamland.com.mv/wp-content/uploads/2023/08/DreamLand-All-Inclusive-Package-German-2023.pdf</t>
        </is>
      </c>
      <c r="O181" t="inlineStr">
        <is>
          <t>81db9cd4e76b49d00182a3e11b20c77a0b5315bf1ac1407f550c3ebe1af36e27</t>
        </is>
      </c>
      <c r="P181" t="inlineStr">
        <is>
          <t>library/010_dreamland-the-unique-sea-lake-resort-spa/all_inclusive/2023_DreamLand-All-Inclusive-Package-German-2023.pdf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all_inclusive</t>
        </is>
      </c>
      <c r="D182" t="inlineStr">
        <is>
          <t>2023_DreamLand-All-Inclusive-Package-English-2023.pdf</t>
        </is>
      </c>
      <c r="E182" t="n">
        <v>2023</v>
      </c>
      <c r="H182" t="n">
        <v>1</v>
      </c>
      <c r="I182" t="n">
        <v>120</v>
      </c>
      <c r="J182" t="inlineStr">
        <is>
          <t>Y</t>
        </is>
      </c>
      <c r="K182" t="inlineStr">
        <is>
          <t>dreamland.com.mv</t>
        </is>
      </c>
      <c r="L182" t="inlineStr">
        <is>
          <t>official</t>
        </is>
      </c>
      <c r="M182" t="inlineStr">
        <is>
          <t>https://dreamland.com.mv/wp-content/uploads/2024/08/DreamLand-All-Inclusive-Package-English-2023.pdf</t>
        </is>
      </c>
      <c r="N182" t="inlineStr">
        <is>
          <t>https://dreamland.com.mv/wp-content/uploads/2024/08/DreamLand-All-Inclusive-Package-English-2023.pdf | https://dreamland.com.mv/wp-content/uploads/2023/08/DreamLand-All-Inclusive-Package-English-2023.pdf</t>
        </is>
      </c>
      <c r="O182" t="inlineStr">
        <is>
          <t>5caa5e503d79fb1bb37e54c7064dfa6a8cb5d4ec1ec223338f773a292c357d3f</t>
        </is>
      </c>
      <c r="P182" t="inlineStr">
        <is>
          <t>library/010_dreamland-the-unique-sea-lake-resort-spa/all_inclusive/2023_DreamLand-All-Inclusive-Package-English-2023.pdf</t>
        </is>
      </c>
      <c r="R182" t="inlineStr">
        <is>
          <t>outdated</t>
        </is>
      </c>
      <c r="S182" t="inlineStr">
        <is>
          <t>N</t>
        </is>
      </c>
      <c r="T182" t="inlineStr">
        <is>
          <t>matched</t>
        </is>
      </c>
      <c r="U182" t="inlineStr">
        <is>
          <t>2026-10-04</t>
        </is>
      </c>
      <c r="V182" t="inlineStr"/>
    </row>
    <row r="183">
      <c r="A183" t="n">
        <v>11</v>
      </c>
      <c r="B183" t="inlineStr">
        <is>
          <t>Angaga Island Resort and Spa</t>
        </is>
      </c>
      <c r="C183" t="inlineStr">
        <is>
          <t>factsheet</t>
        </is>
      </c>
      <c r="D183" t="inlineStr">
        <is>
          <t>2018_GENERAL-INFORMATION.pdf</t>
        </is>
      </c>
      <c r="E183" t="n">
        <v>2018</v>
      </c>
      <c r="H183" t="n">
        <v>2</v>
      </c>
      <c r="I183" t="n">
        <v>65</v>
      </c>
      <c r="J183" t="inlineStr">
        <is>
          <t>Y</t>
        </is>
      </c>
      <c r="K183" t="inlineStr">
        <is>
          <t>angaga.com.mv</t>
        </is>
      </c>
      <c r="L183" t="inlineStr">
        <is>
          <t>official</t>
        </is>
      </c>
      <c r="M183" t="inlineStr">
        <is>
          <t>https://www.angaga.com.mv/wp-content/uploads/2018/12/GENERAL-INFORMATION.pdf</t>
        </is>
      </c>
      <c r="N183" t="inlineStr">
        <is>
          <t>https://www.angaga.com.mv/wp-content/uploads/2018/12/GENERAL-INFORMATION.pdf | https://angaga.com.mv/wp-content/uploads/2018/12/GENERAL-INFORMATION.pdf</t>
        </is>
      </c>
      <c r="O183" t="inlineStr">
        <is>
          <t>d7feaeeccc36beb073fbec5383c3d669d15b6ea5b22e52e6b72b1818d4c71beb</t>
        </is>
      </c>
      <c r="P183" t="inlineStr">
        <is>
          <t>library/011_angaga-island-resort-and-spa/factsheet/2018_GENERAL-INFORMATION.pdf</t>
        </is>
      </c>
      <c r="R183" t="inlineStr">
        <is>
          <t>outdated</t>
        </is>
      </c>
      <c r="S183" t="inlineStr">
        <is>
          <t>Y</t>
        </is>
      </c>
      <c r="T183" t="inlineStr">
        <is>
          <t>matched</t>
        </is>
      </c>
      <c r="U183" t="inlineStr">
        <is>
          <t>2026-10-04</t>
        </is>
      </c>
      <c r="V183" t="inlineStr"/>
    </row>
    <row r="184">
      <c r="A184" t="n">
        <v>11</v>
      </c>
      <c r="B184" t="inlineStr">
        <is>
          <t>Angaga Island Resort and Spa</t>
        </is>
      </c>
      <c r="C184" t="inlineStr">
        <is>
          <t>wedding</t>
        </is>
      </c>
      <c r="D184" t="inlineStr">
        <is>
          <t>2018_Angaga-Wedding-Package.pdf</t>
        </is>
      </c>
      <c r="E184" t="n">
        <v>2018</v>
      </c>
      <c r="H184" t="n">
        <v>2</v>
      </c>
      <c r="I184" t="n">
        <v>114</v>
      </c>
      <c r="J184" t="inlineStr">
        <is>
          <t>Y</t>
        </is>
      </c>
      <c r="K184" t="inlineStr">
        <is>
          <t>angaga.com.mv</t>
        </is>
      </c>
      <c r="L184" t="inlineStr">
        <is>
          <t>official</t>
        </is>
      </c>
      <c r="M184" t="inlineStr">
        <is>
          <t>https://www.angaga.com.mv/wp-content/uploads/2018/12/Angaga-Wedding-Package.pdf</t>
        </is>
      </c>
      <c r="N184" t="inlineStr">
        <is>
          <t>https://www.angaga.com.mv/wp-content/uploads/2018/12/Angaga-Wedding-Package.pdf | https://angaga.com.mv/wp-content/uploads/2018/12/Angaga-Wedding-Package.pdf</t>
        </is>
      </c>
      <c r="O184" t="inlineStr">
        <is>
          <t>46e0903144b38aeccfb3031e88a2a2426610a66bf0236a8998f07f1203d74c44</t>
        </is>
      </c>
      <c r="P184" t="inlineStr">
        <is>
          <t>library/011_angaga-island-resort-and-spa/wedding/2018_Angaga-Wedding-Package.pdf</t>
        </is>
      </c>
      <c r="R184" t="inlineStr">
        <is>
          <t>outdated</t>
        </is>
      </c>
      <c r="S184" t="inlineStr">
        <is>
          <t>Y</t>
        </is>
      </c>
      <c r="T184" t="inlineStr">
        <is>
          <t>matched</t>
        </is>
      </c>
      <c r="U184" t="inlineStr">
        <is>
          <t>2026-10-04</t>
        </is>
      </c>
      <c r="V184" t="inlineStr"/>
    </row>
    <row r="185">
      <c r="A185" t="n">
        <v>11</v>
      </c>
      <c r="B185" t="inlineStr">
        <is>
          <t>Angaga Island Resort and Spa</t>
        </is>
      </c>
      <c r="C185" t="inlineStr">
        <is>
          <t>wedding</t>
        </is>
      </c>
      <c r="D185" t="inlineStr">
        <is>
          <t>2018_wedding-package.pdf</t>
        </is>
      </c>
      <c r="E185" t="n">
        <v>2018</v>
      </c>
      <c r="H185" t="n">
        <v>2</v>
      </c>
      <c r="I185" t="n">
        <v>336</v>
      </c>
      <c r="J185" t="inlineStr">
        <is>
          <t>Y</t>
        </is>
      </c>
      <c r="K185" t="inlineStr">
        <is>
          <t>angaga.com.mv</t>
        </is>
      </c>
      <c r="L185" t="inlineStr">
        <is>
          <t>official</t>
        </is>
      </c>
      <c r="M185" t="inlineStr">
        <is>
          <t>https://www.angaga.com.mv/wp-content/themes/angaga/assets/pdf/wedding-package.pdf</t>
        </is>
      </c>
      <c r="N185"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85" t="inlineStr">
        <is>
          <t>65ff2d5bf107ab4d2d7e53a5320c8c312c4b9af487647b6c32153c39a4866bca</t>
        </is>
      </c>
      <c r="P185" t="inlineStr">
        <is>
          <t>library/011_angaga-island-resort-and-spa/wedding/2018_wedding-package.pdf</t>
        </is>
      </c>
      <c r="R185" t="inlineStr">
        <is>
          <t>outdated</t>
        </is>
      </c>
      <c r="S185" t="inlineStr">
        <is>
          <t>N</t>
        </is>
      </c>
      <c r="T185" t="inlineStr">
        <is>
          <t>matched</t>
        </is>
      </c>
      <c r="U185" t="inlineStr">
        <is>
          <t>2026-10-04</t>
        </is>
      </c>
      <c r="V185" t="inlineStr"/>
    </row>
    <row r="186">
      <c r="A186" t="n">
        <v>11</v>
      </c>
      <c r="B186" t="inlineStr">
        <is>
          <t>Angaga Island Resort and Spa</t>
        </is>
      </c>
      <c r="C186" t="inlineStr">
        <is>
          <t>dive_map</t>
        </is>
      </c>
      <c r="D186" t="inlineStr">
        <is>
          <t>2018_Angaga-Dive-Sites.pdf</t>
        </is>
      </c>
      <c r="E186" t="n">
        <v>2018</v>
      </c>
      <c r="H186" t="n">
        <v>9</v>
      </c>
      <c r="I186" t="n">
        <v>1035</v>
      </c>
      <c r="J186" t="inlineStr">
        <is>
          <t>Y</t>
        </is>
      </c>
      <c r="K186" t="inlineStr">
        <is>
          <t>angaga.com.mv</t>
        </is>
      </c>
      <c r="L186" t="inlineStr">
        <is>
          <t>official</t>
        </is>
      </c>
      <c r="M186" t="inlineStr">
        <is>
          <t>https://www.angaga.com.mv/wp-content/uploads/2018/12/Angaga-Dive-Sites.pdf</t>
        </is>
      </c>
      <c r="N186" t="inlineStr">
        <is>
          <t>https://www.angaga.com.mv/wp-content/uploads/2018/12/Angaga-Dive-Sites.pdf | https://angaga.com.mv/wp-content/uploads/2018/12/Angaga-Dive-Sites.pdf</t>
        </is>
      </c>
      <c r="O186" t="inlineStr">
        <is>
          <t>900fd5a520c126831a4588d3456321b78d28d23f5b77b198ba1fb0a9700967dd</t>
        </is>
      </c>
      <c r="P186" t="inlineStr">
        <is>
          <t>library/011_angaga-island-resort-and-spa/dive_map/2018_Angaga-Dive-Sites.pdf</t>
        </is>
      </c>
      <c r="R186" t="inlineStr">
        <is>
          <t>outdated</t>
        </is>
      </c>
      <c r="S186" t="inlineStr">
        <is>
          <t>Y</t>
        </is>
      </c>
      <c r="T186" t="inlineStr">
        <is>
          <t>matched</t>
        </is>
      </c>
      <c r="U186" t="inlineStr">
        <is>
          <t>2026-10-04</t>
        </is>
      </c>
      <c r="V186" t="inlineStr"/>
    </row>
    <row r="187">
      <c r="A187" t="n">
        <v>11</v>
      </c>
      <c r="B187" t="inlineStr">
        <is>
          <t>Angaga Island Resort and Spa</t>
        </is>
      </c>
      <c r="C187" t="inlineStr">
        <is>
          <t>spa_menu</t>
        </is>
      </c>
      <c r="D187" t="inlineStr">
        <is>
          <t>2018_Duny-Spa-menu-chineese-1.pdf</t>
        </is>
      </c>
      <c r="E187" t="n">
        <v>2018</v>
      </c>
      <c r="H187" t="n">
        <v>14</v>
      </c>
      <c r="I187" t="n">
        <v>664</v>
      </c>
      <c r="J187" t="inlineStr">
        <is>
          <t>Y</t>
        </is>
      </c>
      <c r="K187" t="inlineStr">
        <is>
          <t>angaga.com.mv</t>
        </is>
      </c>
      <c r="L187" t="inlineStr">
        <is>
          <t>official</t>
        </is>
      </c>
      <c r="M187" t="inlineStr">
        <is>
          <t>https://www.angaga.com.mv/wp-content/uploads/2018/12/Duny-Spa-menu-chineese-1.pdf</t>
        </is>
      </c>
      <c r="N187" t="inlineStr">
        <is>
          <t>https://www.angaga.com.mv/wp-content/uploads/2018/12/Duny-Spa-menu-chineese-1.pdf | https://www.angaga.com.mv/wp-content/uploads/2018/12/Duny-Spa-menu-chineese.pdf | https://angaga.com.mv/wp-content/uploads/2018/12/Duny-Spa-menu-chineese.pdf</t>
        </is>
      </c>
      <c r="O187" t="inlineStr">
        <is>
          <t>9ca4a9973d7f5e725d1e1a97aa4b7f08da2614f2219d5d9c505f0444e9ee67ac</t>
        </is>
      </c>
      <c r="P187" t="inlineStr">
        <is>
          <t>library/011_angaga-island-resort-and-spa/spa_menu/2018_Duny-Spa-menu-chineese-1.pdf</t>
        </is>
      </c>
      <c r="R187" t="inlineStr">
        <is>
          <t>outdated</t>
        </is>
      </c>
      <c r="S187" t="inlineStr">
        <is>
          <t>Y</t>
        </is>
      </c>
      <c r="T187" t="inlineStr">
        <is>
          <t>matched</t>
        </is>
      </c>
      <c r="U187" t="inlineStr">
        <is>
          <t>2026-10-04</t>
        </is>
      </c>
      <c r="V187" t="inlineStr"/>
    </row>
    <row r="188">
      <c r="A188" t="n">
        <v>11</v>
      </c>
      <c r="B188" t="inlineStr">
        <is>
          <t>Angaga Island Resort and Spa</t>
        </is>
      </c>
      <c r="C188" t="inlineStr">
        <is>
          <t>spa_menu</t>
        </is>
      </c>
      <c r="D188" t="inlineStr">
        <is>
          <t>2018_Duny-Spa-menu-german-1.pdf</t>
        </is>
      </c>
      <c r="E188" t="n">
        <v>2018</v>
      </c>
      <c r="H188" t="n">
        <v>14</v>
      </c>
      <c r="I188" t="n">
        <v>560</v>
      </c>
      <c r="J188" t="inlineStr">
        <is>
          <t>Y</t>
        </is>
      </c>
      <c r="K188" t="inlineStr">
        <is>
          <t>angaga.com.mv</t>
        </is>
      </c>
      <c r="L188" t="inlineStr">
        <is>
          <t>official</t>
        </is>
      </c>
      <c r="M188" t="inlineStr">
        <is>
          <t>https://www.angaga.com.mv/wp-content/uploads/2018/12/Duny-Spa-menu-german-1.pdf</t>
        </is>
      </c>
      <c r="N188" t="inlineStr">
        <is>
          <t>https://www.angaga.com.mv/wp-content/uploads/2018/12/Duny-Spa-menu-german-1.pdf | https://www.angaga.com.mv/wp-content/uploads/2018/12/Duny-Spa-menu-german.pdf | https://angaga.com.mv/wp-content/uploads/2018/12/Duny-Spa-menu-german.pdf</t>
        </is>
      </c>
      <c r="O188" t="inlineStr">
        <is>
          <t>173b010542ab5a444debc4229644161d51adf41cfff1959a3e2c86a4c3e280f2</t>
        </is>
      </c>
      <c r="P188" t="inlineStr">
        <is>
          <t>library/011_angaga-island-resort-and-spa/spa_menu/2018_Duny-Spa-menu-german-1.pdf</t>
        </is>
      </c>
      <c r="R188" t="inlineStr">
        <is>
          <t>outdated</t>
        </is>
      </c>
      <c r="S188" t="inlineStr">
        <is>
          <t>N</t>
        </is>
      </c>
      <c r="T188" t="inlineStr">
        <is>
          <t>matched</t>
        </is>
      </c>
      <c r="U188" t="inlineStr">
        <is>
          <t>2026-10-04</t>
        </is>
      </c>
      <c r="V188" t="inlineStr"/>
    </row>
    <row r="189">
      <c r="A189" t="n">
        <v>11</v>
      </c>
      <c r="B189" t="inlineStr">
        <is>
          <t>Angaga Island Resort and Spa</t>
        </is>
      </c>
      <c r="C189" t="inlineStr">
        <is>
          <t>dining_menu</t>
        </is>
      </c>
      <c r="D189" t="inlineStr">
        <is>
          <t>2025_COFFEE_SHOP_EAT_MENU_2025.pdf</t>
        </is>
      </c>
      <c r="E189" t="n">
        <v>2025</v>
      </c>
      <c r="H189" t="n">
        <v>6</v>
      </c>
      <c r="I189" t="n">
        <v>10541</v>
      </c>
      <c r="J189" t="inlineStr">
        <is>
          <t>Y</t>
        </is>
      </c>
      <c r="K189" t="inlineStr">
        <is>
          <t>angaga.com.mv</t>
        </is>
      </c>
      <c r="L189" t="inlineStr">
        <is>
          <t>official</t>
        </is>
      </c>
      <c r="M189" t="inlineStr">
        <is>
          <t>https://www.angaga.com.mv/wp-content/uploads/2025/05/COFFEE_SHOP_EAT_MENU_2025.pdf</t>
        </is>
      </c>
      <c r="N189" t="inlineStr">
        <is>
          <t>https://www.angaga.com.mv/wp-content/uploads/2025/05/COFFEE_SHOP_EAT_MENU_2025.pdf | https://angaga.com.mv/wp-content/uploads/2025/05/COFFEE_SHOP_EAT_MENU_2025.pdf</t>
        </is>
      </c>
      <c r="O189" t="inlineStr">
        <is>
          <t>00c2621d700bb23f4d7262ace94053f425b54fdd2a88ea85a529c342c3f4bdc2</t>
        </is>
      </c>
      <c r="P189" t="inlineStr">
        <is>
          <t>library/011_angaga-island-resort-and-spa/dining_menu/2025_COFFEE_SHOP_EAT_MENU_2025.pdf</t>
        </is>
      </c>
      <c r="R189" t="inlineStr">
        <is>
          <t>current</t>
        </is>
      </c>
      <c r="S189" t="inlineStr">
        <is>
          <t>N</t>
        </is>
      </c>
      <c r="T189" t="inlineStr">
        <is>
          <t>matched</t>
        </is>
      </c>
      <c r="U189" t="inlineStr">
        <is>
          <t>2026-10-04</t>
        </is>
      </c>
      <c r="V189" t="inlineStr"/>
    </row>
    <row r="190">
      <c r="A190" t="n">
        <v>11</v>
      </c>
      <c r="B190" t="inlineStr">
        <is>
          <t>Angaga Island Resort and Spa</t>
        </is>
      </c>
      <c r="C190" t="inlineStr">
        <is>
          <t>dining_menu</t>
        </is>
      </c>
      <c r="D190" t="inlineStr">
        <is>
          <t>2025_Angaga_All_inclusive_menu_Sun_Downbar_2025.pdf</t>
        </is>
      </c>
      <c r="E190" t="n">
        <v>2025</v>
      </c>
      <c r="H190" t="n">
        <v>6</v>
      </c>
      <c r="I190" t="n">
        <v>5821</v>
      </c>
      <c r="J190" t="inlineStr">
        <is>
          <t>Y</t>
        </is>
      </c>
      <c r="K190" t="inlineStr">
        <is>
          <t>angaga.com.mv</t>
        </is>
      </c>
      <c r="L190" t="inlineStr">
        <is>
          <t>official</t>
        </is>
      </c>
      <c r="M190" t="inlineStr">
        <is>
          <t>https://www.angaga.com.mv/wp-content/uploads/2025/05/Angaga_All_inclusive_menu_Sun_Downbar_2025.pdf</t>
        </is>
      </c>
      <c r="N190" t="inlineStr">
        <is>
          <t>https://www.angaga.com.mv/wp-content/uploads/2025/05/Angaga_All_inclusive_menu_Sun_Downbar_2025.pdf | https://angaga.com.mv/wp-content/uploads/2025/05/Angaga_All_inclusive_menu_Sun_Downbar_2025.pdf</t>
        </is>
      </c>
      <c r="O190" t="inlineStr">
        <is>
          <t>3582de83cd18afb0147a4eb039b3735c9d8eb912f7101a7a233e3674d7624498</t>
        </is>
      </c>
      <c r="P190" t="inlineStr">
        <is>
          <t>library/011_angaga-island-resort-and-spa/dining_menu/2025_Angaga_All_inclusive_menu_Sun_Downbar_2025.pdf</t>
        </is>
      </c>
      <c r="R190" t="inlineStr">
        <is>
          <t>current</t>
        </is>
      </c>
      <c r="S190" t="inlineStr">
        <is>
          <t>N</t>
        </is>
      </c>
      <c r="T190" t="inlineStr">
        <is>
          <t>matched</t>
        </is>
      </c>
      <c r="U190" t="inlineStr">
        <is>
          <t>2026-10-04</t>
        </is>
      </c>
      <c r="V190" t="inlineStr"/>
    </row>
    <row r="191">
      <c r="A191" t="n">
        <v>11</v>
      </c>
      <c r="B191" t="inlineStr">
        <is>
          <t>Angaga Island Resort and Spa</t>
        </is>
      </c>
      <c r="C191" t="inlineStr">
        <is>
          <t>dining_menu</t>
        </is>
      </c>
      <c r="D191" t="inlineStr">
        <is>
          <t>2025_Angaga_drinks_menu_2025.pdf</t>
        </is>
      </c>
      <c r="E191" t="n">
        <v>2025</v>
      </c>
      <c r="H191" t="n">
        <v>8</v>
      </c>
      <c r="I191" t="n">
        <v>10180</v>
      </c>
      <c r="J191" t="inlineStr">
        <is>
          <t>Y</t>
        </is>
      </c>
      <c r="K191" t="inlineStr">
        <is>
          <t>angaga.com.mv</t>
        </is>
      </c>
      <c r="L191" t="inlineStr">
        <is>
          <t>official</t>
        </is>
      </c>
      <c r="M191" t="inlineStr">
        <is>
          <t>https://www.angaga.com.mv/wp-content/uploads/2025/05/Angaga_drinks_menu_2025.pdf</t>
        </is>
      </c>
      <c r="N191" t="inlineStr">
        <is>
          <t>https://www.angaga.com.mv/wp-content/uploads/2025/05/Angaga_drinks_menu_2025.pdf | https://angaga.com.mv/wp-content/uploads/2025/05/Angaga_drinks_menu_2025.pdf</t>
        </is>
      </c>
      <c r="O191" t="inlineStr">
        <is>
          <t>a28e7d47c57276c96f469811445410ea93d71ed29965fcbdfd297a74718c167a</t>
        </is>
      </c>
      <c r="P191" t="inlineStr">
        <is>
          <t>library/011_angaga-island-resort-and-spa/dining_menu/2025_Angaga_drinks_menu_2025.pdf</t>
        </is>
      </c>
      <c r="R191" t="inlineStr">
        <is>
          <t>current</t>
        </is>
      </c>
      <c r="S191" t="inlineStr">
        <is>
          <t>N</t>
        </is>
      </c>
      <c r="T191" t="inlineStr">
        <is>
          <t>matched</t>
        </is>
      </c>
      <c r="U191" t="inlineStr">
        <is>
          <t>2026-10-04</t>
        </is>
      </c>
      <c r="V191" t="inlineStr"/>
    </row>
    <row r="192">
      <c r="A192" t="n">
        <v>11</v>
      </c>
      <c r="B192" t="inlineStr">
        <is>
          <t>Angaga Island Resort and Spa</t>
        </is>
      </c>
      <c r="C192" t="inlineStr">
        <is>
          <t>dining_menu</t>
        </is>
      </c>
      <c r="D192" t="inlineStr">
        <is>
          <t>2025_Angaga_wine_menu_2025.pdf</t>
        </is>
      </c>
      <c r="E192" t="n">
        <v>2025</v>
      </c>
      <c r="H192" t="n">
        <v>9</v>
      </c>
      <c r="I192" t="n">
        <v>19147</v>
      </c>
      <c r="J192" t="inlineStr">
        <is>
          <t>Y</t>
        </is>
      </c>
      <c r="K192" t="inlineStr">
        <is>
          <t>angaga.com.mv</t>
        </is>
      </c>
      <c r="L192" t="inlineStr">
        <is>
          <t>official</t>
        </is>
      </c>
      <c r="M192" t="inlineStr">
        <is>
          <t>https://www.angaga.com.mv/wp-content/uploads/2025/05/Angaga_wine_menu_2025.pdf</t>
        </is>
      </c>
      <c r="N192" t="inlineStr">
        <is>
          <t>https://www.angaga.com.mv/wp-content/uploads/2025/05/Angaga_wine_menu_2025.pdf | https://angaga.com.mv/wp-content/uploads/2025/05/Angaga_wine_menu_2025.pdf</t>
        </is>
      </c>
      <c r="O192" t="inlineStr">
        <is>
          <t>ee2f11eab31032d7a047d481f4ec6b8479b7b7293965554a3da9fb534bb97549</t>
        </is>
      </c>
      <c r="P192" t="inlineStr">
        <is>
          <t>library/011_angaga-island-resort-and-spa/dining_menu/2025_Angaga_wine_menu_2025.pdf</t>
        </is>
      </c>
      <c r="R192" t="inlineStr">
        <is>
          <t>current</t>
        </is>
      </c>
      <c r="S192" t="inlineStr">
        <is>
          <t>Y</t>
        </is>
      </c>
      <c r="T192" t="inlineStr">
        <is>
          <t>matched</t>
        </is>
      </c>
      <c r="U192" t="inlineStr">
        <is>
          <t>2026-10-04</t>
        </is>
      </c>
      <c r="V192" t="inlineStr"/>
    </row>
    <row r="193">
      <c r="A193" t="n">
        <v>11</v>
      </c>
      <c r="B193" t="inlineStr">
        <is>
          <t>Angaga Island Resort and Spa</t>
        </is>
      </c>
      <c r="C193" t="inlineStr">
        <is>
          <t>dining_menu</t>
        </is>
      </c>
      <c r="D193" t="inlineStr">
        <is>
          <t>2018_COFFEE-SHOP-MENU.pdf</t>
        </is>
      </c>
      <c r="E193" t="n">
        <v>2018</v>
      </c>
      <c r="H193" t="n">
        <v>12</v>
      </c>
      <c r="I193" t="n">
        <v>2622</v>
      </c>
      <c r="J193" t="inlineStr">
        <is>
          <t>Y</t>
        </is>
      </c>
      <c r="K193" t="inlineStr">
        <is>
          <t>angaga.com.mv</t>
        </is>
      </c>
      <c r="L193" t="inlineStr">
        <is>
          <t>official</t>
        </is>
      </c>
      <c r="M193" t="inlineStr">
        <is>
          <t>https://www.angaga.com.mv/wp-content/uploads/2018/12/COFFEE-SHOP-MENU.pdf</t>
        </is>
      </c>
      <c r="N193" t="inlineStr">
        <is>
          <t>https://www.angaga.com.mv/wp-content/uploads/2018/12/COFFEE-SHOP-MENU.pdf | https://www.angaga.com.mv/wp-content/uploads/2018/12/COFFEE-SHOP-MENU-2.pdf</t>
        </is>
      </c>
      <c r="O193" t="inlineStr">
        <is>
          <t>2da1860567b798180d158d5f371eb940bde20d9c0372cd2aa4f09d118e1f0e89</t>
        </is>
      </c>
      <c r="P193" t="inlineStr">
        <is>
          <t>library/011_angaga-island-resort-and-spa/dining_menu/2018_COFFEE-SHOP-MENU.pdf</t>
        </is>
      </c>
      <c r="R193" t="inlineStr">
        <is>
          <t>outdated</t>
        </is>
      </c>
      <c r="S193" t="inlineStr">
        <is>
          <t>N</t>
        </is>
      </c>
      <c r="T193" t="inlineStr">
        <is>
          <t>matched</t>
        </is>
      </c>
      <c r="U193" t="inlineStr">
        <is>
          <t>2026-10-04</t>
        </is>
      </c>
      <c r="V193" t="inlineStr"/>
    </row>
    <row r="194">
      <c r="A194" t="n">
        <v>11</v>
      </c>
      <c r="B194" t="inlineStr">
        <is>
          <t>Angaga Island Resort and Spa</t>
        </is>
      </c>
      <c r="C194" t="inlineStr">
        <is>
          <t>dining_menu</t>
        </is>
      </c>
      <c r="D194" t="inlineStr">
        <is>
          <t>2018_wine-menu-3.pdf</t>
        </is>
      </c>
      <c r="E194" t="n">
        <v>2018</v>
      </c>
      <c r="H194" t="n">
        <v>8</v>
      </c>
      <c r="I194" t="n">
        <v>4285</v>
      </c>
      <c r="J194" t="inlineStr">
        <is>
          <t>Y</t>
        </is>
      </c>
      <c r="K194" t="inlineStr">
        <is>
          <t>angaga.com.mv</t>
        </is>
      </c>
      <c r="L194" t="inlineStr">
        <is>
          <t>official</t>
        </is>
      </c>
      <c r="M194" t="inlineStr">
        <is>
          <t>https://www.angaga.com.mv/wp-content/uploads/2018/12/wine-menu-3.pdf</t>
        </is>
      </c>
      <c r="N194" t="inlineStr">
        <is>
          <t>https://www.angaga.com.mv/wp-content/uploads/2018/12/wine-menu-3.pdf | https://www.angaga.com.mv/wp-content/uploads/2018/12/wine-menu-2.pdf | https://www.angaga.com.mv/wp-content/uploads/2018/12/wine-menu-1.pdf</t>
        </is>
      </c>
      <c r="O194" t="inlineStr">
        <is>
          <t>b97276e8420c28fdd0f2f503fbfb071bf4284495afcad489aa607ac06b7ecb84</t>
        </is>
      </c>
      <c r="P194" t="inlineStr">
        <is>
          <t>library/011_angaga-island-resort-and-spa/dining_menu/2018_wine-menu-3.pdf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dining_menu</t>
        </is>
      </c>
      <c r="D195" t="inlineStr">
        <is>
          <t>2018_All-Inclusive-menu-1-2.pdf</t>
        </is>
      </c>
      <c r="E195" t="n">
        <v>2018</v>
      </c>
      <c r="H195" t="n">
        <v>8</v>
      </c>
      <c r="I195" t="n">
        <v>3484</v>
      </c>
      <c r="J195" t="inlineStr">
        <is>
          <t>Y</t>
        </is>
      </c>
      <c r="K195" t="inlineStr">
        <is>
          <t>angaga.com.mv</t>
        </is>
      </c>
      <c r="L195" t="inlineStr">
        <is>
          <t>official</t>
        </is>
      </c>
      <c r="M195" t="inlineStr">
        <is>
          <t>https://www.angaga.com.mv/wp-content/uploads/2018/12/All-Inclusive-menu-1-2.pdf</t>
        </is>
      </c>
      <c r="N195"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195" t="inlineStr">
        <is>
          <t>dc087fce5614a692331f10911cdbfab7067044eb180cf30a0f5cc97fad87682c</t>
        </is>
      </c>
      <c r="P195" t="inlineStr">
        <is>
          <t>library/011_angaga-island-resort-and-spa/dining_menu/2018_All-Inclusive-menu-1-2.pdf</t>
        </is>
      </c>
      <c r="R195" t="inlineStr">
        <is>
          <t>outdated</t>
        </is>
      </c>
      <c r="S195" t="inlineStr">
        <is>
          <t>N</t>
        </is>
      </c>
      <c r="T195" t="inlineStr">
        <is>
          <t>matched</t>
        </is>
      </c>
      <c r="U195" t="inlineStr">
        <is>
          <t>2026-10-04</t>
        </is>
      </c>
      <c r="V195" t="inlineStr"/>
    </row>
    <row r="196">
      <c r="A196" t="n">
        <v>11</v>
      </c>
      <c r="B196" t="inlineStr">
        <is>
          <t>Angaga Island Resort and Spa</t>
        </is>
      </c>
      <c r="C196" t="inlineStr">
        <is>
          <t>dining_menu</t>
        </is>
      </c>
      <c r="D196" t="inlineStr">
        <is>
          <t>2012_Angaga-Wine-Menu-New-2.pdf</t>
        </is>
      </c>
      <c r="E196" t="n">
        <v>2012</v>
      </c>
      <c r="H196" t="n">
        <v>6</v>
      </c>
      <c r="I196" t="n">
        <v>449</v>
      </c>
      <c r="J196" t="inlineStr">
        <is>
          <t>Y</t>
        </is>
      </c>
      <c r="K196" t="inlineStr">
        <is>
          <t>angaga.com.mv</t>
        </is>
      </c>
      <c r="L196" t="inlineStr">
        <is>
          <t>official</t>
        </is>
      </c>
      <c r="M196" t="inlineStr">
        <is>
          <t>https://www.angaga.com.mv/wp-content/uploads/2018/12/Angaga-Wine-Menu-New-2.pdf</t>
        </is>
      </c>
      <c r="N196"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196" t="inlineStr">
        <is>
          <t>01bf8d0df208c55c0a9ddf2064709a10fbae873053a3e2619aa15228b8e395f1</t>
        </is>
      </c>
      <c r="P196" t="inlineStr">
        <is>
          <t>library/011_angaga-island-resort-and-spa/dining_menu/2012_Angaga-Wine-Menu-New-2.pdf</t>
        </is>
      </c>
      <c r="R196" t="inlineStr">
        <is>
          <t>outdated</t>
        </is>
      </c>
      <c r="S196" t="inlineStr">
        <is>
          <t>N</t>
        </is>
      </c>
      <c r="T196" t="inlineStr">
        <is>
          <t>matched</t>
        </is>
      </c>
      <c r="U196" t="inlineStr">
        <is>
          <t>2026-10-04</t>
        </is>
      </c>
      <c r="V196" t="inlineStr"/>
    </row>
    <row r="197">
      <c r="A197" t="n">
        <v>11</v>
      </c>
      <c r="B197" t="inlineStr">
        <is>
          <t>Angaga Island Resort and Spa</t>
        </is>
      </c>
      <c r="C197" t="inlineStr">
        <is>
          <t>dive_prices</t>
        </is>
      </c>
      <c r="D197" t="inlineStr">
        <is>
          <t>2018_Introduction-to-Snorkeling-and-Diving-Angaga.pdf</t>
        </is>
      </c>
      <c r="E197" t="n">
        <v>2018</v>
      </c>
      <c r="H197" t="n">
        <v>6</v>
      </c>
      <c r="I197" t="n">
        <v>5503</v>
      </c>
      <c r="J197" t="inlineStr">
        <is>
          <t>Y</t>
        </is>
      </c>
      <c r="K197" t="inlineStr">
        <is>
          <t>angaga.com.mv</t>
        </is>
      </c>
      <c r="L197" t="inlineStr">
        <is>
          <t>official</t>
        </is>
      </c>
      <c r="M197" t="inlineStr">
        <is>
          <t>https://www.angaga.com.mv/wp-content/uploads/2018/12/Introduction-to-Snorkeling-and-Diving-Angaga.pdf</t>
        </is>
      </c>
      <c r="N197"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197" t="inlineStr">
        <is>
          <t>d2eb4d753756a187664479b4f0ded56671d79c1b7f662155cb0e0a7b5c491e71</t>
        </is>
      </c>
      <c r="P197" t="inlineStr">
        <is>
          <t>library/011_angaga-island-resort-and-spa/dive_prices/2018_Introduction-to-Snorkeling-and-Diving-Angaga.pdf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dive_prices</t>
        </is>
      </c>
      <c r="D198" t="inlineStr">
        <is>
          <t>2018_Angaga-Water-Sports-Activities-Information.pdf</t>
        </is>
      </c>
      <c r="E198" t="n">
        <v>2018</v>
      </c>
      <c r="H198" t="n">
        <v>7</v>
      </c>
      <c r="I198" t="n">
        <v>4193</v>
      </c>
      <c r="J198" t="inlineStr">
        <is>
          <t>Y</t>
        </is>
      </c>
      <c r="K198" t="inlineStr">
        <is>
          <t>angaga.com.mv</t>
        </is>
      </c>
      <c r="L198" t="inlineStr">
        <is>
          <t>official</t>
        </is>
      </c>
      <c r="M198" t="inlineStr">
        <is>
          <t>https://www.angaga.com.mv/wp-content/uploads/2018/12/Angaga-Water-Sports-Activities-Information.pdf</t>
        </is>
      </c>
      <c r="N198" t="inlineStr">
        <is>
          <t>https://www.angaga.com.mv/wp-content/uploads/2018/12/Angaga-Water-Sports-Activities-Information.pdf | https://www.angaga.com.mv/wp-content/uploads/2018/11/Angaga-Water-Sports-Activities-Information.pdf | https://angaga.com.mv/wp-content/uploads/2018/11/Angaga-Water-Sports-Activities-Information.pdf</t>
        </is>
      </c>
      <c r="O198" t="inlineStr">
        <is>
          <t>d95f9c8e6440f963c13c748d106eb4793befdf336049c8298fc8cc987199b959</t>
        </is>
      </c>
      <c r="P198" t="inlineStr">
        <is>
          <t>library/011_angaga-island-resort-and-spa/dive_prices/2018_Angaga-Water-Sports-Activities-Information.pdf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dive_prices</t>
        </is>
      </c>
      <c r="D199" t="inlineStr">
        <is>
          <t>2018_Angaga-Dive-Center-Information.pdf</t>
        </is>
      </c>
      <c r="E199" t="n">
        <v>2018</v>
      </c>
      <c r="H199" t="n">
        <v>2</v>
      </c>
      <c r="I199" t="n">
        <v>746</v>
      </c>
      <c r="J199" t="inlineStr">
        <is>
          <t>Y</t>
        </is>
      </c>
      <c r="K199" t="inlineStr">
        <is>
          <t>angaga.com.mv</t>
        </is>
      </c>
      <c r="L199" t="inlineStr">
        <is>
          <t>official</t>
        </is>
      </c>
      <c r="M199" t="inlineStr">
        <is>
          <t>https://www.angaga.com.mv/wp-content/uploads/2018/12/Angaga-Dive-Center-Information.pdf</t>
        </is>
      </c>
      <c r="N199" t="inlineStr">
        <is>
          <t>https://www.angaga.com.mv/wp-content/uploads/2018/12/Angaga-Dive-Center-Information.pdf | https://angaga.com.mv/wp-content/uploads/2018/12/Angaga-Dive-Center-Information.pdf</t>
        </is>
      </c>
      <c r="O199" t="inlineStr">
        <is>
          <t>76efd2f972aa837a74b63ea7210de3cb3025a5ac1eba675a142faa8b4ce27f66</t>
        </is>
      </c>
      <c r="P199" t="inlineStr">
        <is>
          <t>library/011_angaga-island-resort-and-spa/dive_prices/2018_Angaga-Dive-Center-Information.pdf</t>
        </is>
      </c>
      <c r="R199" t="inlineStr">
        <is>
          <t>outdated</t>
        </is>
      </c>
      <c r="S199" t="inlineStr">
        <is>
          <t>N</t>
        </is>
      </c>
      <c r="T199" t="inlineStr">
        <is>
          <t>matched</t>
        </is>
      </c>
      <c r="U199" t="inlineStr">
        <is>
          <t>2026-10-04</t>
        </is>
      </c>
      <c r="V199" t="inlineStr"/>
    </row>
    <row r="200">
      <c r="A200" t="n">
        <v>11</v>
      </c>
      <c r="B200" t="inlineStr">
        <is>
          <t>Angaga Island Resort and Spa</t>
        </is>
      </c>
      <c r="C200" t="inlineStr">
        <is>
          <t>dive_prices</t>
        </is>
      </c>
      <c r="D200" t="inlineStr">
        <is>
          <t>2015_FAQ-SUB-AQUA-DiveCenter.pdf</t>
        </is>
      </c>
      <c r="E200" t="n">
        <v>2015</v>
      </c>
      <c r="H200" t="n">
        <v>3</v>
      </c>
      <c r="I200" t="n">
        <v>1882</v>
      </c>
      <c r="J200" t="inlineStr">
        <is>
          <t>Y</t>
        </is>
      </c>
      <c r="K200" t="inlineStr">
        <is>
          <t>angaga.com.mv</t>
        </is>
      </c>
      <c r="L200" t="inlineStr">
        <is>
          <t>official</t>
        </is>
      </c>
      <c r="M200" t="inlineStr">
        <is>
          <t>https://www.angaga.com.mv/wp-content/uploads/2018/12/FAQ-SUB-AQUA-DiveCenter.pdf</t>
        </is>
      </c>
      <c r="N200" t="inlineStr">
        <is>
          <t>https://www.angaga.com.mv/wp-content/uploads/2018/12/FAQ-SUB-AQUA-DiveCenter.pdf | https://www.angaga.com.mv/wp-content/uploads/2018/11/FAQ-SUB-AQUA-DiveCenter.pdf | https://angaga.com.mv/wp-content/uploads/2018/11/FAQ-SUB-AQUA-DiveCenter.pdf</t>
        </is>
      </c>
      <c r="O200" t="inlineStr">
        <is>
          <t>9fb96e8b0726a6c777bb6a0d98181389a7d2943f5514478913c3f6a6ad8b7d37</t>
        </is>
      </c>
      <c r="P200" t="inlineStr">
        <is>
          <t>library/011_angaga-island-resort-and-spa/dive_prices/2015_FAQ-SUB-AQUA-DiveCenter.pdf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dive_prices</t>
        </is>
      </c>
      <c r="D201" t="inlineStr">
        <is>
          <t>2014_docpdf_pricelistwatersports-angaga.pdf</t>
        </is>
      </c>
      <c r="E201" t="n">
        <v>2014</v>
      </c>
      <c r="H201" t="n">
        <v>1</v>
      </c>
      <c r="I201" t="n">
        <v>86</v>
      </c>
      <c r="J201" t="inlineStr">
        <is>
          <t>Y</t>
        </is>
      </c>
      <c r="K201" t="inlineStr">
        <is>
          <t>angaga.com.mv</t>
        </is>
      </c>
      <c r="L201" t="inlineStr">
        <is>
          <t>official</t>
        </is>
      </c>
      <c r="M201" t="inlineStr">
        <is>
          <t>https://www.angaga.com.mv/wp-content/uploads/2018/11/docpdf_pricelistwatersports-angaga.pdf</t>
        </is>
      </c>
      <c r="N201" t="inlineStr">
        <is>
          <t>https://www.angaga.com.mv/wp-content/uploads/2018/11/docpdf_pricelistwatersports-angaga.pdf | https://angaga.com.mv/wp-content/uploads/2018/11/docpdf_pricelistwatersports-angaga.pdf</t>
        </is>
      </c>
      <c r="O201" t="inlineStr">
        <is>
          <t>d346caf425ab8336fcc782002cfcf6183f0aeb410cfef18ef2a0365f9eec980f</t>
        </is>
      </c>
      <c r="P201" t="inlineStr">
        <is>
          <t>library/011_angaga-island-resort-and-spa/dive_prices/2014_docpdf_pricelistwatersports-angaga.pdf</t>
        </is>
      </c>
      <c r="R201" t="inlineStr">
        <is>
          <t>outdated</t>
        </is>
      </c>
      <c r="S201" t="inlineStr">
        <is>
          <t>N</t>
        </is>
      </c>
      <c r="T201" t="inlineStr">
        <is>
          <t>matched</t>
        </is>
      </c>
      <c r="U201" t="inlineStr">
        <is>
          <t>2026-10-04</t>
        </is>
      </c>
      <c r="V201" t="inlineStr"/>
    </row>
    <row r="202">
      <c r="A202" t="n">
        <v>11</v>
      </c>
      <c r="B202" t="inlineStr">
        <is>
          <t>Angaga Island Resort and Spa</t>
        </is>
      </c>
      <c r="C202" t="inlineStr">
        <is>
          <t>excursions</t>
        </is>
      </c>
      <c r="D202" t="inlineStr">
        <is>
          <t>2018_EXCURSIONS.pdf</t>
        </is>
      </c>
      <c r="E202" t="n">
        <v>2018</v>
      </c>
      <c r="H202" t="n">
        <v>2</v>
      </c>
      <c r="I202" t="n">
        <v>768</v>
      </c>
      <c r="J202" t="inlineStr">
        <is>
          <t>Y</t>
        </is>
      </c>
      <c r="K202" t="inlineStr">
        <is>
          <t>angaga.com.mv</t>
        </is>
      </c>
      <c r="L202" t="inlineStr">
        <is>
          <t>official</t>
        </is>
      </c>
      <c r="M202" t="inlineStr">
        <is>
          <t>https://www.angaga.com.mv/wp-content/uploads/2018/12/EXCURSIONS.pdf</t>
        </is>
      </c>
      <c r="N202" t="inlineStr">
        <is>
          <t>https://www.angaga.com.mv/wp-content/uploads/2018/12/EXCURSIONS.pdf | https://angaga.com.mv/wp-content/uploads/2018/12/EXCURSIONS.pdf</t>
        </is>
      </c>
      <c r="O202" t="inlineStr">
        <is>
          <t>b44c2ac1b76ce1ad52e0713323ce2d64570e67b31b9d57b70b7d449bf6e2e614</t>
        </is>
      </c>
      <c r="P202" t="inlineStr">
        <is>
          <t>library/011_angaga-island-resort-and-spa/excursions/2018_EXCURSIONS.pdf</t>
        </is>
      </c>
      <c r="R202" t="inlineStr">
        <is>
          <t>outdated</t>
        </is>
      </c>
      <c r="S202" t="inlineStr">
        <is>
          <t>Y</t>
        </is>
      </c>
      <c r="T202" t="inlineStr">
        <is>
          <t>matched</t>
        </is>
      </c>
      <c r="U202" t="inlineStr">
        <is>
          <t>2026-10-04</t>
        </is>
      </c>
      <c r="V202" t="inlineStr"/>
    </row>
    <row r="203">
      <c r="A203" t="n">
        <v>11</v>
      </c>
      <c r="B203" t="inlineStr">
        <is>
          <t>Angaga Island Resort and Spa</t>
        </is>
      </c>
      <c r="C203" t="inlineStr">
        <is>
          <t>all_inclusive</t>
        </is>
      </c>
      <c r="D203" t="inlineStr">
        <is>
          <t>2018_All-Inclusive-Package-3.pdf</t>
        </is>
      </c>
      <c r="E203" t="n">
        <v>2018</v>
      </c>
      <c r="H203" t="n">
        <v>1</v>
      </c>
      <c r="I203" t="n">
        <v>145</v>
      </c>
      <c r="J203" t="inlineStr">
        <is>
          <t>Y</t>
        </is>
      </c>
      <c r="K203" t="inlineStr">
        <is>
          <t>angaga.com.mv</t>
        </is>
      </c>
      <c r="L203" t="inlineStr">
        <is>
          <t>official</t>
        </is>
      </c>
      <c r="M203" t="inlineStr">
        <is>
          <t>https://www.angaga.com.mv/wp-content/uploads/2018/12/All-Inclusive-Package-3.pdf</t>
        </is>
      </c>
      <c r="N203" t="inlineStr">
        <is>
          <t>https://www.angaga.com.mv/wp-content/uploads/2018/12/All-Inclusive-Package-3.pdf | https://www.angaga.com.mv/wp-content/uploads/2018/12/All-Inclusive-Package-2.pdf | https://www.angaga.com.mv/wp-content/uploads/2018/12/All-Inclusive-Package-1.pdf</t>
        </is>
      </c>
      <c r="O203" t="inlineStr">
        <is>
          <t>4aab507ea9b0f194f900450c5ce73c88f082728136b8912e91fa2e09728f089b</t>
        </is>
      </c>
      <c r="P203" t="inlineStr">
        <is>
          <t>library/011_angaga-island-resort-and-spa/all_inclusive/2018_All-Inclusive-Package-3.pdf</t>
        </is>
      </c>
      <c r="R203" t="inlineStr">
        <is>
          <t>outdated</t>
        </is>
      </c>
      <c r="S203" t="inlineStr">
        <is>
          <t>Y</t>
        </is>
      </c>
      <c r="T203" t="inlineStr">
        <is>
          <t>matched</t>
        </is>
      </c>
      <c r="U203" t="inlineStr">
        <is>
          <t>2026-10-04</t>
        </is>
      </c>
      <c r="V203" t="inlineStr"/>
    </row>
    <row r="204">
      <c r="A204" t="n">
        <v>11</v>
      </c>
      <c r="B204" t="inlineStr">
        <is>
          <t>Angaga Island Resort and Spa</t>
        </is>
      </c>
      <c r="C204" t="inlineStr">
        <is>
          <t>other</t>
        </is>
      </c>
      <c r="D204" t="inlineStr">
        <is>
          <t>2025_Prices-are-subject-to-change-without-any-prior-notice.pdf</t>
        </is>
      </c>
      <c r="E204" t="n">
        <v>2025</v>
      </c>
      <c r="H204" t="n">
        <v>1</v>
      </c>
      <c r="I204" t="n">
        <v>18</v>
      </c>
      <c r="J204" t="inlineStr">
        <is>
          <t>Y</t>
        </is>
      </c>
      <c r="K204" t="inlineStr">
        <is>
          <t>angaga.com.mv</t>
        </is>
      </c>
      <c r="L204" t="inlineStr">
        <is>
          <t>official</t>
        </is>
      </c>
      <c r="M204" t="inlineStr">
        <is>
          <t>https://www.angaga.com.mv/wp-content/uploads/2025/04/Prices-are-subject-to-change-without-any-prior-notice.pdf</t>
        </is>
      </c>
      <c r="N204"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04" t="inlineStr">
        <is>
          <t>696b0992c0b01af21b10706d3bc3d444994c09b2f43ced66348dfc19455d0ed0</t>
        </is>
      </c>
      <c r="P204" t="inlineStr">
        <is>
          <t>library/011_angaga-island-resort-and-spa/other/2025_Prices-are-subject-to-change-without-any-prior-notice.pdf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other</t>
        </is>
      </c>
      <c r="D205" t="inlineStr">
        <is>
          <t>2018_HolidayCheck-2018.pdf</t>
        </is>
      </c>
      <c r="E205" t="n">
        <v>2018</v>
      </c>
      <c r="H205" t="n">
        <v>1</v>
      </c>
      <c r="I205" t="n">
        <v>907</v>
      </c>
      <c r="J205" t="inlineStr">
        <is>
          <t>Y</t>
        </is>
      </c>
      <c r="K205" t="inlineStr">
        <is>
          <t>angaga.com.mv</t>
        </is>
      </c>
      <c r="L205" t="inlineStr">
        <is>
          <t>official</t>
        </is>
      </c>
      <c r="M205" t="inlineStr">
        <is>
          <t>https://www.angaga.com.mv/wp-content/uploads/2018/12/HolidayCheck-2018.pdf</t>
        </is>
      </c>
      <c r="N205" t="inlineStr">
        <is>
          <t>https://www.angaga.com.mv/wp-content/uploads/2018/12/HolidayCheck-2018.pdf</t>
        </is>
      </c>
      <c r="O205" t="inlineStr">
        <is>
          <t>facab8e96c3497a080e471116abf63d5bb7d5df3a4336479c07a37865fc48ada</t>
        </is>
      </c>
      <c r="P205" t="inlineStr">
        <is>
          <t>library/011_angaga-island-resort-and-spa/other/2018_HolidayCheck-2018.pdf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other</t>
        </is>
      </c>
      <c r="D206" t="inlineStr">
        <is>
          <t>2015_HolidayCheck-2015.pdf</t>
        </is>
      </c>
      <c r="E206" t="n">
        <v>2015</v>
      </c>
      <c r="H206" t="n">
        <v>1</v>
      </c>
      <c r="I206" t="n">
        <v>916</v>
      </c>
      <c r="J206" t="inlineStr">
        <is>
          <t>N</t>
        </is>
      </c>
      <c r="K206" t="inlineStr">
        <is>
          <t>angaga.com.mv</t>
        </is>
      </c>
      <c r="L206" t="inlineStr">
        <is>
          <t>official</t>
        </is>
      </c>
      <c r="M206" t="inlineStr">
        <is>
          <t>https://www.angaga.com.mv/wp-content/uploads/2018/12/HolidayCheck-2015.pdf</t>
        </is>
      </c>
      <c r="N206" t="inlineStr">
        <is>
          <t>https://www.angaga.com.mv/wp-content/uploads/2018/12/HolidayCheck-2015.pdf</t>
        </is>
      </c>
      <c r="O206" t="inlineStr">
        <is>
          <t>48e3c3ab3b0c636b1fc9407d4e76d50cbc45556865a9a0b201b009e39927c621</t>
        </is>
      </c>
      <c r="P206" t="inlineStr">
        <is>
          <t>library/011_angaga-island-resort-and-spa/other/2015_HolidayCheck-2015.pdf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other</t>
        </is>
      </c>
      <c r="D207" t="inlineStr">
        <is>
          <t>2014_HolidayCheck-2014.pdf</t>
        </is>
      </c>
      <c r="E207" t="n">
        <v>2014</v>
      </c>
      <c r="H207" t="n">
        <v>1</v>
      </c>
      <c r="I207" t="n">
        <v>771</v>
      </c>
      <c r="J207" t="inlineStr">
        <is>
          <t>N</t>
        </is>
      </c>
      <c r="K207" t="inlineStr">
        <is>
          <t>angaga.com.mv</t>
        </is>
      </c>
      <c r="L207" t="inlineStr">
        <is>
          <t>official</t>
        </is>
      </c>
      <c r="M207" t="inlineStr">
        <is>
          <t>https://www.angaga.com.mv/wp-content/uploads/2018/12/HolidayCheck-2014.pdf</t>
        </is>
      </c>
      <c r="N207" t="inlineStr">
        <is>
          <t>https://www.angaga.com.mv/wp-content/uploads/2018/12/HolidayCheck-2014.pdf</t>
        </is>
      </c>
      <c r="O207" t="inlineStr">
        <is>
          <t>0387644970ffe748323a04d6f38667f10c64c9cb2b70fce20c5641aa0847c0cf</t>
        </is>
      </c>
      <c r="P207" t="inlineStr">
        <is>
          <t>library/011_angaga-island-resort-and-spa/other/2014_HolidayCheck-2014.pdf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other</t>
        </is>
      </c>
      <c r="D208" t="inlineStr">
        <is>
          <t>2014_HolidayCheck-2014-Winner.pdf</t>
        </is>
      </c>
      <c r="E208" t="n">
        <v>2014</v>
      </c>
      <c r="H208" t="n">
        <v>1</v>
      </c>
      <c r="I208" t="n">
        <v>614</v>
      </c>
      <c r="J208" t="inlineStr">
        <is>
          <t>Y</t>
        </is>
      </c>
      <c r="K208" t="inlineStr">
        <is>
          <t>angaga.com.mv</t>
        </is>
      </c>
      <c r="L208" t="inlineStr">
        <is>
          <t>official</t>
        </is>
      </c>
      <c r="M208" t="inlineStr">
        <is>
          <t>https://www.angaga.com.mv/wp-content/uploads/2018/12/HolidayCheck-2014-Winner.pdf</t>
        </is>
      </c>
      <c r="N208" t="inlineStr">
        <is>
          <t>https://www.angaga.com.mv/wp-content/uploads/2018/12/HolidayCheck-2014-Winner.pdf</t>
        </is>
      </c>
      <c r="O208" t="inlineStr">
        <is>
          <t>ad1345ba1801a73ac2fd052ae55d7b691176c3bbdb77993956930fe0fee102e6</t>
        </is>
      </c>
      <c r="P208" t="inlineStr">
        <is>
          <t>library/011_angaga-island-resort-and-spa/other/2014_HolidayCheck-2014-Winner.pdf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other</t>
        </is>
      </c>
      <c r="D209" t="inlineStr">
        <is>
          <t>2013_HolidayCheck-2013.pdf</t>
        </is>
      </c>
      <c r="E209" t="n">
        <v>2013</v>
      </c>
      <c r="H209" t="n">
        <v>1</v>
      </c>
      <c r="I209" t="n">
        <v>911</v>
      </c>
      <c r="J209" t="inlineStr">
        <is>
          <t>Y</t>
        </is>
      </c>
      <c r="K209" t="inlineStr">
        <is>
          <t>angaga.com.mv</t>
        </is>
      </c>
      <c r="L209" t="inlineStr">
        <is>
          <t>official</t>
        </is>
      </c>
      <c r="M209" t="inlineStr">
        <is>
          <t>https://www.angaga.com.mv/wp-content/uploads/2018/12/HolidayCheck-2013.pdf</t>
        </is>
      </c>
      <c r="N209" t="inlineStr">
        <is>
          <t>https://www.angaga.com.mv/wp-content/uploads/2018/12/HolidayCheck-2013.pdf</t>
        </is>
      </c>
      <c r="O209" t="inlineStr">
        <is>
          <t>aa65f9e0b277f93dcc9d60e8ce12fb5d7d49e088e30eb19c1e205ec4ac1ff30c</t>
        </is>
      </c>
      <c r="P209" t="inlineStr">
        <is>
          <t>library/011_angaga-island-resort-and-spa/other/2013_HolidayCheck-2013.pdf</t>
        </is>
      </c>
      <c r="R209" t="inlineStr">
        <is>
          <t>outdated</t>
        </is>
      </c>
      <c r="S209" t="inlineStr">
        <is>
          <t>N</t>
        </is>
      </c>
      <c r="T209" t="inlineStr">
        <is>
          <t>matched</t>
        </is>
      </c>
      <c r="U209" t="inlineStr">
        <is>
          <t>2026-10-04</t>
        </is>
      </c>
      <c r="V209" t="inlineStr"/>
    </row>
    <row r="210">
      <c r="A210" t="n">
        <v>12</v>
      </c>
      <c r="B210" t="inlineStr">
        <is>
          <t>Thulhagiri Island Resort &amp; Spa</t>
        </is>
      </c>
      <c r="C210" t="inlineStr">
        <is>
          <t>wedding</t>
        </is>
      </c>
      <c r="D210" t="inlineStr">
        <is>
          <t>2025_Romantic-Beach-Dinner.pdf</t>
        </is>
      </c>
      <c r="E210" t="n">
        <v>2025</v>
      </c>
      <c r="H210" t="n">
        <v>1</v>
      </c>
      <c r="I210" t="n">
        <v>2210</v>
      </c>
      <c r="J210" t="inlineStr">
        <is>
          <t>Y</t>
        </is>
      </c>
      <c r="K210" t="inlineStr">
        <is>
          <t>thulhagiri.com.mv</t>
        </is>
      </c>
      <c r="L210" t="inlineStr">
        <is>
          <t>official</t>
        </is>
      </c>
      <c r="M210" t="inlineStr">
        <is>
          <t>https://www.thulhagiri.com.mv/wp-content/uploads/2025/10/Romantic-Beach-Dinner.pdf</t>
        </is>
      </c>
      <c r="N210" t="inlineStr">
        <is>
          <t>https://www.thulhagiri.com.mv/wp-content/uploads/2025/10/Romantic-Beach-Dinner.pdf | https://thulhagiri.com.mv/wp-content/uploads/2025/10/Romantic-Beach-Dinner.pdf</t>
        </is>
      </c>
      <c r="O210" t="inlineStr">
        <is>
          <t>11141f037254bb73964ef676d7a75e970a58394b72fd9d3a8b7babbca7bcc1b4</t>
        </is>
      </c>
      <c r="P210" t="inlineStr">
        <is>
          <t>library/012_thulhagiri-island-resort-spa/wedding/2025_Romantic-Beach-Dinner.pdf</t>
        </is>
      </c>
      <c r="R210" t="inlineStr">
        <is>
          <t>current</t>
        </is>
      </c>
      <c r="S210" t="inlineStr">
        <is>
          <t>Y</t>
        </is>
      </c>
      <c r="T210" t="inlineStr">
        <is>
          <t>matched</t>
        </is>
      </c>
      <c r="U210" t="inlineStr">
        <is>
          <t>2026-10-04</t>
        </is>
      </c>
      <c r="V210" t="inlineStr"/>
    </row>
    <row r="211">
      <c r="A211" t="n">
        <v>12</v>
      </c>
      <c r="B211" t="inlineStr">
        <is>
          <t>Thulhagiri Island Resort &amp; Spa</t>
        </is>
      </c>
      <c r="C211" t="inlineStr">
        <is>
          <t>map</t>
        </is>
      </c>
      <c r="D211" t="inlineStr">
        <is>
          <t>2025_Thulhagiri-Map-Updated-2025.pdf</t>
        </is>
      </c>
      <c r="E211" t="n">
        <v>2025</v>
      </c>
      <c r="H211" t="n">
        <v>1</v>
      </c>
      <c r="I211" t="n">
        <v>14524</v>
      </c>
      <c r="J211" t="inlineStr">
        <is>
          <t>Y</t>
        </is>
      </c>
      <c r="K211" t="inlineStr">
        <is>
          <t>thulhagiri.com.mv</t>
        </is>
      </c>
      <c r="L211" t="inlineStr">
        <is>
          <t>official</t>
        </is>
      </c>
      <c r="M211" t="inlineStr">
        <is>
          <t>https://www.thulhagiri.com.mv/wp-content/uploads/2025/10/Thulhagiri-Map-Updated-2025.pdf</t>
        </is>
      </c>
      <c r="N211" t="inlineStr">
        <is>
          <t>https://www.thulhagiri.com.mv/wp-content/uploads/2025/10/Thulhagiri-Map-Updated-2025.pdf | https://thulhagiri.com.mv/wp-content/uploads/2025/10/Thulhagiri-Map-Updated-2025.pdf</t>
        </is>
      </c>
      <c r="O211" t="inlineStr">
        <is>
          <t>551d567da17658063362b09e0b6cfc0e490bbec9d63f2a774a9f8bb668f85d33</t>
        </is>
      </c>
      <c r="P211" t="inlineStr">
        <is>
          <t>library/012_thulhagiri-island-resort-spa/map/2025_Thulhagiri-Map-Updated-2025.pdf</t>
        </is>
      </c>
      <c r="R211" t="inlineStr">
        <is>
          <t>current</t>
        </is>
      </c>
      <c r="S211" t="inlineStr">
        <is>
          <t>Y</t>
        </is>
      </c>
      <c r="T211" t="inlineStr">
        <is>
          <t>matched</t>
        </is>
      </c>
      <c r="U211" t="inlineStr">
        <is>
          <t>2026-10-04</t>
        </is>
      </c>
      <c r="V211" t="inlineStr"/>
    </row>
    <row r="212">
      <c r="A212" t="n">
        <v>12</v>
      </c>
      <c r="B212" t="inlineStr">
        <is>
          <t>Thulhagiri Island Resort &amp; Spa</t>
        </is>
      </c>
      <c r="C212" t="inlineStr">
        <is>
          <t>dive_map</t>
        </is>
      </c>
      <c r="D212" t="inlineStr">
        <is>
          <t>2022_Thulhagiri-Dive-Site-information-2022.pdf</t>
        </is>
      </c>
      <c r="E212" t="n">
        <v>2022</v>
      </c>
      <c r="H212" t="n">
        <v>6</v>
      </c>
      <c r="I212" t="n">
        <v>597</v>
      </c>
      <c r="J212" t="inlineStr">
        <is>
          <t>Y</t>
        </is>
      </c>
      <c r="K212" t="inlineStr">
        <is>
          <t>thulhagiri.com.mv</t>
        </is>
      </c>
      <c r="L212" t="inlineStr">
        <is>
          <t>official</t>
        </is>
      </c>
      <c r="M212" t="inlineStr">
        <is>
          <t>https://www.thulhagiri.com.mv/wp-content/uploads/2022/12/Thulhagiri-Dive-Site-information-2022.pdf</t>
        </is>
      </c>
      <c r="N212" t="inlineStr">
        <is>
          <t>https://www.thulhagiri.com.mv/wp-content/uploads/2022/12/Thulhagiri-Dive-Site-information-2022.pdf</t>
        </is>
      </c>
      <c r="O212" t="inlineStr">
        <is>
          <t>2f823065271fa42561b1eaa497bc02b4592b7e3536b64258a70a87ca440f476d</t>
        </is>
      </c>
      <c r="P212" t="inlineStr">
        <is>
          <t>library/012_thulhagiri-island-resort-spa/dive_map/2022_Thulhagiri-Dive-Site-information-2022.pdf</t>
        </is>
      </c>
      <c r="R212" t="inlineStr">
        <is>
          <t>outdated</t>
        </is>
      </c>
      <c r="S212" t="inlineStr">
        <is>
          <t>Y</t>
        </is>
      </c>
      <c r="T212" t="inlineStr">
        <is>
          <t>matched</t>
        </is>
      </c>
      <c r="U212" t="inlineStr">
        <is>
          <t>2026-10-04</t>
        </is>
      </c>
      <c r="V212" t="inlineStr"/>
    </row>
    <row r="213">
      <c r="A213" t="n">
        <v>12</v>
      </c>
      <c r="B213" t="inlineStr">
        <is>
          <t>Thulhagiri Island Resort &amp; Spa</t>
        </is>
      </c>
      <c r="C213" t="inlineStr">
        <is>
          <t>spa_menu</t>
        </is>
      </c>
      <c r="D213" t="inlineStr">
        <is>
          <t>2024_Duny-Thai-Spa-Menu-2024-Thulhagiri.pdf</t>
        </is>
      </c>
      <c r="E213" t="n">
        <v>2024</v>
      </c>
      <c r="H213" t="n">
        <v>9</v>
      </c>
      <c r="I213" t="n">
        <v>11682</v>
      </c>
      <c r="J213" t="inlineStr">
        <is>
          <t>Y</t>
        </is>
      </c>
      <c r="K213" t="inlineStr">
        <is>
          <t>thulhagiri.com.mv</t>
        </is>
      </c>
      <c r="L213" t="inlineStr">
        <is>
          <t>official</t>
        </is>
      </c>
      <c r="M213" t="inlineStr">
        <is>
          <t>https://www.thulhagiri.com.mv/wp-content/uploads/2024/01/Duny-Thai-Spa-Menu-2024-Thulhagiri.pdf</t>
        </is>
      </c>
      <c r="N213" t="inlineStr">
        <is>
          <t>https://www.thulhagiri.com.mv/wp-content/uploads/2024/01/Duny-Thai-Spa-Menu-2024-Thulhagiri.pdf | https://thulhagiri.com.mv/wp-content/uploads/2024/01/Duny-Thai-Spa-Menu-2024-Thulhagiri.pdf</t>
        </is>
      </c>
      <c r="O213" t="inlineStr">
        <is>
          <t>f2e295f2079cef977529b0c94e1389dfdb21a653c4140bcda101f3c6d3a2e8f0</t>
        </is>
      </c>
      <c r="P213" t="inlineStr">
        <is>
          <t>library/012_thulhagiri-island-resort-spa/spa_menu/2024_Duny-Thai-Spa-Menu-2024-Thulhagiri.pdf</t>
        </is>
      </c>
      <c r="R213" t="inlineStr">
        <is>
          <t>outdated</t>
        </is>
      </c>
      <c r="S213" t="inlineStr">
        <is>
          <t>Y</t>
        </is>
      </c>
      <c r="T213" t="inlineStr">
        <is>
          <t>matched</t>
        </is>
      </c>
      <c r="U213" t="inlineStr">
        <is>
          <t>2026-10-04</t>
        </is>
      </c>
      <c r="V213" t="inlineStr"/>
    </row>
    <row r="214">
      <c r="A214" t="n">
        <v>12</v>
      </c>
      <c r="B214" t="inlineStr">
        <is>
          <t>Thulhagiri Island Resort &amp; Spa</t>
        </is>
      </c>
      <c r="C214" t="inlineStr">
        <is>
          <t>dining_menu</t>
        </is>
      </c>
      <c r="D214" t="inlineStr">
        <is>
          <t>2025_Coffee-Shop-Menu-2025.pdf</t>
        </is>
      </c>
      <c r="E214" t="n">
        <v>2025</v>
      </c>
      <c r="H214" t="n">
        <v>4</v>
      </c>
      <c r="I214" t="n">
        <v>8265</v>
      </c>
      <c r="J214" t="inlineStr">
        <is>
          <t>Y</t>
        </is>
      </c>
      <c r="K214" t="inlineStr">
        <is>
          <t>thulhagiri.com.mv</t>
        </is>
      </c>
      <c r="L214" t="inlineStr">
        <is>
          <t>official</t>
        </is>
      </c>
      <c r="M214" t="inlineStr">
        <is>
          <t>https://www.thulhagiri.com.mv/wp-content/uploads/2025/10/Coffee-Shop-Menu-2025.pdf</t>
        </is>
      </c>
      <c r="N214" t="inlineStr">
        <is>
          <t>https://www.thulhagiri.com.mv/wp-content/uploads/2025/10/Coffee-Shop-Menu-2025.pdf | https://thulhagiri.com.mv/wp-content/uploads/2025/10/Coffee-Shop-Menu-2025.pdf</t>
        </is>
      </c>
      <c r="O214" t="inlineStr">
        <is>
          <t>6e6861a2cf16531795bbbf759866edc59f1abd4fd2d20ef0fb7ff555b7a2f39a</t>
        </is>
      </c>
      <c r="P214" t="inlineStr">
        <is>
          <t>library/012_thulhagiri-island-resort-spa/dining_menu/2025_Coffee-Shop-Menu-2025.pdf</t>
        </is>
      </c>
      <c r="R214" t="inlineStr">
        <is>
          <t>current</t>
        </is>
      </c>
      <c r="S214" t="inlineStr">
        <is>
          <t>N</t>
        </is>
      </c>
      <c r="T214" t="inlineStr">
        <is>
          <t>matched</t>
        </is>
      </c>
      <c r="U214" t="inlineStr">
        <is>
          <t>2026-10-04</t>
        </is>
      </c>
      <c r="V214" t="inlineStr"/>
    </row>
    <row r="215">
      <c r="A215" t="n">
        <v>12</v>
      </c>
      <c r="B215" t="inlineStr">
        <is>
          <t>Thulhagiri Island Resort &amp; Spa</t>
        </is>
      </c>
      <c r="C215" t="inlineStr">
        <is>
          <t>dining_menu</t>
        </is>
      </c>
      <c r="D215" t="inlineStr">
        <is>
          <t>2025_Drinks-Menu-2025.pdf</t>
        </is>
      </c>
      <c r="E215" t="n">
        <v>2025</v>
      </c>
      <c r="H215" t="n">
        <v>4</v>
      </c>
      <c r="I215" t="n">
        <v>5419</v>
      </c>
      <c r="J215" t="inlineStr">
        <is>
          <t>Y</t>
        </is>
      </c>
      <c r="K215" t="inlineStr">
        <is>
          <t>thulhagiri.com.mv</t>
        </is>
      </c>
      <c r="L215" t="inlineStr">
        <is>
          <t>official</t>
        </is>
      </c>
      <c r="M215" t="inlineStr">
        <is>
          <t>https://www.thulhagiri.com.mv/wp-content/uploads/2025/10/Drinks-Menu-2025.pdf</t>
        </is>
      </c>
      <c r="N215" t="inlineStr">
        <is>
          <t>https://www.thulhagiri.com.mv/wp-content/uploads/2025/10/Drinks-Menu-2025.pdf | https://thulhagiri.com.mv/wp-content/uploads/2025/10/Drinks-Menu-2025.pdf</t>
        </is>
      </c>
      <c r="O215" t="inlineStr">
        <is>
          <t>0bc2fa24dc2093fa0aab1ba74f0fe11986c37ba77c679bba060c8a330f52d0d4</t>
        </is>
      </c>
      <c r="P215" t="inlineStr">
        <is>
          <t>library/012_thulhagiri-island-resort-spa/dining_menu/2025_Drinks-Menu-2025.pdf</t>
        </is>
      </c>
      <c r="R215" t="inlineStr">
        <is>
          <t>current</t>
        </is>
      </c>
      <c r="S215" t="inlineStr">
        <is>
          <t>N</t>
        </is>
      </c>
      <c r="T215" t="inlineStr">
        <is>
          <t>matched</t>
        </is>
      </c>
      <c r="U215" t="inlineStr">
        <is>
          <t>2026-10-04</t>
        </is>
      </c>
      <c r="V215" t="inlineStr"/>
    </row>
    <row r="216">
      <c r="A216" t="n">
        <v>12</v>
      </c>
      <c r="B216" t="inlineStr">
        <is>
          <t>Thulhagiri Island Resort &amp; Spa</t>
        </is>
      </c>
      <c r="C216" t="inlineStr">
        <is>
          <t>dining_menu</t>
        </is>
      </c>
      <c r="D216" t="inlineStr">
        <is>
          <t>2025_Wine-menu-2025.pdf</t>
        </is>
      </c>
      <c r="E216" t="n">
        <v>2025</v>
      </c>
      <c r="H216" t="n">
        <v>6</v>
      </c>
      <c r="I216" t="n">
        <v>6919</v>
      </c>
      <c r="J216" t="inlineStr">
        <is>
          <t>Y</t>
        </is>
      </c>
      <c r="K216" t="inlineStr">
        <is>
          <t>thulhagiri.com.mv</t>
        </is>
      </c>
      <c r="L216" t="inlineStr">
        <is>
          <t>official</t>
        </is>
      </c>
      <c r="M216" t="inlineStr">
        <is>
          <t>https://www.thulhagiri.com.mv/wp-content/uploads/2025/10/Wine-menu-2025.pdf</t>
        </is>
      </c>
      <c r="N216" t="inlineStr">
        <is>
          <t>https://www.thulhagiri.com.mv/wp-content/uploads/2025/10/Wine-menu-2025.pdf | https://thulhagiri.com.mv/wp-content/uploads/2025/10/Wine-menu-2025.pdf</t>
        </is>
      </c>
      <c r="O216" t="inlineStr">
        <is>
          <t>92a62bcab76c64621e66960da1661c92bcb263da9e9c93f914bd91d13af3576a</t>
        </is>
      </c>
      <c r="P216" t="inlineStr">
        <is>
          <t>library/012_thulhagiri-island-resort-spa/dining_menu/2025_Wine-menu-2025.pdf</t>
        </is>
      </c>
      <c r="R216" t="inlineStr">
        <is>
          <t>current</t>
        </is>
      </c>
      <c r="S216" t="inlineStr">
        <is>
          <t>N</t>
        </is>
      </c>
      <c r="T216" t="inlineStr">
        <is>
          <t>matched</t>
        </is>
      </c>
      <c r="U216" t="inlineStr">
        <is>
          <t>2026-10-04</t>
        </is>
      </c>
      <c r="V216" t="inlineStr"/>
    </row>
    <row r="217">
      <c r="A217" t="n">
        <v>12</v>
      </c>
      <c r="B217" t="inlineStr">
        <is>
          <t>Thulhagiri Island Resort &amp; Spa</t>
        </is>
      </c>
      <c r="C217" t="inlineStr">
        <is>
          <t>dining_menu</t>
        </is>
      </c>
      <c r="D217" t="inlineStr">
        <is>
          <t>2025_All-Inclusive-Drinks-Menu-2025-1.pdf</t>
        </is>
      </c>
      <c r="E217" t="n">
        <v>2025</v>
      </c>
      <c r="H217" t="n">
        <v>7</v>
      </c>
      <c r="I217" t="n">
        <v>11994</v>
      </c>
      <c r="J217" t="inlineStr">
        <is>
          <t>Y</t>
        </is>
      </c>
      <c r="K217" t="inlineStr">
        <is>
          <t>thulhagiri.com.mv</t>
        </is>
      </c>
      <c r="L217" t="inlineStr">
        <is>
          <t>official</t>
        </is>
      </c>
      <c r="M217" t="inlineStr">
        <is>
          <t>https://www.thulhagiri.com.mv/wp-content/uploads/2025/10/All-Inclusive-Drinks-Menu-2025-1.pdf</t>
        </is>
      </c>
      <c r="N217"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17" t="inlineStr">
        <is>
          <t>be3673f3e292a7cf50f87142ae8249abfe8298f48b2f6ee1d535f4d303177dfe</t>
        </is>
      </c>
      <c r="P217" t="inlineStr">
        <is>
          <t>library/012_thulhagiri-island-resort-spa/dining_menu/2025_All-Inclusive-Drinks-Menu-2025-1.pdf</t>
        </is>
      </c>
      <c r="R217" t="inlineStr">
        <is>
          <t>current</t>
        </is>
      </c>
      <c r="S217" t="inlineStr">
        <is>
          <t>Y</t>
        </is>
      </c>
      <c r="T217" t="inlineStr">
        <is>
          <t>matched</t>
        </is>
      </c>
      <c r="U217" t="inlineStr">
        <is>
          <t>2026-10-04</t>
        </is>
      </c>
      <c r="V217" t="inlineStr"/>
    </row>
    <row r="218">
      <c r="A218" t="n">
        <v>12</v>
      </c>
      <c r="B218" t="inlineStr">
        <is>
          <t>Thulhagiri Island Resort &amp; Spa</t>
        </is>
      </c>
      <c r="C218" t="inlineStr">
        <is>
          <t>dining_menu</t>
        </is>
      </c>
      <c r="D218" t="inlineStr">
        <is>
          <t>2023_WELCOME-THULHAGIRI-ENGLISH-GERMAN-VERSION-2023.pdf</t>
        </is>
      </c>
      <c r="E218" t="n">
        <v>2023</v>
      </c>
      <c r="H218" t="n">
        <v>5</v>
      </c>
      <c r="I218" t="n">
        <v>331</v>
      </c>
      <c r="J218" t="inlineStr">
        <is>
          <t>Y</t>
        </is>
      </c>
      <c r="K218" t="inlineStr">
        <is>
          <t>thulhagiri.com.mv</t>
        </is>
      </c>
      <c r="L218" t="inlineStr">
        <is>
          <t>official</t>
        </is>
      </c>
      <c r="M218" t="inlineStr">
        <is>
          <t>https://www.thulhagiri.com.mv/wp-content/uploads/2023/01/WELCOME-THULHAGIRI-ENGLISH-GERMAN-VERSION-2023.pdf</t>
        </is>
      </c>
      <c r="N218" t="inlineStr">
        <is>
          <t>https://www.thulhagiri.com.mv/wp-content/uploads/2023/01/WELCOME-THULHAGIRI-ENGLISH-GERMAN-VERSION-2023.pdf</t>
        </is>
      </c>
      <c r="O218" t="inlineStr">
        <is>
          <t>821d27f54823eb87f00e4349c324a255fbf5cb9428636c3e33490a6412b224b8</t>
        </is>
      </c>
      <c r="P218" t="inlineStr">
        <is>
          <t>library/012_thulhagiri-island-resort-spa/dining_menu/2023_WELCOME-THULHAGIRI-ENGLISH-GERMAN-VERSION-2023.pdf</t>
        </is>
      </c>
      <c r="R218" t="inlineStr">
        <is>
          <t>outdated</t>
        </is>
      </c>
      <c r="S218" t="inlineStr">
        <is>
          <t>N</t>
        </is>
      </c>
      <c r="T218" t="inlineStr">
        <is>
          <t>matched</t>
        </is>
      </c>
      <c r="U218" t="inlineStr">
        <is>
          <t>2026-10-04</t>
        </is>
      </c>
      <c r="V218" t="inlineStr"/>
    </row>
    <row r="219">
      <c r="A219" t="n">
        <v>12</v>
      </c>
      <c r="B219" t="inlineStr">
        <is>
          <t>Thulhagiri Island Resort &amp; Spa</t>
        </is>
      </c>
      <c r="C219" t="inlineStr">
        <is>
          <t>dining_menu</t>
        </is>
      </c>
      <c r="D219" t="inlineStr">
        <is>
          <t>2023_Cocktails-List-2023.pdf</t>
        </is>
      </c>
      <c r="E219" t="n">
        <v>2023</v>
      </c>
      <c r="H219" t="n">
        <v>10</v>
      </c>
      <c r="I219" t="n">
        <v>5733</v>
      </c>
      <c r="J219" t="inlineStr">
        <is>
          <t>Y</t>
        </is>
      </c>
      <c r="K219" t="inlineStr">
        <is>
          <t>thulhagiri.com.mv</t>
        </is>
      </c>
      <c r="L219" t="inlineStr">
        <is>
          <t>official</t>
        </is>
      </c>
      <c r="M219" t="inlineStr">
        <is>
          <t>https://www.thulhagiri.com.mv/wp-content/uploads/2023/01/Cocktails-List-2023.pdf</t>
        </is>
      </c>
      <c r="N219" t="inlineStr">
        <is>
          <t>https://www.thulhagiri.com.mv/wp-content/uploads/2023/01/Cocktails-List-2023.pdf | https://thulhagiri.com.mv/wp-content/uploads/2023/01/Cocktails-List-2023.pdf</t>
        </is>
      </c>
      <c r="O219" t="inlineStr">
        <is>
          <t>36884b780117d562be925ff56868f414202e361dcbf6d6e7be2e57ede0e3b1f8</t>
        </is>
      </c>
      <c r="P219" t="inlineStr">
        <is>
          <t>library/012_thulhagiri-island-resort-spa/dining_menu/2023_Cocktails-List-2023.pdf</t>
        </is>
      </c>
      <c r="R219" t="inlineStr">
        <is>
          <t>outdated</t>
        </is>
      </c>
      <c r="S219" t="inlineStr">
        <is>
          <t>N</t>
        </is>
      </c>
      <c r="T219" t="inlineStr">
        <is>
          <t>matched</t>
        </is>
      </c>
      <c r="U219" t="inlineStr">
        <is>
          <t>2026-10-04</t>
        </is>
      </c>
      <c r="V219" t="inlineStr"/>
    </row>
    <row r="220">
      <c r="A220" t="n">
        <v>12</v>
      </c>
      <c r="B220" t="inlineStr">
        <is>
          <t>Thulhagiri Island Resort &amp; Spa</t>
        </is>
      </c>
      <c r="C220" t="inlineStr">
        <is>
          <t>dining_menu</t>
        </is>
      </c>
      <c r="D220" t="inlineStr">
        <is>
          <t>2018_Thulhagiri18.pdf</t>
        </is>
      </c>
      <c r="E220" t="n">
        <v>2018</v>
      </c>
      <c r="H220" t="n">
        <v>1</v>
      </c>
      <c r="I220" t="n">
        <v>127</v>
      </c>
      <c r="J220" t="inlineStr">
        <is>
          <t>Y</t>
        </is>
      </c>
      <c r="K220" t="inlineStr">
        <is>
          <t>thulhagiri.com.mv</t>
        </is>
      </c>
      <c r="L220" t="inlineStr">
        <is>
          <t>official</t>
        </is>
      </c>
      <c r="M220" t="inlineStr">
        <is>
          <t>https://www.thulhagiri.com.mv/wp-content/uploads/2018/12/Thulhagiri18.pdf</t>
        </is>
      </c>
      <c r="N220" t="inlineStr">
        <is>
          <t>https://www.thulhagiri.com.mv/wp-content/uploads/2018/12/Thulhagiri18.pdf | https://thulhagiri.com.mv/wp-content/uploads/2018/12/Thulhagiri18.pdf</t>
        </is>
      </c>
      <c r="O220" t="inlineStr">
        <is>
          <t>e9a2962c0ac91f86b9ef51079ac505b393653896dc716a45ba27d1aee525f267</t>
        </is>
      </c>
      <c r="P220" t="inlineStr">
        <is>
          <t>library/012_thulhagiri-island-resort-spa/dining_menu/2018_Thulhagiri18.pdf</t>
        </is>
      </c>
      <c r="R220" t="inlineStr">
        <is>
          <t>outdated</t>
        </is>
      </c>
      <c r="S220" t="inlineStr">
        <is>
          <t>N</t>
        </is>
      </c>
      <c r="T220" t="inlineStr">
        <is>
          <t>matched</t>
        </is>
      </c>
      <c r="U220" t="inlineStr">
        <is>
          <t>2026-10-04</t>
        </is>
      </c>
      <c r="V220" t="inlineStr"/>
    </row>
    <row r="221">
      <c r="A221" t="n">
        <v>12</v>
      </c>
      <c r="B221" t="inlineStr">
        <is>
          <t>Thulhagiri Island Resort &amp; Spa</t>
        </is>
      </c>
      <c r="C221" t="inlineStr">
        <is>
          <t>dive_prices</t>
        </is>
      </c>
      <c r="D221" t="inlineStr">
        <is>
          <t>2025_Dive-Center-Pricelist-2025.pdf</t>
        </is>
      </c>
      <c r="E221" t="n">
        <v>2025</v>
      </c>
      <c r="H221" t="n">
        <v>2</v>
      </c>
      <c r="I221" t="n">
        <v>133</v>
      </c>
      <c r="J221" t="inlineStr">
        <is>
          <t>Y</t>
        </is>
      </c>
      <c r="K221" t="inlineStr">
        <is>
          <t>thulhagiri.com.mv</t>
        </is>
      </c>
      <c r="L221" t="inlineStr">
        <is>
          <t>official</t>
        </is>
      </c>
      <c r="M221" t="inlineStr">
        <is>
          <t>https://www.thulhagiri.com.mv/wp-content/uploads/2025/10/Dive-Center-Pricelist-2025.pdf</t>
        </is>
      </c>
      <c r="N221" t="inlineStr">
        <is>
          <t>https://www.thulhagiri.com.mv/wp-content/uploads/2025/10/Dive-Center-Pricelist-2025.pdf | https://thulhagiri.com.mv/wp-content/uploads/2025/10/Dive-Center-Pricelist-2025.pdf</t>
        </is>
      </c>
      <c r="O221" t="inlineStr">
        <is>
          <t>c3250c908e2bd6da575688a188424a676edc681047c53cdf7280ad70175fe3ef</t>
        </is>
      </c>
      <c r="P221" t="inlineStr">
        <is>
          <t>library/012_thulhagiri-island-resort-spa/dive_prices/2025_Dive-Center-Pricelist-2025.pdf</t>
        </is>
      </c>
      <c r="R221" t="inlineStr">
        <is>
          <t>current</t>
        </is>
      </c>
      <c r="S221" t="inlineStr">
        <is>
          <t>Y</t>
        </is>
      </c>
      <c r="T221" t="inlineStr">
        <is>
          <t>matched</t>
        </is>
      </c>
      <c r="U221" t="inlineStr">
        <is>
          <t>2026-10-04</t>
        </is>
      </c>
      <c r="V221" t="inlineStr"/>
    </row>
    <row r="222">
      <c r="A222" t="n">
        <v>12</v>
      </c>
      <c r="B222" t="inlineStr">
        <is>
          <t>Thulhagiri Island Resort &amp; Spa</t>
        </is>
      </c>
      <c r="C222" t="inlineStr">
        <is>
          <t>dive_prices</t>
        </is>
      </c>
      <c r="D222" t="inlineStr">
        <is>
          <t>2024_Water-Sports-Info-2024.pdf</t>
        </is>
      </c>
      <c r="E222" t="n">
        <v>2024</v>
      </c>
      <c r="H222" t="n">
        <v>1</v>
      </c>
      <c r="I222" t="n">
        <v>1308</v>
      </c>
      <c r="J222" t="inlineStr">
        <is>
          <t>Y</t>
        </is>
      </c>
      <c r="K222" t="inlineStr">
        <is>
          <t>thulhagiri.com.mv</t>
        </is>
      </c>
      <c r="L222" t="inlineStr">
        <is>
          <t>official</t>
        </is>
      </c>
      <c r="M222" t="inlineStr">
        <is>
          <t>https://www.thulhagiri.com.mv/wp-content/uploads/2025/10/Water-Sports-Info-2024.pdf</t>
        </is>
      </c>
      <c r="N222" t="inlineStr">
        <is>
          <t>https://www.thulhagiri.com.mv/wp-content/uploads/2025/10/Water-Sports-Info-2024.pdf | https://thulhagiri.com.mv/wp-content/uploads/2025/10/Water-Sports-Info-2024.pdf</t>
        </is>
      </c>
      <c r="O222" t="inlineStr">
        <is>
          <t>75329ca21e60cba9866fc15bd8a4ebf5d4fbdf45f7f1d377b4037b19314c94a0</t>
        </is>
      </c>
      <c r="P222" t="inlineStr">
        <is>
          <t>library/012_thulhagiri-island-resort-spa/dive_prices/2024_Water-Sports-Info-2024.pdf</t>
        </is>
      </c>
      <c r="R222" t="inlineStr">
        <is>
          <t>outdated</t>
        </is>
      </c>
      <c r="S222" t="inlineStr">
        <is>
          <t>N</t>
        </is>
      </c>
      <c r="T222" t="inlineStr">
        <is>
          <t>matched</t>
        </is>
      </c>
      <c r="U222" t="inlineStr">
        <is>
          <t>2026-10-04</t>
        </is>
      </c>
      <c r="V222" t="inlineStr"/>
    </row>
    <row r="223">
      <c r="A223" t="n">
        <v>12</v>
      </c>
      <c r="B223" t="inlineStr">
        <is>
          <t>Thulhagiri Island Resort &amp; Spa</t>
        </is>
      </c>
      <c r="C223" t="inlineStr">
        <is>
          <t>dive_prices</t>
        </is>
      </c>
      <c r="D223" t="inlineStr">
        <is>
          <t>2018_While-snorkelingchinese.pdf</t>
        </is>
      </c>
      <c r="E223" t="n">
        <v>2018</v>
      </c>
      <c r="H223" t="n">
        <v>9</v>
      </c>
      <c r="I223" t="n">
        <v>590</v>
      </c>
      <c r="J223" t="inlineStr">
        <is>
          <t>Y</t>
        </is>
      </c>
      <c r="K223" t="inlineStr">
        <is>
          <t>thulhagiri.com.mv</t>
        </is>
      </c>
      <c r="L223" t="inlineStr">
        <is>
          <t>official</t>
        </is>
      </c>
      <c r="M223" t="inlineStr">
        <is>
          <t>https://www.thulhagiri.com.mv/wp-content/uploads/2018/12/While-snorkelingchinese.pdf</t>
        </is>
      </c>
      <c r="N223" t="inlineStr">
        <is>
          <t>https://www.thulhagiri.com.mv/wp-content/uploads/2018/12/While-snorkelingchinese.pdf | https://thulhagiri.com.mv/wp-content/uploads/2018/12/While-snorkelingchinese.pdf</t>
        </is>
      </c>
      <c r="O223" t="inlineStr">
        <is>
          <t>7e821b9ddeaf5f64bb57b35b5de396286d319e7476fc49c9436ebb1966d528c1</t>
        </is>
      </c>
      <c r="P223" t="inlineStr">
        <is>
          <t>library/012_thulhagiri-island-resort-spa/dive_prices/2018_While-snorkelingchinese.pdf</t>
        </is>
      </c>
      <c r="R223" t="inlineStr">
        <is>
          <t>outdated</t>
        </is>
      </c>
      <c r="S223" t="inlineStr">
        <is>
          <t>N</t>
        </is>
      </c>
      <c r="T223" t="inlineStr">
        <is>
          <t>matched</t>
        </is>
      </c>
      <c r="U223" t="inlineStr">
        <is>
          <t>2026-10-04</t>
        </is>
      </c>
      <c r="V223" t="inlineStr"/>
    </row>
    <row r="224">
      <c r="A224" t="n">
        <v>12</v>
      </c>
      <c r="B224" t="inlineStr">
        <is>
          <t>Thulhagiri Island Resort &amp; Spa</t>
        </is>
      </c>
      <c r="C224" t="inlineStr">
        <is>
          <t>villa_plans</t>
        </is>
      </c>
      <c r="D224" t="inlineStr">
        <is>
          <t>2018_Welcome-to-Thulhagiri.pdf</t>
        </is>
      </c>
      <c r="E224" t="n">
        <v>2018</v>
      </c>
      <c r="H224" t="n">
        <v>24</v>
      </c>
      <c r="I224" t="n">
        <v>442</v>
      </c>
      <c r="J224" t="inlineStr">
        <is>
          <t>Y</t>
        </is>
      </c>
      <c r="K224" t="inlineStr">
        <is>
          <t>thulhagiri.com.mv</t>
        </is>
      </c>
      <c r="L224" t="inlineStr">
        <is>
          <t>official</t>
        </is>
      </c>
      <c r="M224" t="inlineStr">
        <is>
          <t>https://www.thulhagiri.com.mv/wp-content/uploads/2018/12/Welcome-to-Thulhagiri.pdf</t>
        </is>
      </c>
      <c r="N224" t="inlineStr">
        <is>
          <t>https://www.thulhagiri.com.mv/wp-content/uploads/2018/12/Welcome-to-Thulhagiri.pdf | https://thulhagiri.com.mv/wp-content/uploads/2018/12/Welcome-to-Thulhagiri.pdf</t>
        </is>
      </c>
      <c r="O224" t="inlineStr">
        <is>
          <t>70ffba2315079082c13f7efe448b3550fdb0b8257cd1be2f53815f152d039c5f</t>
        </is>
      </c>
      <c r="P224" t="inlineStr">
        <is>
          <t>library/012_thulhagiri-island-resort-spa/villa_plans/2018_Welcome-to-Thulhagiri.pdf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all_inclusive</t>
        </is>
      </c>
      <c r="D225" t="inlineStr">
        <is>
          <t>2024_All-inclusive-HBP_Package-Details-.pdf</t>
        </is>
      </c>
      <c r="E225" t="n">
        <v>2024</v>
      </c>
      <c r="H225" t="n">
        <v>1</v>
      </c>
      <c r="I225" t="n">
        <v>2176</v>
      </c>
      <c r="J225" t="inlineStr">
        <is>
          <t>Y</t>
        </is>
      </c>
      <c r="K225" t="inlineStr">
        <is>
          <t>thulhagiri.com.mv</t>
        </is>
      </c>
      <c r="L225" t="inlineStr">
        <is>
          <t>official</t>
        </is>
      </c>
      <c r="M225" t="inlineStr">
        <is>
          <t>https://www.thulhagiri.com.mv/wp-content/uploads/2025/10/All-inclusive-HBP_Package-Details-.pdf</t>
        </is>
      </c>
      <c r="N225" t="inlineStr">
        <is>
          <t>https://www.thulhagiri.com.mv/wp-content/uploads/2025/10/All-inclusive-HBP_Package-Details-.pdf | https://thulhagiri.com.mv/wp-content/uploads/2025/10/All-inclusive-HBP_Package-Details-.pdf</t>
        </is>
      </c>
      <c r="O225" t="inlineStr">
        <is>
          <t>1405fe8e7f002ff8f079db3e7dd4e22f0d3b5babc4c8307ad94ec5a4abc962bb</t>
        </is>
      </c>
      <c r="P225" t="inlineStr">
        <is>
          <t>library/012_thulhagiri-island-resort-spa/all_inclusive/2024_All-inclusive-HBP_Package-Details-.pdf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sustainability</t>
        </is>
      </c>
      <c r="D226" t="inlineStr">
        <is>
          <t>2025_EXCUSION-TOURS-2025.pdf</t>
        </is>
      </c>
      <c r="E226" t="n">
        <v>2025</v>
      </c>
      <c r="H226" t="n">
        <v>1</v>
      </c>
      <c r="I226" t="n">
        <v>1851</v>
      </c>
      <c r="J226" t="inlineStr">
        <is>
          <t>Y</t>
        </is>
      </c>
      <c r="K226" t="inlineStr">
        <is>
          <t>thulhagiri.com.mv</t>
        </is>
      </c>
      <c r="L226" t="inlineStr">
        <is>
          <t>official</t>
        </is>
      </c>
      <c r="M226" t="inlineStr">
        <is>
          <t>https://www.thulhagiri.com.mv/wp-content/uploads/2025/10/EXCUSION-TOURS-2025.pdf</t>
        </is>
      </c>
      <c r="N226" t="inlineStr">
        <is>
          <t>https://www.thulhagiri.com.mv/wp-content/uploads/2025/10/EXCUSION-TOURS-2025.pdf | https://thulhagiri.com.mv/wp-content/uploads/2025/10/EXCUSION-TOURS-2025.pdf</t>
        </is>
      </c>
      <c r="O226" t="inlineStr">
        <is>
          <t>b3f2850b969c5744082347fa8e0a5fa45534c77a33a93f92a27f7904a50746f4</t>
        </is>
      </c>
      <c r="P226" t="inlineStr">
        <is>
          <t>library/012_thulhagiri-island-resort-spa/sustainability/2025_EXCUSION-TOURS-2025.pdf</t>
        </is>
      </c>
      <c r="R226" t="inlineStr">
        <is>
          <t>current</t>
        </is>
      </c>
      <c r="S226" t="inlineStr">
        <is>
          <t>Y</t>
        </is>
      </c>
      <c r="T226" t="inlineStr">
        <is>
          <t>matched</t>
        </is>
      </c>
      <c r="U226" t="inlineStr">
        <is>
          <t>2026-10-04</t>
        </is>
      </c>
      <c r="V226" t="inlineStr"/>
    </row>
    <row r="227">
      <c r="A227" t="n">
        <v>12</v>
      </c>
      <c r="B227" t="inlineStr">
        <is>
          <t>Thulhagiri Island Resort &amp; Spa</t>
        </is>
      </c>
      <c r="C227" t="inlineStr">
        <is>
          <t>press_kit</t>
        </is>
      </c>
      <c r="D227" t="inlineStr">
        <is>
          <t>2025_Photography-2025.pdf</t>
        </is>
      </c>
      <c r="E227" t="n">
        <v>2025</v>
      </c>
      <c r="H227" t="n">
        <v>1</v>
      </c>
      <c r="I227" t="n">
        <v>4920</v>
      </c>
      <c r="J227" t="inlineStr">
        <is>
          <t>N</t>
        </is>
      </c>
      <c r="K227" t="inlineStr">
        <is>
          <t>thulhagiri.com.mv</t>
        </is>
      </c>
      <c r="L227" t="inlineStr">
        <is>
          <t>official</t>
        </is>
      </c>
      <c r="M227" t="inlineStr">
        <is>
          <t>https://www.thulhagiri.com.mv/wp-content/uploads/2025/10/Photography-2025.pdf</t>
        </is>
      </c>
      <c r="N227" t="inlineStr">
        <is>
          <t>https://www.thulhagiri.com.mv/wp-content/uploads/2025/10/Photography-2025.pdf | https://thulhagiri.com.mv/wp-content/uploads/2025/10/Photography-2025.pdf</t>
        </is>
      </c>
      <c r="O227" t="inlineStr">
        <is>
          <t>dd38b78e4152a70013fa5f126e25319b1655e21b42bd65e3b976f2b12ffae3d7</t>
        </is>
      </c>
      <c r="P227" t="inlineStr">
        <is>
          <t>library/012_thulhagiri-island-resort-spa/press_kit/2025_Photography-2025.pdf</t>
        </is>
      </c>
      <c r="R227" t="inlineStr">
        <is>
          <t>current</t>
        </is>
      </c>
      <c r="S227" t="inlineStr">
        <is>
          <t>Y</t>
        </is>
      </c>
      <c r="T227" t="inlineStr">
        <is>
          <t>matched</t>
        </is>
      </c>
      <c r="U227" t="inlineStr">
        <is>
          <t>2026-10-04</t>
        </is>
      </c>
      <c r="V227" t="inlineStr"/>
    </row>
    <row r="228">
      <c r="A228" t="n">
        <v>12</v>
      </c>
      <c r="B228" t="inlineStr">
        <is>
          <t>Thulhagiri Island Resort &amp; Spa</t>
        </is>
      </c>
      <c r="C228" t="inlineStr">
        <is>
          <t>other</t>
        </is>
      </c>
      <c r="D228" t="inlineStr">
        <is>
          <t>2018_thulhagirimap.pdf</t>
        </is>
      </c>
      <c r="E228" t="n">
        <v>2018</v>
      </c>
      <c r="H228" t="n">
        <v>1</v>
      </c>
      <c r="I228" t="n">
        <v>290</v>
      </c>
      <c r="J228" t="inlineStr">
        <is>
          <t>N</t>
        </is>
      </c>
      <c r="K228" t="inlineStr">
        <is>
          <t>thulhagiri.com.mv</t>
        </is>
      </c>
      <c r="L228" t="inlineStr">
        <is>
          <t>official</t>
        </is>
      </c>
      <c r="M228" t="inlineStr">
        <is>
          <t>https://www.thulhagiri.com.mv/wp-content/uploads/2018/12/thulhagirimap.pdf</t>
        </is>
      </c>
      <c r="N228" t="inlineStr">
        <is>
          <t>https://www.thulhagiri.com.mv/wp-content/uploads/2018/12/thulhagirimap.pdf</t>
        </is>
      </c>
      <c r="O228" t="inlineStr">
        <is>
          <t>4c5a19a21ac0b3480af4da3cb3441761529721fc3a3d6c1e1ff56d39d9505f7f</t>
        </is>
      </c>
      <c r="P228" t="inlineStr">
        <is>
          <t>library/012_thulhagiri-island-resort-spa/other/2018_thulhagirimap.pdf</t>
        </is>
      </c>
      <c r="R228" t="inlineStr">
        <is>
          <t>outdated</t>
        </is>
      </c>
      <c r="S228" t="inlineStr">
        <is>
          <t>Y</t>
        </is>
      </c>
      <c r="T228" t="inlineStr">
        <is>
          <t>matched</t>
        </is>
      </c>
      <c r="U228" t="inlineStr">
        <is>
          <t>2026-10-04</t>
        </is>
      </c>
      <c r="V228" t="inlineStr"/>
    </row>
    <row r="229">
      <c r="A229" t="n">
        <v>13</v>
      </c>
      <c r="B229" t="inlineStr">
        <is>
          <t>Sandies Bathala</t>
        </is>
      </c>
      <c r="C229" t="inlineStr">
        <is>
          <t>events</t>
        </is>
      </c>
      <c r="D229" t="inlineStr">
        <is>
          <t>2026_DIAMONDS-Malindi-MICE-Booklet-2026.pdf</t>
        </is>
      </c>
      <c r="E229" t="n">
        <v>2026</v>
      </c>
      <c r="H229" t="n">
        <v>15</v>
      </c>
      <c r="I229" t="n">
        <v>1339</v>
      </c>
      <c r="J229" t="inlineStr">
        <is>
          <t>Y</t>
        </is>
      </c>
      <c r="K229" t="inlineStr">
        <is>
          <t>planhotel.com</t>
        </is>
      </c>
      <c r="L229" t="inlineStr">
        <is>
          <t>official</t>
        </is>
      </c>
      <c r="M229" t="inlineStr">
        <is>
          <t>https://d1vp8nomjxwyf1.cloudfront.net/wp-content/uploads/sites/212/2017/07/03081145/DIAMONDS-Malindi-MICE-Booklet-2026.pdf</t>
        </is>
      </c>
      <c r="N229" t="inlineStr">
        <is>
          <t>https://d1vp8nomjxwyf1.cloudfront.net/wp-content/uploads/sites/212/2017/07/03081145/DIAMONDS-Malindi-MICE-Booklet-2026.pdf</t>
        </is>
      </c>
      <c r="O229" t="inlineStr">
        <is>
          <t>992ede7b019bdfb3b02fdabcb009989e1f157bf5d9403dcbb5f836e619b6004d</t>
        </is>
      </c>
      <c r="P229" t="inlineStr">
        <is>
          <t>library/013_sandies-bathala/events/2026_DIAMONDS-Malindi-MICE-Booklet-2026.pdf</t>
        </is>
      </c>
      <c r="R229" t="inlineStr">
        <is>
          <t>current</t>
        </is>
      </c>
      <c r="S229" t="inlineStr">
        <is>
          <t>Y</t>
        </is>
      </c>
      <c r="T229" t="inlineStr">
        <is>
          <t>needs-review</t>
        </is>
      </c>
      <c r="U229" t="inlineStr">
        <is>
          <t>2026-10-04</t>
        </is>
      </c>
      <c r="V229" t="inlineStr">
        <is>
          <t>ambiguous match [13]</t>
        </is>
      </c>
    </row>
    <row r="230">
      <c r="A230" t="n">
        <v>13</v>
      </c>
      <c r="B230" t="inlineStr">
        <is>
          <t>Sandies Bathala</t>
        </is>
      </c>
      <c r="C230" t="inlineStr">
        <is>
          <t>events</t>
        </is>
      </c>
      <c r="D230" t="inlineStr">
        <is>
          <t>2025_Conference-Packages.pdf</t>
        </is>
      </c>
      <c r="E230" t="n">
        <v>2025</v>
      </c>
      <c r="H230" t="n">
        <v>10</v>
      </c>
      <c r="I230" t="n">
        <v>7191</v>
      </c>
      <c r="J230" t="inlineStr">
        <is>
          <t>Y</t>
        </is>
      </c>
      <c r="K230" t="inlineStr">
        <is>
          <t>planhotel.com</t>
        </is>
      </c>
      <c r="L230" t="inlineStr">
        <is>
          <t>official</t>
        </is>
      </c>
      <c r="M230" t="inlineStr">
        <is>
          <t>https://d1vp8nomjxwyf1.cloudfront.net/wp-content/uploads/sites/212/2026/03/26095245/Conference-Packages.pdf</t>
        </is>
      </c>
      <c r="N230" t="inlineStr">
        <is>
          <t>https://d1vp8nomjxwyf1.cloudfront.net/wp-content/uploads/sites/212/2026/03/26095245/Conference-Packages.pdf</t>
        </is>
      </c>
      <c r="O230" t="inlineStr">
        <is>
          <t>172d643e1bf40fb567e602b5e8d6fcde63fd94addf79a018dd5ea834892976ca</t>
        </is>
      </c>
      <c r="P230" t="inlineStr">
        <is>
          <t>library/013_sandies-bathala/events/2025_Conference-Packages.pdf</t>
        </is>
      </c>
      <c r="R230" t="inlineStr">
        <is>
          <t>current</t>
        </is>
      </c>
      <c r="S230" t="inlineStr">
        <is>
          <t>N</t>
        </is>
      </c>
      <c r="T230" t="inlineStr">
        <is>
          <t>needs-review</t>
        </is>
      </c>
      <c r="U230" t="inlineStr">
        <is>
          <t>2026-10-04</t>
        </is>
      </c>
      <c r="V230" t="inlineStr">
        <is>
          <t>ambiguous match [13]</t>
        </is>
      </c>
    </row>
    <row r="231">
      <c r="A231" t="n">
        <v>13</v>
      </c>
      <c r="B231" t="inlineStr">
        <is>
          <t>Sandies Bathala</t>
        </is>
      </c>
      <c r="C231" t="inlineStr">
        <is>
          <t>events</t>
        </is>
      </c>
      <c r="D231" t="inlineStr">
        <is>
          <t>2024_Planhotel-Corporate-Sustainability-Report-2024.pdf</t>
        </is>
      </c>
      <c r="E231" t="n">
        <v>2024</v>
      </c>
      <c r="H231" t="n">
        <v>45</v>
      </c>
      <c r="I231" t="n">
        <v>8966</v>
      </c>
      <c r="J231" t="inlineStr">
        <is>
          <t>Y</t>
        </is>
      </c>
      <c r="K231" t="inlineStr">
        <is>
          <t>planhotel.com</t>
        </is>
      </c>
      <c r="L231" t="inlineStr">
        <is>
          <t>official</t>
        </is>
      </c>
      <c r="M231" t="inlineStr">
        <is>
          <t>https://d1vp8nomjxwyf1.cloudfront.net/wp-content/uploads/sites/212/2017/07/05112313/Planhotel-Corporate-Sustainability-Report-2024.pdf</t>
        </is>
      </c>
      <c r="N231" t="inlineStr">
        <is>
          <t>https://d1vp8nomjxwyf1.cloudfront.net/wp-content/uploads/sites/212/2017/07/05112313/Planhotel-Corporate-Sustainability-Report-2024.pdf</t>
        </is>
      </c>
      <c r="O231" t="inlineStr">
        <is>
          <t>1482fe72178696d84e181484f035786366ee5734922d2a38cfc7f20d370ed9ee</t>
        </is>
      </c>
      <c r="P231" t="inlineStr">
        <is>
          <t>library/013_sandies-bathala/events/2024_Planhotel-Corporate-Sustainability-Report-2024.pdf</t>
        </is>
      </c>
      <c r="R231" t="inlineStr">
        <is>
          <t>outdated</t>
        </is>
      </c>
      <c r="S231" t="inlineStr">
        <is>
          <t>N</t>
        </is>
      </c>
      <c r="T231" t="inlineStr">
        <is>
          <t>needs-review</t>
        </is>
      </c>
      <c r="U231" t="inlineStr">
        <is>
          <t>2026-10-04</t>
        </is>
      </c>
      <c r="V231" t="inlineStr">
        <is>
          <t>ambiguous match [13]</t>
        </is>
      </c>
    </row>
    <row r="232">
      <c r="A232" t="n">
        <v>13</v>
      </c>
      <c r="B232" t="inlineStr">
        <is>
          <t>Sandies Bathala</t>
        </is>
      </c>
      <c r="C232" t="inlineStr">
        <is>
          <t>spa_menu</t>
        </is>
      </c>
      <c r="D232" t="inlineStr">
        <is>
          <t>2021_Planhotel-Hospitality-Group-Company-Profile_dsp.pdf</t>
        </is>
      </c>
      <c r="E232" t="n">
        <v>2021</v>
      </c>
      <c r="H232" t="n">
        <v>18</v>
      </c>
      <c r="I232" t="n">
        <v>6884</v>
      </c>
      <c r="J232" t="inlineStr">
        <is>
          <t>Y</t>
        </is>
      </c>
      <c r="K232" t="inlineStr">
        <is>
          <t>planhotel.com</t>
        </is>
      </c>
      <c r="L232" t="inlineStr">
        <is>
          <t>official</t>
        </is>
      </c>
      <c r="M232" t="inlineStr">
        <is>
          <t>https://d1vp8nomjxwyf1.cloudfront.net/wp-content/uploads/sites/212/2017/07/02141435/Planhotel-Hospitality-Group-Company-Profile_dsp.pdf</t>
        </is>
      </c>
      <c r="N232" t="inlineStr">
        <is>
          <t>https://d1vp8nomjxwyf1.cloudfront.net/wp-content/uploads/sites/212/2017/07/02141435/Planhotel-Hospitality-Group-Company-Profile_dsp.pdf</t>
        </is>
      </c>
      <c r="O232" t="inlineStr">
        <is>
          <t>03a73855393e799e7065e89b8a9a839e96aace6928bea1531c3e7633e733e924</t>
        </is>
      </c>
      <c r="P232" t="inlineStr">
        <is>
          <t>library/013_sandies-bathala/spa_menu/2021_Planhotel-Hospitality-Group-Company-Profile_dsp.pdf</t>
        </is>
      </c>
      <c r="R232" t="inlineStr">
        <is>
          <t>outdated</t>
        </is>
      </c>
      <c r="S232" t="inlineStr">
        <is>
          <t>Y</t>
        </is>
      </c>
      <c r="T232" t="inlineStr">
        <is>
          <t>matched</t>
        </is>
      </c>
      <c r="U232" t="inlineStr">
        <is>
          <t>2026-10-04</t>
        </is>
      </c>
      <c r="V232" t="inlineStr"/>
    </row>
    <row r="233">
      <c r="A233" t="n">
        <v>13</v>
      </c>
      <c r="B233" t="inlineStr">
        <is>
          <t>Sandies Bathala</t>
        </is>
      </c>
      <c r="C233" t="inlineStr">
        <is>
          <t>spa_menu</t>
        </is>
      </c>
      <c r="D233" t="inlineStr">
        <is>
          <t>2018_Planhotel-Company-Profile.pdf</t>
        </is>
      </c>
      <c r="E233" t="n">
        <v>2018</v>
      </c>
      <c r="H233" t="n">
        <v>13</v>
      </c>
      <c r="I233" t="n">
        <v>6647</v>
      </c>
      <c r="J233" t="inlineStr">
        <is>
          <t>Y</t>
        </is>
      </c>
      <c r="K233" t="inlineStr">
        <is>
          <t>planhotel.com</t>
        </is>
      </c>
      <c r="L233" t="inlineStr">
        <is>
          <t>official</t>
        </is>
      </c>
      <c r="M233" t="inlineStr">
        <is>
          <t>https://d1vp8nomjxwyf1.cloudfront.net/wp-content/uploads/sites/212/2017/07/14094821/Planhotel-Company-Profile.pdf</t>
        </is>
      </c>
      <c r="N233" t="inlineStr">
        <is>
          <t>https://d1vp8nomjxwyf1.cloudfront.net/wp-content/uploads/sites/212/2017/07/14094821/Planhotel-Company-Profile.pdf</t>
        </is>
      </c>
      <c r="O233" t="inlineStr">
        <is>
          <t>05ae3606018276b9a0c39b8baf7af7a9a72b655ce1f7b9883758d11a2ac3793c</t>
        </is>
      </c>
      <c r="P233" t="inlineStr">
        <is>
          <t>library/013_sandies-bathala/spa_menu/2018_Planhotel-Company-Profile.pdf</t>
        </is>
      </c>
      <c r="R233" t="inlineStr">
        <is>
          <t>outdated</t>
        </is>
      </c>
      <c r="S233" t="inlineStr">
        <is>
          <t>N</t>
        </is>
      </c>
      <c r="T233" t="inlineStr">
        <is>
          <t>matched</t>
        </is>
      </c>
      <c r="U233" t="inlineStr">
        <is>
          <t>2026-10-04</t>
        </is>
      </c>
      <c r="V233" t="inlineStr"/>
    </row>
    <row r="234">
      <c r="A234" t="n">
        <v>13</v>
      </c>
      <c r="B234" t="inlineStr">
        <is>
          <t>Sandies Bathala</t>
        </is>
      </c>
      <c r="C234" t="inlineStr">
        <is>
          <t>spa_menu</t>
        </is>
      </c>
      <c r="D234" t="inlineStr">
        <is>
          <t>2017_Diamonds-Dream-of-Africa_2017_Groups-Manual.pdf</t>
        </is>
      </c>
      <c r="E234" t="n">
        <v>2017</v>
      </c>
      <c r="H234" t="n">
        <v>17</v>
      </c>
      <c r="I234" t="n">
        <v>3747</v>
      </c>
      <c r="J234" t="inlineStr">
        <is>
          <t>Y</t>
        </is>
      </c>
      <c r="K234" t="inlineStr">
        <is>
          <t>planhotel.com</t>
        </is>
      </c>
      <c r="L234" t="inlineStr">
        <is>
          <t>official</t>
        </is>
      </c>
      <c r="M234" t="inlineStr">
        <is>
          <t>https://d1vp8nomjxwyf1.cloudfront.net/wp-content/uploads/sites/212/2017/07/02075547/Diamonds-Dream-of-Africa_2017_Groups-Manual.pdf</t>
        </is>
      </c>
      <c r="N234" t="inlineStr">
        <is>
          <t>https://d1vp8nomjxwyf1.cloudfront.net/wp-content/uploads/sites/212/2017/07/02075547/Diamonds-Dream-of-Africa_2017_Groups-Manual.pdf</t>
        </is>
      </c>
      <c r="O234" t="inlineStr">
        <is>
          <t>a8e7c4f8f9a688c281a9b17cd93349a4add66004af8fb2e6bc12aeb213a06b1d</t>
        </is>
      </c>
      <c r="P234" t="inlineStr">
        <is>
          <t>library/013_sandies-bathala/spa_menu/2017_Diamonds-Dream-of-Africa_2017_Groups-Manual.pdf</t>
        </is>
      </c>
      <c r="R234" t="inlineStr">
        <is>
          <t>outdated</t>
        </is>
      </c>
      <c r="S234" t="inlineStr">
        <is>
          <t>N</t>
        </is>
      </c>
      <c r="T234" t="inlineStr">
        <is>
          <t>needs-review</t>
        </is>
      </c>
      <c r="U234" t="inlineStr">
        <is>
          <t>2026-10-04</t>
        </is>
      </c>
      <c r="V234" t="inlineStr">
        <is>
          <t>ambiguous match [13]</t>
        </is>
      </c>
    </row>
    <row r="235">
      <c r="A235" t="n">
        <v>13</v>
      </c>
      <c r="B235" t="inlineStr">
        <is>
          <t>Sandies Bathala</t>
        </is>
      </c>
      <c r="C235" t="inlineStr">
        <is>
          <t>dining_menu</t>
        </is>
      </c>
      <c r="D235" t="inlineStr">
        <is>
          <t>2018_Italia-a-Tavola_Nov-2018.pdf</t>
        </is>
      </c>
      <c r="E235" t="n">
        <v>2018</v>
      </c>
      <c r="H235" t="n">
        <v>3</v>
      </c>
      <c r="I235" t="n">
        <v>1419</v>
      </c>
      <c r="J235" t="inlineStr">
        <is>
          <t>Y</t>
        </is>
      </c>
      <c r="K235" t="inlineStr">
        <is>
          <t>planhotel.com</t>
        </is>
      </c>
      <c r="L235" t="inlineStr">
        <is>
          <t>official</t>
        </is>
      </c>
      <c r="M235" t="inlineStr">
        <is>
          <t>https://d1vp8nomjxwyf1.cloudfront.net/wp-content/uploads/sites/212/2017/07/10144441/Italia-a-Tavola_Nov-2018.pdf</t>
        </is>
      </c>
      <c r="N235" t="inlineStr">
        <is>
          <t>https://d1vp8nomjxwyf1.cloudfront.net/wp-content/uploads/sites/212/2017/07/10144441/Italia-a-Tavola_Nov-2018.pdf</t>
        </is>
      </c>
      <c r="O235" t="inlineStr">
        <is>
          <t>377177c145083f417d1bc3f975f61554b45eb75f154dea81df14a8b2b65e048c</t>
        </is>
      </c>
      <c r="P235" t="inlineStr">
        <is>
          <t>library/013_sandies-bathala/dining_menu/2018_Italia-a-Tavola_Nov-2018.pdf</t>
        </is>
      </c>
      <c r="R235" t="inlineStr">
        <is>
          <t>outdated</t>
        </is>
      </c>
      <c r="S235" t="inlineStr">
        <is>
          <t>Y</t>
        </is>
      </c>
      <c r="T235" t="inlineStr">
        <is>
          <t>needs-review</t>
        </is>
      </c>
      <c r="U235" t="inlineStr">
        <is>
          <t>2026-10-04</t>
        </is>
      </c>
      <c r="V235" t="inlineStr">
        <is>
          <t>ambiguous match [13]</t>
        </is>
      </c>
    </row>
    <row r="236">
      <c r="A236" t="n">
        <v>13</v>
      </c>
      <c r="B236" t="inlineStr">
        <is>
          <t>Sandies Bathala</t>
        </is>
      </c>
      <c r="C236" t="inlineStr">
        <is>
          <t>dining_menu</t>
        </is>
      </c>
      <c r="D236" t="inlineStr">
        <is>
          <t>2017_DiamondsMaldives_Traveller_Winter-2017.pdf</t>
        </is>
      </c>
      <c r="E236" t="n">
        <v>2017</v>
      </c>
      <c r="H236" t="n">
        <v>3</v>
      </c>
      <c r="I236" t="n">
        <v>254</v>
      </c>
      <c r="J236" t="inlineStr">
        <is>
          <t>Y</t>
        </is>
      </c>
      <c r="K236" t="inlineStr">
        <is>
          <t>planhotel.com</t>
        </is>
      </c>
      <c r="L236" t="inlineStr">
        <is>
          <t>official</t>
        </is>
      </c>
      <c r="M236" t="inlineStr">
        <is>
          <t>https://d1vp8nomjxwyf1.cloudfront.net/wp-content/uploads/sites/110/2017/03/04145242/DiamondsMaldives_Traveller_Winter-2017.pdf</t>
        </is>
      </c>
      <c r="N236" t="inlineStr">
        <is>
          <t>https://d1vp8nomjxwyf1.cloudfront.net/wp-content/uploads/sites/110/2017/03/04145242/DiamondsMaldives_Traveller_Winter-2017.pdf | https://d1vp8nomjxwyf1.cloudfront.net/wp-content/uploads/sites/109/2017/03/04144817/DiamondsMaldives_Traveller_Winter-2017.pdf</t>
        </is>
      </c>
      <c r="O236" t="inlineStr">
        <is>
          <t>a23b2cb4b6f09390b21fc6fe5a25c16eb6bc008bf80892dbb13be1e5e32945bd</t>
        </is>
      </c>
      <c r="P236" t="inlineStr">
        <is>
          <t>library/013_sandies-bathala/dining_menu/2017_DiamondsMaldives_Traveller_Winter-2017.pdf</t>
        </is>
      </c>
      <c r="R236" t="inlineStr">
        <is>
          <t>outdated</t>
        </is>
      </c>
      <c r="S236" t="inlineStr">
        <is>
          <t>N</t>
        </is>
      </c>
      <c r="T236" t="inlineStr">
        <is>
          <t>needs-review</t>
        </is>
      </c>
      <c r="U236" t="inlineStr">
        <is>
          <t>2026-10-04</t>
        </is>
      </c>
      <c r="V236" t="inlineStr">
        <is>
          <t>ambiguous match [13]</t>
        </is>
      </c>
    </row>
    <row r="237">
      <c r="A237" t="n">
        <v>13</v>
      </c>
      <c r="B237" t="inlineStr">
        <is>
          <t>Sandies Bathala</t>
        </is>
      </c>
      <c r="C237" t="inlineStr">
        <is>
          <t>villa_plans</t>
        </is>
      </c>
      <c r="D237" t="inlineStr">
        <is>
          <t>2020_Sandies-Tropical-Village.pdf</t>
        </is>
      </c>
      <c r="E237" t="n">
        <v>2020</v>
      </c>
      <c r="H237" t="n">
        <v>13</v>
      </c>
      <c r="I237" t="n">
        <v>6949</v>
      </c>
      <c r="J237" t="inlineStr">
        <is>
          <t>Y</t>
        </is>
      </c>
      <c r="K237" t="inlineStr">
        <is>
          <t>planhotel.com</t>
        </is>
      </c>
      <c r="L237" t="inlineStr">
        <is>
          <t>official</t>
        </is>
      </c>
      <c r="M237" t="inlineStr">
        <is>
          <t>https://d1vp8nomjxwyf1.cloudfront.net/wp-content/uploads/sites/212/2023/03/17095202/Sandies-Tropical-Village.pdf</t>
        </is>
      </c>
      <c r="N237" t="inlineStr">
        <is>
          <t>https://d1vp8nomjxwyf1.cloudfront.net/wp-content/uploads/sites/212/2023/03/17095202/Sandies-Tropical-Village.pdf</t>
        </is>
      </c>
      <c r="O237" t="inlineStr">
        <is>
          <t>595f2c4b11d7d8ba6ab4884f37bb20b330181776805dd70e3767066ba16244d0</t>
        </is>
      </c>
      <c r="P237" t="inlineStr">
        <is>
          <t>library/013_sandies-bathala/villa_plans/2020_Sandies-Tropical-Village.pdf</t>
        </is>
      </c>
      <c r="R237" t="inlineStr">
        <is>
          <t>outdated</t>
        </is>
      </c>
      <c r="S237" t="inlineStr">
        <is>
          <t>Y</t>
        </is>
      </c>
      <c r="T237" t="inlineStr">
        <is>
          <t>needs-review</t>
        </is>
      </c>
      <c r="U237" t="inlineStr">
        <is>
          <t>2026-10-04</t>
        </is>
      </c>
      <c r="V237" t="inlineStr">
        <is>
          <t>ambiguous match [13]</t>
        </is>
      </c>
    </row>
    <row r="238">
      <c r="A238" t="n">
        <v>13</v>
      </c>
      <c r="B238" t="inlineStr">
        <is>
          <t>Sandies Bathala</t>
        </is>
      </c>
      <c r="C238" t="inlineStr">
        <is>
          <t>villa_plans</t>
        </is>
      </c>
      <c r="D238" t="inlineStr">
        <is>
          <t>2015_Travel-Professionals-PT-PT.pdf</t>
        </is>
      </c>
      <c r="E238" t="n">
        <v>2015</v>
      </c>
      <c r="H238" t="n">
        <v>2</v>
      </c>
      <c r="I238" t="n">
        <v>1004</v>
      </c>
      <c r="J238" t="inlineStr">
        <is>
          <t>Y</t>
        </is>
      </c>
      <c r="K238" t="inlineStr">
        <is>
          <t>planhotel.com</t>
        </is>
      </c>
      <c r="L238" t="inlineStr">
        <is>
          <t>official</t>
        </is>
      </c>
      <c r="M238" t="inlineStr">
        <is>
          <t>https://d1vp8nomjxwyf1.cloudfront.net/wp-content/uploads/sites/212/2017/08/08084335/Travel-Professionals-PT-PT.pdf</t>
        </is>
      </c>
      <c r="N238"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38" t="inlineStr">
        <is>
          <t>1a652880bce52d553f28c71b719456a8d1cecb9bea38eeb2c58949c090e26ea0</t>
        </is>
      </c>
      <c r="P238" t="inlineStr">
        <is>
          <t>library/013_sandies-bathala/villa_plans/2015_Travel-Professionals-PT-PT.pdf</t>
        </is>
      </c>
      <c r="R238" t="inlineStr">
        <is>
          <t>outdated</t>
        </is>
      </c>
      <c r="S238" t="inlineStr">
        <is>
          <t>N</t>
        </is>
      </c>
      <c r="T238" t="inlineStr">
        <is>
          <t>needs-review</t>
        </is>
      </c>
      <c r="U238" t="inlineStr">
        <is>
          <t>2026-10-04</t>
        </is>
      </c>
      <c r="V238" t="inlineStr">
        <is>
          <t>ambiguous match [13]</t>
        </is>
      </c>
    </row>
    <row r="239">
      <c r="A239" t="n">
        <v>13</v>
      </c>
      <c r="B239" t="inlineStr">
        <is>
          <t>Sandies Bathala</t>
        </is>
      </c>
      <c r="C239" t="inlineStr">
        <is>
          <t>sustainability</t>
        </is>
      </c>
      <c r="D239" t="inlineStr">
        <is>
          <t>2019_DIAMONDSRESORTS_GENTLEMANGREENpdf.pdf</t>
        </is>
      </c>
      <c r="E239" t="n">
        <v>2019</v>
      </c>
      <c r="H239" t="n">
        <v>5</v>
      </c>
      <c r="I239" t="n">
        <v>2175</v>
      </c>
      <c r="J239" t="inlineStr">
        <is>
          <t>N</t>
        </is>
      </c>
      <c r="K239" t="inlineStr">
        <is>
          <t>planhotel.com</t>
        </is>
      </c>
      <c r="L239" t="inlineStr">
        <is>
          <t>official</t>
        </is>
      </c>
      <c r="M239" t="inlineStr">
        <is>
          <t>https://d1vp8nomjxwyf1.cloudfront.net/wp-content/uploads/sites/109/2017/03/09142114/DIAMONDSRESORTS_GENTLEMANGREENpdf.pdf</t>
        </is>
      </c>
      <c r="N239" t="inlineStr">
        <is>
          <t>https://d1vp8nomjxwyf1.cloudfront.net/wp-content/uploads/sites/109/2017/03/09142114/DIAMONDSRESORTS_GENTLEMANGREENpdf.pdf</t>
        </is>
      </c>
      <c r="O239" t="inlineStr">
        <is>
          <t>21fd076c8b88f297b9147ffea2923e097598684a3e1ed50007ab0f4b25fdf039</t>
        </is>
      </c>
      <c r="P239" t="inlineStr">
        <is>
          <t>library/013_sandies-bathala/sustainability/2019_DIAMONDSRESORTS_GENTLEMANGREENpdf.pdf</t>
        </is>
      </c>
      <c r="R239" t="inlineStr">
        <is>
          <t>outdated</t>
        </is>
      </c>
      <c r="S239" t="inlineStr">
        <is>
          <t>Y</t>
        </is>
      </c>
      <c r="T239" t="inlineStr">
        <is>
          <t>needs-review</t>
        </is>
      </c>
      <c r="U239" t="inlineStr">
        <is>
          <t>2026-10-04</t>
        </is>
      </c>
      <c r="V239" t="inlineStr">
        <is>
          <t>ambiguous match [13]</t>
        </is>
      </c>
    </row>
    <row r="240">
      <c r="A240" t="n">
        <v>13</v>
      </c>
      <c r="B240" t="inlineStr">
        <is>
          <t>Sandies Bathala</t>
        </is>
      </c>
      <c r="C240" t="inlineStr">
        <is>
          <t>other</t>
        </is>
      </c>
      <c r="D240" t="inlineStr">
        <is>
          <t>2021_Diamonds-Thudufushhi_Harpers-Bazaar_Summer-2021.pdf</t>
        </is>
      </c>
      <c r="E240" t="n">
        <v>2021</v>
      </c>
      <c r="H240" t="n">
        <v>3</v>
      </c>
      <c r="I240" t="n">
        <v>657</v>
      </c>
      <c r="J240" t="inlineStr">
        <is>
          <t>N</t>
        </is>
      </c>
      <c r="K240" t="inlineStr">
        <is>
          <t>planhotel.com</t>
        </is>
      </c>
      <c r="L240" t="inlineStr">
        <is>
          <t>official</t>
        </is>
      </c>
      <c r="M240" t="inlineStr">
        <is>
          <t>https://d1vp8nomjxwyf1.cloudfront.net/wp-content/uploads/sites/110/2017/03/18094049/Diamonds-Thudufushhi_Harpers-Bazaar_Summer-2021.pdf</t>
        </is>
      </c>
      <c r="N240" t="inlineStr">
        <is>
          <t>https://d1vp8nomjxwyf1.cloudfront.net/wp-content/uploads/sites/110/2017/03/18094049/Diamonds-Thudufushhi_Harpers-Bazaar_Summer-2021.pdf</t>
        </is>
      </c>
      <c r="O240" t="inlineStr">
        <is>
          <t>5496ea0e6e84f0877c73d0c9ca8b4493c107f88d9dde5b78c0ad92ba3155e0b1</t>
        </is>
      </c>
      <c r="P240" t="inlineStr">
        <is>
          <t>library/013_sandies-bathala/other/2021_Diamonds-Thudufushhi_Harpers-Bazaar_Summer-2021.pdf</t>
        </is>
      </c>
      <c r="R240" t="inlineStr">
        <is>
          <t>outdated</t>
        </is>
      </c>
      <c r="S240" t="inlineStr">
        <is>
          <t>Y</t>
        </is>
      </c>
      <c r="T240" t="inlineStr">
        <is>
          <t>needs-review</t>
        </is>
      </c>
      <c r="U240" t="inlineStr">
        <is>
          <t>2026-10-04</t>
        </is>
      </c>
      <c r="V240" t="inlineStr">
        <is>
          <t>ambiguous match [13]</t>
        </is>
      </c>
    </row>
    <row r="241">
      <c r="A241" t="n">
        <v>13</v>
      </c>
      <c r="B241" t="inlineStr">
        <is>
          <t>Sandies Bathala</t>
        </is>
      </c>
      <c r="C241" t="inlineStr">
        <is>
          <t>other</t>
        </is>
      </c>
      <c r="D241" t="inlineStr">
        <is>
          <t>2020_Sandies-Malindi-Dream-Garden.pdf</t>
        </is>
      </c>
      <c r="E241" t="n">
        <v>2020</v>
      </c>
      <c r="H241" t="n">
        <v>13</v>
      </c>
      <c r="I241" t="n">
        <v>6447</v>
      </c>
      <c r="J241" t="inlineStr">
        <is>
          <t>Y</t>
        </is>
      </c>
      <c r="K241" t="inlineStr">
        <is>
          <t>planhotel.com</t>
        </is>
      </c>
      <c r="L241" t="inlineStr">
        <is>
          <t>official</t>
        </is>
      </c>
      <c r="M241" t="inlineStr">
        <is>
          <t>https://d1vp8nomjxwyf1.cloudfront.net/wp-content/uploads/sites/212/2023/03/17095141/Sandies-Malindi-Dream-Garden.pdf</t>
        </is>
      </c>
      <c r="N241" t="inlineStr">
        <is>
          <t>https://d1vp8nomjxwyf1.cloudfront.net/wp-content/uploads/sites/212/2023/03/17095141/Sandies-Malindi-Dream-Garden.pdf</t>
        </is>
      </c>
      <c r="O241" t="inlineStr">
        <is>
          <t>5ff2383effdbc1768ab378986fa87c1c8ff92c216a08fb13cb16e464482a4794</t>
        </is>
      </c>
      <c r="P241" t="inlineStr">
        <is>
          <t>library/013_sandies-bathala/other/2020_Sandies-Malindi-Dream-Garden.pdf</t>
        </is>
      </c>
      <c r="R241" t="inlineStr">
        <is>
          <t>outdated</t>
        </is>
      </c>
      <c r="S241" t="inlineStr">
        <is>
          <t>N</t>
        </is>
      </c>
      <c r="T241" t="inlineStr">
        <is>
          <t>needs-review</t>
        </is>
      </c>
      <c r="U241" t="inlineStr">
        <is>
          <t>2026-10-04</t>
        </is>
      </c>
      <c r="V241" t="inlineStr">
        <is>
          <t>ambiguous match [13]</t>
        </is>
      </c>
    </row>
    <row r="242">
      <c r="A242" t="n">
        <v>13</v>
      </c>
      <c r="B242" t="inlineStr">
        <is>
          <t>Sandies Bathala</t>
        </is>
      </c>
      <c r="C242" t="inlineStr">
        <is>
          <t>other</t>
        </is>
      </c>
      <c r="D242" t="inlineStr">
        <is>
          <t>2020_Diamonds-Dream-of-Africa.pdf</t>
        </is>
      </c>
      <c r="E242" t="n">
        <v>2020</v>
      </c>
      <c r="H242" t="n">
        <v>13</v>
      </c>
      <c r="I242" t="n">
        <v>7126</v>
      </c>
      <c r="J242" t="inlineStr">
        <is>
          <t>Y</t>
        </is>
      </c>
      <c r="K242" t="inlineStr">
        <is>
          <t>planhotel.com</t>
        </is>
      </c>
      <c r="L242" t="inlineStr">
        <is>
          <t>official</t>
        </is>
      </c>
      <c r="M242" t="inlineStr">
        <is>
          <t>https://d1vp8nomjxwyf1.cloudfront.net/wp-content/uploads/sites/212/2023/03/17094954/Diamonds-Dream-of-Africa.pdf</t>
        </is>
      </c>
      <c r="N242" t="inlineStr">
        <is>
          <t>https://d1vp8nomjxwyf1.cloudfront.net/wp-content/uploads/sites/212/2023/03/17094954/Diamonds-Dream-of-Africa.pdf</t>
        </is>
      </c>
      <c r="O242" t="inlineStr">
        <is>
          <t>75241f92cc79217e55208919c764df5475e879c6d8e19278bdb94532349f2988</t>
        </is>
      </c>
      <c r="P242" t="inlineStr">
        <is>
          <t>library/013_sandies-bathala/other/2020_Diamonds-Dream-of-Africa.pdf</t>
        </is>
      </c>
      <c r="R242" t="inlineStr">
        <is>
          <t>outdated</t>
        </is>
      </c>
      <c r="S242" t="inlineStr">
        <is>
          <t>N</t>
        </is>
      </c>
      <c r="T242" t="inlineStr">
        <is>
          <t>needs-review</t>
        </is>
      </c>
      <c r="U242" t="inlineStr">
        <is>
          <t>2026-10-04</t>
        </is>
      </c>
      <c r="V242" t="inlineStr">
        <is>
          <t>ambiguous match [13]</t>
        </is>
      </c>
    </row>
    <row r="243">
      <c r="A243" t="n">
        <v>13</v>
      </c>
      <c r="B243" t="inlineStr">
        <is>
          <t>Sandies Bathala</t>
        </is>
      </c>
      <c r="C243" t="inlineStr">
        <is>
          <t>other</t>
        </is>
      </c>
      <c r="D243" t="inlineStr">
        <is>
          <t>2019_Sandies-Bathala.pdf</t>
        </is>
      </c>
      <c r="E243" t="n">
        <v>2019</v>
      </c>
      <c r="H243" t="n">
        <v>13</v>
      </c>
      <c r="I243" t="n">
        <v>6137</v>
      </c>
      <c r="J243" t="inlineStr">
        <is>
          <t>Y</t>
        </is>
      </c>
      <c r="K243" t="inlineStr">
        <is>
          <t>planhotel.com</t>
        </is>
      </c>
      <c r="L243" t="inlineStr">
        <is>
          <t>official</t>
        </is>
      </c>
      <c r="M243" t="inlineStr">
        <is>
          <t>https://d1vp8nomjxwyf1.cloudfront.net/wp-content/uploads/sites/212/2023/03/17095120/Sandies-Bathala.pdf</t>
        </is>
      </c>
      <c r="N243" t="inlineStr">
        <is>
          <t>https://d1vp8nomjxwyf1.cloudfront.net/wp-content/uploads/sites/212/2023/03/17095120/Sandies-Bathala.pdf</t>
        </is>
      </c>
      <c r="O243" t="inlineStr">
        <is>
          <t>f78b90a55f8f8b3d979872a1576ae24ac15a0a462109d40c386cda2e1df2d4b7</t>
        </is>
      </c>
      <c r="P243" t="inlineStr">
        <is>
          <t>library/013_sandies-bathala/other/2019_Sandies-Bathala.pdf</t>
        </is>
      </c>
      <c r="R243" t="inlineStr">
        <is>
          <t>outdated</t>
        </is>
      </c>
      <c r="S243" t="inlineStr">
        <is>
          <t>N</t>
        </is>
      </c>
      <c r="T243" t="inlineStr">
        <is>
          <t>matched</t>
        </is>
      </c>
      <c r="U243" t="inlineStr">
        <is>
          <t>2026-10-04</t>
        </is>
      </c>
      <c r="V243" t="inlineStr"/>
    </row>
    <row r="244">
      <c r="A244" t="n">
        <v>13</v>
      </c>
      <c r="B244" t="inlineStr">
        <is>
          <t>Sandies Bathala</t>
        </is>
      </c>
      <c r="C244" t="inlineStr">
        <is>
          <t>other</t>
        </is>
      </c>
      <c r="D244" t="inlineStr">
        <is>
          <t>2019_Hotel-Italia_Italia-a-Tavola_DecJan-2019.pdf</t>
        </is>
      </c>
      <c r="E244" t="n">
        <v>2019</v>
      </c>
      <c r="H244" t="n">
        <v>2</v>
      </c>
      <c r="I244" t="n">
        <v>1744</v>
      </c>
      <c r="J244" t="inlineStr">
        <is>
          <t>Y</t>
        </is>
      </c>
      <c r="K244" t="inlineStr">
        <is>
          <t>planhotel.com</t>
        </is>
      </c>
      <c r="L244" t="inlineStr">
        <is>
          <t>official</t>
        </is>
      </c>
      <c r="M244" t="inlineStr">
        <is>
          <t>https://d1vp8nomjxwyf1.cloudfront.net/wp-content/uploads/sites/212/2017/07/18151813/Hotel-Italia_Italia-a-Tavola_DecJan-2019.pdf</t>
        </is>
      </c>
      <c r="N244" t="inlineStr">
        <is>
          <t>https://d1vp8nomjxwyf1.cloudfront.net/wp-content/uploads/sites/212/2017/07/18151813/Hotel-Italia_Italia-a-Tavola_DecJan-2019.pdf</t>
        </is>
      </c>
      <c r="O244" t="inlineStr">
        <is>
          <t>4e949fbceb885e746d7f7393b3488b8cd68fd6b48f534aac7e538a762fb0fc47</t>
        </is>
      </c>
      <c r="P244" t="inlineStr">
        <is>
          <t>library/013_sandies-bathala/other/2019_Hotel-Italia_Italia-a-Tavola_DecJan-2019.pdf</t>
        </is>
      </c>
      <c r="R244" t="inlineStr">
        <is>
          <t>outdated</t>
        </is>
      </c>
      <c r="S244" t="inlineStr">
        <is>
          <t>N</t>
        </is>
      </c>
      <c r="T244" t="inlineStr">
        <is>
          <t>needs-review</t>
        </is>
      </c>
      <c r="U244" t="inlineStr">
        <is>
          <t>2026-10-04</t>
        </is>
      </c>
      <c r="V244" t="inlineStr">
        <is>
          <t>ambiguous match [13]</t>
        </is>
      </c>
    </row>
    <row r="245">
      <c r="A245" t="n">
        <v>13</v>
      </c>
      <c r="B245" t="inlineStr">
        <is>
          <t>Sandies Bathala</t>
        </is>
      </c>
      <c r="C245" t="inlineStr">
        <is>
          <t>other</t>
        </is>
      </c>
      <c r="D245" t="inlineStr">
        <is>
          <t>2019_38-Oggi1.pdf</t>
        </is>
      </c>
      <c r="E245" t="n">
        <v>2019</v>
      </c>
      <c r="H245" t="n">
        <v>3</v>
      </c>
      <c r="I245" t="n">
        <v>2545</v>
      </c>
      <c r="J245" t="inlineStr">
        <is>
          <t>Y</t>
        </is>
      </c>
      <c r="K245" t="inlineStr">
        <is>
          <t>planhotel.com</t>
        </is>
      </c>
      <c r="L245" t="inlineStr">
        <is>
          <t>official</t>
        </is>
      </c>
      <c r="M245" t="inlineStr">
        <is>
          <t>https://d1vp8nomjxwyf1.cloudfront.net/wp-content/uploads/sites/109/2017/03/09142254/38-Oggi1.pdf</t>
        </is>
      </c>
      <c r="N245" t="inlineStr">
        <is>
          <t>https://d1vp8nomjxwyf1.cloudfront.net/wp-content/uploads/sites/109/2017/03/09142254/38-Oggi1.pdf</t>
        </is>
      </c>
      <c r="O245" t="inlineStr">
        <is>
          <t>f672c6bee9fe0c922c9b2e063e8b866e0392404da24019d897d05e7e6dae0876</t>
        </is>
      </c>
      <c r="P245" t="inlineStr">
        <is>
          <t>library/013_sandies-bathala/other/2019_38-Oggi1.pdf</t>
        </is>
      </c>
      <c r="R245" t="inlineStr">
        <is>
          <t>outdated</t>
        </is>
      </c>
      <c r="S245" t="inlineStr">
        <is>
          <t>N</t>
        </is>
      </c>
      <c r="T245" t="inlineStr">
        <is>
          <t>needs-review</t>
        </is>
      </c>
      <c r="U245" t="inlineStr">
        <is>
          <t>2026-10-04</t>
        </is>
      </c>
      <c r="V245" t="inlineStr">
        <is>
          <t>ambiguous match [13]</t>
        </is>
      </c>
    </row>
    <row r="246">
      <c r="A246" t="n">
        <v>13</v>
      </c>
      <c r="B246" t="inlineStr">
        <is>
          <t>Sandies Bathala</t>
        </is>
      </c>
      <c r="C246" t="inlineStr">
        <is>
          <t>other</t>
        </is>
      </c>
      <c r="D246" t="inlineStr">
        <is>
          <t>2018_2018-10-conde-nast-johansen-b.pdf</t>
        </is>
      </c>
      <c r="E246" t="n">
        <v>2018</v>
      </c>
      <c r="H246" t="n">
        <v>1</v>
      </c>
      <c r="I246" t="n">
        <v>579</v>
      </c>
      <c r="J246" t="inlineStr">
        <is>
          <t>N</t>
        </is>
      </c>
      <c r="K246" t="inlineStr">
        <is>
          <t>planhotel.com</t>
        </is>
      </c>
      <c r="L246" t="inlineStr">
        <is>
          <t>official</t>
        </is>
      </c>
      <c r="M246" t="inlineStr">
        <is>
          <t>https://d1vp8nomjxwyf1.cloudfront.net/wp-content/uploads/sites/212/2017/07/25151513/2018-10-conde-nast-johansen-b.pdf</t>
        </is>
      </c>
      <c r="N246" t="inlineStr">
        <is>
          <t>https://d1vp8nomjxwyf1.cloudfront.net/wp-content/uploads/sites/212/2017/07/25151513/2018-10-conde-nast-johansen-b.pdf</t>
        </is>
      </c>
      <c r="O246" t="inlineStr">
        <is>
          <t>2b5650fcb61fe5b107f4ddadd033d1403c8ba1cf0a9722c4a06c948b1286add0</t>
        </is>
      </c>
      <c r="P246" t="inlineStr">
        <is>
          <t>library/013_sandies-bathala/other/2018_2018-10-conde-nast-johansen-b.pdf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other</t>
        </is>
      </c>
      <c r="D247" t="inlineStr">
        <is>
          <t>2018_2018_10_23_LACUCINAITALIANA_THEVIEW1.pdf</t>
        </is>
      </c>
      <c r="E247" t="n">
        <v>2018</v>
      </c>
      <c r="H247" t="n">
        <v>2</v>
      </c>
      <c r="I247" t="n">
        <v>4211</v>
      </c>
      <c r="J247" t="inlineStr">
        <is>
          <t>N</t>
        </is>
      </c>
      <c r="K247" t="inlineStr">
        <is>
          <t>planhotel.com</t>
        </is>
      </c>
      <c r="L247" t="inlineStr">
        <is>
          <t>official</t>
        </is>
      </c>
      <c r="M247" t="inlineStr">
        <is>
          <t>https://d1vp8nomjxwyf1.cloudfront.net/wp-content/uploads/sites/212/2017/07/23084602/2018_10_23_LACUCINAITALIANA_THEVIEW1.pdf</t>
        </is>
      </c>
      <c r="N247" t="inlineStr">
        <is>
          <t>https://d1vp8nomjxwyf1.cloudfront.net/wp-content/uploads/sites/212/2017/07/23084602/2018_10_23_LACUCINAITALIANA_THEVIEW1.pdf | https://d1vp8nomjxwyf1.cloudfront.net/wp-content/uploads/sites/212/2017/07/23083937/2018_10_23_LACUCINAITALIANA_THEVIEW.pdf</t>
        </is>
      </c>
      <c r="O247" t="inlineStr">
        <is>
          <t>05a85ad1eb1a60830eb5e811385f85cf5dde9ffe9c82e15cca8a8763ae401876</t>
        </is>
      </c>
      <c r="P247" t="inlineStr">
        <is>
          <t>library/013_sandies-bathala/other/2018_2018_10_23_LACUCINAITALIANA_THEVIEW1.pdf</t>
        </is>
      </c>
      <c r="R247" t="inlineStr">
        <is>
          <t>outdated</t>
        </is>
      </c>
      <c r="S247" t="inlineStr">
        <is>
          <t>N</t>
        </is>
      </c>
      <c r="T247" t="inlineStr">
        <is>
          <t>needs-review</t>
        </is>
      </c>
      <c r="U247" t="inlineStr">
        <is>
          <t>2026-10-04</t>
        </is>
      </c>
      <c r="V247" t="inlineStr">
        <is>
          <t>ambiguous match [13]</t>
        </is>
      </c>
    </row>
    <row r="248">
      <c r="A248" t="n">
        <v>13</v>
      </c>
      <c r="B248" t="inlineStr">
        <is>
          <t>Sandies Bathala</t>
        </is>
      </c>
      <c r="C248" t="inlineStr">
        <is>
          <t>other</t>
        </is>
      </c>
      <c r="D248" t="inlineStr">
        <is>
          <t>2018_Passion_JRE-magazine.pdf</t>
        </is>
      </c>
      <c r="E248" t="n">
        <v>2018</v>
      </c>
      <c r="H248" t="n">
        <v>3</v>
      </c>
      <c r="I248" t="n">
        <v>3471</v>
      </c>
      <c r="J248" t="inlineStr">
        <is>
          <t>N</t>
        </is>
      </c>
      <c r="K248" t="inlineStr">
        <is>
          <t>planhotel.com</t>
        </is>
      </c>
      <c r="L248" t="inlineStr">
        <is>
          <t>official</t>
        </is>
      </c>
      <c r="M248" t="inlineStr">
        <is>
          <t>https://d1vp8nomjxwyf1.cloudfront.net/wp-content/uploads/sites/110/2017/03/14085950/Passion_JRE-magazine.pdf</t>
        </is>
      </c>
      <c r="N248" t="inlineStr">
        <is>
          <t>https://d1vp8nomjxwyf1.cloudfront.net/wp-content/uploads/sites/110/2017/03/14085950/Passion_JRE-magazine.pdf | https://d1vp8nomjxwyf1.cloudfront.net/wp-content/uploads/sites/109/2017/03/14085754/Passion_JRE-magazine.pdf</t>
        </is>
      </c>
      <c r="O248" t="inlineStr">
        <is>
          <t>31a8ed25f14bb3adbdbbd1ed6630c84e11f224eee3cb96d514fb3c219a8d1289</t>
        </is>
      </c>
      <c r="P248" t="inlineStr">
        <is>
          <t>library/013_sandies-bathala/other/2018_Passion_JRE-magazine.pdf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other</t>
        </is>
      </c>
      <c r="D249" t="inlineStr">
        <is>
          <t>2017_DiamondsMapenziBeach_Explore-Tanzania_2017-18.pdf</t>
        </is>
      </c>
      <c r="E249" t="n">
        <v>2017</v>
      </c>
      <c r="H249" t="n">
        <v>2</v>
      </c>
      <c r="I249" t="n">
        <v>878</v>
      </c>
      <c r="J249" t="inlineStr">
        <is>
          <t>N</t>
        </is>
      </c>
      <c r="K249" t="inlineStr">
        <is>
          <t>planhotel.com</t>
        </is>
      </c>
      <c r="L249" t="inlineStr">
        <is>
          <t>official</t>
        </is>
      </c>
      <c r="M249" t="inlineStr">
        <is>
          <t>https://d1vp8nomjxwyf1.cloudfront.net/wp-content/uploads/sites/113/2017/04/08083304/DiamondsMapenziBeach_Explore-Tanzania_2017-18.pdf</t>
        </is>
      </c>
      <c r="N249" t="inlineStr">
        <is>
          <t>https://d1vp8nomjxwyf1.cloudfront.net/wp-content/uploads/sites/113/2017/04/08083304/DiamondsMapenziBeach_Explore-Tanzania_2017-18.pdf</t>
        </is>
      </c>
      <c r="O249" t="inlineStr">
        <is>
          <t>57f4c283ad382d77ba671eaae4ca610cb5c1f76de96febebeaefc94f91ffab84</t>
        </is>
      </c>
      <c r="P249" t="inlineStr">
        <is>
          <t>library/013_sandies-bathala/other/2017_DiamondsMapenziBeach_Explore-Tanzania_2017-18.pdf</t>
        </is>
      </c>
      <c r="R249" t="inlineStr">
        <is>
          <t>outdated</t>
        </is>
      </c>
      <c r="S249" t="inlineStr">
        <is>
          <t>N</t>
        </is>
      </c>
      <c r="T249" t="inlineStr">
        <is>
          <t>needs-review</t>
        </is>
      </c>
      <c r="U249" t="inlineStr">
        <is>
          <t>2026-10-04</t>
        </is>
      </c>
      <c r="V249" t="inlineStr">
        <is>
          <t>ambiguous match [13]</t>
        </is>
      </c>
    </row>
    <row r="250">
      <c r="A250" t="n">
        <v>13</v>
      </c>
      <c r="B250" t="inlineStr">
        <is>
          <t>Sandies Bathala</t>
        </is>
      </c>
      <c r="C250" t="inlineStr">
        <is>
          <t>other</t>
        </is>
      </c>
      <c r="D250" t="inlineStr">
        <is>
          <t>2017_Planhotel_Posh_2-2017.pdf</t>
        </is>
      </c>
      <c r="E250" t="n">
        <v>2017</v>
      </c>
      <c r="H250" t="n">
        <v>4</v>
      </c>
      <c r="I250" t="n">
        <v>5939</v>
      </c>
      <c r="J250" t="inlineStr">
        <is>
          <t>N</t>
        </is>
      </c>
      <c r="K250" t="inlineStr">
        <is>
          <t>planhotel.com</t>
        </is>
      </c>
      <c r="L250" t="inlineStr">
        <is>
          <t>official</t>
        </is>
      </c>
      <c r="M250" t="inlineStr">
        <is>
          <t>https://d1vp8nomjxwyf1.cloudfront.net/wp-content/uploads/sites/113/2017/04/08101825/Planhotel_Posh_2-2017.pdf</t>
        </is>
      </c>
      <c r="N250" t="inlineStr">
        <is>
          <t>https://d1vp8nomjxwyf1.cloudfront.net/wp-content/uploads/sites/113/2017/04/08101825/Planhotel_Posh_2-2017.pdf</t>
        </is>
      </c>
      <c r="O250" t="inlineStr">
        <is>
          <t>d51824231160df06ad6ac7b8f7a21ef64a0c4598e90b5e65f18a6bec02c598a5</t>
        </is>
      </c>
      <c r="P250" t="inlineStr">
        <is>
          <t>library/013_sandies-bathala/other/2017_Planhotel_Posh_2-2017.pdf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other</t>
        </is>
      </c>
      <c r="D251" t="inlineStr">
        <is>
          <t>2017_Planhotel_Luxury_Spring-2017.pdf</t>
        </is>
      </c>
      <c r="E251" t="n">
        <v>2017</v>
      </c>
      <c r="H251" t="n">
        <v>4</v>
      </c>
      <c r="I251" t="n">
        <v>2266</v>
      </c>
      <c r="J251" t="inlineStr">
        <is>
          <t>N</t>
        </is>
      </c>
      <c r="K251" t="inlineStr">
        <is>
          <t>planhotel.com</t>
        </is>
      </c>
      <c r="L251" t="inlineStr">
        <is>
          <t>official</t>
        </is>
      </c>
      <c r="M251" t="inlineStr">
        <is>
          <t>https://d1vp8nomjxwyf1.cloudfront.net/wp-content/uploads/sites/113/2017/04/10151621/Planhotel_Luxury_Spring-2017.pdf</t>
        </is>
      </c>
      <c r="N251" t="inlineStr">
        <is>
          <t>https://d1vp8nomjxwyf1.cloudfront.net/wp-content/uploads/sites/113/2017/04/10151621/Planhotel_Luxury_Spring-2017.pdf</t>
        </is>
      </c>
      <c r="O251" t="inlineStr">
        <is>
          <t>b67500325946544eeef0668ac30ec07296b9e9471ec1f53a4fe1c42b727674b1</t>
        </is>
      </c>
      <c r="P251" t="inlineStr">
        <is>
          <t>library/013_sandies-bathala/other/2017_Planhotel_Luxury_Spring-2017.pdf</t>
        </is>
      </c>
      <c r="R251" t="inlineStr">
        <is>
          <t>outdated</t>
        </is>
      </c>
      <c r="S251" t="inlineStr">
        <is>
          <t>N</t>
        </is>
      </c>
      <c r="T251" t="inlineStr">
        <is>
          <t>needs-review</t>
        </is>
      </c>
      <c r="U251" t="inlineStr">
        <is>
          <t>2026-10-04</t>
        </is>
      </c>
      <c r="V251" t="inlineStr">
        <is>
          <t>ambiguous match [13]</t>
        </is>
      </c>
    </row>
    <row r="252">
      <c r="A252" t="n">
        <v>13</v>
      </c>
      <c r="B252" t="inlineStr">
        <is>
          <t>Sandies Bathala</t>
        </is>
      </c>
      <c r="C252" t="inlineStr">
        <is>
          <t>other</t>
        </is>
      </c>
      <c r="D252" t="inlineStr">
        <is>
          <t>2017_Diamonds_Wonder-World_Winter-2017.pdf</t>
        </is>
      </c>
      <c r="E252" t="n">
        <v>2017</v>
      </c>
      <c r="H252" t="n">
        <v>4</v>
      </c>
      <c r="I252" t="n">
        <v>6413</v>
      </c>
      <c r="J252" t="inlineStr">
        <is>
          <t>N</t>
        </is>
      </c>
      <c r="K252" t="inlineStr">
        <is>
          <t>planhotel.com</t>
        </is>
      </c>
      <c r="L252" t="inlineStr">
        <is>
          <t>official</t>
        </is>
      </c>
      <c r="M252" t="inlineStr">
        <is>
          <t>https://d1vp8nomjxwyf1.cloudfront.net/wp-content/uploads/sites/113/2017/04/08092335/Diamonds_Wonder-World_Winter-2017.pdf</t>
        </is>
      </c>
      <c r="N252" t="inlineStr">
        <is>
          <t>https://d1vp8nomjxwyf1.cloudfront.net/wp-content/uploads/sites/113/2017/04/08092335/Diamonds_Wonder-World_Winter-2017.pdf</t>
        </is>
      </c>
      <c r="O252" t="inlineStr">
        <is>
          <t>eb65e48f180012185e451b44781d16e3aff2b1645fe77fa136c5b5bc47bd4d1d</t>
        </is>
      </c>
      <c r="P252" t="inlineStr">
        <is>
          <t>library/013_sandies-bathala/other/2017_Diamonds_Wonder-World_Winter-2017.pdf</t>
        </is>
      </c>
      <c r="R252" t="inlineStr">
        <is>
          <t>outdated</t>
        </is>
      </c>
      <c r="S252" t="inlineStr">
        <is>
          <t>N</t>
        </is>
      </c>
      <c r="T252" t="inlineStr">
        <is>
          <t>needs-review</t>
        </is>
      </c>
      <c r="U252" t="inlineStr">
        <is>
          <t>2026-10-04</t>
        </is>
      </c>
      <c r="V252" t="inlineStr">
        <is>
          <t>ambiguous match [13]</t>
        </is>
      </c>
    </row>
    <row r="253">
      <c r="A253" t="n">
        <v>13</v>
      </c>
      <c r="B253" t="inlineStr">
        <is>
          <t>Sandies Bathala</t>
        </is>
      </c>
      <c r="C253" t="inlineStr">
        <is>
          <t>other</t>
        </is>
      </c>
      <c r="D253" t="inlineStr">
        <is>
          <t>2016_DiamondsMaldives_beSpoke_Winter-2016.pdf</t>
        </is>
      </c>
      <c r="E253" t="n">
        <v>2016</v>
      </c>
      <c r="H253" t="n">
        <v>4</v>
      </c>
      <c r="I253" t="n">
        <v>3447</v>
      </c>
      <c r="J253" t="inlineStr">
        <is>
          <t>N</t>
        </is>
      </c>
      <c r="K253" t="inlineStr">
        <is>
          <t>planhotel.com</t>
        </is>
      </c>
      <c r="L253" t="inlineStr">
        <is>
          <t>official</t>
        </is>
      </c>
      <c r="M253" t="inlineStr">
        <is>
          <t>https://d1vp8nomjxwyf1.cloudfront.net/wp-content/uploads/sites/110/2017/03/10144745/DiamondsMaldives_beSpoke_Winter-2016.pdf</t>
        </is>
      </c>
      <c r="N253" t="inlineStr">
        <is>
          <t>https://d1vp8nomjxwyf1.cloudfront.net/wp-content/uploads/sites/110/2017/03/10144745/DiamondsMaldives_beSpoke_Winter-2016.pdf | https://d1vp8nomjxwyf1.cloudfront.net/wp-content/uploads/sites/109/2017/03/10144640/DiamondsMaldives_beSpoke_Winter-2016.pdf</t>
        </is>
      </c>
      <c r="O253" t="inlineStr">
        <is>
          <t>1d602c8fc431e64ecc11b64a4eee89b27a0fa1176c08419fad63b09f77c09bed</t>
        </is>
      </c>
      <c r="P253" t="inlineStr">
        <is>
          <t>library/013_sandies-bathala/other/2016_DiamondsMaldives_beSpoke_Winter-2016.pdf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2016_DiamondsMaldives_Wonder-World_Fall-2016.pdf</t>
        </is>
      </c>
      <c r="E254" t="n">
        <v>2016</v>
      </c>
      <c r="H254" t="n">
        <v>4</v>
      </c>
      <c r="I254" t="n">
        <v>1602</v>
      </c>
      <c r="J254" t="inlineStr">
        <is>
          <t>N</t>
        </is>
      </c>
      <c r="K254" t="inlineStr">
        <is>
          <t>planhotel.com</t>
        </is>
      </c>
      <c r="L254" t="inlineStr">
        <is>
          <t>official</t>
        </is>
      </c>
      <c r="M254" t="inlineStr">
        <is>
          <t>https://d1vp8nomjxwyf1.cloudfront.net/wp-content/uploads/sites/110/2017/03/08100159/DiamondsMaldives_Wonder-World_Fall-2016.pdf</t>
        </is>
      </c>
      <c r="N254" t="inlineStr">
        <is>
          <t>https://d1vp8nomjxwyf1.cloudfront.net/wp-content/uploads/sites/110/2017/03/08100159/DiamondsMaldives_Wonder-World_Fall-2016.pdf | https://d1vp8nomjxwyf1.cloudfront.net/wp-content/uploads/sites/109/2017/03/08100025/DiamondsMaldives_Wonder-World_Fall-2016.pdf</t>
        </is>
      </c>
      <c r="O254" t="inlineStr">
        <is>
          <t>24e4bc277b48797c800c416112eef661c5052e233abae329d9f492f30b09052c</t>
        </is>
      </c>
      <c r="P254" t="inlineStr">
        <is>
          <t>library/013_sandies-bathala/other/2016_DiamondsMaldives_Wonder-World_Fall-2016.pdf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2016_DiamondsMaldives_TMA-Inflight_02_2016.pdf</t>
        </is>
      </c>
      <c r="E255" t="n">
        <v>2016</v>
      </c>
      <c r="H255" t="n">
        <v>2</v>
      </c>
      <c r="I255" t="n">
        <v>1002</v>
      </c>
      <c r="J255" t="inlineStr">
        <is>
          <t>Y</t>
        </is>
      </c>
      <c r="K255" t="inlineStr">
        <is>
          <t>planhotel.com</t>
        </is>
      </c>
      <c r="L255" t="inlineStr">
        <is>
          <t>official</t>
        </is>
      </c>
      <c r="M255" t="inlineStr">
        <is>
          <t>https://d1vp8nomjxwyf1.cloudfront.net/wp-content/uploads/sites/110/2017/03/10145702/DiamondsMaldives_TMA-Inflight_02_2016.pdf</t>
        </is>
      </c>
      <c r="N255" t="inlineStr">
        <is>
          <t>https://d1vp8nomjxwyf1.cloudfront.net/wp-content/uploads/sites/110/2017/03/10145702/DiamondsMaldives_TMA-Inflight_02_2016.pdf | https://d1vp8nomjxwyf1.cloudfront.net/wp-content/uploads/sites/109/2017/03/10145310/DiamondsMaldives_TMA-Inflight_02_2016.pdf</t>
        </is>
      </c>
      <c r="O255" t="inlineStr">
        <is>
          <t>4b911b11b0340feee78c4fdb8122d510c1f699a5365d3bdd992efd9a3998e09c</t>
        </is>
      </c>
      <c r="P255" t="inlineStr">
        <is>
          <t>library/013_sandies-bathala/other/2016_DiamondsMaldives_TMA-Inflight_02_2016.pdf</t>
        </is>
      </c>
      <c r="R255" t="inlineStr">
        <is>
          <t>outdated</t>
        </is>
      </c>
      <c r="S255" t="inlineStr">
        <is>
          <t>N</t>
        </is>
      </c>
      <c r="T255" t="inlineStr">
        <is>
          <t>needs-review</t>
        </is>
      </c>
      <c r="U255" t="inlineStr">
        <is>
          <t>2026-10-04</t>
        </is>
      </c>
      <c r="V255" t="inlineStr">
        <is>
          <t>ambiguous match [13]</t>
        </is>
      </c>
    </row>
    <row r="256">
      <c r="A256" t="n">
        <v>13</v>
      </c>
      <c r="B256" t="inlineStr">
        <is>
          <t>Sandies Bathala</t>
        </is>
      </c>
      <c r="C256" t="inlineStr">
        <is>
          <t>other</t>
        </is>
      </c>
      <c r="D256" t="inlineStr">
        <is>
          <t>2016_Planhotel_ASTA_Fall-2016.pdf</t>
        </is>
      </c>
      <c r="E256" t="n">
        <v>2016</v>
      </c>
      <c r="H256" t="n">
        <v>2</v>
      </c>
      <c r="I256" t="n">
        <v>3449</v>
      </c>
      <c r="J256" t="inlineStr">
        <is>
          <t>N</t>
        </is>
      </c>
      <c r="K256" t="inlineStr">
        <is>
          <t>planhotel.com</t>
        </is>
      </c>
      <c r="L256" t="inlineStr">
        <is>
          <t>official</t>
        </is>
      </c>
      <c r="M256" t="inlineStr">
        <is>
          <t>https://d1vp8nomjxwyf1.cloudfront.net/wp-content/uploads/sites/113/2017/04/10151529/Planhotel_ASTA_Fall-2016.pdf</t>
        </is>
      </c>
      <c r="N256" t="inlineStr">
        <is>
          <t>https://d1vp8nomjxwyf1.cloudfront.net/wp-content/uploads/sites/113/2017/04/10151529/Planhotel_ASTA_Fall-2016.pdf</t>
        </is>
      </c>
      <c r="O256" t="inlineStr">
        <is>
          <t>4da8541f468be180841f48bb5b2b41f26a956e99823ac0ce617491b05aa9ec7e</t>
        </is>
      </c>
      <c r="P256" t="inlineStr">
        <is>
          <t>library/013_sandies-bathala/other/2016_Planhotel_ASTA_Fall-2016.pdf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2016_Diamonds_Posh_Winter-2016.pdf</t>
        </is>
      </c>
      <c r="E257" t="n">
        <v>2016</v>
      </c>
      <c r="H257" t="n">
        <v>6</v>
      </c>
      <c r="I257" t="n">
        <v>1873</v>
      </c>
      <c r="J257" t="inlineStr">
        <is>
          <t>N</t>
        </is>
      </c>
      <c r="K257" t="inlineStr">
        <is>
          <t>planhotel.com</t>
        </is>
      </c>
      <c r="L257" t="inlineStr">
        <is>
          <t>official</t>
        </is>
      </c>
      <c r="M257" t="inlineStr">
        <is>
          <t>https://d1vp8nomjxwyf1.cloudfront.net/wp-content/uploads/sites/110/2017/03/10143823/Diamonds_Posh_Winter-2016.pdf</t>
        </is>
      </c>
      <c r="N257" t="inlineStr">
        <is>
          <t>https://d1vp8nomjxwyf1.cloudfront.net/wp-content/uploads/sites/110/2017/03/10143823/Diamonds_Posh_Winter-2016.pdf | https://d1vp8nomjxwyf1.cloudfront.net/wp-content/uploads/sites/109/2017/03/10143642/Diamonds_Posh_Winter-2016.pdf</t>
        </is>
      </c>
      <c r="O257" t="inlineStr">
        <is>
          <t>74a137285d1e5a9f9b6c50fdcfe3fcfb9c64d91246411cedc8ebc445f523fe16</t>
        </is>
      </c>
      <c r="P257" t="inlineStr">
        <is>
          <t>library/013_sandies-bathala/other/2016_Diamonds_Posh_Winter-2016.pdf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2015_Procedura-di-prenotazione.pdf</t>
        </is>
      </c>
      <c r="E258" t="n">
        <v>2015</v>
      </c>
      <c r="H258" t="n">
        <v>2</v>
      </c>
      <c r="I258" t="n">
        <v>678</v>
      </c>
      <c r="J258" t="inlineStr">
        <is>
          <t>Y</t>
        </is>
      </c>
      <c r="K258" t="inlineStr">
        <is>
          <t>planhotel.com</t>
        </is>
      </c>
      <c r="L258" t="inlineStr">
        <is>
          <t>official</t>
        </is>
      </c>
      <c r="M258" t="inlineStr">
        <is>
          <t>https://d1vp8nomjxwyf1.cloudfront.net/wp-content/uploads/sites/212/2017/07/08084043/Procedura-di-prenotazione.pdf</t>
        </is>
      </c>
      <c r="N258" t="inlineStr">
        <is>
          <t>https://d1vp8nomjxwyf1.cloudfront.net/wp-content/uploads/sites/212/2017/07/08084043/Procedura-di-prenotazione.pdf</t>
        </is>
      </c>
      <c r="O258" t="inlineStr">
        <is>
          <t>ac4064e052ed6ec5aedcf5c58431f76a36283e10e28e5cfc0ca161a1904ae3ee</t>
        </is>
      </c>
      <c r="P258" t="inlineStr">
        <is>
          <t>library/013_sandies-bathala/other/2015_Procedura-di-prenotazione.pdf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2015_Planhotel_Company-Profile_2015.pdf</t>
        </is>
      </c>
      <c r="E259" t="n">
        <v>2015</v>
      </c>
      <c r="H259" t="n">
        <v>13</v>
      </c>
      <c r="I259" t="n">
        <v>1869</v>
      </c>
      <c r="J259" t="inlineStr">
        <is>
          <t>Y</t>
        </is>
      </c>
      <c r="K259" t="inlineStr">
        <is>
          <t>planhotel.com</t>
        </is>
      </c>
      <c r="L259" t="inlineStr">
        <is>
          <t>official</t>
        </is>
      </c>
      <c r="M259" t="inlineStr">
        <is>
          <t>https://d1vp8nomjxwyf1.cloudfront.net/wp-content/uploads/sites/212/2017/08/04153912/Planhotel_Company-Profile_2015.pdf</t>
        </is>
      </c>
      <c r="N259" t="inlineStr">
        <is>
          <t>https://d1vp8nomjxwyf1.cloudfront.net/wp-content/uploads/sites/212/2017/08/04153912/Planhotel_Company-Profile_2015.pdf | https://d1vp8nomjxwyf1.cloudfront.net/wp-content/uploads/sites/212/2017/07/28075833/Planhotel_Company-Profile_2015.pdf</t>
        </is>
      </c>
      <c r="O259" t="inlineStr">
        <is>
          <t>685118a2bdb4aab20f7306dea0982e4147f650bf4fb4636454274fa789454a08</t>
        </is>
      </c>
      <c r="P259" t="inlineStr">
        <is>
          <t>library/013_sandies-bathala/other/2015_Planhotel_Company-Profile_2015.pdf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2014_DiamondsDreamofAfrica_Nat-Geo-Luxury-Collection_2014.pdf</t>
        </is>
      </c>
      <c r="E260" t="n">
        <v>2014</v>
      </c>
      <c r="H260" t="n">
        <v>3</v>
      </c>
      <c r="I260" t="n">
        <v>2124</v>
      </c>
      <c r="J260" t="inlineStr">
        <is>
          <t>Y</t>
        </is>
      </c>
      <c r="K260" t="inlineStr">
        <is>
          <t>planhotel.com</t>
        </is>
      </c>
      <c r="L260" t="inlineStr">
        <is>
          <t>official</t>
        </is>
      </c>
      <c r="M260" t="inlineStr">
        <is>
          <t>https://d1vp8nomjxwyf1.cloudfront.net/wp-content/uploads/sites/114/2017/04/08075432/DiamondsDreamofAfrica_Nat-Geo-Luxury-Collection_2014.pdf</t>
        </is>
      </c>
      <c r="N260" t="inlineStr">
        <is>
          <t>https://d1vp8nomjxwyf1.cloudfront.net/wp-content/uploads/sites/114/2017/04/08075432/DiamondsDreamofAfrica_Nat-Geo-Luxury-Collection_2014.pdf</t>
        </is>
      </c>
      <c r="O260" t="inlineStr">
        <is>
          <t>6b572f9ea3a5190d260b8ab6e48f6b4e498f13d55583a5f846f3289d3ee1f7be</t>
        </is>
      </c>
      <c r="P260" t="inlineStr">
        <is>
          <t>library/013_sandies-bathala/other/2014_DiamondsDreamofAfrica_Nat-Geo-Luxury-Collection_2014.pdf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2014_DiamondsMaldive_Traveller_Winter-2014.pdf</t>
        </is>
      </c>
      <c r="E261" t="n">
        <v>2014</v>
      </c>
      <c r="H261" t="n">
        <v>2</v>
      </c>
      <c r="I261" t="n">
        <v>1314</v>
      </c>
      <c r="J261" t="inlineStr">
        <is>
          <t>N</t>
        </is>
      </c>
      <c r="K261" t="inlineStr">
        <is>
          <t>planhotel.com</t>
        </is>
      </c>
      <c r="L261" t="inlineStr">
        <is>
          <t>official</t>
        </is>
      </c>
      <c r="M261" t="inlineStr">
        <is>
          <t>https://d1vp8nomjxwyf1.cloudfront.net/wp-content/uploads/sites/110/2017/03/08080920/DiamondsMaldive_Traveller_Winter-2014.pdf</t>
        </is>
      </c>
      <c r="N261" t="inlineStr">
        <is>
          <t>https://d1vp8nomjxwyf1.cloudfront.net/wp-content/uploads/sites/110/2017/03/08080920/DiamondsMaldive_Traveller_Winter-2014.pdf</t>
        </is>
      </c>
      <c r="O261" t="inlineStr">
        <is>
          <t>f51ae0c035c46d21e3be5ca6874fddd8cb74670940126f22a1827229337fba28</t>
        </is>
      </c>
      <c r="P261" t="inlineStr">
        <is>
          <t>library/013_sandies-bathala/other/2014_DiamondsMaldive_Traveller_Winter-2014.pdf</t>
        </is>
      </c>
      <c r="R261" t="inlineStr">
        <is>
          <t>outdated</t>
        </is>
      </c>
      <c r="S261" t="inlineStr">
        <is>
          <t>N</t>
        </is>
      </c>
      <c r="T261" t="inlineStr">
        <is>
          <t>needs-review</t>
        </is>
      </c>
      <c r="U261" t="inlineStr">
        <is>
          <t>2026-10-04</t>
        </is>
      </c>
      <c r="V261" t="inlineStr">
        <is>
          <t>ambiguous match [13]</t>
        </is>
      </c>
    </row>
    <row r="262">
      <c r="A262" t="n">
        <v>15</v>
      </c>
      <c r="B262" t="inlineStr">
        <is>
          <t>Alila Kothaifaru Maldives</t>
        </is>
      </c>
      <c r="C262" t="inlineStr">
        <is>
          <t>factsheet</t>
        </is>
      </c>
      <c r="D262" t="inlineStr">
        <is>
          <t>2022_Alila-Kothaifaru-Maldives-Factsheet-2022.pdf</t>
        </is>
      </c>
      <c r="E262" t="n">
        <v>2022</v>
      </c>
      <c r="H262" t="n">
        <v>3</v>
      </c>
      <c r="I262" t="n">
        <v>310</v>
      </c>
      <c r="J262" t="inlineStr">
        <is>
          <t>Y</t>
        </is>
      </c>
      <c r="K262" t="inlineStr">
        <is>
          <t>neoscapesmaldives.com</t>
        </is>
      </c>
      <c r="L262" t="inlineStr">
        <is>
          <t>dmc-agency</t>
        </is>
      </c>
      <c r="M262" t="inlineStr">
        <is>
          <t>https://www.neoscapesmaldives.com/wp-content/uploads/Alila-Kothaifaru-Maldives-Factsheet-2022.pdf</t>
        </is>
      </c>
      <c r="N262" t="inlineStr">
        <is>
          <t>https://www.neoscapesmaldives.com/wp-content/uploads/Alila-Kothaifaru-Maldives-Factsheet-2022.pdf</t>
        </is>
      </c>
      <c r="O262" t="inlineStr">
        <is>
          <t>1781e5a11b7377f8e8bb7455f3c2dea1a4db8754f5845b6083e8867125ec64ef</t>
        </is>
      </c>
      <c r="P262" t="inlineStr">
        <is>
          <t>library/015_alila-kothaifaru-maldives/factsheet/2022_Alila-Kothaifaru-Maldives-Factsheet-2022.pdf</t>
        </is>
      </c>
      <c r="R262" t="inlineStr">
        <is>
          <t>outdated</t>
        </is>
      </c>
      <c r="S262" t="inlineStr">
        <is>
          <t>Y</t>
        </is>
      </c>
      <c r="T262" t="inlineStr">
        <is>
          <t>matched</t>
        </is>
      </c>
      <c r="U262" t="inlineStr">
        <is>
          <t>2026-10-04</t>
        </is>
      </c>
      <c r="V262" t="inlineStr"/>
    </row>
    <row r="263">
      <c r="A263" t="n">
        <v>15</v>
      </c>
      <c r="B263" t="inlineStr">
        <is>
          <t>Alila Kothaifaru Maldives</t>
        </is>
      </c>
      <c r="C263" t="inlineStr">
        <is>
          <t>map</t>
        </is>
      </c>
      <c r="D263" t="inlineStr">
        <is>
          <t>2022_Alila-Kothaifaru-Maldives-Resort-Map.pdf</t>
        </is>
      </c>
      <c r="E263" t="n">
        <v>2022</v>
      </c>
      <c r="H263" t="n">
        <v>1</v>
      </c>
      <c r="I263" t="n">
        <v>1704</v>
      </c>
      <c r="J263" t="inlineStr">
        <is>
          <t>N</t>
        </is>
      </c>
      <c r="K263" t="inlineStr">
        <is>
          <t>neoscapesmaldives.com</t>
        </is>
      </c>
      <c r="L263" t="inlineStr">
        <is>
          <t>dmc-agency</t>
        </is>
      </c>
      <c r="M263" t="inlineStr">
        <is>
          <t>https://www.neoscapesmaldives.com/wp-content/uploads/Alila-Kothaifaru-Maldives-Resort-Map.pdf</t>
        </is>
      </c>
      <c r="N263" t="inlineStr">
        <is>
          <t>https://www.neoscapesmaldives.com/wp-content/uploads/Alila-Kothaifaru-Maldives-Resort-Map.pdf</t>
        </is>
      </c>
      <c r="O263" t="inlineStr">
        <is>
          <t>611db5de80ebdf1b3a74646ea797e5a76a3f2857fd1ab178d55cbb52351b71fc</t>
        </is>
      </c>
      <c r="P263" t="inlineStr">
        <is>
          <t>library/015_alila-kothaifaru-maldives/map/2022_Alila-Kothaifaru-Maldives-Resort-Map.pdf</t>
        </is>
      </c>
      <c r="R263" t="inlineStr">
        <is>
          <t>outdated</t>
        </is>
      </c>
      <c r="S263" t="inlineStr">
        <is>
          <t>Y</t>
        </is>
      </c>
      <c r="T263" t="inlineStr">
        <is>
          <t>matched</t>
        </is>
      </c>
      <c r="U263" t="inlineStr">
        <is>
          <t>2026-10-04</t>
        </is>
      </c>
      <c r="V263" t="inlineStr"/>
    </row>
    <row r="264">
      <c r="A264" t="n">
        <v>16</v>
      </c>
      <c r="B264" t="inlineStr">
        <is>
          <t>JW Marriott Kaafu Atoll Island Resort</t>
        </is>
      </c>
      <c r="C264" t="inlineStr">
        <is>
          <t>map</t>
        </is>
      </c>
      <c r="D264" t="inlineStr">
        <is>
          <t>2024_RESORT-MAP_Original.pdf</t>
        </is>
      </c>
      <c r="E264" t="n">
        <v>2024</v>
      </c>
      <c r="H264" t="n">
        <v>1</v>
      </c>
      <c r="I264" t="n">
        <v>2776</v>
      </c>
      <c r="J264" t="inlineStr">
        <is>
          <t>Y</t>
        </is>
      </c>
      <c r="K264" t="inlineStr">
        <is>
          <t>neoscapesmaldives.com</t>
        </is>
      </c>
      <c r="L264" t="inlineStr">
        <is>
          <t>dmc-agency</t>
        </is>
      </c>
      <c r="M264" t="inlineStr">
        <is>
          <t>https://www.neoscapesmaldives.com/wp-content/uploads/RESORT-MAP_Original.pdf</t>
        </is>
      </c>
      <c r="N264" t="inlineStr">
        <is>
          <t>https://www.neoscapesmaldives.com/wp-content/uploads/RESORT-MAP_Original.pdf</t>
        </is>
      </c>
      <c r="O264" t="inlineStr">
        <is>
          <t>21ef3a43a5957ff0b4c061243a1f2a6485549f6aaa2beb055df51eb5806bc864</t>
        </is>
      </c>
      <c r="P264" t="inlineStr">
        <is>
          <t>library/016_jw-marriott-kaafu-atoll-island-resort/map/2024_RESORT-MAP_Original.pdf</t>
        </is>
      </c>
      <c r="R264" t="inlineStr">
        <is>
          <t>outdated</t>
        </is>
      </c>
      <c r="S264" t="inlineStr">
        <is>
          <t>Y</t>
        </is>
      </c>
      <c r="T264" t="inlineStr">
        <is>
          <t>needs-review</t>
        </is>
      </c>
      <c r="U264" t="inlineStr">
        <is>
          <t>2026-10-04</t>
        </is>
      </c>
      <c r="V264" t="inlineStr">
        <is>
          <t>ambiguous match [16]</t>
        </is>
      </c>
    </row>
    <row r="265">
      <c r="A265" t="n">
        <v>16</v>
      </c>
      <c r="B265" t="inlineStr">
        <is>
          <t>JW Marriott Kaafu Atoll Island Resort</t>
        </is>
      </c>
      <c r="C265" t="inlineStr">
        <is>
          <t>brochure</t>
        </is>
      </c>
      <c r="D265" t="inlineStr">
        <is>
          <t>2024_JW-Marriott-Kaafu-Atoll-Island-Resort_Presentation.pdf</t>
        </is>
      </c>
      <c r="E265" t="n">
        <v>2024</v>
      </c>
      <c r="H265" t="n">
        <v>20</v>
      </c>
      <c r="I265" t="n">
        <v>5095</v>
      </c>
      <c r="J265" t="inlineStr">
        <is>
          <t>Y</t>
        </is>
      </c>
      <c r="K265" t="inlineStr">
        <is>
          <t>neoscapesmaldives.com</t>
        </is>
      </c>
      <c r="L265" t="inlineStr">
        <is>
          <t>dmc-agency</t>
        </is>
      </c>
      <c r="M265" t="inlineStr">
        <is>
          <t>https://www.neoscapesmaldives.com/wp-content/uploads/JW-Marriott-Kaafu-Atoll-Island-Resort_Presentation.pdf</t>
        </is>
      </c>
      <c r="N265" t="inlineStr">
        <is>
          <t>https://www.neoscapesmaldives.com/wp-content/uploads/JW-Marriott-Kaafu-Atoll-Island-Resort_Presentation.pdf</t>
        </is>
      </c>
      <c r="O265" t="inlineStr">
        <is>
          <t>e0a930d25c89df6027b432ba497c402492e4d889a722bfce0fa7a1b37fc040c1</t>
        </is>
      </c>
      <c r="P265" t="inlineStr">
        <is>
          <t>library/016_jw-marriott-kaafu-atoll-island-resort/brochure/2024_JW-Marriott-Kaafu-Atoll-Island-Resort_Presentation.pdf</t>
        </is>
      </c>
      <c r="R265" t="inlineStr">
        <is>
          <t>outdated</t>
        </is>
      </c>
      <c r="S265" t="inlineStr">
        <is>
          <t>Y</t>
        </is>
      </c>
      <c r="T265" t="inlineStr">
        <is>
          <t>matched</t>
        </is>
      </c>
      <c r="U265" t="inlineStr">
        <is>
          <t>2026-10-04</t>
        </is>
      </c>
      <c r="V265" t="inlineStr"/>
    </row>
    <row r="266">
      <c r="A266" t="n">
        <v>18</v>
      </c>
      <c r="B266" t="inlineStr">
        <is>
          <t>JW Marriott Maldives Resort &amp; Spa</t>
        </is>
      </c>
      <c r="C266" t="inlineStr">
        <is>
          <t>factsheet</t>
        </is>
      </c>
      <c r="D266" t="inlineStr">
        <is>
          <t>2023_JW-Marriott-Maldives-Resort-Spa-Factsheet-2023.pdf</t>
        </is>
      </c>
      <c r="E266" t="n">
        <v>2023</v>
      </c>
      <c r="H266" t="n">
        <v>9</v>
      </c>
      <c r="I266" t="n">
        <v>2920</v>
      </c>
      <c r="J266" t="inlineStr">
        <is>
          <t>Y</t>
        </is>
      </c>
      <c r="K266" t="inlineStr">
        <is>
          <t>neoscapesmaldives.com</t>
        </is>
      </c>
      <c r="L266" t="inlineStr">
        <is>
          <t>dmc-agency</t>
        </is>
      </c>
      <c r="M266" t="inlineStr">
        <is>
          <t>https://www.neoscapesmaldives.com/wp-content/uploads/JW-Marriott-Maldives-Resort-Spa-Factsheet-2023.pdf</t>
        </is>
      </c>
      <c r="N266" t="inlineStr">
        <is>
          <t>https://www.neoscapesmaldives.com/wp-content/uploads/JW-Marriott-Maldives-Resort-Spa-Factsheet-2023.pdf</t>
        </is>
      </c>
      <c r="O266" t="inlineStr">
        <is>
          <t>76c2f6bf6b29e069a69b721c1bddb291fb4cf4409c478ed96f2ec0d8ec83c67c</t>
        </is>
      </c>
      <c r="P266" t="inlineStr">
        <is>
          <t>library/018_jw-marriott-maldives-resort-spa/factsheet/2023_JW-Marriott-Maldives-Resort-Spa-Factsheet-2023.pdf</t>
        </is>
      </c>
      <c r="R266" t="inlineStr">
        <is>
          <t>outdated</t>
        </is>
      </c>
      <c r="S266" t="inlineStr">
        <is>
          <t>Y</t>
        </is>
      </c>
      <c r="T266" t="inlineStr">
        <is>
          <t>matched</t>
        </is>
      </c>
      <c r="U266" t="inlineStr">
        <is>
          <t>2026-10-04</t>
        </is>
      </c>
      <c r="V266" t="inlineStr"/>
    </row>
    <row r="267">
      <c r="A267" t="n">
        <v>18</v>
      </c>
      <c r="B267" t="inlineStr">
        <is>
          <t>JW Marriott Maldives Resort &amp; Spa</t>
        </is>
      </c>
      <c r="C267" t="inlineStr">
        <is>
          <t>map</t>
        </is>
      </c>
      <c r="D267" t="inlineStr">
        <is>
          <t>2025_Resort-Map_JW-Marriott-Maldives.pdf</t>
        </is>
      </c>
      <c r="E267" t="n">
        <v>2025</v>
      </c>
      <c r="H267" t="n">
        <v>1</v>
      </c>
      <c r="I267" t="n">
        <v>456</v>
      </c>
      <c r="J267" t="inlineStr">
        <is>
          <t>N</t>
        </is>
      </c>
      <c r="K267" t="inlineStr">
        <is>
          <t>neoscapesmaldives.com</t>
        </is>
      </c>
      <c r="L267" t="inlineStr">
        <is>
          <t>dmc-agency</t>
        </is>
      </c>
      <c r="M267" t="inlineStr">
        <is>
          <t>https://www.neoscapesmaldives.com/wp-content/uploads/Resort-Map_JW-Marriott-Maldives.pdf</t>
        </is>
      </c>
      <c r="N267" t="inlineStr">
        <is>
          <t>https://www.neoscapesmaldives.com/wp-content/uploads/Resort-Map_JW-Marriott-Maldives.pdf</t>
        </is>
      </c>
      <c r="O267" t="inlineStr">
        <is>
          <t>a4229d5289ec3c66f2a3d20f4ec9582b74c3aa3d2cb90ba90e093cb65b63ba35</t>
        </is>
      </c>
      <c r="P267" t="inlineStr">
        <is>
          <t>library/018_jw-marriott-maldives-resort-spa/map/2025_Resort-Map_JW-Marriott-Maldives.pdf</t>
        </is>
      </c>
      <c r="R267" t="inlineStr">
        <is>
          <t>current</t>
        </is>
      </c>
      <c r="S267" t="inlineStr">
        <is>
          <t>Y</t>
        </is>
      </c>
      <c r="T267" t="inlineStr">
        <is>
          <t>matched</t>
        </is>
      </c>
      <c r="U267" t="inlineStr">
        <is>
          <t>2026-10-04</t>
        </is>
      </c>
      <c r="V267" t="inlineStr"/>
    </row>
    <row r="268">
      <c r="A268" t="n">
        <v>19</v>
      </c>
      <c r="B268" t="inlineStr">
        <is>
          <t>The Residence Maldives</t>
        </is>
      </c>
      <c r="C268" t="inlineStr">
        <is>
          <t>wedding</t>
        </is>
      </c>
      <c r="D268" t="inlineStr">
        <is>
          <t>2026_Maldives_Wedding_Ceremony_Packages-2026.pdf</t>
        </is>
      </c>
      <c r="E268" t="n">
        <v>2026</v>
      </c>
      <c r="H268" t="n">
        <v>4</v>
      </c>
      <c r="I268" t="n">
        <v>14175</v>
      </c>
      <c r="J268" t="inlineStr">
        <is>
          <t>Y</t>
        </is>
      </c>
      <c r="K268" t="inlineStr">
        <is>
          <t>cenizaro.com</t>
        </is>
      </c>
      <c r="L268" t="inlineStr">
        <is>
          <t>official</t>
        </is>
      </c>
      <c r="M268" t="inlineStr">
        <is>
          <t>https://www.cenizaro.com/docs/maldives-fm/Maldives_Wedding_Ceremony_Packages-2026.pdf</t>
        </is>
      </c>
      <c r="N268" t="inlineStr">
        <is>
          <t>https://www.cenizaro.com/docs/maldives-fm/Maldives_Wedding_Ceremony_Packages-2026.pdf</t>
        </is>
      </c>
      <c r="O268" t="inlineStr">
        <is>
          <t>862b8556cb8791f045db0546785db0ac7723cd929e0e0473615f02cc43fc9c09</t>
        </is>
      </c>
      <c r="P268" t="inlineStr">
        <is>
          <t>library/019_the-residence-maldives/wedding/2026_Maldives_Wedding_Ceremony_Packages-2026.pdf</t>
        </is>
      </c>
      <c r="R268" t="inlineStr">
        <is>
          <t>current</t>
        </is>
      </c>
      <c r="S268" t="inlineStr">
        <is>
          <t>Y</t>
        </is>
      </c>
      <c r="T268" t="inlineStr">
        <is>
          <t>needs-review</t>
        </is>
      </c>
      <c r="U268" t="inlineStr">
        <is>
          <t>2026-10-04</t>
        </is>
      </c>
      <c r="V268" t="inlineStr">
        <is>
          <t>ambiguous match [19]</t>
        </is>
      </c>
    </row>
    <row r="269">
      <c r="A269" t="n">
        <v>19</v>
      </c>
      <c r="B269" t="inlineStr">
        <is>
          <t>The Residence Maldives</t>
        </is>
      </c>
      <c r="C269" t="inlineStr">
        <is>
          <t>events</t>
        </is>
      </c>
      <c r="D269" t="inlineStr">
        <is>
          <t>2024_2024_TR_MALDIVES_MICE_FACTSHEET_FA_v3_PAGEBYPAGE.pdf</t>
        </is>
      </c>
      <c r="E269" t="n">
        <v>2024</v>
      </c>
      <c r="H269" t="n">
        <v>6</v>
      </c>
      <c r="I269" t="n">
        <v>6361</v>
      </c>
      <c r="J269" t="inlineStr">
        <is>
          <t>Y</t>
        </is>
      </c>
      <c r="K269" t="inlineStr">
        <is>
          <t>cenizaro.com</t>
        </is>
      </c>
      <c r="L269" t="inlineStr">
        <is>
          <t>official</t>
        </is>
      </c>
      <c r="M269" t="inlineStr">
        <is>
          <t>https://www.cenizaro.com//docs/maldives-fm/2024_TR_MALDIVES_MICE_FACTSHEET_FA_v3_PAGEBYPAGE.pdf</t>
        </is>
      </c>
      <c r="N269" t="inlineStr">
        <is>
          <t>https://www.cenizaro.com//docs/maldives-fm/2024_TR_MALDIVES_MICE_FACTSHEET_FA_v3_PAGEBYPAGE.pdf</t>
        </is>
      </c>
      <c r="O269" t="inlineStr">
        <is>
          <t>b4e3dedbbfb03254f3123ebcc85eeb04a80863c12b25ae5f2217e73d1ca8990f</t>
        </is>
      </c>
      <c r="P269" t="inlineStr">
        <is>
          <t>library/019_the-residence-maldives/events/2024_2024_TR_MALDIVES_MICE_FACTSHEET_FA_v3_PAGEBYPAGE.pdf</t>
        </is>
      </c>
      <c r="R269" t="inlineStr">
        <is>
          <t>outdated</t>
        </is>
      </c>
      <c r="S269" t="inlineStr">
        <is>
          <t>Y</t>
        </is>
      </c>
      <c r="T269" t="inlineStr">
        <is>
          <t>matched</t>
        </is>
      </c>
      <c r="U269" t="inlineStr">
        <is>
          <t>2026-10-04</t>
        </is>
      </c>
      <c r="V269" t="inlineStr"/>
    </row>
    <row r="270">
      <c r="A270" t="n">
        <v>19</v>
      </c>
      <c r="B270" t="inlineStr">
        <is>
          <t>The Residence Maldives</t>
        </is>
      </c>
      <c r="C270" t="inlineStr">
        <is>
          <t>spa_menu</t>
        </is>
      </c>
      <c r="D270" t="inlineStr">
        <is>
          <t>2023_TRML_Spa_by_Clarins_-_Reception_Menu_-_Jan_23.pdf</t>
        </is>
      </c>
      <c r="E270" t="n">
        <v>2023</v>
      </c>
      <c r="H270" t="n">
        <v>21</v>
      </c>
      <c r="I270" t="n">
        <v>2886</v>
      </c>
      <c r="J270" t="inlineStr">
        <is>
          <t>N</t>
        </is>
      </c>
      <c r="K270" t="inlineStr">
        <is>
          <t>cenizaro.com</t>
        </is>
      </c>
      <c r="L270" t="inlineStr">
        <is>
          <t>official</t>
        </is>
      </c>
      <c r="M270" t="inlineStr">
        <is>
          <t>https://cenizaro.com/docs/maldives-fm/TRML_Spa_by_Clarins_-_Reception_Menu_-_Jan_23.pdf</t>
        </is>
      </c>
      <c r="N270" t="inlineStr">
        <is>
          <t>https://cenizaro.com/docs/maldives-fm/TRML_Spa_by_Clarins_-_Reception_Menu_-_Jan_23.pdf</t>
        </is>
      </c>
      <c r="O270" t="inlineStr">
        <is>
          <t>b5c25831b4919e03759390462d29860f47dc84e268f066a09246d0ddcf10152a</t>
        </is>
      </c>
      <c r="P270" t="inlineStr">
        <is>
          <t>library/019_the-residence-maldives/spa_menu/2023_TRML_Spa_by_Clarins_-_Reception_Menu_-_Jan_23.pdf</t>
        </is>
      </c>
      <c r="R270" t="inlineStr">
        <is>
          <t>outdated</t>
        </is>
      </c>
      <c r="S270" t="inlineStr">
        <is>
          <t>Y</t>
        </is>
      </c>
      <c r="T270" t="inlineStr">
        <is>
          <t>needs-review</t>
        </is>
      </c>
      <c r="U270" t="inlineStr">
        <is>
          <t>2026-10-04</t>
        </is>
      </c>
      <c r="V270" t="inlineStr">
        <is>
          <t>ambiguous match [19]</t>
        </is>
      </c>
    </row>
    <row r="271">
      <c r="A271" t="n">
        <v>19</v>
      </c>
      <c r="B271" t="inlineStr">
        <is>
          <t>The Residence Maldives</t>
        </is>
      </c>
      <c r="C271" t="inlineStr">
        <is>
          <t>spa_menu</t>
        </is>
      </c>
      <c r="D271" t="inlineStr">
        <is>
          <t>2022_TRML_Spa_by_Clarins_-_Reception_Menu_-_Dec_22.pdf</t>
        </is>
      </c>
      <c r="E271" t="n">
        <v>2022</v>
      </c>
      <c r="H271" t="n">
        <v>22</v>
      </c>
      <c r="I271" t="n">
        <v>2947</v>
      </c>
      <c r="J271" t="inlineStr">
        <is>
          <t>N</t>
        </is>
      </c>
      <c r="K271" t="inlineStr">
        <is>
          <t>cenizaro.com</t>
        </is>
      </c>
      <c r="L271" t="inlineStr">
        <is>
          <t>official</t>
        </is>
      </c>
      <c r="M271" t="inlineStr">
        <is>
          <t>https://www.cenizaro.com/docs/maldives-fm/TRML_Spa_by_Clarins_-_Reception_Menu_-_Dec_22.pdf</t>
        </is>
      </c>
      <c r="N271" t="inlineStr">
        <is>
          <t>https://www.cenizaro.com/docs/maldives-fm/TRML_Spa_by_Clarins_-_Reception_Menu_-_Dec_22.pdf</t>
        </is>
      </c>
      <c r="O271" t="inlineStr">
        <is>
          <t>95aa5fe3059187b464126389a799c13e108da369d78d4f0d82993a3c443b3801</t>
        </is>
      </c>
      <c r="P271" t="inlineStr">
        <is>
          <t>library/019_the-residence-maldives/spa_menu/2022_TRML_Spa_by_Clarins_-_Reception_Menu_-_Dec_22.pdf</t>
        </is>
      </c>
      <c r="R271" t="inlineStr">
        <is>
          <t>outdated</t>
        </is>
      </c>
      <c r="S271" t="inlineStr">
        <is>
          <t>N</t>
        </is>
      </c>
      <c r="T271" t="inlineStr">
        <is>
          <t>needs-review</t>
        </is>
      </c>
      <c r="U271" t="inlineStr">
        <is>
          <t>2026-10-04</t>
        </is>
      </c>
      <c r="V271" t="inlineStr">
        <is>
          <t>ambiguous match [19]</t>
        </is>
      </c>
    </row>
    <row r="272">
      <c r="A272" t="n">
        <v>19</v>
      </c>
      <c r="B272" t="inlineStr">
        <is>
          <t>The Residence Maldives</t>
        </is>
      </c>
      <c r="C272" t="inlineStr">
        <is>
          <t>dining_menu</t>
        </is>
      </c>
      <c r="D272" t="inlineStr">
        <is>
          <t>2025_TRML_-_The_Beach_Bar_A_la_Carte_Lunch_Menu_-_28.06.25.pdf</t>
        </is>
      </c>
      <c r="E272" t="n">
        <v>2025</v>
      </c>
      <c r="H272" t="n">
        <v>7</v>
      </c>
      <c r="I272" t="n">
        <v>806</v>
      </c>
      <c r="J272" t="inlineStr">
        <is>
          <t>N</t>
        </is>
      </c>
      <c r="K272" t="inlineStr">
        <is>
          <t>cenizaro.com</t>
        </is>
      </c>
      <c r="L272" t="inlineStr">
        <is>
          <t>official</t>
        </is>
      </c>
      <c r="M272" t="inlineStr">
        <is>
          <t>https://www.cenizaro.com/docs/maldives-fm/TRML_-_The_Beach_Bar_A_la_Carte_Lunch_Menu_-_28.06.25.pdf</t>
        </is>
      </c>
      <c r="N272" t="inlineStr">
        <is>
          <t>https://www.cenizaro.com/docs/maldives-fm/TRML_-_The_Beach_Bar_A_la_Carte_Lunch_Menu_-_28.06.25.pdf</t>
        </is>
      </c>
      <c r="O272" t="inlineStr">
        <is>
          <t>7b153e5c8c5775cfd96af5a6e707ea87de2a0b44ef0787023025611277067f8f</t>
        </is>
      </c>
      <c r="P272" t="inlineStr">
        <is>
          <t>library/019_the-residence-maldives/dining_menu/2025_TRML_-_The_Beach_Bar_A_la_Carte_Lunch_Menu_-_28.06.25.pdf</t>
        </is>
      </c>
      <c r="R272" t="inlineStr">
        <is>
          <t>current</t>
        </is>
      </c>
      <c r="S272" t="inlineStr">
        <is>
          <t>N</t>
        </is>
      </c>
      <c r="T272" t="inlineStr">
        <is>
          <t>needs-review</t>
        </is>
      </c>
      <c r="U272" t="inlineStr">
        <is>
          <t>2026-10-04</t>
        </is>
      </c>
      <c r="V272" t="inlineStr">
        <is>
          <t>ambiguous match [19]</t>
        </is>
      </c>
    </row>
    <row r="273">
      <c r="A273" t="n">
        <v>19</v>
      </c>
      <c r="B273" t="inlineStr">
        <is>
          <t>The Residence Maldives</t>
        </is>
      </c>
      <c r="C273" t="inlineStr">
        <is>
          <t>dining_menu</t>
        </is>
      </c>
      <c r="D273" t="inlineStr">
        <is>
          <t>2025_Kids_Menu_-_28.06.25.pdf</t>
        </is>
      </c>
      <c r="E273" t="n">
        <v>2025</v>
      </c>
      <c r="H273" t="n">
        <v>1</v>
      </c>
      <c r="I273" t="n">
        <v>85</v>
      </c>
      <c r="J273" t="inlineStr">
        <is>
          <t>N</t>
        </is>
      </c>
      <c r="K273" t="inlineStr">
        <is>
          <t>cenizaro.com</t>
        </is>
      </c>
      <c r="L273" t="inlineStr">
        <is>
          <t>official</t>
        </is>
      </c>
      <c r="M273" t="inlineStr">
        <is>
          <t>https://www.cenizaro.com/docs/maldives-fm/Kids_Menu_-_28.06.25.pdf</t>
        </is>
      </c>
      <c r="N273" t="inlineStr">
        <is>
          <t>https://www.cenizaro.com/docs/maldives-fm/Kids_Menu_-_28.06.25.pdf</t>
        </is>
      </c>
      <c r="O273" t="inlineStr">
        <is>
          <t>ba83e0c1134393e21eacd824af3fcf7c7debe8151783567f4f84386357e6a221</t>
        </is>
      </c>
      <c r="P273" t="inlineStr">
        <is>
          <t>library/019_the-residence-maldives/dining_menu/2025_Kids_Menu_-_28.06.25.pdf</t>
        </is>
      </c>
      <c r="R273" t="inlineStr">
        <is>
          <t>current</t>
        </is>
      </c>
      <c r="S273" t="inlineStr">
        <is>
          <t>N</t>
        </is>
      </c>
      <c r="T273" t="inlineStr">
        <is>
          <t>needs-review</t>
        </is>
      </c>
      <c r="U273" t="inlineStr">
        <is>
          <t>2026-10-04</t>
        </is>
      </c>
      <c r="V273" t="inlineStr">
        <is>
          <t>ambiguous match [19]</t>
        </is>
      </c>
    </row>
    <row r="274">
      <c r="A274" t="n">
        <v>19</v>
      </c>
      <c r="B274" t="inlineStr">
        <is>
          <t>The Residence Maldives</t>
        </is>
      </c>
      <c r="C274" t="inlineStr">
        <is>
          <t>dining_menu</t>
        </is>
      </c>
      <c r="D274" t="inlineStr">
        <is>
          <t>2025_TRML_The_Beach_Bar_Tapas_-_28.06.25.pdf</t>
        </is>
      </c>
      <c r="E274" t="n">
        <v>2025</v>
      </c>
      <c r="H274" t="n">
        <v>2</v>
      </c>
      <c r="I274" t="n">
        <v>133</v>
      </c>
      <c r="J274" t="inlineStr">
        <is>
          <t>N</t>
        </is>
      </c>
      <c r="K274" t="inlineStr">
        <is>
          <t>cenizaro.com</t>
        </is>
      </c>
      <c r="L274" t="inlineStr">
        <is>
          <t>official</t>
        </is>
      </c>
      <c r="M274" t="inlineStr">
        <is>
          <t>https://www.cenizaro.com/docs/maldives-fm/TRML_The_Beach_Bar_Tapas_-_28.06.25.pdf</t>
        </is>
      </c>
      <c r="N274" t="inlineStr">
        <is>
          <t>https://www.cenizaro.com/docs/maldives-fm/TRML_The_Beach_Bar_Tapas_-_28.06.25.pdf</t>
        </is>
      </c>
      <c r="O274" t="inlineStr">
        <is>
          <t>80ca6be2d1396e466fadfa9dea68b54ed756a88712e6f3297745ba65117aa4ae</t>
        </is>
      </c>
      <c r="P274" t="inlineStr">
        <is>
          <t>library/019_the-residence-maldives/dining_menu/2025_TRML_The_Beach_Bar_Tapas_-_28.06.25.pdf</t>
        </is>
      </c>
      <c r="R274" t="inlineStr">
        <is>
          <t>current</t>
        </is>
      </c>
      <c r="S274" t="inlineStr">
        <is>
          <t>N</t>
        </is>
      </c>
      <c r="T274" t="inlineStr">
        <is>
          <t>needs-review</t>
        </is>
      </c>
      <c r="U274" t="inlineStr">
        <is>
          <t>2026-10-04</t>
        </is>
      </c>
      <c r="V274" t="inlineStr">
        <is>
          <t>ambiguous match [19]</t>
        </is>
      </c>
    </row>
    <row r="275">
      <c r="A275" t="n">
        <v>19</v>
      </c>
      <c r="B275" t="inlineStr">
        <is>
          <t>The Residence Maldives</t>
        </is>
      </c>
      <c r="C275" t="inlineStr">
        <is>
          <t>dining_menu</t>
        </is>
      </c>
      <c r="D275" t="inlineStr">
        <is>
          <t>2025_TRML_-_THE_DINING_ROOM_A_LA_CARTE_DINNER_-_28.06.25.pdf</t>
        </is>
      </c>
      <c r="E275" t="n">
        <v>2025</v>
      </c>
      <c r="H275" t="n">
        <v>6</v>
      </c>
      <c r="I275" t="n">
        <v>610</v>
      </c>
      <c r="J275" t="inlineStr">
        <is>
          <t>N</t>
        </is>
      </c>
      <c r="K275" t="inlineStr">
        <is>
          <t>cenizaro.com</t>
        </is>
      </c>
      <c r="L275" t="inlineStr">
        <is>
          <t>official</t>
        </is>
      </c>
      <c r="M275" t="inlineStr">
        <is>
          <t>https://www.cenizaro.com/docs/maldives-fm/TRML_-_THE_DINING_ROOM_A_LA_CARTE_DINNER_-_28.06.25.pdf</t>
        </is>
      </c>
      <c r="N275" t="inlineStr">
        <is>
          <t>https://www.cenizaro.com/docs/maldives-fm/TRML_-_THE_DINING_ROOM_A_LA_CARTE_DINNER_-_28.06.25.pdf</t>
        </is>
      </c>
      <c r="O275" t="inlineStr">
        <is>
          <t>a074f49a2d915df648e611d6c1f53018d763301fe692c05bfd84115c5a49aacd</t>
        </is>
      </c>
      <c r="P275" t="inlineStr">
        <is>
          <t>library/019_the-residence-maldives/dining_menu/2025_TRML_-_THE_DINING_ROOM_A_LA_CARTE_DINNER_-_28.06.25.pdf</t>
        </is>
      </c>
      <c r="R275" t="inlineStr">
        <is>
          <t>current</t>
        </is>
      </c>
      <c r="S275" t="inlineStr">
        <is>
          <t>N</t>
        </is>
      </c>
      <c r="T275" t="inlineStr">
        <is>
          <t>needs-review</t>
        </is>
      </c>
      <c r="U275" t="inlineStr">
        <is>
          <t>2026-10-04</t>
        </is>
      </c>
      <c r="V275" t="inlineStr">
        <is>
          <t>ambiguous match [19]</t>
        </is>
      </c>
    </row>
    <row r="276">
      <c r="A276" t="n">
        <v>19</v>
      </c>
      <c r="B276" t="inlineStr">
        <is>
          <t>The Residence Maldives</t>
        </is>
      </c>
      <c r="C276" t="inlineStr">
        <is>
          <t>dining_menu</t>
        </is>
      </c>
      <c r="D276" t="inlineStr">
        <is>
          <t>2025_TRML_-The_DINING_ROOM_A_LA_CARTE_LUNCH_-_28.06.25.pdf</t>
        </is>
      </c>
      <c r="E276" t="n">
        <v>2025</v>
      </c>
      <c r="H276" t="n">
        <v>6</v>
      </c>
      <c r="I276" t="n">
        <v>782</v>
      </c>
      <c r="J276" t="inlineStr">
        <is>
          <t>N</t>
        </is>
      </c>
      <c r="K276" t="inlineStr">
        <is>
          <t>cenizaro.com</t>
        </is>
      </c>
      <c r="L276" t="inlineStr">
        <is>
          <t>official</t>
        </is>
      </c>
      <c r="M276" t="inlineStr">
        <is>
          <t>https://www.cenizaro.com/docs/maldives-fm/TRML_-The_DINING_ROOM_A_LA_CARTE_LUNCH_-_28.06.25.pdf</t>
        </is>
      </c>
      <c r="N276" t="inlineStr">
        <is>
          <t>https://www.cenizaro.com/docs/maldives-fm/TRML_-The_DINING_ROOM_A_LA_CARTE_LUNCH_-_28.06.25.pdf</t>
        </is>
      </c>
      <c r="O276" t="inlineStr">
        <is>
          <t>61a0c5a24a6f30493267e3e9202a189c00f524c8875dc5d811e582ae6604f969</t>
        </is>
      </c>
      <c r="P276" t="inlineStr">
        <is>
          <t>library/019_the-residence-maldives/dining_menu/2025_TRML_-The_DINING_ROOM_A_LA_CARTE_LUNCH_-_28.06.25.pdf</t>
        </is>
      </c>
      <c r="R276" t="inlineStr">
        <is>
          <t>current</t>
        </is>
      </c>
      <c r="S276" t="inlineStr">
        <is>
          <t>N</t>
        </is>
      </c>
      <c r="T276" t="inlineStr">
        <is>
          <t>needs-review</t>
        </is>
      </c>
      <c r="U276" t="inlineStr">
        <is>
          <t>2026-10-04</t>
        </is>
      </c>
      <c r="V276" t="inlineStr">
        <is>
          <t>ambiguous match [19]</t>
        </is>
      </c>
    </row>
    <row r="277">
      <c r="A277" t="n">
        <v>19</v>
      </c>
      <c r="B277" t="inlineStr">
        <is>
          <t>The Residence Maldives</t>
        </is>
      </c>
      <c r="C277" t="inlineStr">
        <is>
          <t>dining_menu</t>
        </is>
      </c>
      <c r="D277" t="inlineStr">
        <is>
          <t>2025_Hi-tea_menu_-_28.06.25.pdf</t>
        </is>
      </c>
      <c r="E277" t="n">
        <v>2025</v>
      </c>
      <c r="H277" t="n">
        <v>1</v>
      </c>
      <c r="I277" t="n">
        <v>80</v>
      </c>
      <c r="J277" t="inlineStr">
        <is>
          <t>Y</t>
        </is>
      </c>
      <c r="K277" t="inlineStr">
        <is>
          <t>cenizaro.com</t>
        </is>
      </c>
      <c r="L277" t="inlineStr">
        <is>
          <t>official</t>
        </is>
      </c>
      <c r="M277" t="inlineStr">
        <is>
          <t>https://www.cenizaro.com/docs/maldives-fm/Hi-tea_menu_-_28.06.25.pdf</t>
        </is>
      </c>
      <c r="N277" t="inlineStr">
        <is>
          <t>https://www.cenizaro.com/docs/maldives-fm/Hi-tea_menu_-_28.06.25.pdf</t>
        </is>
      </c>
      <c r="O277" t="inlineStr">
        <is>
          <t>cb3d1a4006e1ed00c3fa7db0faaa8c46ab9b567f0f600300a2ecc32a397887b6</t>
        </is>
      </c>
      <c r="P277" t="inlineStr">
        <is>
          <t>library/019_the-residence-maldives/dining_menu/2025_Hi-tea_menu_-_28.06.25.pdf</t>
        </is>
      </c>
      <c r="R277" t="inlineStr">
        <is>
          <t>current</t>
        </is>
      </c>
      <c r="S277" t="inlineStr">
        <is>
          <t>N</t>
        </is>
      </c>
      <c r="T277" t="inlineStr">
        <is>
          <t>needs-review</t>
        </is>
      </c>
      <c r="U277" t="inlineStr">
        <is>
          <t>2026-10-04</t>
        </is>
      </c>
      <c r="V277" t="inlineStr">
        <is>
          <t>ambiguous match [19]</t>
        </is>
      </c>
    </row>
    <row r="278">
      <c r="A278" t="n">
        <v>19</v>
      </c>
      <c r="B278" t="inlineStr">
        <is>
          <t>The Residence Maldives</t>
        </is>
      </c>
      <c r="C278" t="inlineStr">
        <is>
          <t>dining_menu</t>
        </is>
      </c>
      <c r="D278" t="inlineStr">
        <is>
          <t>2025_Private_Dining_All_Day_Menu_-_28.06.25.pdf</t>
        </is>
      </c>
      <c r="E278" t="n">
        <v>2025</v>
      </c>
      <c r="H278" t="n">
        <v>9</v>
      </c>
      <c r="I278" t="n">
        <v>498</v>
      </c>
      <c r="J278" t="inlineStr">
        <is>
          <t>N</t>
        </is>
      </c>
      <c r="K278" t="inlineStr">
        <is>
          <t>cenizaro.com</t>
        </is>
      </c>
      <c r="L278" t="inlineStr">
        <is>
          <t>official</t>
        </is>
      </c>
      <c r="M278" t="inlineStr">
        <is>
          <t>https://www.cenizaro.com/docs/maldives-fm/Private_Dining_All_Day_Menu_-_28.06.25.pdf</t>
        </is>
      </c>
      <c r="N278" t="inlineStr">
        <is>
          <t>https://www.cenizaro.com/docs/maldives-fm/Private_Dining_All_Day_Menu_-_28.06.25.pdf</t>
        </is>
      </c>
      <c r="O278" t="inlineStr">
        <is>
          <t>e65a3372612ed8c2561f93c4105593100298c0010be0a139003e23562a862809</t>
        </is>
      </c>
      <c r="P278" t="inlineStr">
        <is>
          <t>library/019_the-residence-maldives/dining_menu/2025_Private_Dining_All_Day_Menu_-_28.06.25.pdf</t>
        </is>
      </c>
      <c r="R278" t="inlineStr">
        <is>
          <t>current</t>
        </is>
      </c>
      <c r="S278" t="inlineStr">
        <is>
          <t>Y</t>
        </is>
      </c>
      <c r="T278" t="inlineStr">
        <is>
          <t>needs-review</t>
        </is>
      </c>
      <c r="U278" t="inlineStr">
        <is>
          <t>2026-10-04</t>
        </is>
      </c>
      <c r="V278" t="inlineStr">
        <is>
          <t>ambiguous match [19]</t>
        </is>
      </c>
    </row>
    <row r="279">
      <c r="A279" t="n">
        <v>19</v>
      </c>
      <c r="B279" t="inlineStr">
        <is>
          <t>The Residence Maldives</t>
        </is>
      </c>
      <c r="C279" t="inlineStr">
        <is>
          <t>dining_menu</t>
        </is>
      </c>
      <c r="D279" t="inlineStr">
        <is>
          <t>2025_The_Falhumaa_A_la_Carte_Dinner_Menu_28.06.25_-_EN_.pdf</t>
        </is>
      </c>
      <c r="E279" t="n">
        <v>2025</v>
      </c>
      <c r="H279" t="n">
        <v>4</v>
      </c>
      <c r="I279" t="n">
        <v>384</v>
      </c>
      <c r="J279" t="inlineStr">
        <is>
          <t>N</t>
        </is>
      </c>
      <c r="K279" t="inlineStr">
        <is>
          <t>cenizaro.com</t>
        </is>
      </c>
      <c r="L279" t="inlineStr">
        <is>
          <t>official</t>
        </is>
      </c>
      <c r="M279" t="inlineStr">
        <is>
          <t>https://www.cenizaro.com/docs/maldives-fm/The_Falhumaa_A_la_Carte_Dinner_Menu_28.06.25_-_EN_.pdf</t>
        </is>
      </c>
      <c r="N279" t="inlineStr">
        <is>
          <t>https://www.cenizaro.com/docs/maldives-fm/The_Falhumaa_A_la_Carte_Dinner_Menu_28.06.25_-_EN_.pdf</t>
        </is>
      </c>
      <c r="O279" t="inlineStr">
        <is>
          <t>6abcea7a72906ee161c519b9494b9c7d8b479c737a0e5ed07f57ee6be26d840c</t>
        </is>
      </c>
      <c r="P279" t="inlineStr">
        <is>
          <t>library/019_the-residence-maldives/dining_menu/2025_The_Falhumaa_A_la_Carte_Dinner_Menu_28.06.25_-_EN_.pdf</t>
        </is>
      </c>
      <c r="R279" t="inlineStr">
        <is>
          <t>current</t>
        </is>
      </c>
      <c r="S279" t="inlineStr">
        <is>
          <t>N</t>
        </is>
      </c>
      <c r="T279" t="inlineStr">
        <is>
          <t>needs-review</t>
        </is>
      </c>
      <c r="U279" t="inlineStr">
        <is>
          <t>2026-10-04</t>
        </is>
      </c>
      <c r="V279" t="inlineStr">
        <is>
          <t>ambiguous match [19]</t>
        </is>
      </c>
    </row>
    <row r="280">
      <c r="A280" t="n">
        <v>19</v>
      </c>
      <c r="B280" t="inlineStr">
        <is>
          <t>The Residence Maldives</t>
        </is>
      </c>
      <c r="C280" t="inlineStr">
        <is>
          <t>dive_prices</t>
        </is>
      </c>
      <c r="D280" t="inlineStr">
        <is>
          <t>2026_Dive_Centre_Price_List-March_2026.pdf</t>
        </is>
      </c>
      <c r="E280" t="n">
        <v>2026</v>
      </c>
      <c r="H280" t="n">
        <v>4</v>
      </c>
      <c r="I280" t="n">
        <v>437</v>
      </c>
      <c r="J280" t="inlineStr">
        <is>
          <t>Y</t>
        </is>
      </c>
      <c r="K280" t="inlineStr">
        <is>
          <t>cenizaro.com</t>
        </is>
      </c>
      <c r="L280" t="inlineStr">
        <is>
          <t>official</t>
        </is>
      </c>
      <c r="M280" t="inlineStr">
        <is>
          <t>https://www.cenizaro.com/docs/maldives-dg/Dive_Centre_Price_List-March_2026.pdf</t>
        </is>
      </c>
      <c r="N280" t="inlineStr">
        <is>
          <t>https://www.cenizaro.com/docs/maldives-dg/Dive_Centre_Price_List-March_2026.pdf</t>
        </is>
      </c>
      <c r="O280" t="inlineStr">
        <is>
          <t>3acd27b7032e1b58725836790ae38183e75e6bc63c496a2e86238a57a9bba852</t>
        </is>
      </c>
      <c r="P280" t="inlineStr">
        <is>
          <t>library/019_the-residence-maldives/dive_prices/2026_Dive_Centre_Price_List-March_2026.pdf</t>
        </is>
      </c>
      <c r="R280" t="inlineStr">
        <is>
          <t>current</t>
        </is>
      </c>
      <c r="S280" t="inlineStr">
        <is>
          <t>Y</t>
        </is>
      </c>
      <c r="T280" t="inlineStr">
        <is>
          <t>needs-review</t>
        </is>
      </c>
      <c r="U280" t="inlineStr">
        <is>
          <t>2026-10-04</t>
        </is>
      </c>
      <c r="V280" t="inlineStr">
        <is>
          <t>ambiguous match [19]</t>
        </is>
      </c>
    </row>
    <row r="281">
      <c r="A281" t="n">
        <v>19</v>
      </c>
      <c r="B281" t="inlineStr">
        <is>
          <t>The Residence Maldives</t>
        </is>
      </c>
      <c r="C281" t="inlineStr">
        <is>
          <t>dive_prices</t>
        </is>
      </c>
      <c r="D281" t="inlineStr">
        <is>
          <t>2026_Water_Sports_Price_list-March_2026.pdf</t>
        </is>
      </c>
      <c r="E281" t="n">
        <v>2026</v>
      </c>
      <c r="H281" t="n">
        <v>2</v>
      </c>
      <c r="I281" t="n">
        <v>203</v>
      </c>
      <c r="J281" t="inlineStr">
        <is>
          <t>Y</t>
        </is>
      </c>
      <c r="K281" t="inlineStr">
        <is>
          <t>cenizaro.com</t>
        </is>
      </c>
      <c r="L281" t="inlineStr">
        <is>
          <t>official</t>
        </is>
      </c>
      <c r="M281" t="inlineStr">
        <is>
          <t>https://www.cenizaro.com/docs/maldives-dg/Water_Sports_Price_list-March_2026.pdf</t>
        </is>
      </c>
      <c r="N281" t="inlineStr">
        <is>
          <t>https://www.cenizaro.com/docs/maldives-dg/Water_Sports_Price_list-March_2026.pdf</t>
        </is>
      </c>
      <c r="O281" t="inlineStr">
        <is>
          <t>d0dd30b9477766c79f36cf3b289896fe0c0acade45484bb942bb0553c1781653</t>
        </is>
      </c>
      <c r="P281" t="inlineStr">
        <is>
          <t>library/019_the-residence-maldives/dive_prices/2026_Water_Sports_Price_list-March_2026.pdf</t>
        </is>
      </c>
      <c r="R281" t="inlineStr">
        <is>
          <t>current</t>
        </is>
      </c>
      <c r="S281" t="inlineStr">
        <is>
          <t>N</t>
        </is>
      </c>
      <c r="T281" t="inlineStr">
        <is>
          <t>needs-review</t>
        </is>
      </c>
      <c r="U281" t="inlineStr">
        <is>
          <t>2026-10-04</t>
        </is>
      </c>
      <c r="V281" t="inlineStr">
        <is>
          <t>ambiguous match [19]</t>
        </is>
      </c>
    </row>
    <row r="282">
      <c r="A282" t="n">
        <v>19</v>
      </c>
      <c r="B282" t="inlineStr">
        <is>
          <t>The Residence Maldives</t>
        </is>
      </c>
      <c r="C282" t="inlineStr">
        <is>
          <t>dive_prices</t>
        </is>
      </c>
      <c r="D282" t="inlineStr">
        <is>
          <t>2026_Excursions_Price_List-March_2026.pdf</t>
        </is>
      </c>
      <c r="E282" t="n">
        <v>2026</v>
      </c>
      <c r="H282" t="n">
        <v>3</v>
      </c>
      <c r="I282" t="n">
        <v>363</v>
      </c>
      <c r="J282" t="inlineStr">
        <is>
          <t>Y</t>
        </is>
      </c>
      <c r="K282" t="inlineStr">
        <is>
          <t>cenizaro.com</t>
        </is>
      </c>
      <c r="L282" t="inlineStr">
        <is>
          <t>official</t>
        </is>
      </c>
      <c r="M282" t="inlineStr">
        <is>
          <t>https://www.cenizaro.com/docs/maldives-dg/Excursions_Price_List-March_2026.pdf</t>
        </is>
      </c>
      <c r="N282" t="inlineStr">
        <is>
          <t>https://www.cenizaro.com/docs/maldives-dg/Excursions_Price_List-March_2026.pdf</t>
        </is>
      </c>
      <c r="O282" t="inlineStr">
        <is>
          <t>6c0817fc3974e792c6b5549c4dc5f5b04e44dc70cc67d1cc2a4f395988246c3e</t>
        </is>
      </c>
      <c r="P282" t="inlineStr">
        <is>
          <t>library/019_the-residence-maldives/dive_prices/2026_Excursions_Price_List-March_2026.pdf</t>
        </is>
      </c>
      <c r="R282" t="inlineStr">
        <is>
          <t>current</t>
        </is>
      </c>
      <c r="S282" t="inlineStr">
        <is>
          <t>N</t>
        </is>
      </c>
      <c r="T282" t="inlineStr">
        <is>
          <t>needs-review</t>
        </is>
      </c>
      <c r="U282" t="inlineStr">
        <is>
          <t>2026-10-04</t>
        </is>
      </c>
      <c r="V282" t="inlineStr">
        <is>
          <t>ambiguous match [19]</t>
        </is>
      </c>
    </row>
    <row r="283">
      <c r="A283" t="n">
        <v>19</v>
      </c>
      <c r="B283" t="inlineStr">
        <is>
          <t>The Residence Maldives</t>
        </is>
      </c>
      <c r="C283" t="inlineStr">
        <is>
          <t>excursions</t>
        </is>
      </c>
      <c r="D283" t="inlineStr">
        <is>
          <t>2021_Maldives_Schedule_of_Daily_Activities.pdf</t>
        </is>
      </c>
      <c r="E283" t="n">
        <v>2021</v>
      </c>
      <c r="H283" t="n">
        <v>1</v>
      </c>
      <c r="I283" t="n">
        <v>5080</v>
      </c>
      <c r="J283" t="inlineStr">
        <is>
          <t>Y</t>
        </is>
      </c>
      <c r="K283" t="inlineStr">
        <is>
          <t>cenizaro.com</t>
        </is>
      </c>
      <c r="L283" t="inlineStr">
        <is>
          <t>official</t>
        </is>
      </c>
      <c r="M283" t="inlineStr">
        <is>
          <t>https://www.cenizaro.com/docs/maldives-dg/Maldives_Schedule_of_Daily_Activities.pdf</t>
        </is>
      </c>
      <c r="N283" t="inlineStr">
        <is>
          <t>https://www.cenizaro.com/docs/maldives-dg/Maldives_Schedule_of_Daily_Activities.pdf</t>
        </is>
      </c>
      <c r="O283" t="inlineStr">
        <is>
          <t>dc2e2dc6d329295a522f3667ae1c4d72b12978f5807cb76f5d02fe1d968213f1</t>
        </is>
      </c>
      <c r="P283" t="inlineStr">
        <is>
          <t>library/019_the-residence-maldives/excursions/2021_Maldives_Schedule_of_Daily_Activities.pdf</t>
        </is>
      </c>
      <c r="R283" t="inlineStr">
        <is>
          <t>outdated</t>
        </is>
      </c>
      <c r="S283" t="inlineStr">
        <is>
          <t>Y</t>
        </is>
      </c>
      <c r="T283" t="inlineStr">
        <is>
          <t>matched</t>
        </is>
      </c>
      <c r="U283" t="inlineStr">
        <is>
          <t>2026-10-04</t>
        </is>
      </c>
      <c r="V283" t="inlineStr"/>
    </row>
    <row r="284">
      <c r="A284" t="n">
        <v>19</v>
      </c>
      <c r="B284" t="inlineStr">
        <is>
          <t>The Residence Maldives</t>
        </is>
      </c>
      <c r="C284" t="inlineStr">
        <is>
          <t>kids</t>
        </is>
      </c>
      <c r="D284" t="inlineStr">
        <is>
          <t>2021_The_Residence_Maldives_-_Teens_Program.pdf</t>
        </is>
      </c>
      <c r="E284" t="n">
        <v>2021</v>
      </c>
      <c r="H284" t="n">
        <v>1</v>
      </c>
      <c r="I284" t="n">
        <v>10474</v>
      </c>
      <c r="J284" t="inlineStr">
        <is>
          <t>Y</t>
        </is>
      </c>
      <c r="K284" t="inlineStr">
        <is>
          <t>cenizaro.com</t>
        </is>
      </c>
      <c r="L284" t="inlineStr">
        <is>
          <t>official</t>
        </is>
      </c>
      <c r="M284" t="inlineStr">
        <is>
          <t>https://cenizaro.com/docs/maldives-fm/The_Residence_Maldives_-_Teens_Program.pdf</t>
        </is>
      </c>
      <c r="N284" t="inlineStr">
        <is>
          <t>https://cenizaro.com/docs/maldives-fm/The_Residence_Maldives_-_Teens_Program.pdf</t>
        </is>
      </c>
      <c r="O284" t="inlineStr">
        <is>
          <t>b6507a6af2b2e26313ac9e524948193c55c87e2abd3c04f1daa0010c95c4cf8e</t>
        </is>
      </c>
      <c r="P284" t="inlineStr">
        <is>
          <t>library/019_the-residence-maldives/kids/2021_The_Residence_Maldives_-_Teens_Program.pdf</t>
        </is>
      </c>
      <c r="R284" t="inlineStr">
        <is>
          <t>outdated</t>
        </is>
      </c>
      <c r="S284" t="inlineStr">
        <is>
          <t>Y</t>
        </is>
      </c>
      <c r="T284" t="inlineStr">
        <is>
          <t>matched</t>
        </is>
      </c>
      <c r="U284" t="inlineStr">
        <is>
          <t>2026-10-04</t>
        </is>
      </c>
      <c r="V284" t="inlineStr"/>
    </row>
    <row r="285">
      <c r="A285" t="n">
        <v>19</v>
      </c>
      <c r="B285" t="inlineStr">
        <is>
          <t>The Residence Maldives</t>
        </is>
      </c>
      <c r="C285" t="inlineStr">
        <is>
          <t>villa_plans</t>
        </is>
      </c>
      <c r="D285" t="inlineStr">
        <is>
          <t>2025_Vibes-by-The-Residence-Maldives-2025-July.pdf</t>
        </is>
      </c>
      <c r="E285" t="n">
        <v>2025</v>
      </c>
      <c r="H285" t="n">
        <v>6</v>
      </c>
      <c r="I285" t="n">
        <v>591</v>
      </c>
      <c r="J285" t="inlineStr">
        <is>
          <t>Y</t>
        </is>
      </c>
      <c r="K285" t="inlineStr">
        <is>
          <t>cenizaro.com</t>
        </is>
      </c>
      <c r="L285" t="inlineStr">
        <is>
          <t>official</t>
        </is>
      </c>
      <c r="M285" t="inlineStr">
        <is>
          <t>https://www.cenizaro.com/docs/maldives-fm/Vibes-by-The-Residence-Maldives-2025-July.pdf</t>
        </is>
      </c>
      <c r="N285" t="inlineStr">
        <is>
          <t>https://www.cenizaro.com/docs/maldives-fm/Vibes-by-The-Residence-Maldives-2025-July.pdf</t>
        </is>
      </c>
      <c r="O285" t="inlineStr">
        <is>
          <t>4c2cc7dd99b7dd86a6b854682cb0d5ae1977301ccc9303e8b793bced7055e498</t>
        </is>
      </c>
      <c r="P285" t="inlineStr">
        <is>
          <t>library/019_the-residence-maldives/villa_plans/2025_Vibes-by-The-Residence-Maldives-2025-July.pdf</t>
        </is>
      </c>
      <c r="R285" t="inlineStr">
        <is>
          <t>current</t>
        </is>
      </c>
      <c r="S285" t="inlineStr">
        <is>
          <t>Y</t>
        </is>
      </c>
      <c r="T285" t="inlineStr">
        <is>
          <t>matched</t>
        </is>
      </c>
      <c r="U285" t="inlineStr">
        <is>
          <t>2026-10-04</t>
        </is>
      </c>
      <c r="V285" t="inlineStr"/>
    </row>
    <row r="286">
      <c r="A286" t="n">
        <v>19</v>
      </c>
      <c r="B286" t="inlineStr">
        <is>
          <t>The Residence Maldives</t>
        </is>
      </c>
      <c r="C286" t="inlineStr">
        <is>
          <t>brochure</t>
        </is>
      </c>
      <c r="D286" t="inlineStr">
        <is>
          <t>2020_TRMaldives-Combined_-Brochure-200512.pdf</t>
        </is>
      </c>
      <c r="E286" t="n">
        <v>2020</v>
      </c>
      <c r="H286" t="n">
        <v>17</v>
      </c>
      <c r="I286" t="n">
        <v>11992</v>
      </c>
      <c r="J286" t="inlineStr">
        <is>
          <t>Y</t>
        </is>
      </c>
      <c r="K286" t="inlineStr">
        <is>
          <t>cenizaro.com</t>
        </is>
      </c>
      <c r="L286" t="inlineStr">
        <is>
          <t>official</t>
        </is>
      </c>
      <c r="M286" t="inlineStr">
        <is>
          <t>https://www.cenizaro.com/docs/maldives-fm/TRMaldives-Combined_-Brochure-200512.pdf</t>
        </is>
      </c>
      <c r="N286" t="inlineStr">
        <is>
          <t>https://www.cenizaro.com/docs/maldives-fm/TRMaldives-Combined_-Brochure-200512.pdf</t>
        </is>
      </c>
      <c r="O286" t="inlineStr">
        <is>
          <t>25a01534e182e836bfb5ff51250d5cd542fd607cb700af8e3bc179ec4129ef9a</t>
        </is>
      </c>
      <c r="P286" t="inlineStr">
        <is>
          <t>library/019_the-residence-maldives/brochure/2020_TRMaldives-Combined_-Brochure-200512.pdf</t>
        </is>
      </c>
      <c r="R286" t="inlineStr">
        <is>
          <t>outdated</t>
        </is>
      </c>
      <c r="S286" t="inlineStr">
        <is>
          <t>Y</t>
        </is>
      </c>
      <c r="T286" t="inlineStr">
        <is>
          <t>matched</t>
        </is>
      </c>
      <c r="U286" t="inlineStr">
        <is>
          <t>2026-10-04</t>
        </is>
      </c>
      <c r="V286" t="inlineStr"/>
    </row>
    <row r="287">
      <c r="A287" t="n">
        <v>20</v>
      </c>
      <c r="B287" t="inlineStr">
        <is>
          <t>The Residence Maldives At Dhigurah</t>
        </is>
      </c>
      <c r="C287" t="inlineStr">
        <is>
          <t>wedding</t>
        </is>
      </c>
      <c r="D287" t="inlineStr">
        <is>
          <t>2022_Maldives_Wedding_Ceremony_Packages.pdf</t>
        </is>
      </c>
      <c r="E287" t="n">
        <v>2022</v>
      </c>
      <c r="H287" t="n">
        <v>4</v>
      </c>
      <c r="I287" t="n">
        <v>13999</v>
      </c>
      <c r="J287" t="inlineStr">
        <is>
          <t>Y</t>
        </is>
      </c>
      <c r="K287" t="inlineStr">
        <is>
          <t>cenizaro.com</t>
        </is>
      </c>
      <c r="L287" t="inlineStr">
        <is>
          <t>official</t>
        </is>
      </c>
      <c r="M287" t="inlineStr">
        <is>
          <t>https://www.cenizaro.com/docs/maldives-dg/Maldives_Wedding_Ceremony_Packages.pdf</t>
        </is>
      </c>
      <c r="N287" t="inlineStr">
        <is>
          <t>https://www.cenizaro.com/docs/maldives-dg/Maldives_Wedding_Ceremony_Packages.pdf</t>
        </is>
      </c>
      <c r="O287" t="inlineStr">
        <is>
          <t>ef392a5c939b2c3175a7d1a258c39e83452042731886a2371e6ba3c7d2e95a82</t>
        </is>
      </c>
      <c r="P287" t="inlineStr">
        <is>
          <t>library/020_the-residence-maldives-at-dhigurah/wedding/2022_Maldives_Wedding_Ceremony_Packages.pdf</t>
        </is>
      </c>
      <c r="R287" t="inlineStr">
        <is>
          <t>outdated</t>
        </is>
      </c>
      <c r="S287" t="inlineStr">
        <is>
          <t>Y</t>
        </is>
      </c>
      <c r="T287" t="inlineStr">
        <is>
          <t>needs-review</t>
        </is>
      </c>
      <c r="U287" t="inlineStr">
        <is>
          <t>2026-10-04</t>
        </is>
      </c>
      <c r="V287" t="inlineStr">
        <is>
          <t>ambiguous match [20]</t>
        </is>
      </c>
    </row>
    <row r="288">
      <c r="A288" t="n">
        <v>20</v>
      </c>
      <c r="B288" t="inlineStr">
        <is>
          <t>The Residence Maldives At Dhigurah</t>
        </is>
      </c>
      <c r="C288" t="inlineStr">
        <is>
          <t>spa_menu</t>
        </is>
      </c>
      <c r="D288" t="inlineStr">
        <is>
          <t>2025_Spa_by_Clarins_-_Reception_Menu_-_JULY_25.pdf</t>
        </is>
      </c>
      <c r="E288" t="n">
        <v>2025</v>
      </c>
      <c r="H288" t="n">
        <v>20</v>
      </c>
      <c r="I288" t="n">
        <v>555</v>
      </c>
      <c r="J288" t="inlineStr">
        <is>
          <t>Y</t>
        </is>
      </c>
      <c r="K288" t="inlineStr">
        <is>
          <t>cenizaro.com</t>
        </is>
      </c>
      <c r="L288" t="inlineStr">
        <is>
          <t>official</t>
        </is>
      </c>
      <c r="M288" t="inlineStr">
        <is>
          <t>https://www.cenizaro.com/docs/maldives-dg/Spa_by_Clarins_-_Reception_Menu_-_JULY_25.pdf</t>
        </is>
      </c>
      <c r="N288" t="inlineStr">
        <is>
          <t>https://www.cenizaro.com/docs/maldives-dg/Spa_by_Clarins_-_Reception_Menu_-_JULY_25.pdf</t>
        </is>
      </c>
      <c r="O288" t="inlineStr">
        <is>
          <t>385d447ba276e94b27f3548de732cd01764e46b3e212b7e5ba830a0aa0f136e3</t>
        </is>
      </c>
      <c r="P288" t="inlineStr">
        <is>
          <t>library/020_the-residence-maldives-at-dhigurah/spa_menu/2025_Spa_by_Clarins_-_Reception_Menu_-_JULY_25.pdf</t>
        </is>
      </c>
      <c r="R288" t="inlineStr">
        <is>
          <t>current</t>
        </is>
      </c>
      <c r="S288" t="inlineStr">
        <is>
          <t>Y</t>
        </is>
      </c>
      <c r="T288" t="inlineStr">
        <is>
          <t>matched</t>
        </is>
      </c>
      <c r="U288" t="inlineStr">
        <is>
          <t>2026-10-04</t>
        </is>
      </c>
      <c r="V288" t="inlineStr"/>
    </row>
    <row r="289">
      <c r="A289" t="n">
        <v>20</v>
      </c>
      <c r="B289" t="inlineStr">
        <is>
          <t>The Residence Maldives At Dhigurah</t>
        </is>
      </c>
      <c r="C289" t="inlineStr">
        <is>
          <t>spa_menu</t>
        </is>
      </c>
      <c r="D289" t="inlineStr">
        <is>
          <t>2023_TRMD_-_Spa_by_Clarins_-_Reception_Menu.pdf</t>
        </is>
      </c>
      <c r="E289" t="n">
        <v>2023</v>
      </c>
      <c r="H289" t="n">
        <v>20</v>
      </c>
      <c r="I289" t="n">
        <v>369</v>
      </c>
      <c r="J289" t="inlineStr">
        <is>
          <t>Y</t>
        </is>
      </c>
      <c r="K289" t="inlineStr">
        <is>
          <t>cenizaro.com</t>
        </is>
      </c>
      <c r="L289" t="inlineStr">
        <is>
          <t>official</t>
        </is>
      </c>
      <c r="M289" t="inlineStr">
        <is>
          <t>https://www.cenizaro.com/docs/maldives-dg/TRMD_-_Spa_by_Clarins_-_Reception_Menu.pdf</t>
        </is>
      </c>
      <c r="N289" t="inlineStr">
        <is>
          <t>https://www.cenizaro.com/docs/maldives-dg/TRMD_-_Spa_by_Clarins_-_Reception_Menu.pdf</t>
        </is>
      </c>
      <c r="O289" t="inlineStr">
        <is>
          <t>2222d2503d2ad63698887ca1a44f24b26e4ac3d9b5410f619e96ba4941d2ec4f</t>
        </is>
      </c>
      <c r="P289" t="inlineStr">
        <is>
          <t>library/020_the-residence-maldives-at-dhigurah/spa_menu/2023_TRMD_-_Spa_by_Clarins_-_Reception_Menu.pdf</t>
        </is>
      </c>
      <c r="R289" t="inlineStr">
        <is>
          <t>outdated</t>
        </is>
      </c>
      <c r="S289" t="inlineStr">
        <is>
          <t>N</t>
        </is>
      </c>
      <c r="T289" t="inlineStr">
        <is>
          <t>matched</t>
        </is>
      </c>
      <c r="U289" t="inlineStr">
        <is>
          <t>2026-10-04</t>
        </is>
      </c>
      <c r="V289" t="inlineStr"/>
    </row>
    <row r="290">
      <c r="A290" t="n">
        <v>20</v>
      </c>
      <c r="B290" t="inlineStr">
        <is>
          <t>The Residence Maldives At Dhigurah</t>
        </is>
      </c>
      <c r="C290" t="inlineStr">
        <is>
          <t>spa_menu</t>
        </is>
      </c>
      <c r="D290" t="inlineStr">
        <is>
          <t>2022_TRMD_-_Spa_by_Clarins_-_Reception_Menu_-_Dec_22.pdf</t>
        </is>
      </c>
      <c r="E290" t="n">
        <v>2022</v>
      </c>
      <c r="H290" t="n">
        <v>20</v>
      </c>
      <c r="I290" t="n">
        <v>2959</v>
      </c>
      <c r="J290" t="inlineStr">
        <is>
          <t>N</t>
        </is>
      </c>
      <c r="K290" t="inlineStr">
        <is>
          <t>cenizaro.com</t>
        </is>
      </c>
      <c r="L290" t="inlineStr">
        <is>
          <t>official</t>
        </is>
      </c>
      <c r="M290" t="inlineStr">
        <is>
          <t>https://cenizaro.com/docs/maldives-dg/TRMD_-_Spa_by_Clarins_-_Reception_Menu_-_Dec_22.pdf</t>
        </is>
      </c>
      <c r="N290" t="inlineStr">
        <is>
          <t>https://cenizaro.com/docs/maldives-dg/TRMD_-_Spa_by_Clarins_-_Reception_Menu_-_Dec_22.pdf | https://www.cenizaro.com/docs/maldives-dg/TRMD_-_Spa_by_Clarins_-_Reception_Menu_-_Dec_22.pdf</t>
        </is>
      </c>
      <c r="O290" t="inlineStr">
        <is>
          <t>9baf8821077ab7da15e63df9127a6dd5035eb699553f8a3774cf7aa5a81561f5</t>
        </is>
      </c>
      <c r="P290" t="inlineStr">
        <is>
          <t>library/020_the-residence-maldives-at-dhigurah/spa_menu/2022_TRMD_-_Spa_by_Clarins_-_Reception_Menu_-_Dec_22.pdf</t>
        </is>
      </c>
      <c r="R290" t="inlineStr">
        <is>
          <t>outdated</t>
        </is>
      </c>
      <c r="S290" t="inlineStr">
        <is>
          <t>N</t>
        </is>
      </c>
      <c r="T290" t="inlineStr">
        <is>
          <t>needs-review</t>
        </is>
      </c>
      <c r="U290" t="inlineStr">
        <is>
          <t>2026-10-04</t>
        </is>
      </c>
      <c r="V290" t="inlineStr">
        <is>
          <t>ambiguous match [20]</t>
        </is>
      </c>
    </row>
    <row r="291">
      <c r="A291" t="n">
        <v>20</v>
      </c>
      <c r="B291" t="inlineStr">
        <is>
          <t>The Residence Maldives At Dhigurah</t>
        </is>
      </c>
      <c r="C291" t="inlineStr">
        <is>
          <t>dining_menu</t>
        </is>
      </c>
      <c r="D291" t="inlineStr">
        <is>
          <t>2026_trmd-cafe-del-sol-lunch-2026-03.pdf</t>
        </is>
      </c>
      <c r="E291" t="n">
        <v>2026</v>
      </c>
      <c r="H291" t="n">
        <v>7</v>
      </c>
      <c r="I291" t="n">
        <v>215</v>
      </c>
      <c r="J291" t="inlineStr">
        <is>
          <t>Y</t>
        </is>
      </c>
      <c r="K291" t="inlineStr">
        <is>
          <t>cenizaro.com</t>
        </is>
      </c>
      <c r="L291" t="inlineStr">
        <is>
          <t>official</t>
        </is>
      </c>
      <c r="M291" t="inlineStr">
        <is>
          <t>https://www.cenizaro.com/docs/maldives-dg/trmd-cafe-del-sol-lunch-2026-03.pdf</t>
        </is>
      </c>
      <c r="N291" t="inlineStr">
        <is>
          <t>https://www.cenizaro.com/docs/maldives-dg/trmd-cafe-del-sol-lunch-2026-03.pdf</t>
        </is>
      </c>
      <c r="O291" t="inlineStr">
        <is>
          <t>8866c26fec5a6a0fb40075a9bfef9a0dbd4e2d9a466937aefd36802bbe921cef</t>
        </is>
      </c>
      <c r="P291" t="inlineStr">
        <is>
          <t>library/020_the-residence-maldives-at-dhigurah/dining_menu/2026_trmd-cafe-del-sol-lunch-2026-03.pdf</t>
        </is>
      </c>
      <c r="R291" t="inlineStr">
        <is>
          <t>current</t>
        </is>
      </c>
      <c r="S291" t="inlineStr">
        <is>
          <t>N</t>
        </is>
      </c>
      <c r="T291" t="inlineStr">
        <is>
          <t>needs-review</t>
        </is>
      </c>
      <c r="U291" t="inlineStr">
        <is>
          <t>2026-10-04</t>
        </is>
      </c>
      <c r="V291" t="inlineStr">
        <is>
          <t>ambiguous match [20]</t>
        </is>
      </c>
    </row>
    <row r="292">
      <c r="A292" t="n">
        <v>20</v>
      </c>
      <c r="B292" t="inlineStr">
        <is>
          <t>The Residence Maldives At Dhigurah</t>
        </is>
      </c>
      <c r="C292" t="inlineStr">
        <is>
          <t>dining_menu</t>
        </is>
      </c>
      <c r="D292" t="inlineStr">
        <is>
          <t>2026_trmd-long-island-2026-03.pdf</t>
        </is>
      </c>
      <c r="E292" t="n">
        <v>2026</v>
      </c>
      <c r="H292" t="n">
        <v>8</v>
      </c>
      <c r="I292" t="n">
        <v>1034</v>
      </c>
      <c r="J292" t="inlineStr">
        <is>
          <t>Y</t>
        </is>
      </c>
      <c r="K292" t="inlineStr">
        <is>
          <t>cenizaro.com</t>
        </is>
      </c>
      <c r="L292" t="inlineStr">
        <is>
          <t>official</t>
        </is>
      </c>
      <c r="M292" t="inlineStr">
        <is>
          <t>https://www.cenizaro.com/docs/maldives-dg/trmd-long-island-2026-03.pdf</t>
        </is>
      </c>
      <c r="N292" t="inlineStr">
        <is>
          <t>https://www.cenizaro.com/docs/maldives-dg/trmd-long-island-2026-03.pdf</t>
        </is>
      </c>
      <c r="O292" t="inlineStr">
        <is>
          <t>29530dfe80e4cd218cc74c1aac2eb142507d4a4f3f05340663f90e1866a89a07</t>
        </is>
      </c>
      <c r="P292" t="inlineStr">
        <is>
          <t>library/020_the-residence-maldives-at-dhigurah/dining_menu/2026_trmd-long-island-2026-03.pdf</t>
        </is>
      </c>
      <c r="R292" t="inlineStr">
        <is>
          <t>current</t>
        </is>
      </c>
      <c r="S292" t="inlineStr">
        <is>
          <t>N</t>
        </is>
      </c>
      <c r="T292" t="inlineStr">
        <is>
          <t>needs-review</t>
        </is>
      </c>
      <c r="U292" t="inlineStr">
        <is>
          <t>2026-10-04</t>
        </is>
      </c>
      <c r="V292" t="inlineStr">
        <is>
          <t>ambiguous match [20]</t>
        </is>
      </c>
    </row>
    <row r="293">
      <c r="A293" t="n">
        <v>20</v>
      </c>
      <c r="B293" t="inlineStr">
        <is>
          <t>The Residence Maldives At Dhigurah</t>
        </is>
      </c>
      <c r="C293" t="inlineStr">
        <is>
          <t>dining_menu</t>
        </is>
      </c>
      <c r="D293" t="inlineStr">
        <is>
          <t>2026_trmd-the-dining-room-2026-03.pdf</t>
        </is>
      </c>
      <c r="E293" t="n">
        <v>2026</v>
      </c>
      <c r="H293" t="n">
        <v>10</v>
      </c>
      <c r="I293" t="n">
        <v>253</v>
      </c>
      <c r="J293" t="inlineStr">
        <is>
          <t>Y</t>
        </is>
      </c>
      <c r="K293" t="inlineStr">
        <is>
          <t>cenizaro.com</t>
        </is>
      </c>
      <c r="L293" t="inlineStr">
        <is>
          <t>official</t>
        </is>
      </c>
      <c r="M293" t="inlineStr">
        <is>
          <t>https://www.cenizaro.com/docs/maldives-dg/trmd-the-dining-room-2026-03.pdf</t>
        </is>
      </c>
      <c r="N293" t="inlineStr">
        <is>
          <t>https://www.cenizaro.com/docs/maldives-dg/trmd-the-dining-room-2026-03.pdf</t>
        </is>
      </c>
      <c r="O293" t="inlineStr">
        <is>
          <t>509a4ee0640a67ebf7b1ea9e32920d523b6a34634203b2ed5b0fc6dba5604c83</t>
        </is>
      </c>
      <c r="P293" t="inlineStr">
        <is>
          <t>library/020_the-residence-maldives-at-dhigurah/dining_menu/2026_trmd-the-dining-room-2026-03.pdf</t>
        </is>
      </c>
      <c r="R293" t="inlineStr">
        <is>
          <t>current</t>
        </is>
      </c>
      <c r="S293" t="inlineStr">
        <is>
          <t>Y</t>
        </is>
      </c>
      <c r="T293" t="inlineStr">
        <is>
          <t>matched</t>
        </is>
      </c>
      <c r="U293" t="inlineStr">
        <is>
          <t>2026-10-04</t>
        </is>
      </c>
      <c r="V293" t="inlineStr"/>
    </row>
    <row r="294">
      <c r="A294" t="n">
        <v>20</v>
      </c>
      <c r="B294" t="inlineStr">
        <is>
          <t>The Residence Maldives At Dhigurah</t>
        </is>
      </c>
      <c r="C294" t="inlineStr">
        <is>
          <t>dining_menu</t>
        </is>
      </c>
      <c r="D294" t="inlineStr">
        <is>
          <t>2025_Tapas_Menu_-_Dec_22v2.pdf</t>
        </is>
      </c>
      <c r="E294" t="n">
        <v>2025</v>
      </c>
      <c r="H294" t="n">
        <v>2</v>
      </c>
      <c r="I294" t="n">
        <v>184</v>
      </c>
      <c r="J294" t="inlineStr">
        <is>
          <t>Y</t>
        </is>
      </c>
      <c r="K294" t="inlineStr">
        <is>
          <t>cenizaro.com</t>
        </is>
      </c>
      <c r="L294" t="inlineStr">
        <is>
          <t>official</t>
        </is>
      </c>
      <c r="M294" t="inlineStr">
        <is>
          <t>https://www.cenizaro.com/docs/maldives-dg/Tapas_Menu_-_Dec_22v2.pdf</t>
        </is>
      </c>
      <c r="N294" t="inlineStr">
        <is>
          <t>https://www.cenizaro.com/docs/maldives-dg/Tapas_Menu_-_Dec_22v2.pdf</t>
        </is>
      </c>
      <c r="O294" t="inlineStr">
        <is>
          <t>503600cd28275f42eba096e702f233aa5c8fd7c51dae993b874e981999919042</t>
        </is>
      </c>
      <c r="P294" t="inlineStr">
        <is>
          <t>library/020_the-residence-maldives-at-dhigurah/dining_menu/2025_Tapas_Menu_-_Dec_22v2.pdf</t>
        </is>
      </c>
      <c r="R294" t="inlineStr">
        <is>
          <t>current</t>
        </is>
      </c>
      <c r="S294" t="inlineStr">
        <is>
          <t>N</t>
        </is>
      </c>
      <c r="T294" t="inlineStr">
        <is>
          <t>needs-review</t>
        </is>
      </c>
      <c r="U294" t="inlineStr">
        <is>
          <t>2026-10-04</t>
        </is>
      </c>
      <c r="V294" t="inlineStr">
        <is>
          <t>ambiguous match [20]</t>
        </is>
      </c>
    </row>
    <row r="295">
      <c r="A295" t="n">
        <v>20</v>
      </c>
      <c r="B295" t="inlineStr">
        <is>
          <t>The Residence Maldives At Dhigurah</t>
        </is>
      </c>
      <c r="C295" t="inlineStr">
        <is>
          <t>dining_menu</t>
        </is>
      </c>
      <c r="D295" t="inlineStr">
        <is>
          <t>2021_Earth_Basket_-_Maldivian_Menu.pdf</t>
        </is>
      </c>
      <c r="E295" t="n">
        <v>2021</v>
      </c>
      <c r="H295" t="n">
        <v>3</v>
      </c>
      <c r="I295" t="n">
        <v>2782</v>
      </c>
      <c r="J295" t="inlineStr">
        <is>
          <t>N</t>
        </is>
      </c>
      <c r="K295" t="inlineStr">
        <is>
          <t>cenizaro.com</t>
        </is>
      </c>
      <c r="L295" t="inlineStr">
        <is>
          <t>official</t>
        </is>
      </c>
      <c r="M295" t="inlineStr">
        <is>
          <t>https://www.cenizaro.com/docs/maldives-dg/Earth_Basket_-_Maldivian_Menu.pdf</t>
        </is>
      </c>
      <c r="N295" t="inlineStr">
        <is>
          <t>https://www.cenizaro.com/docs/maldives-dg/Earth_Basket_-_Maldivian_Menu.pdf</t>
        </is>
      </c>
      <c r="O295" t="inlineStr">
        <is>
          <t>3a3495635aef4a4cb54845192e7dd98363d11f4ce79577b7a15d0916dd3aef57</t>
        </is>
      </c>
      <c r="P295" t="inlineStr">
        <is>
          <t>library/020_the-residence-maldives-at-dhigurah/dining_menu/2021_Earth_Basket_-_Maldivian_Menu.pdf</t>
        </is>
      </c>
      <c r="R295" t="inlineStr">
        <is>
          <t>outdated</t>
        </is>
      </c>
      <c r="S295" t="inlineStr">
        <is>
          <t>N</t>
        </is>
      </c>
      <c r="T295" t="inlineStr">
        <is>
          <t>needs-review</t>
        </is>
      </c>
      <c r="U295" t="inlineStr">
        <is>
          <t>2026-10-04</t>
        </is>
      </c>
      <c r="V295" t="inlineStr">
        <is>
          <t>ambiguous match [20]</t>
        </is>
      </c>
    </row>
    <row r="296">
      <c r="A296" t="n">
        <v>20</v>
      </c>
      <c r="B296" t="inlineStr">
        <is>
          <t>The Residence Maldives At Dhigurah</t>
        </is>
      </c>
      <c r="C296" t="inlineStr">
        <is>
          <t>excursions</t>
        </is>
      </c>
      <c r="D296" t="inlineStr">
        <is>
          <t>2025_Group_Excursion_Schedule_June_2025.pdf</t>
        </is>
      </c>
      <c r="E296" t="n">
        <v>2025</v>
      </c>
      <c r="H296" t="n">
        <v>1</v>
      </c>
      <c r="I296" t="n">
        <v>672</v>
      </c>
      <c r="J296" t="inlineStr">
        <is>
          <t>Y</t>
        </is>
      </c>
      <c r="K296" t="inlineStr">
        <is>
          <t>cenizaro.com</t>
        </is>
      </c>
      <c r="L296" t="inlineStr">
        <is>
          <t>official</t>
        </is>
      </c>
      <c r="M296" t="inlineStr">
        <is>
          <t>https://www.cenizaro.com/docs/maldives-dg/Group_Excursion_Schedule_June_2025.pdf</t>
        </is>
      </c>
      <c r="N296" t="inlineStr">
        <is>
          <t>https://www.cenizaro.com/docs/maldives-dg/Group_Excursion_Schedule_June_2025.pdf</t>
        </is>
      </c>
      <c r="O296" t="inlineStr">
        <is>
          <t>6072f5e8daa61ff07cada0e18e65c8b5fbf2787e9ac2ac453753748939570abd</t>
        </is>
      </c>
      <c r="P296" t="inlineStr">
        <is>
          <t>library/020_the-residence-maldives-at-dhigurah/excursions/2025_Group_Excursion_Schedule_June_2025.pdf</t>
        </is>
      </c>
      <c r="R296" t="inlineStr">
        <is>
          <t>current</t>
        </is>
      </c>
      <c r="S296" t="inlineStr">
        <is>
          <t>Y</t>
        </is>
      </c>
      <c r="T296" t="inlineStr">
        <is>
          <t>needs-review</t>
        </is>
      </c>
      <c r="U296" t="inlineStr">
        <is>
          <t>2026-10-04</t>
        </is>
      </c>
      <c r="V296" t="inlineStr">
        <is>
          <t>ambiguous match [20]</t>
        </is>
      </c>
    </row>
    <row r="297">
      <c r="A297" t="n">
        <v>20</v>
      </c>
      <c r="B297" t="inlineStr">
        <is>
          <t>The Residence Maldives At Dhigurah</t>
        </is>
      </c>
      <c r="C297" t="inlineStr">
        <is>
          <t>kids</t>
        </is>
      </c>
      <c r="D297" t="inlineStr">
        <is>
          <t>2026_Kids_Club_2026_sep.pdf</t>
        </is>
      </c>
      <c r="E297" t="n">
        <v>2026</v>
      </c>
      <c r="H297" t="n">
        <v>1</v>
      </c>
      <c r="I297" t="n">
        <v>1969</v>
      </c>
      <c r="J297" t="inlineStr">
        <is>
          <t>Y</t>
        </is>
      </c>
      <c r="K297" t="inlineStr">
        <is>
          <t>cenizaro.com</t>
        </is>
      </c>
      <c r="L297" t="inlineStr">
        <is>
          <t>official</t>
        </is>
      </c>
      <c r="M297" t="inlineStr">
        <is>
          <t>https://www.cenizaro.com/docs/maldives-dg/Kids_Club_2026_sep.pdf</t>
        </is>
      </c>
      <c r="N297" t="inlineStr">
        <is>
          <t>https://www.cenizaro.com/docs/maldives-dg/Kids_Club_2026_sep.pdf</t>
        </is>
      </c>
      <c r="O297" t="inlineStr">
        <is>
          <t>d6838fec45bd6b54703e14c702b13517ec42ae3e7fb65f526976aeb91658cfeb</t>
        </is>
      </c>
      <c r="P297" t="inlineStr">
        <is>
          <t>library/020_the-residence-maldives-at-dhigurah/kids/2026_Kids_Club_2026_sep.pdf</t>
        </is>
      </c>
      <c r="R297" t="inlineStr">
        <is>
          <t>current</t>
        </is>
      </c>
      <c r="S297" t="inlineStr">
        <is>
          <t>Y</t>
        </is>
      </c>
      <c r="T297" t="inlineStr">
        <is>
          <t>matched</t>
        </is>
      </c>
      <c r="U297" t="inlineStr">
        <is>
          <t>2026-10-04</t>
        </is>
      </c>
      <c r="V297" t="inlineStr"/>
    </row>
    <row r="298">
      <c r="A298" t="n">
        <v>20</v>
      </c>
      <c r="B298" t="inlineStr">
        <is>
          <t>The Residence Maldives At Dhigurah</t>
        </is>
      </c>
      <c r="C298" t="inlineStr">
        <is>
          <t>villa_plans</t>
        </is>
      </c>
      <c r="D298" t="inlineStr">
        <is>
          <t>2025_The-Residence-Photography-Packages-2025-07.pdf</t>
        </is>
      </c>
      <c r="E298" t="n">
        <v>2025</v>
      </c>
      <c r="H298" t="n">
        <v>7</v>
      </c>
      <c r="I298" t="n">
        <v>1976</v>
      </c>
      <c r="J298" t="inlineStr">
        <is>
          <t>N</t>
        </is>
      </c>
      <c r="K298" t="inlineStr">
        <is>
          <t>cenizaro.com</t>
        </is>
      </c>
      <c r="L298" t="inlineStr">
        <is>
          <t>official</t>
        </is>
      </c>
      <c r="M298" t="inlineStr">
        <is>
          <t>https://www.cenizaro.com/docs/maldives-dg/The-Residence-Photography-Packages-2025-07.pdf</t>
        </is>
      </c>
      <c r="N298" t="inlineStr">
        <is>
          <t>https://www.cenizaro.com/docs/maldives-dg/The-Residence-Photography-Packages-2025-07.pdf</t>
        </is>
      </c>
      <c r="O298" t="inlineStr">
        <is>
          <t>f83c22561749c3c31f179b08a0f184f4167372fc862b9775f97bcc72dbd16b24</t>
        </is>
      </c>
      <c r="P298" t="inlineStr">
        <is>
          <t>library/020_the-residence-maldives-at-dhigurah/villa_plans/2025_The-Residence-Photography-Packages-2025-07.pdf</t>
        </is>
      </c>
      <c r="R298" t="inlineStr">
        <is>
          <t>current</t>
        </is>
      </c>
      <c r="S298" t="inlineStr">
        <is>
          <t>Y</t>
        </is>
      </c>
      <c r="T298" t="inlineStr">
        <is>
          <t>needs-review</t>
        </is>
      </c>
      <c r="U298" t="inlineStr">
        <is>
          <t>2026-10-04</t>
        </is>
      </c>
      <c r="V298" t="inlineStr">
        <is>
          <t>ambiguous match [20]</t>
        </is>
      </c>
    </row>
    <row r="299">
      <c r="A299" t="n">
        <v>20</v>
      </c>
      <c r="B299" t="inlineStr">
        <is>
          <t>The Residence Maldives At Dhigurah</t>
        </is>
      </c>
      <c r="C299" t="inlineStr">
        <is>
          <t>other</t>
        </is>
      </c>
      <c r="D299" t="inlineStr">
        <is>
          <t>2026_trmd-li-bai-2026-03.pdf</t>
        </is>
      </c>
      <c r="E299" t="n">
        <v>2026</v>
      </c>
      <c r="H299" t="n">
        <v>9</v>
      </c>
      <c r="I299" t="n">
        <v>752</v>
      </c>
      <c r="J299" t="inlineStr">
        <is>
          <t>Y</t>
        </is>
      </c>
      <c r="K299" t="inlineStr">
        <is>
          <t>cenizaro.com</t>
        </is>
      </c>
      <c r="L299" t="inlineStr">
        <is>
          <t>official</t>
        </is>
      </c>
      <c r="M299" t="inlineStr">
        <is>
          <t>https://www.cenizaro.com/docs/maldives-dg/trmd-li-bai-2026-03.pdf</t>
        </is>
      </c>
      <c r="N299" t="inlineStr">
        <is>
          <t>https://www.cenizaro.com/docs/maldives-dg/trmd-li-bai-2026-03.pdf</t>
        </is>
      </c>
      <c r="O299" t="inlineStr">
        <is>
          <t>02d97bfddeff91b5c10c2da695a1aecacd1a956d59b96bf6c7f321ef6f9e4115</t>
        </is>
      </c>
      <c r="P299" t="inlineStr">
        <is>
          <t>library/020_the-residence-maldives-at-dhigurah/other/2026_trmd-li-bai-2026-03.pdf</t>
        </is>
      </c>
      <c r="R299" t="inlineStr">
        <is>
          <t>current</t>
        </is>
      </c>
      <c r="S299" t="inlineStr">
        <is>
          <t>Y</t>
        </is>
      </c>
      <c r="T299" t="inlineStr">
        <is>
          <t>needs-review</t>
        </is>
      </c>
      <c r="U299" t="inlineStr">
        <is>
          <t>2026-10-04</t>
        </is>
      </c>
      <c r="V299" t="inlineStr">
        <is>
          <t>ambiguous match [20]</t>
        </is>
      </c>
    </row>
    <row r="300">
      <c r="A300" t="n">
        <v>21</v>
      </c>
      <c r="B300" t="inlineStr">
        <is>
          <t>Brennia Kottefaru</t>
        </is>
      </c>
      <c r="C300" t="inlineStr">
        <is>
          <t>factsheet</t>
        </is>
      </c>
      <c r="D300" t="inlineStr">
        <is>
          <t>2025_English-Fact-Sheet-Resort-Map.pdf</t>
        </is>
      </c>
      <c r="E300" t="n">
        <v>2025</v>
      </c>
      <c r="H300" t="n">
        <v>12</v>
      </c>
      <c r="I300" t="n">
        <v>14058</v>
      </c>
      <c r="J300" t="inlineStr">
        <is>
          <t>Y</t>
        </is>
      </c>
      <c r="K300" t="inlineStr">
        <is>
          <t>neoscapesmaldives.com</t>
        </is>
      </c>
      <c r="L300" t="inlineStr">
        <is>
          <t>dmc-agency</t>
        </is>
      </c>
      <c r="M300" t="inlineStr">
        <is>
          <t>https://www.neoscapesmaldives.com/wp-content/uploads/English-Fact-Sheet-Resort-Map.pdf</t>
        </is>
      </c>
      <c r="N300" t="inlineStr">
        <is>
          <t>https://www.neoscapesmaldives.com/wp-content/uploads/English-Fact-Sheet-Resort-Map.pdf</t>
        </is>
      </c>
      <c r="O300" t="inlineStr">
        <is>
          <t>d2daf65d7e8affefc06c249344479bda422f44380574404fddfdf03832e38b47</t>
        </is>
      </c>
      <c r="P300" t="inlineStr">
        <is>
          <t>library/021_brennia-kottefaru/factsheet/2025_English-Fact-Sheet-Resort-Map.pdf</t>
        </is>
      </c>
      <c r="R300" t="inlineStr">
        <is>
          <t>current</t>
        </is>
      </c>
      <c r="S300" t="inlineStr">
        <is>
          <t>Y</t>
        </is>
      </c>
      <c r="T300" t="inlineStr">
        <is>
          <t>matched</t>
        </is>
      </c>
      <c r="U300" t="inlineStr">
        <is>
          <t>2026-10-04</t>
        </is>
      </c>
      <c r="V300" t="inlineStr"/>
    </row>
    <row r="301">
      <c r="A301" t="n">
        <v>21</v>
      </c>
      <c r="B301" t="inlineStr">
        <is>
          <t>Brennia Kottefaru</t>
        </is>
      </c>
      <c r="C301" t="inlineStr">
        <is>
          <t>factsheet</t>
        </is>
      </c>
      <c r="D301" t="inlineStr">
        <is>
          <t>2022_BRK_FactsheetRev120121.pdf</t>
        </is>
      </c>
      <c r="E301" t="n">
        <v>2022</v>
      </c>
      <c r="H301" t="n">
        <v>9</v>
      </c>
      <c r="I301" t="n">
        <v>4084</v>
      </c>
      <c r="J301" t="inlineStr">
        <is>
          <t>Y</t>
        </is>
      </c>
      <c r="K301" t="inlineStr">
        <is>
          <t>neoscapesmaldives.com</t>
        </is>
      </c>
      <c r="L301" t="inlineStr">
        <is>
          <t>dmc-agency</t>
        </is>
      </c>
      <c r="M301" t="inlineStr">
        <is>
          <t>https://www.neoscapesmaldives.com/wp-content/uploads/BRK_FactsheetRev120121.pdf</t>
        </is>
      </c>
      <c r="N301" t="inlineStr">
        <is>
          <t>https://www.neoscapesmaldives.com/wp-content/uploads/BRK_FactsheetRev120121.pdf</t>
        </is>
      </c>
      <c r="O301" t="inlineStr">
        <is>
          <t>1aa9d71e90f5a18e7524a9ad92f48eb6aa0e6ddc7384e217259ea36987ee1e76</t>
        </is>
      </c>
      <c r="P301" t="inlineStr">
        <is>
          <t>library/021_brennia-kottefaru/factsheet/2022_BRK_FactsheetRev120121.pdf</t>
        </is>
      </c>
      <c r="R301" t="inlineStr">
        <is>
          <t>outdated</t>
        </is>
      </c>
      <c r="S301" t="inlineStr">
        <is>
          <t>N</t>
        </is>
      </c>
      <c r="T301" t="inlineStr">
        <is>
          <t>matched</t>
        </is>
      </c>
      <c r="U301" t="inlineStr">
        <is>
          <t>2026-10-04</t>
        </is>
      </c>
      <c r="V301" t="inlineStr"/>
    </row>
    <row r="302">
      <c r="A302" t="n">
        <v>21</v>
      </c>
      <c r="B302" t="inlineStr">
        <is>
          <t>Brennia Kottefaru</t>
        </is>
      </c>
      <c r="C302" t="inlineStr">
        <is>
          <t>spa_menu</t>
        </is>
      </c>
      <c r="D302" t="inlineStr">
        <is>
          <t>2025_Brennia-Kottefaru-Eternity-Spa-Package-Price.pdf</t>
        </is>
      </c>
      <c r="E302" t="n">
        <v>2025</v>
      </c>
      <c r="H302" t="n">
        <v>13</v>
      </c>
      <c r="I302" t="n">
        <v>1080</v>
      </c>
      <c r="J302" t="inlineStr">
        <is>
          <t>Y</t>
        </is>
      </c>
      <c r="K302" t="inlineStr">
        <is>
          <t>brennia.com</t>
        </is>
      </c>
      <c r="L302" t="inlineStr">
        <is>
          <t>official</t>
        </is>
      </c>
      <c r="M302" t="inlineStr">
        <is>
          <t>https://brennia.com/wp-content/uploads/pdf/Brennia-Kottefaru-Eternity-Spa-Package-Price.pdf</t>
        </is>
      </c>
      <c r="N302" t="inlineStr">
        <is>
          <t>https://brennia.com/wp-content/uploads/pdf/Brennia-Kottefaru-Eternity-Spa-Package-Price.pdf</t>
        </is>
      </c>
      <c r="O302" t="inlineStr">
        <is>
          <t>1afcbba756a1f909c3accd7779cb354bf843020b3cf1d65e3a9881de3aea70b8</t>
        </is>
      </c>
      <c r="P302" t="inlineStr">
        <is>
          <t>library/021_brennia-kottefaru/spa_menu/2025_Brennia-Kottefaru-Eternity-Spa-Package-Price.pdf</t>
        </is>
      </c>
      <c r="R302" t="inlineStr">
        <is>
          <t>current</t>
        </is>
      </c>
      <c r="S302" t="inlineStr">
        <is>
          <t>Y</t>
        </is>
      </c>
      <c r="T302" t="inlineStr">
        <is>
          <t>matched</t>
        </is>
      </c>
      <c r="U302" t="inlineStr">
        <is>
          <t>2026-10-04</t>
        </is>
      </c>
      <c r="V302" t="inlineStr"/>
    </row>
    <row r="303">
      <c r="A303" t="n">
        <v>21</v>
      </c>
      <c r="B303" t="inlineStr">
        <is>
          <t>Brennia Kottefaru</t>
        </is>
      </c>
      <c r="C303" t="inlineStr">
        <is>
          <t>dining_menu</t>
        </is>
      </c>
      <c r="D303" t="inlineStr">
        <is>
          <t>2025_Brennia-Kottefaru-Beverage-Menu.pdf</t>
        </is>
      </c>
      <c r="E303" t="n">
        <v>2025</v>
      </c>
      <c r="H303" t="n">
        <v>13</v>
      </c>
      <c r="I303" t="n">
        <v>87</v>
      </c>
      <c r="J303" t="inlineStr">
        <is>
          <t>Y</t>
        </is>
      </c>
      <c r="K303" t="inlineStr">
        <is>
          <t>brennia.com</t>
        </is>
      </c>
      <c r="L303" t="inlineStr">
        <is>
          <t>official</t>
        </is>
      </c>
      <c r="M303" t="inlineStr">
        <is>
          <t>https://brennia.com/wp-content/uploads/pdf/Brennia-Kottefaru-Beverage-Menu.pdf</t>
        </is>
      </c>
      <c r="N303" t="inlineStr">
        <is>
          <t>https://brennia.com/wp-content/uploads/pdf/Brennia-Kottefaru-Beverage-Menu.pdf</t>
        </is>
      </c>
      <c r="O303" t="inlineStr">
        <is>
          <t>dd2c4eac1d903acd867f24560afacf47d219b13fc2a57a15ae08838abecda6d3</t>
        </is>
      </c>
      <c r="P303" t="inlineStr">
        <is>
          <t>library/021_brennia-kottefaru/dining_menu/2025_Brennia-Kottefaru-Beverage-Menu.pdf</t>
        </is>
      </c>
      <c r="R303" t="inlineStr">
        <is>
          <t>current</t>
        </is>
      </c>
      <c r="S303" t="inlineStr">
        <is>
          <t>Y</t>
        </is>
      </c>
      <c r="T303" t="inlineStr">
        <is>
          <t>matched</t>
        </is>
      </c>
      <c r="U303" t="inlineStr">
        <is>
          <t>2026-10-04</t>
        </is>
      </c>
      <c r="V303" t="inlineStr"/>
    </row>
    <row r="304">
      <c r="A304" t="n">
        <v>21</v>
      </c>
      <c r="B304" t="inlineStr">
        <is>
          <t>Brennia Kottefaru</t>
        </is>
      </c>
      <c r="C304" t="inlineStr">
        <is>
          <t>dining_menu</t>
        </is>
      </c>
      <c r="D304" t="inlineStr">
        <is>
          <t>2025_Brennia-Kottefaru-Sunset-Grill-Bar-Dinner-Menu.pdf</t>
        </is>
      </c>
      <c r="E304" t="n">
        <v>2025</v>
      </c>
      <c r="H304" t="n">
        <v>2</v>
      </c>
      <c r="I304" t="n">
        <v>138</v>
      </c>
      <c r="J304" t="inlineStr">
        <is>
          <t>Y</t>
        </is>
      </c>
      <c r="K304" t="inlineStr">
        <is>
          <t>brennia.com</t>
        </is>
      </c>
      <c r="L304" t="inlineStr">
        <is>
          <t>official</t>
        </is>
      </c>
      <c r="M304" t="inlineStr">
        <is>
          <t>https://brennia.com/wp-content/uploads/pdf/Brennia-Kottefaru-Sunset-Grill-Bar-Dinner-Menu.pdf</t>
        </is>
      </c>
      <c r="N304" t="inlineStr">
        <is>
          <t>https://brennia.com/wp-content/uploads/pdf/Brennia-Kottefaru-Sunset-Grill-Bar-Dinner-Menu.pdf</t>
        </is>
      </c>
      <c r="O304" t="inlineStr">
        <is>
          <t>34ce01826f3511d620714ecbe8fff0d9d2f7f182c2cfb4dfdc0a4c08c0e96d31</t>
        </is>
      </c>
      <c r="P304" t="inlineStr">
        <is>
          <t>library/021_brennia-kottefaru/dining_menu/2025_Brennia-Kottefaru-Sunset-Grill-Bar-Dinner-Menu.pdf</t>
        </is>
      </c>
      <c r="R304" t="inlineStr">
        <is>
          <t>current</t>
        </is>
      </c>
      <c r="S304" t="inlineStr">
        <is>
          <t>N</t>
        </is>
      </c>
      <c r="T304" t="inlineStr">
        <is>
          <t>matched</t>
        </is>
      </c>
      <c r="U304" t="inlineStr">
        <is>
          <t>2026-10-04</t>
        </is>
      </c>
      <c r="V304" t="inlineStr"/>
    </row>
    <row r="305">
      <c r="A305" t="n">
        <v>21</v>
      </c>
      <c r="B305" t="inlineStr">
        <is>
          <t>Brennia Kottefaru</t>
        </is>
      </c>
      <c r="C305" t="inlineStr">
        <is>
          <t>dining_menu</t>
        </is>
      </c>
      <c r="D305" t="inlineStr">
        <is>
          <t>2025_Brennia-Kottefaru-Manta-Dinner-Ala-carte-Menu.pdf</t>
        </is>
      </c>
      <c r="E305" t="n">
        <v>2025</v>
      </c>
      <c r="H305" t="n">
        <v>2</v>
      </c>
      <c r="I305" t="n">
        <v>132</v>
      </c>
      <c r="J305" t="inlineStr">
        <is>
          <t>Y</t>
        </is>
      </c>
      <c r="K305" t="inlineStr">
        <is>
          <t>brennia.com</t>
        </is>
      </c>
      <c r="L305" t="inlineStr">
        <is>
          <t>official</t>
        </is>
      </c>
      <c r="M305" t="inlineStr">
        <is>
          <t>https://brennia.com/wp-content/uploads/pdf/Brennia-Kottefaru-Manta-Dinner-Ala-carte-Menu.pdf</t>
        </is>
      </c>
      <c r="N305" t="inlineStr">
        <is>
          <t>https://brennia.com/wp-content/uploads/pdf/Brennia-Kottefaru-Manta-Dinner-Ala-carte-Menu.pdf</t>
        </is>
      </c>
      <c r="O305" t="inlineStr">
        <is>
          <t>b81cac63b2e337264cb304bb4528cf9990e7ea01b0ae6d601f7462dc565a5d2a</t>
        </is>
      </c>
      <c r="P305" t="inlineStr">
        <is>
          <t>library/021_brennia-kottefaru/dining_menu/2025_Brennia-Kottefaru-Manta-Dinner-Ala-carte-Menu.pdf</t>
        </is>
      </c>
      <c r="R305" t="inlineStr">
        <is>
          <t>current</t>
        </is>
      </c>
      <c r="S305" t="inlineStr">
        <is>
          <t>N</t>
        </is>
      </c>
      <c r="T305" t="inlineStr">
        <is>
          <t>matched</t>
        </is>
      </c>
      <c r="U305" t="inlineStr">
        <is>
          <t>2026-10-04</t>
        </is>
      </c>
      <c r="V305" t="inlineStr"/>
    </row>
    <row r="306">
      <c r="A306" t="n">
        <v>21</v>
      </c>
      <c r="B306" t="inlineStr">
        <is>
          <t>Brennia Kottefaru</t>
        </is>
      </c>
      <c r="C306" t="inlineStr">
        <is>
          <t>dining_menu</t>
        </is>
      </c>
      <c r="D306" t="inlineStr">
        <is>
          <t>2025_Brennia-Kottefaru-Manta-Ala-Carte-Lunch-Menu.pdf</t>
        </is>
      </c>
      <c r="E306" t="n">
        <v>2025</v>
      </c>
      <c r="H306" t="n">
        <v>2</v>
      </c>
      <c r="I306" t="n">
        <v>294</v>
      </c>
      <c r="J306" t="inlineStr">
        <is>
          <t>Y</t>
        </is>
      </c>
      <c r="K306" t="inlineStr">
        <is>
          <t>brennia.com</t>
        </is>
      </c>
      <c r="L306" t="inlineStr">
        <is>
          <t>official</t>
        </is>
      </c>
      <c r="M306" t="inlineStr">
        <is>
          <t>https://brennia.com/wp-content/uploads/pdf/Brennia-Kottefaru-Manta-Ala-Carte-Lunch-Menu.pdf</t>
        </is>
      </c>
      <c r="N306" t="inlineStr">
        <is>
          <t>https://brennia.com/wp-content/uploads/pdf/Brennia-Kottefaru-Manta-Ala-Carte-Lunch-Menu.pdf</t>
        </is>
      </c>
      <c r="O306" t="inlineStr">
        <is>
          <t>73ba2490b62ec70d47db0f6fa0b8607ead267bfcc462a6c19fbc7733274665c5</t>
        </is>
      </c>
      <c r="P306" t="inlineStr">
        <is>
          <t>library/021_brennia-kottefaru/dining_menu/2025_Brennia-Kottefaru-Manta-Ala-Carte-Lunch-Menu.pdf</t>
        </is>
      </c>
      <c r="R306" t="inlineStr">
        <is>
          <t>current</t>
        </is>
      </c>
      <c r="S306" t="inlineStr">
        <is>
          <t>N</t>
        </is>
      </c>
      <c r="T306" t="inlineStr">
        <is>
          <t>matched</t>
        </is>
      </c>
      <c r="U306" t="inlineStr">
        <is>
          <t>2026-10-04</t>
        </is>
      </c>
      <c r="V306" t="inlineStr"/>
    </row>
    <row r="307">
      <c r="A307" t="n">
        <v>21</v>
      </c>
      <c r="B307" t="inlineStr">
        <is>
          <t>Brennia Kottefaru</t>
        </is>
      </c>
      <c r="C307" t="inlineStr">
        <is>
          <t>dining_menu</t>
        </is>
      </c>
      <c r="D307" t="inlineStr">
        <is>
          <t>2017_Brennia-Kottefaru-Wine-Menu.pdf</t>
        </is>
      </c>
      <c r="E307" t="n">
        <v>2017</v>
      </c>
      <c r="H307" t="n">
        <v>8</v>
      </c>
      <c r="I307" t="n">
        <v>69</v>
      </c>
      <c r="J307" t="inlineStr">
        <is>
          <t>Y</t>
        </is>
      </c>
      <c r="K307" t="inlineStr">
        <is>
          <t>brennia.com</t>
        </is>
      </c>
      <c r="L307" t="inlineStr">
        <is>
          <t>official</t>
        </is>
      </c>
      <c r="M307" t="inlineStr">
        <is>
          <t>https://brennia.com/wp-content/uploads/pdf/Brennia-Kottefaru-Wine-Menu.pdf</t>
        </is>
      </c>
      <c r="N307" t="inlineStr">
        <is>
          <t>https://brennia.com/wp-content/uploads/pdf/Brennia-Kottefaru-Wine-Menu.pdf</t>
        </is>
      </c>
      <c r="O307" t="inlineStr">
        <is>
          <t>3505211bba6444586911f71eef283ab65bfaccee80cbbdcdb1bdfd7d39bfa1d7</t>
        </is>
      </c>
      <c r="P307" t="inlineStr">
        <is>
          <t>library/021_brennia-kottefaru/dining_menu/2017_Brennia-Kottefaru-Wine-Menu.pdf</t>
        </is>
      </c>
      <c r="R307" t="inlineStr">
        <is>
          <t>outdated</t>
        </is>
      </c>
      <c r="S307" t="inlineStr">
        <is>
          <t>N</t>
        </is>
      </c>
      <c r="T307" t="inlineStr">
        <is>
          <t>matched</t>
        </is>
      </c>
      <c r="U307" t="inlineStr">
        <is>
          <t>2026-10-04</t>
        </is>
      </c>
      <c r="V307" t="inlineStr"/>
    </row>
    <row r="308">
      <c r="A308" t="n">
        <v>21</v>
      </c>
      <c r="B308" t="inlineStr">
        <is>
          <t>Brennia Kottefaru</t>
        </is>
      </c>
      <c r="C308" t="inlineStr">
        <is>
          <t>dive_prices</t>
        </is>
      </c>
      <c r="D308" t="inlineStr">
        <is>
          <t>2025_Brennia-Kottefaru-Water-Sports-Price-List.pdf</t>
        </is>
      </c>
      <c r="E308" t="n">
        <v>2025</v>
      </c>
      <c r="H308" t="n">
        <v>1</v>
      </c>
      <c r="I308" t="n">
        <v>56</v>
      </c>
      <c r="J308" t="inlineStr">
        <is>
          <t>Y</t>
        </is>
      </c>
      <c r="K308" t="inlineStr">
        <is>
          <t>brennia.com</t>
        </is>
      </c>
      <c r="L308" t="inlineStr">
        <is>
          <t>official</t>
        </is>
      </c>
      <c r="M308" t="inlineStr">
        <is>
          <t>https://brennia.com/wp-content/uploads/pdf/Brennia-Kottefaru-Water-Sports-Price-List.pdf</t>
        </is>
      </c>
      <c r="N308" t="inlineStr">
        <is>
          <t>https://brennia.com/wp-content/uploads/pdf/Brennia-Kottefaru-Water-Sports-Price-List.pdf</t>
        </is>
      </c>
      <c r="O308" t="inlineStr">
        <is>
          <t>f3fa5ea2c30f89e8927aa8a9306de1108781cdcad23b87e132906d6f6d034513</t>
        </is>
      </c>
      <c r="P308" t="inlineStr">
        <is>
          <t>library/021_brennia-kottefaru/dive_prices/2025_Brennia-Kottefaru-Water-Sports-Price-List.pdf</t>
        </is>
      </c>
      <c r="R308" t="inlineStr">
        <is>
          <t>current</t>
        </is>
      </c>
      <c r="S308" t="inlineStr">
        <is>
          <t>Y</t>
        </is>
      </c>
      <c r="T308" t="inlineStr">
        <is>
          <t>matched</t>
        </is>
      </c>
      <c r="U308" t="inlineStr">
        <is>
          <t>2026-10-04</t>
        </is>
      </c>
      <c r="V308" t="inlineStr"/>
    </row>
    <row r="309">
      <c r="A309" t="n">
        <v>21</v>
      </c>
      <c r="B309" t="inlineStr">
        <is>
          <t>Brennia Kottefaru</t>
        </is>
      </c>
      <c r="C309" t="inlineStr">
        <is>
          <t>dive_prices</t>
        </is>
      </c>
      <c r="D309" t="inlineStr">
        <is>
          <t>2024_Brennia-Kottefaru-Diving-InHouse-Package-Price-1.pdf</t>
        </is>
      </c>
      <c r="E309" t="n">
        <v>2024</v>
      </c>
      <c r="H309" t="n">
        <v>1</v>
      </c>
      <c r="I309" t="n">
        <v>96</v>
      </c>
      <c r="J309" t="inlineStr">
        <is>
          <t>Y</t>
        </is>
      </c>
      <c r="K309" t="inlineStr">
        <is>
          <t>brennia.com</t>
        </is>
      </c>
      <c r="L309" t="inlineStr">
        <is>
          <t>official</t>
        </is>
      </c>
      <c r="M309" t="inlineStr">
        <is>
          <t>https://brennia.com/wp-content/uploads/pdf/Brennia-Kottefaru-Diving-InHouse-Package-Price-1.pdf</t>
        </is>
      </c>
      <c r="N309" t="inlineStr">
        <is>
          <t>https://brennia.com/wp-content/uploads/pdf/Brennia-Kottefaru-Diving-InHouse-Package-Price-1.pdf</t>
        </is>
      </c>
      <c r="O309" t="inlineStr">
        <is>
          <t>ec79550cda4d139319f0a156105f94b2045e082c86e4d03a2587363794bc1171</t>
        </is>
      </c>
      <c r="P309" t="inlineStr">
        <is>
          <t>library/021_brennia-kottefaru/dive_prices/2024_Brennia-Kottefaru-Diving-InHouse-Package-Price-1.pdf</t>
        </is>
      </c>
      <c r="R309" t="inlineStr">
        <is>
          <t>outdated</t>
        </is>
      </c>
      <c r="S309" t="inlineStr">
        <is>
          <t>N</t>
        </is>
      </c>
      <c r="T309" t="inlineStr">
        <is>
          <t>matched</t>
        </is>
      </c>
      <c r="U309" t="inlineStr">
        <is>
          <t>2026-10-04</t>
        </is>
      </c>
      <c r="V309" t="inlineStr"/>
    </row>
    <row r="310">
      <c r="A310" t="n">
        <v>22</v>
      </c>
      <c r="B310" t="inlineStr">
        <is>
          <t>Barceló Whale Lagoon Maldives</t>
        </is>
      </c>
      <c r="C310" t="inlineStr">
        <is>
          <t>factsheet</t>
        </is>
      </c>
      <c r="D310" t="inlineStr">
        <is>
          <t>2026_Factsheet_MWLM_March2026_Digital-updated.pdf</t>
        </is>
      </c>
      <c r="E310" t="n">
        <v>2026</v>
      </c>
      <c r="H310" t="n">
        <v>10</v>
      </c>
      <c r="I310" t="n">
        <v>32053</v>
      </c>
      <c r="J310" t="inlineStr">
        <is>
          <t>Y</t>
        </is>
      </c>
      <c r="K310" t="inlineStr">
        <is>
          <t>neoscapesmaldives.com</t>
        </is>
      </c>
      <c r="L310" t="inlineStr">
        <is>
          <t>dmc-agency</t>
        </is>
      </c>
      <c r="M310" t="inlineStr">
        <is>
          <t>https://www.neoscapesmaldives.com/wp-content/uploads/Factsheet_MWLM_March2026_Digital-updated.pdf</t>
        </is>
      </c>
      <c r="N310" t="inlineStr">
        <is>
          <t>https://www.neoscapesmaldives.com/wp-content/uploads/Factsheet_MWLM_March2026_Digital-updated.pdf</t>
        </is>
      </c>
      <c r="O310" t="inlineStr">
        <is>
          <t>1c7772e53cba05937044682d185468c6d99102a2977fbbf7bab3cbb81c46822d</t>
        </is>
      </c>
      <c r="P310" t="inlineStr">
        <is>
          <t>library/022_barcelo-whale-lagoon-maldives/factsheet/2026_Factsheet_MWLM_March2026_Digital-updated.pdf</t>
        </is>
      </c>
      <c r="R310" t="inlineStr">
        <is>
          <t>current</t>
        </is>
      </c>
      <c r="S310" t="inlineStr">
        <is>
          <t>Y</t>
        </is>
      </c>
      <c r="T310" t="inlineStr">
        <is>
          <t>matched</t>
        </is>
      </c>
      <c r="U310" t="inlineStr">
        <is>
          <t>2026-10-04</t>
        </is>
      </c>
      <c r="V310" t="inlineStr"/>
    </row>
    <row r="311">
      <c r="A311" t="n">
        <v>22</v>
      </c>
      <c r="B311" t="inlineStr">
        <is>
          <t>Barceló Whale Lagoon Maldives</t>
        </is>
      </c>
      <c r="C311" t="inlineStr">
        <is>
          <t>press_kit</t>
        </is>
      </c>
      <c r="D311" t="inlineStr">
        <is>
          <t>2025_Mapa-Melia-Whale-Lagoon-Maldives-19-12-25.pdf</t>
        </is>
      </c>
      <c r="E311" t="n">
        <v>2025</v>
      </c>
      <c r="H311" t="n">
        <v>1</v>
      </c>
      <c r="I311" t="n">
        <v>7323</v>
      </c>
      <c r="J311" t="inlineStr">
        <is>
          <t>Y</t>
        </is>
      </c>
      <c r="K311" t="inlineStr">
        <is>
          <t>neoscapesmaldives.com</t>
        </is>
      </c>
      <c r="L311" t="inlineStr">
        <is>
          <t>dmc-agency</t>
        </is>
      </c>
      <c r="M311" t="inlineStr">
        <is>
          <t>https://www.neoscapesmaldives.com/wp-content/uploads/Mapa-Melia-Whale-Lagoon-Maldives-19-12-25.pdf</t>
        </is>
      </c>
      <c r="N311" t="inlineStr">
        <is>
          <t>https://www.neoscapesmaldives.com/wp-content/uploads/Mapa-Melia-Whale-Lagoon-Maldives-19-12-25.pdf</t>
        </is>
      </c>
      <c r="O311" t="inlineStr">
        <is>
          <t>6f90d1b15458069c9d279298c3fb072ed73977499fb24157ff5d6e8337039227</t>
        </is>
      </c>
      <c r="P311" t="inlineStr">
        <is>
          <t>library/022_barcelo-whale-lagoon-maldives/press_kit/2025_Mapa-Melia-Whale-Lagoon-Maldives-19-12-25.pdf</t>
        </is>
      </c>
      <c r="R311" t="inlineStr">
        <is>
          <t>current</t>
        </is>
      </c>
      <c r="S311" t="inlineStr">
        <is>
          <t>Y</t>
        </is>
      </c>
      <c r="T311" t="inlineStr">
        <is>
          <t>matched</t>
        </is>
      </c>
      <c r="U311" t="inlineStr">
        <is>
          <t>2026-10-04</t>
        </is>
      </c>
      <c r="V311" t="inlineStr"/>
    </row>
    <row r="312">
      <c r="A312" t="n">
        <v>23</v>
      </c>
      <c r="B312" t="inlineStr">
        <is>
          <t>Nooe Maldives Kunavashi</t>
        </is>
      </c>
      <c r="C312" t="inlineStr">
        <is>
          <t>factsheet</t>
        </is>
      </c>
      <c r="D312" t="inlineStr">
        <is>
          <t>2024_NOOE-Maldives-Kunaavashi_Fact-Sheet-2024.pdf</t>
        </is>
      </c>
      <c r="E312" t="n">
        <v>2024</v>
      </c>
      <c r="H312" t="n">
        <v>6</v>
      </c>
      <c r="I312" t="n">
        <v>10580</v>
      </c>
      <c r="J312" t="inlineStr">
        <is>
          <t>Y</t>
        </is>
      </c>
      <c r="K312" t="inlineStr">
        <is>
          <t>neoscapesmaldives.com</t>
        </is>
      </c>
      <c r="L312" t="inlineStr">
        <is>
          <t>dmc-agency</t>
        </is>
      </c>
      <c r="M312" t="inlineStr">
        <is>
          <t>https://www.neoscapesmaldives.com/wp-content/uploads/NOOE-Maldives-Kunaavashi_Fact-Sheet-2024.pdf</t>
        </is>
      </c>
      <c r="N312" t="inlineStr">
        <is>
          <t>https://www.neoscapesmaldives.com/wp-content/uploads/NOOE-Maldives-Kunaavashi_Fact-Sheet-2024.pdf</t>
        </is>
      </c>
      <c r="O312" t="inlineStr">
        <is>
          <t>8d2503af5f3a2d0828d3b3f54496b8a5f07da5d72e47e1bf5d20cda34ce97add</t>
        </is>
      </c>
      <c r="P312" t="inlineStr">
        <is>
          <t>library/023_nooe-maldives-kunavashi/factsheet/2024_NOOE-Maldives-Kunaavashi_Fact-Sheet-2024.pdf</t>
        </is>
      </c>
      <c r="R312" t="inlineStr">
        <is>
          <t>outdated</t>
        </is>
      </c>
      <c r="S312" t="inlineStr">
        <is>
          <t>Y</t>
        </is>
      </c>
      <c r="T312" t="inlineStr">
        <is>
          <t>matched</t>
        </is>
      </c>
      <c r="U312" t="inlineStr">
        <is>
          <t>2026-10-04</t>
        </is>
      </c>
      <c r="V312" t="inlineStr"/>
    </row>
    <row r="313">
      <c r="A313" t="n">
        <v>23</v>
      </c>
      <c r="B313" t="inlineStr">
        <is>
          <t>Nooe Maldives Kunavashi</t>
        </is>
      </c>
      <c r="C313" t="inlineStr">
        <is>
          <t>map</t>
        </is>
      </c>
      <c r="D313" t="inlineStr">
        <is>
          <t>2024_NOOE-MAP-Guest-Service.pdf</t>
        </is>
      </c>
      <c r="E313" t="n">
        <v>2024</v>
      </c>
      <c r="H313" t="n">
        <v>1</v>
      </c>
      <c r="I313" t="n">
        <v>630</v>
      </c>
      <c r="J313" t="inlineStr">
        <is>
          <t>N</t>
        </is>
      </c>
      <c r="K313" t="inlineStr">
        <is>
          <t>neoscapesmaldives.com</t>
        </is>
      </c>
      <c r="L313" t="inlineStr">
        <is>
          <t>dmc-agency</t>
        </is>
      </c>
      <c r="M313" t="inlineStr">
        <is>
          <t>https://www.neoscapesmaldives.com/wp-content/uploads/NOOE-MAP-Guest-Service.pdf</t>
        </is>
      </c>
      <c r="N313" t="inlineStr">
        <is>
          <t>https://www.neoscapesmaldives.com/wp-content/uploads/NOOE-MAP-Guest-Service.pdf</t>
        </is>
      </c>
      <c r="O313" t="inlineStr">
        <is>
          <t>0e388bbeea1460175b9518e218b0a20e9f81f1b8e1386ef6072c2a8410645933</t>
        </is>
      </c>
      <c r="P313" t="inlineStr">
        <is>
          <t>library/023_nooe-maldives-kunavashi/map/2024_NOOE-MAP-Guest-Service.pdf</t>
        </is>
      </c>
      <c r="R313" t="inlineStr">
        <is>
          <t>outdated</t>
        </is>
      </c>
      <c r="S313" t="inlineStr">
        <is>
          <t>Y</t>
        </is>
      </c>
      <c r="T313" t="inlineStr">
        <is>
          <t>matched</t>
        </is>
      </c>
      <c r="U313" t="inlineStr">
        <is>
          <t>2026-10-04</t>
        </is>
      </c>
      <c r="V313" t="inlineStr"/>
    </row>
    <row r="314">
      <c r="A314" t="n">
        <v>23</v>
      </c>
      <c r="B314" t="inlineStr">
        <is>
          <t>Nooe Maldives Kunavashi</t>
        </is>
      </c>
      <c r="C314" t="inlineStr">
        <is>
          <t>calendar</t>
        </is>
      </c>
      <c r="D314" t="inlineStr">
        <is>
          <t>2026_Easter-Brochure-2026-1.pdf</t>
        </is>
      </c>
      <c r="E314" t="n">
        <v>2026</v>
      </c>
      <c r="H314" t="n">
        <v>5</v>
      </c>
      <c r="I314" t="n">
        <v>4204</v>
      </c>
      <c r="J314" t="inlineStr">
        <is>
          <t>Y</t>
        </is>
      </c>
      <c r="K314" t="inlineStr">
        <is>
          <t>letsgomaldives.com</t>
        </is>
      </c>
      <c r="L314" t="inlineStr">
        <is>
          <t>dmc-agency</t>
        </is>
      </c>
      <c r="M314" t="inlineStr">
        <is>
          <t>https://letsgomaldives.com/wp-content/uploads/2026/02/Easter-Brochure-2026-1.pdf</t>
        </is>
      </c>
      <c r="N314" t="inlineStr">
        <is>
          <t>https://letsgomaldives.com/wp-content/uploads/2026/02/Easter-Brochure-2026-1.pdf</t>
        </is>
      </c>
      <c r="O314" t="inlineStr">
        <is>
          <t>5401e35bd5231e3559e1f4d6f6ce759841de00bb81a1b5060f42fb6b1bb7c362</t>
        </is>
      </c>
      <c r="P314" t="inlineStr">
        <is>
          <t>library/023_nooe-maldives-kunavashi/calendar/2026_Easter-Brochure-2026-1.pdf</t>
        </is>
      </c>
      <c r="R314" t="inlineStr">
        <is>
          <t>current</t>
        </is>
      </c>
      <c r="S314" t="inlineStr">
        <is>
          <t>Y</t>
        </is>
      </c>
      <c r="T314" t="inlineStr">
        <is>
          <t>matched</t>
        </is>
      </c>
      <c r="U314" t="inlineStr">
        <is>
          <t>2026-10-04</t>
        </is>
      </c>
      <c r="V314" t="inlineStr"/>
    </row>
    <row r="315">
      <c r="A315" t="n">
        <v>24</v>
      </c>
      <c r="B315" t="inlineStr">
        <is>
          <t>Canareef Resort Maldives</t>
        </is>
      </c>
      <c r="C315" t="inlineStr">
        <is>
          <t>map</t>
        </is>
      </c>
      <c r="D315" t="inlineStr">
        <is>
          <t>2023_Canareef-Resort-Maldives-Map.pdf</t>
        </is>
      </c>
      <c r="E315" t="n">
        <v>2023</v>
      </c>
      <c r="H315" t="n">
        <v>1</v>
      </c>
      <c r="I315" t="n">
        <v>2078</v>
      </c>
      <c r="J315" t="inlineStr">
        <is>
          <t>Y</t>
        </is>
      </c>
      <c r="K315" t="inlineStr">
        <is>
          <t>canareef.com</t>
        </is>
      </c>
      <c r="L315" t="inlineStr">
        <is>
          <t>official</t>
        </is>
      </c>
      <c r="M315" t="inlineStr">
        <is>
          <t>https://canareef.com/wp-content/uploads/2023/11/Canareef-Resort-Maldives-Map.pdf</t>
        </is>
      </c>
      <c r="N315" t="inlineStr">
        <is>
          <t>https://canareef.com/wp-content/uploads/2023/11/Canareef-Resort-Maldives-Map.pdf</t>
        </is>
      </c>
      <c r="O315" t="inlineStr">
        <is>
          <t>6299f608ba080aa659f7e8477439a15da173f40902c19361ab4ccb77bb1ea60d</t>
        </is>
      </c>
      <c r="P315" t="inlineStr">
        <is>
          <t>library/024_canareef-resort-maldives/map/2023_Canareef-Resort-Maldives-Map.pdf</t>
        </is>
      </c>
      <c r="R315" t="inlineStr">
        <is>
          <t>outdated</t>
        </is>
      </c>
      <c r="S315" t="inlineStr">
        <is>
          <t>Y</t>
        </is>
      </c>
      <c r="T315" t="inlineStr">
        <is>
          <t>matched</t>
        </is>
      </c>
      <c r="U315" t="inlineStr">
        <is>
          <t>2026-10-04</t>
        </is>
      </c>
      <c r="V315" t="inlineStr"/>
    </row>
    <row r="316">
      <c r="A316" t="n">
        <v>24</v>
      </c>
      <c r="B316" t="inlineStr">
        <is>
          <t>Canareef Resort Maldives</t>
        </is>
      </c>
      <c r="C316" t="inlineStr">
        <is>
          <t>map</t>
        </is>
      </c>
      <c r="D316" t="inlineStr">
        <is>
          <t>2023_Canareef-Map-for-Web-Org-min.pdf</t>
        </is>
      </c>
      <c r="E316" t="n">
        <v>2023</v>
      </c>
      <c r="H316" t="n">
        <v>1</v>
      </c>
      <c r="I316" t="n">
        <v>2068</v>
      </c>
      <c r="J316" t="inlineStr">
        <is>
          <t>Y</t>
        </is>
      </c>
      <c r="K316" t="inlineStr">
        <is>
          <t>canareef.com</t>
        </is>
      </c>
      <c r="L316" t="inlineStr">
        <is>
          <t>official</t>
        </is>
      </c>
      <c r="M316" t="inlineStr">
        <is>
          <t>https://canareef.com/wp-content/uploads/2023/11/Canareef-Map-for-Web-Org-min.pdf</t>
        </is>
      </c>
      <c r="N316" t="inlineStr">
        <is>
          <t>https://canareef.com/wp-content/uploads/2023/11/Canareef-Map-for-Web-Org-min.pdf</t>
        </is>
      </c>
      <c r="O316" t="inlineStr">
        <is>
          <t>3184daa959f31514a32ff38db001882db0d1b1dc713817550fa1de06ab5d01cd</t>
        </is>
      </c>
      <c r="P316" t="inlineStr">
        <is>
          <t>library/024_canareef-resort-maldives/map/2023_Canareef-Map-for-Web-Org-min.pdf</t>
        </is>
      </c>
      <c r="R316" t="inlineStr">
        <is>
          <t>outdated</t>
        </is>
      </c>
      <c r="S316" t="inlineStr">
        <is>
          <t>N</t>
        </is>
      </c>
      <c r="T316" t="inlineStr">
        <is>
          <t>matched</t>
        </is>
      </c>
      <c r="U316" t="inlineStr">
        <is>
          <t>2026-10-04</t>
        </is>
      </c>
      <c r="V316" t="inlineStr"/>
    </row>
    <row r="317">
      <c r="A317" t="n">
        <v>24</v>
      </c>
      <c r="B317" t="inlineStr">
        <is>
          <t>Canareef Resort Maldives</t>
        </is>
      </c>
      <c r="C317" t="inlineStr">
        <is>
          <t>dining_menu</t>
        </is>
      </c>
      <c r="D317" t="inlineStr">
        <is>
          <t>2025_Valentines-Day-Dinner-Menu-2025.pdf</t>
        </is>
      </c>
      <c r="E317" t="n">
        <v>2025</v>
      </c>
      <c r="H317" t="n">
        <v>1</v>
      </c>
      <c r="I317" t="n">
        <v>982</v>
      </c>
      <c r="J317" t="inlineStr">
        <is>
          <t>Y</t>
        </is>
      </c>
      <c r="K317" t="inlineStr">
        <is>
          <t>canareef.com</t>
        </is>
      </c>
      <c r="L317" t="inlineStr">
        <is>
          <t>official</t>
        </is>
      </c>
      <c r="M317" t="inlineStr">
        <is>
          <t>https://canareef.com/wp-content/uploads/2025/02/Valentines-Day-Dinner-Menu-2025.pdf</t>
        </is>
      </c>
      <c r="N317" t="inlineStr">
        <is>
          <t>https://canareef.com/wp-content/uploads/2025/02/Valentines-Day-Dinner-Menu-2025.pdf</t>
        </is>
      </c>
      <c r="O317" t="inlineStr">
        <is>
          <t>c37ad7ce0fc141c35781f7bf8e53825434e0bd422df8601494dfbaf6e448fdc7</t>
        </is>
      </c>
      <c r="P317" t="inlineStr">
        <is>
          <t>library/024_canareef-resort-maldives/dining_menu/2025_Valentines-Day-Dinner-Menu-2025.pdf</t>
        </is>
      </c>
      <c r="R317" t="inlineStr">
        <is>
          <t>current</t>
        </is>
      </c>
      <c r="S317" t="inlineStr">
        <is>
          <t>Y</t>
        </is>
      </c>
      <c r="T317" t="inlineStr">
        <is>
          <t>matched</t>
        </is>
      </c>
      <c r="U317" t="inlineStr">
        <is>
          <t>2026-10-04</t>
        </is>
      </c>
      <c r="V317" t="inlineStr"/>
    </row>
    <row r="318">
      <c r="A318" t="n">
        <v>24</v>
      </c>
      <c r="B318" t="inlineStr">
        <is>
          <t>Canareef Resort Maldives</t>
        </is>
      </c>
      <c r="C318" t="inlineStr">
        <is>
          <t>calendar</t>
        </is>
      </c>
      <c r="D318" t="inlineStr">
        <is>
          <t>2024_Festive-Brochure-2024-Canareef-Resort-Maldives.pdf</t>
        </is>
      </c>
      <c r="E318" t="n">
        <v>2024</v>
      </c>
      <c r="H318" t="n">
        <v>12</v>
      </c>
      <c r="I318" t="n">
        <v>9537</v>
      </c>
      <c r="J318" t="inlineStr">
        <is>
          <t>Y</t>
        </is>
      </c>
      <c r="K318" t="inlineStr">
        <is>
          <t>canareef.com</t>
        </is>
      </c>
      <c r="L318" t="inlineStr">
        <is>
          <t>official</t>
        </is>
      </c>
      <c r="M318" t="inlineStr">
        <is>
          <t>https://canareef.com/wp-content/uploads/2024/12/Festive-Brochure-2024-Canareef-Resort-Maldives.pdf</t>
        </is>
      </c>
      <c r="N318" t="inlineStr">
        <is>
          <t>https://canareef.com/wp-content/uploads/2024/12/Festive-Brochure-2024-Canareef-Resort-Maldives.pdf</t>
        </is>
      </c>
      <c r="O318" t="inlineStr">
        <is>
          <t>5e508128bc5c715b5968532af2c4d5100ca63f413272cff2a18bce682832d82c</t>
        </is>
      </c>
      <c r="P318" t="inlineStr">
        <is>
          <t>library/024_canareef-resort-maldives/calendar/2024_Festive-Brochure-2024-Canareef-Resort-Maldives.pdf</t>
        </is>
      </c>
      <c r="R318" t="inlineStr">
        <is>
          <t>outdated</t>
        </is>
      </c>
      <c r="S318" t="inlineStr">
        <is>
          <t>Y</t>
        </is>
      </c>
      <c r="T318" t="inlineStr">
        <is>
          <t>matched</t>
        </is>
      </c>
      <c r="U318" t="inlineStr">
        <is>
          <t>2026-10-04</t>
        </is>
      </c>
      <c r="V318" t="inlineStr"/>
    </row>
    <row r="319">
      <c r="A319" t="n">
        <v>24</v>
      </c>
      <c r="B319" t="inlineStr">
        <is>
          <t>Canareef Resort Maldives</t>
        </is>
      </c>
      <c r="C319" t="inlineStr">
        <is>
          <t>calendar</t>
        </is>
      </c>
      <c r="D319" t="inlineStr">
        <is>
          <t>2023_Canareef-Maldives-Festive-Brochure-2023.pdf</t>
        </is>
      </c>
      <c r="E319" t="n">
        <v>2023</v>
      </c>
      <c r="H319" t="n">
        <v>10</v>
      </c>
      <c r="I319" t="n">
        <v>3454</v>
      </c>
      <c r="J319" t="inlineStr">
        <is>
          <t>Y</t>
        </is>
      </c>
      <c r="K319" t="inlineStr">
        <is>
          <t>canareef.com</t>
        </is>
      </c>
      <c r="L319" t="inlineStr">
        <is>
          <t>official</t>
        </is>
      </c>
      <c r="M319" t="inlineStr">
        <is>
          <t>https://canareef.com/wp-content/uploads/2023/12/Canareef-Maldives-Festive-Brochure-2023.pdf</t>
        </is>
      </c>
      <c r="N319" t="inlineStr">
        <is>
          <t>https://canareef.com/wp-content/uploads/2023/12/Canareef-Maldives-Festive-Brochure-2023.pdf</t>
        </is>
      </c>
      <c r="O319" t="inlineStr">
        <is>
          <t>0248557eb4dcaf44b9944a7cd99a905c8ead99ec541e474861b29d1d8363b065</t>
        </is>
      </c>
      <c r="P319" t="inlineStr">
        <is>
          <t>library/024_canareef-resort-maldives/calendar/2023_Canareef-Maldives-Festive-Brochure-2023.pdf</t>
        </is>
      </c>
      <c r="R319" t="inlineStr">
        <is>
          <t>outdated</t>
        </is>
      </c>
      <c r="S319" t="inlineStr">
        <is>
          <t>N</t>
        </is>
      </c>
      <c r="T319" t="inlineStr">
        <is>
          <t>matched</t>
        </is>
      </c>
      <c r="U319" t="inlineStr">
        <is>
          <t>2026-10-04</t>
        </is>
      </c>
      <c r="V319" t="inlineStr"/>
    </row>
    <row r="320">
      <c r="A320" t="n">
        <v>25</v>
      </c>
      <c r="B320" t="inlineStr">
        <is>
          <t>Raffles Maldives Meradhoo Resort</t>
        </is>
      </c>
      <c r="C320" t="inlineStr">
        <is>
          <t>factsheet</t>
        </is>
      </c>
      <c r="D320" t="inlineStr">
        <is>
          <t>2026_Halcyon-Maldives-Factsheet-2026.pdf</t>
        </is>
      </c>
      <c r="E320" t="n">
        <v>2026</v>
      </c>
      <c r="H320" t="n">
        <v>4</v>
      </c>
      <c r="I320" t="n">
        <v>6363</v>
      </c>
      <c r="J320" t="inlineStr">
        <is>
          <t>Y</t>
        </is>
      </c>
      <c r="K320" t="inlineStr">
        <is>
          <t>neoscapesmaldives.com</t>
        </is>
      </c>
      <c r="L320" t="inlineStr">
        <is>
          <t>dmc-agency</t>
        </is>
      </c>
      <c r="M320" t="inlineStr">
        <is>
          <t>https://www.neoscapesmaldives.com/wp-content/uploads/Halcyon-Maldives-Factsheet-2026.pdf</t>
        </is>
      </c>
      <c r="N320" t="inlineStr">
        <is>
          <t>https://www.neoscapesmaldives.com/wp-content/uploads/Halcyon-Maldives-Factsheet-2026.pdf</t>
        </is>
      </c>
      <c r="O320" t="inlineStr">
        <is>
          <t>144d6b385baacfb6b71330bea8969a2868a7bef0686a64d331f11a76715a1acf</t>
        </is>
      </c>
      <c r="P320" t="inlineStr">
        <is>
          <t>library/025_raffles-maldives-meradhoo-resort/factsheet/2026_Halcyon-Maldives-Factsheet-2026.pdf</t>
        </is>
      </c>
      <c r="R320" t="inlineStr">
        <is>
          <t>current</t>
        </is>
      </c>
      <c r="S320" t="inlineStr">
        <is>
          <t>Y</t>
        </is>
      </c>
      <c r="T320" t="inlineStr">
        <is>
          <t>matched</t>
        </is>
      </c>
      <c r="U320" t="inlineStr">
        <is>
          <t>2026-10-04</t>
        </is>
      </c>
      <c r="V320" t="inlineStr"/>
    </row>
    <row r="321">
      <c r="A321" t="n">
        <v>25</v>
      </c>
      <c r="B321" t="inlineStr">
        <is>
          <t>Raffles Maldives Meradhoo Resort</t>
        </is>
      </c>
      <c r="C321" t="inlineStr">
        <is>
          <t>map</t>
        </is>
      </c>
      <c r="D321" t="inlineStr">
        <is>
          <t>2026_Halcyon-Maldives-Resort-Map-2026.pdf</t>
        </is>
      </c>
      <c r="E321" t="n">
        <v>2026</v>
      </c>
      <c r="H321" t="n">
        <v>1</v>
      </c>
      <c r="I321" t="n">
        <v>2490</v>
      </c>
      <c r="J321" t="inlineStr">
        <is>
          <t>Y</t>
        </is>
      </c>
      <c r="K321" t="inlineStr">
        <is>
          <t>neoscapesmaldives.com</t>
        </is>
      </c>
      <c r="L321" t="inlineStr">
        <is>
          <t>dmc-agency</t>
        </is>
      </c>
      <c r="M321" t="inlineStr">
        <is>
          <t>https://www.neoscapesmaldives.com/wp-content/uploads/Halcyon-Maldives-Resort-Map-2026.pdf</t>
        </is>
      </c>
      <c r="N321" t="inlineStr">
        <is>
          <t>https://www.neoscapesmaldives.com/wp-content/uploads/Halcyon-Maldives-Resort-Map-2026.pdf</t>
        </is>
      </c>
      <c r="O321" t="inlineStr">
        <is>
          <t>ed9bd9c1a2cbc9ec9ada905a717697cdc47623964814e75fdb5f87bb87a16a8c</t>
        </is>
      </c>
      <c r="P321" t="inlineStr">
        <is>
          <t>library/025_raffles-maldives-meradhoo-resort/map/2026_Halcyon-Maldives-Resort-Map-2026.pdf</t>
        </is>
      </c>
      <c r="R321" t="inlineStr">
        <is>
          <t>current</t>
        </is>
      </c>
      <c r="S321" t="inlineStr">
        <is>
          <t>Y</t>
        </is>
      </c>
      <c r="T321" t="inlineStr">
        <is>
          <t>matched</t>
        </is>
      </c>
      <c r="U321" t="inlineStr">
        <is>
          <t>2026-10-04</t>
        </is>
      </c>
      <c r="V321" t="inlineStr"/>
    </row>
    <row r="322">
      <c r="A322" t="n">
        <v>25</v>
      </c>
      <c r="B322" t="inlineStr">
        <is>
          <t>Raffles Maldives Meradhoo Resort</t>
        </is>
      </c>
      <c r="C322" t="inlineStr">
        <is>
          <t>calendar</t>
        </is>
      </c>
      <c r="D322" t="inlineStr">
        <is>
          <t>2026_The-Halcyon-Maldives-Easter-Brochure-2026.pdf</t>
        </is>
      </c>
      <c r="E322" t="n">
        <v>2026</v>
      </c>
      <c r="H322" t="n">
        <v>36</v>
      </c>
      <c r="I322" t="n">
        <v>23278</v>
      </c>
      <c r="J322" t="inlineStr">
        <is>
          <t>Y</t>
        </is>
      </c>
      <c r="K322" t="inlineStr">
        <is>
          <t>letsgomaldives.com</t>
        </is>
      </c>
      <c r="L322" t="inlineStr">
        <is>
          <t>dmc-agency</t>
        </is>
      </c>
      <c r="M322" t="inlineStr">
        <is>
          <t>https://letsgomaldives.com/wp-content/uploads/2026/02/The-Halcyon-Maldives-Easter-Brochure-2026.pdf</t>
        </is>
      </c>
      <c r="N322" t="inlineStr">
        <is>
          <t>https://letsgomaldives.com/wp-content/uploads/2026/02/The-Halcyon-Maldives-Easter-Brochure-2026.pdf</t>
        </is>
      </c>
      <c r="O322" t="inlineStr">
        <is>
          <t>c97f59512bfee8661ed458786961c9eee40c821e513275f2ce6f35c20eb0646b</t>
        </is>
      </c>
      <c r="P322" t="inlineStr">
        <is>
          <t>library/025_raffles-maldives-meradhoo-resort/calendar/2026_The-Halcyon-Maldives-Easter-Brochure-2026.pdf</t>
        </is>
      </c>
      <c r="R322" t="inlineStr">
        <is>
          <t>current</t>
        </is>
      </c>
      <c r="S322" t="inlineStr">
        <is>
          <t>Y</t>
        </is>
      </c>
      <c r="T322" t="inlineStr">
        <is>
          <t>matched</t>
        </is>
      </c>
      <c r="U322" t="inlineStr">
        <is>
          <t>2026-10-04</t>
        </is>
      </c>
      <c r="V322" t="inlineStr"/>
    </row>
    <row r="323">
      <c r="A323" t="n">
        <v>26</v>
      </c>
      <c r="B323" t="inlineStr">
        <is>
          <t>Centara Ras Fushi Resort &amp; Spa</t>
        </is>
      </c>
      <c r="C323" t="inlineStr">
        <is>
          <t>factsheet</t>
        </is>
      </c>
      <c r="D323" t="inlineStr">
        <is>
          <t>2025_609_CRF_Factsheet_Y251203.pdf</t>
        </is>
      </c>
      <c r="E323" t="n">
        <v>2025</v>
      </c>
      <c r="H323" t="n">
        <v>3</v>
      </c>
      <c r="I323" t="n">
        <v>949</v>
      </c>
      <c r="J323" t="inlineStr">
        <is>
          <t>Y</t>
        </is>
      </c>
      <c r="K323" t="inlineStr">
        <is>
          <t>centarahotelsresorts.com</t>
        </is>
      </c>
      <c r="L323" t="inlineStr">
        <is>
          <t>official</t>
        </is>
      </c>
      <c r="M323" t="inlineStr">
        <is>
          <t>https://www.centarahotelsresorts.com/centara/sites/centara-centara/files/2025-12/609_CRF_Factsheet_Y251203.pdf</t>
        </is>
      </c>
      <c r="N323" t="inlineStr">
        <is>
          <t>https://www.centarahotelsresorts.com/centara/sites/centara-centara/files/2025-12/609_CRF_Factsheet_Y251203.pdf</t>
        </is>
      </c>
      <c r="O323" t="inlineStr">
        <is>
          <t>3ea179f23f65bd7006b6aabc26fb6ebff28387d931174053efc66d2fb3547c35</t>
        </is>
      </c>
      <c r="P323" t="inlineStr">
        <is>
          <t>library/026_centara-ras-fushi-resort-spa/factsheet/2025_609_CRF_Factsheet_Y251203.pdf</t>
        </is>
      </c>
      <c r="R323" t="inlineStr">
        <is>
          <t>current</t>
        </is>
      </c>
      <c r="S323" t="inlineStr">
        <is>
          <t>Y</t>
        </is>
      </c>
      <c r="T323" t="inlineStr">
        <is>
          <t>matched</t>
        </is>
      </c>
      <c r="U323" t="inlineStr">
        <is>
          <t>2026-10-04</t>
        </is>
      </c>
      <c r="V323" t="inlineStr"/>
    </row>
    <row r="324">
      <c r="A324" t="n">
        <v>26</v>
      </c>
      <c r="B324" t="inlineStr">
        <is>
          <t>Centara Ras Fushi Resort &amp; Spa</t>
        </is>
      </c>
      <c r="C324" t="inlineStr">
        <is>
          <t>factsheet</t>
        </is>
      </c>
      <c r="D324" t="inlineStr">
        <is>
          <t>2019_crf-factsheet-en.pdf</t>
        </is>
      </c>
      <c r="E324" t="n">
        <v>2019</v>
      </c>
      <c r="H324" t="n">
        <v>2</v>
      </c>
      <c r="I324" t="n">
        <v>2641</v>
      </c>
      <c r="J324" t="inlineStr">
        <is>
          <t>Y</t>
        </is>
      </c>
      <c r="K324" t="inlineStr">
        <is>
          <t>neoscapesmaldives.com</t>
        </is>
      </c>
      <c r="L324" t="inlineStr">
        <is>
          <t>dmc-agency</t>
        </is>
      </c>
      <c r="M324" t="inlineStr">
        <is>
          <t>https://neoscapesmaldives.com/wp-content/uploads/crf-factsheet-en.pdf</t>
        </is>
      </c>
      <c r="N324" t="inlineStr">
        <is>
          <t>https://neoscapesmaldives.com/wp-content/uploads/crf-factsheet-en.pdf</t>
        </is>
      </c>
      <c r="O324" t="inlineStr">
        <is>
          <t>228e5a541ae7155e93dc741f064d0e199d323a388bf60daae863f0c634714189</t>
        </is>
      </c>
      <c r="P324" t="inlineStr">
        <is>
          <t>library/026_centara-ras-fushi-resort-spa/factsheet/2019_crf-factsheet-en.pdf</t>
        </is>
      </c>
      <c r="R324" t="inlineStr">
        <is>
          <t>outdated</t>
        </is>
      </c>
      <c r="S324" t="inlineStr">
        <is>
          <t>N</t>
        </is>
      </c>
      <c r="T324" t="inlineStr">
        <is>
          <t>matched</t>
        </is>
      </c>
      <c r="U324" t="inlineStr">
        <is>
          <t>2026-10-04</t>
        </is>
      </c>
      <c r="V324" t="inlineStr"/>
    </row>
    <row r="325">
      <c r="A325" t="n">
        <v>26</v>
      </c>
      <c r="B325" t="inlineStr">
        <is>
          <t>Centara Ras Fushi Resort &amp; Spa</t>
        </is>
      </c>
      <c r="C325" t="inlineStr">
        <is>
          <t>wedding</t>
        </is>
      </c>
      <c r="D325" t="inlineStr">
        <is>
          <t>2025_CRF-Wedding-Brochure-2025.pdf</t>
        </is>
      </c>
      <c r="E325" t="n">
        <v>2025</v>
      </c>
      <c r="H325" t="n">
        <v>12</v>
      </c>
      <c r="I325" t="n">
        <v>1450</v>
      </c>
      <c r="J325" t="inlineStr">
        <is>
          <t>Y</t>
        </is>
      </c>
      <c r="K325" t="inlineStr">
        <is>
          <t>centarahotelsresorts.com</t>
        </is>
      </c>
      <c r="L325" t="inlineStr">
        <is>
          <t>official</t>
        </is>
      </c>
      <c r="M325" t="inlineStr">
        <is>
          <t>https://prod.centarahotelsresorts.com/centara/sites/centara-centara/files/2025-07/CRF-Wedding-Brochure-2025.pdf</t>
        </is>
      </c>
      <c r="N325" t="inlineStr">
        <is>
          <t>https://prod.centarahotelsresorts.com/centara/sites/centara-centara/files/2025-07/CRF-Wedding-Brochure-2025.pdf | https://www.centarahotelsresorts.com/centara/sites/centara-centara/files/2025-07/CRF-Wedding-Brochure-2025.pdf</t>
        </is>
      </c>
      <c r="O325" t="inlineStr">
        <is>
          <t>af3a5e5ab4b99f832e593fccdc43e741c6a693f0ba1a92dd2ca878bc01aabbc4</t>
        </is>
      </c>
      <c r="P325" t="inlineStr">
        <is>
          <t>library/026_centara-ras-fushi-resort-spa/wedding/2025_CRF-Wedding-Brochure-2025.pdf</t>
        </is>
      </c>
      <c r="R325" t="inlineStr">
        <is>
          <t>current</t>
        </is>
      </c>
      <c r="S325" t="inlineStr">
        <is>
          <t>Y</t>
        </is>
      </c>
      <c r="T325" t="inlineStr">
        <is>
          <t>matched</t>
        </is>
      </c>
      <c r="U325" t="inlineStr">
        <is>
          <t>2026-10-04</t>
        </is>
      </c>
      <c r="V325" t="inlineStr"/>
    </row>
    <row r="326">
      <c r="A326" t="n">
        <v>26</v>
      </c>
      <c r="B326" t="inlineStr">
        <is>
          <t>Centara Ras Fushi Resort &amp; Spa</t>
        </is>
      </c>
      <c r="C326" t="inlineStr">
        <is>
          <t>map</t>
        </is>
      </c>
      <c r="D326" t="inlineStr">
        <is>
          <t>2020_centara-ras-fushi-Map.pdf</t>
        </is>
      </c>
      <c r="E326" t="n">
        <v>2020</v>
      </c>
      <c r="H326" t="n">
        <v>1</v>
      </c>
      <c r="I326" t="n">
        <v>226</v>
      </c>
      <c r="J326" t="inlineStr">
        <is>
          <t>N</t>
        </is>
      </c>
      <c r="K326" t="inlineStr">
        <is>
          <t>neoscapesmaldives.com</t>
        </is>
      </c>
      <c r="L326" t="inlineStr">
        <is>
          <t>dmc-agency</t>
        </is>
      </c>
      <c r="M326" t="inlineStr">
        <is>
          <t>https://www.neoscapesmaldives.com/wp-content/uploads/centara-ras-fushi-Map.pdf</t>
        </is>
      </c>
      <c r="N326" t="inlineStr">
        <is>
          <t>https://www.neoscapesmaldives.com/wp-content/uploads/centara-ras-fushi-Map.pdf</t>
        </is>
      </c>
      <c r="O326" t="inlineStr">
        <is>
          <t>cc53fae00785200de6c54676849a943e54fa8516dbc5dc2055d6fac8a176fc35</t>
        </is>
      </c>
      <c r="P326" t="inlineStr">
        <is>
          <t>library/026_centara-ras-fushi-resort-spa/map/2020_centara-ras-fushi-Map.pdf</t>
        </is>
      </c>
      <c r="R326" t="inlineStr">
        <is>
          <t>outdated</t>
        </is>
      </c>
      <c r="S326" t="inlineStr">
        <is>
          <t>Y</t>
        </is>
      </c>
      <c r="T326" t="inlineStr">
        <is>
          <t>matched</t>
        </is>
      </c>
      <c r="U326" t="inlineStr">
        <is>
          <t>2026-10-04</t>
        </is>
      </c>
      <c r="V326" t="inlineStr"/>
    </row>
    <row r="327">
      <c r="A327" t="n">
        <v>26</v>
      </c>
      <c r="B327" t="inlineStr">
        <is>
          <t>Centara Ras Fushi Resort &amp; Spa</t>
        </is>
      </c>
      <c r="C327" t="inlineStr">
        <is>
          <t>spa_menu</t>
        </is>
      </c>
      <c r="D327" t="inlineStr">
        <is>
          <t>2026_Centara-Ras-Fushi-Resort--Spa-Maldives-Brochure_withEdited.pdf</t>
        </is>
      </c>
      <c r="E327" t="n">
        <v>2026</v>
      </c>
      <c r="H327" t="n">
        <v>36</v>
      </c>
      <c r="I327" t="n">
        <v>3456</v>
      </c>
      <c r="J327" t="inlineStr">
        <is>
          <t>Y</t>
        </is>
      </c>
      <c r="K327" t="inlineStr">
        <is>
          <t>centarahotelsresorts.com</t>
        </is>
      </c>
      <c r="L327" t="inlineStr">
        <is>
          <t>official</t>
        </is>
      </c>
      <c r="M327" t="inlineStr">
        <is>
          <t>https://www.centarahotelsresorts.com/centara/sites/centara-centara/files/2026-10/Centara-Ras-Fushi-Resort--Spa-Maldives-Brochure_withEdited.pdf</t>
        </is>
      </c>
      <c r="N327" t="inlineStr">
        <is>
          <t>https://www.centarahotelsresorts.com/centara/sites/centara-centara/files/2026-10/Centara-Ras-Fushi-Resort--Spa-Maldives-Brochure_withEdited.pdf</t>
        </is>
      </c>
      <c r="O327" t="inlineStr">
        <is>
          <t>6ef0c5b6b66f7c457dc19f6eeeea1631e4c0dd6b1f4c7ba6653344d2946a743e</t>
        </is>
      </c>
      <c r="P327" t="inlineStr">
        <is>
          <t>library/026_centara-ras-fushi-resort-spa/spa_menu/2026_Centara-Ras-Fushi-Resort--Spa-Maldives-Brochure_withEdited.pdf</t>
        </is>
      </c>
      <c r="R327" t="inlineStr">
        <is>
          <t>current</t>
        </is>
      </c>
      <c r="S327" t="inlineStr">
        <is>
          <t>Y</t>
        </is>
      </c>
      <c r="T327" t="inlineStr">
        <is>
          <t>matched</t>
        </is>
      </c>
      <c r="U327" t="inlineStr">
        <is>
          <t>2026-10-04</t>
        </is>
      </c>
      <c r="V327" t="inlineStr"/>
    </row>
    <row r="328">
      <c r="A328" t="n">
        <v>26</v>
      </c>
      <c r="B328" t="inlineStr">
        <is>
          <t>Centara Ras Fushi Resort &amp; Spa</t>
        </is>
      </c>
      <c r="C328" t="inlineStr">
        <is>
          <t>all_inclusive</t>
        </is>
      </c>
      <c r="D328" t="inlineStr">
        <is>
          <t>2026_ED-CRF-Meal-Plans.pdf</t>
        </is>
      </c>
      <c r="E328" t="n">
        <v>2026</v>
      </c>
      <c r="H328" t="n">
        <v>4</v>
      </c>
      <c r="I328" t="n">
        <v>932</v>
      </c>
      <c r="J328" t="inlineStr">
        <is>
          <t>Y</t>
        </is>
      </c>
      <c r="K328" t="inlineStr">
        <is>
          <t>centarahotelsresorts.com</t>
        </is>
      </c>
      <c r="L328" t="inlineStr">
        <is>
          <t>official</t>
        </is>
      </c>
      <c r="M328" t="inlineStr">
        <is>
          <t>https://www.centarahotelsresorts.com/centara/sites/centara-centara/files/2026-04/ED-CRF-Meal-Plans.pdf</t>
        </is>
      </c>
      <c r="N328" t="inlineStr">
        <is>
          <t>https://www.centarahotelsresorts.com/centara/sites/centara-centara/files/2026-04/ED-CRF-Meal-Plans.pdf</t>
        </is>
      </c>
      <c r="O328" t="inlineStr">
        <is>
          <t>06ef4610aeae602c2e17f68f6067f5c6be467bfe0afaa39b3c097e37f1028546</t>
        </is>
      </c>
      <c r="P328" t="inlineStr">
        <is>
          <t>library/026_centara-ras-fushi-resort-spa/all_inclusive/2026_ED-CRF-Meal-Plans.pdf</t>
        </is>
      </c>
      <c r="R328" t="inlineStr">
        <is>
          <t>current</t>
        </is>
      </c>
      <c r="S328" t="inlineStr">
        <is>
          <t>Y</t>
        </is>
      </c>
      <c r="T328" t="inlineStr">
        <is>
          <t>needs-review</t>
        </is>
      </c>
      <c r="U328" t="inlineStr">
        <is>
          <t>2026-10-04</t>
        </is>
      </c>
      <c r="V328" t="inlineStr">
        <is>
          <t>ambiguous match [26]</t>
        </is>
      </c>
    </row>
    <row r="329">
      <c r="A329" t="n">
        <v>27</v>
      </c>
      <c r="B329" t="inlineStr">
        <is>
          <t>Grand Park Kodhipparu Maldives</t>
        </is>
      </c>
      <c r="C329" t="inlineStr">
        <is>
          <t>factsheet</t>
        </is>
      </c>
      <c r="D329" t="inlineStr">
        <is>
          <t>2022_GPKD-Resort-Factsheet-2022.pdf</t>
        </is>
      </c>
      <c r="E329" t="n">
        <v>2022</v>
      </c>
      <c r="H329" t="n">
        <v>14</v>
      </c>
      <c r="I329" t="n">
        <v>24146</v>
      </c>
      <c r="J329" t="inlineStr">
        <is>
          <t>N</t>
        </is>
      </c>
      <c r="K329" t="inlineStr">
        <is>
          <t>neoscapesmaldives.com</t>
        </is>
      </c>
      <c r="L329" t="inlineStr">
        <is>
          <t>dmc-agency</t>
        </is>
      </c>
      <c r="M329" t="inlineStr">
        <is>
          <t>https://www.neoscapesmaldives.com/wp-content/uploads/GPKD-Resort-Factsheet-2022.pdf</t>
        </is>
      </c>
      <c r="N329" t="inlineStr">
        <is>
          <t>https://www.neoscapesmaldives.com/wp-content/uploads/GPKD-Resort-Factsheet-2022.pdf</t>
        </is>
      </c>
      <c r="O329" t="inlineStr">
        <is>
          <t>59e2fe5a86a0a993f09ec14f337f0af3433bbfe6cb430feae1a851823e3cc302</t>
        </is>
      </c>
      <c r="P329" t="inlineStr">
        <is>
          <t>library/027_grand-park-kodhipparu-maldives/factsheet/2022_GPKD-Resort-Factsheet-2022.pdf</t>
        </is>
      </c>
      <c r="R329" t="inlineStr">
        <is>
          <t>outdated</t>
        </is>
      </c>
      <c r="S329" t="inlineStr">
        <is>
          <t>Y</t>
        </is>
      </c>
      <c r="T329" t="inlineStr">
        <is>
          <t>needs-review</t>
        </is>
      </c>
      <c r="U329" t="inlineStr">
        <is>
          <t>2026-10-04</t>
        </is>
      </c>
      <c r="V329" t="inlineStr">
        <is>
          <t>ambiguous match [27]</t>
        </is>
      </c>
    </row>
    <row r="330">
      <c r="A330" t="n">
        <v>27</v>
      </c>
      <c r="B330" t="inlineStr">
        <is>
          <t>Grand Park Kodhipparu Maldives</t>
        </is>
      </c>
      <c r="C330" t="inlineStr">
        <is>
          <t>map</t>
        </is>
      </c>
      <c r="D330" t="inlineStr">
        <is>
          <t>2022_Grand-Park-Kodhipparu-Maldives-Resort-Map.pdf</t>
        </is>
      </c>
      <c r="E330" t="n">
        <v>2022</v>
      </c>
      <c r="H330" t="n">
        <v>1</v>
      </c>
      <c r="I330" t="n">
        <v>2743</v>
      </c>
      <c r="J330" t="inlineStr">
        <is>
          <t>Y</t>
        </is>
      </c>
      <c r="K330" t="inlineStr">
        <is>
          <t>neoscapesmaldives.com</t>
        </is>
      </c>
      <c r="L330" t="inlineStr">
        <is>
          <t>dmc-agency</t>
        </is>
      </c>
      <c r="M330" t="inlineStr">
        <is>
          <t>https://www.neoscapesmaldives.com/wp-content/uploads/Grand-Park-Kodhipparu-Maldives-Resort-Map.pdf</t>
        </is>
      </c>
      <c r="N330" t="inlineStr">
        <is>
          <t>https://www.neoscapesmaldives.com/wp-content/uploads/Grand-Park-Kodhipparu-Maldives-Resort-Map.pdf</t>
        </is>
      </c>
      <c r="O330" t="inlineStr">
        <is>
          <t>8acdd05667089bf6143e35a13eddc2789697149128e30b8ef044a9d24f7ea6a5</t>
        </is>
      </c>
      <c r="P330" t="inlineStr">
        <is>
          <t>library/027_grand-park-kodhipparu-maldives/map/2022_Grand-Park-Kodhipparu-Maldives-Resort-Map.pdf</t>
        </is>
      </c>
      <c r="R330" t="inlineStr">
        <is>
          <t>outdated</t>
        </is>
      </c>
      <c r="S330" t="inlineStr">
        <is>
          <t>Y</t>
        </is>
      </c>
      <c r="T330" t="inlineStr">
        <is>
          <t>matched</t>
        </is>
      </c>
      <c r="U330" t="inlineStr">
        <is>
          <t>2026-10-04</t>
        </is>
      </c>
      <c r="V330" t="inlineStr"/>
    </row>
    <row r="331">
      <c r="A331" t="n">
        <v>27</v>
      </c>
      <c r="B331" t="inlineStr">
        <is>
          <t>Grand Park Kodhipparu Maldives</t>
        </is>
      </c>
      <c r="C331" t="inlineStr">
        <is>
          <t>calendar</t>
        </is>
      </c>
      <c r="D331" t="inlineStr">
        <is>
          <t>2026_Grand-Park-Kodhipparu.pdf</t>
        </is>
      </c>
      <c r="E331" t="n">
        <v>2026</v>
      </c>
      <c r="H331" t="n">
        <v>23</v>
      </c>
      <c r="I331" t="n">
        <v>2649</v>
      </c>
      <c r="J331" t="inlineStr">
        <is>
          <t>Y</t>
        </is>
      </c>
      <c r="K331" t="inlineStr">
        <is>
          <t>letsgomaldives.com</t>
        </is>
      </c>
      <c r="L331" t="inlineStr">
        <is>
          <t>dmc-agency</t>
        </is>
      </c>
      <c r="M331" t="inlineStr">
        <is>
          <t>https://letsgomaldives.com/wp-content/uploads/2026/08/Grand-Park-Kodhipparu.pdf</t>
        </is>
      </c>
      <c r="N331" t="inlineStr">
        <is>
          <t>https://letsgomaldives.com/wp-content/uploads/2026/08/Grand-Park-Kodhipparu.pdf</t>
        </is>
      </c>
      <c r="O331" t="inlineStr">
        <is>
          <t>591210e7c4b0846d29eb816281eceaf67b051b38e15a4c1c9bb46fb82c099ea7</t>
        </is>
      </c>
      <c r="P331" t="inlineStr">
        <is>
          <t>library/027_grand-park-kodhipparu-maldives/calendar/2026_Grand-Park-Kodhipparu.pdf</t>
        </is>
      </c>
      <c r="R331" t="inlineStr">
        <is>
          <t>current</t>
        </is>
      </c>
      <c r="S331" t="inlineStr">
        <is>
          <t>Y</t>
        </is>
      </c>
      <c r="T331" t="inlineStr">
        <is>
          <t>matched</t>
        </is>
      </c>
      <c r="U331" t="inlineStr">
        <is>
          <t>2026-10-04</t>
        </is>
      </c>
      <c r="V331" t="inlineStr"/>
    </row>
    <row r="332">
      <c r="A332" t="n">
        <v>27</v>
      </c>
      <c r="B332" t="inlineStr">
        <is>
          <t>Grand Park Kodhipparu Maldives</t>
        </is>
      </c>
      <c r="C332" t="inlineStr">
        <is>
          <t>calendar</t>
        </is>
      </c>
      <c r="D332" t="inlineStr">
        <is>
          <t>2023_Festive-Brochure-Digital-Version-2023_231115_151532.pdf</t>
        </is>
      </c>
      <c r="E332" t="n">
        <v>2023</v>
      </c>
      <c r="H332" t="n">
        <v>14</v>
      </c>
      <c r="I332" t="n">
        <v>16553</v>
      </c>
      <c r="J332" t="inlineStr">
        <is>
          <t>Y</t>
        </is>
      </c>
      <c r="K332" t="inlineStr">
        <is>
          <t>letsgomaldives.com</t>
        </is>
      </c>
      <c r="L332" t="inlineStr">
        <is>
          <t>dmc-agency</t>
        </is>
      </c>
      <c r="M332" t="inlineStr">
        <is>
          <t>https://letsgomaldives.com/wp-content/uploads/2023/11/Festive-Brochure-Digital-Version-2023_231115_151532.pdf</t>
        </is>
      </c>
      <c r="N332" t="inlineStr">
        <is>
          <t>https://letsgomaldives.com/wp-content/uploads/2023/11/Festive-Brochure-Digital-Version-2023_231115_151532.pdf</t>
        </is>
      </c>
      <c r="O332" t="inlineStr">
        <is>
          <t>09f5c0caf2a10c919e454ba8d73ca6737937748c3ccf0078c0f9140eedc5ff6b</t>
        </is>
      </c>
      <c r="P332" t="inlineStr">
        <is>
          <t>library/027_grand-park-kodhipparu-maldives/calendar/2023_Festive-Brochure-Digital-Version-2023_231115_151532.pdf</t>
        </is>
      </c>
      <c r="R332" t="inlineStr">
        <is>
          <t>outdated</t>
        </is>
      </c>
      <c r="S332" t="inlineStr">
        <is>
          <t>N</t>
        </is>
      </c>
      <c r="T332" t="inlineStr">
        <is>
          <t>matched</t>
        </is>
      </c>
      <c r="U332" t="inlineStr">
        <is>
          <t>2026-10-04</t>
        </is>
      </c>
      <c r="V332" t="inlineStr"/>
    </row>
    <row r="333">
      <c r="A333" t="n">
        <v>28</v>
      </c>
      <c r="B333" t="inlineStr">
        <is>
          <t>Kudadoo Maldives Private island</t>
        </is>
      </c>
      <c r="C333" t="inlineStr">
        <is>
          <t>factsheet</t>
        </is>
      </c>
      <c r="D333" t="inlineStr">
        <is>
          <t>2025_KudadooFactsheet110125103126Ver0526255.pdf</t>
        </is>
      </c>
      <c r="E333" t="n">
        <v>2025</v>
      </c>
      <c r="F333" t="inlineStr">
        <is>
          <t>2025-11-01</t>
        </is>
      </c>
      <c r="G333" t="inlineStr">
        <is>
          <t>2026-10-31</t>
        </is>
      </c>
      <c r="H333" t="n">
        <v>7</v>
      </c>
      <c r="I333" t="n">
        <v>1761</v>
      </c>
      <c r="J333" t="inlineStr">
        <is>
          <t>Y</t>
        </is>
      </c>
      <c r="K333" t="inlineStr">
        <is>
          <t>sales.crownandchamparesorts.com</t>
        </is>
      </c>
      <c r="L333" t="inlineStr">
        <is>
          <t>brand-cdn</t>
        </is>
      </c>
      <c r="M333" t="inlineStr">
        <is>
          <t>https://sales.crownandchamparesorts.com/wp-content/uploads/2025/12/KudadooFactsheet110125103126Ver0526255.pdf</t>
        </is>
      </c>
      <c r="N333" t="inlineStr">
        <is>
          <t>https://sales.crownandchamparesorts.com/wp-content/uploads/2025/12/KudadooFactsheet110125103126Ver0526255.pdf</t>
        </is>
      </c>
      <c r="O333" t="inlineStr">
        <is>
          <t>0a2036fc9a737116a58eb1a27b78f621bff0a4ceed7e85fe30bed2a69c653b6d</t>
        </is>
      </c>
      <c r="P333" t="inlineStr">
        <is>
          <t>library/028_kudadoo-maldives-private-island/factsheet/2025_KudadooFactsheet110125103126Ver0526255.pdf</t>
        </is>
      </c>
      <c r="R333" t="inlineStr">
        <is>
          <t>current</t>
        </is>
      </c>
      <c r="S333" t="inlineStr">
        <is>
          <t>Y</t>
        </is>
      </c>
      <c r="T333" t="inlineStr">
        <is>
          <t>matched</t>
        </is>
      </c>
      <c r="U333" t="inlineStr">
        <is>
          <t>2026-10-04</t>
        </is>
      </c>
      <c r="V333" t="inlineStr"/>
    </row>
    <row r="334">
      <c r="A334" t="n">
        <v>28</v>
      </c>
      <c r="B334" t="inlineStr">
        <is>
          <t>Kudadoo Maldives Private island</t>
        </is>
      </c>
      <c r="C334" t="inlineStr">
        <is>
          <t>factsheet</t>
        </is>
      </c>
      <c r="D334" t="inlineStr">
        <is>
          <t>2021_Kudadoo-Factsheet-110121103122Ver110121-Digital_compressed-1.pdf</t>
        </is>
      </c>
      <c r="E334" t="n">
        <v>2021</v>
      </c>
      <c r="F334" t="inlineStr">
        <is>
          <t>2021-11-01</t>
        </is>
      </c>
      <c r="G334" t="inlineStr">
        <is>
          <t>2022-10-31</t>
        </is>
      </c>
      <c r="H334" t="n">
        <v>7</v>
      </c>
      <c r="I334" t="n">
        <v>1180</v>
      </c>
      <c r="J334" t="inlineStr">
        <is>
          <t>Y</t>
        </is>
      </c>
      <c r="K334" t="inlineStr">
        <is>
          <t>sales.crownandchamparesorts.com</t>
        </is>
      </c>
      <c r="L334" t="inlineStr">
        <is>
          <t>brand-cdn</t>
        </is>
      </c>
      <c r="M334" t="inlineStr">
        <is>
          <t>https://sales.crownandchamparesorts.com/wp-content/uploads/2023/08/Kudadoo-Factsheet-110121103122Ver110121-Digital_compressed-1.pdf</t>
        </is>
      </c>
      <c r="N334" t="inlineStr">
        <is>
          <t>https://sales.crownandchamparesorts.com/wp-content/uploads/2023/08/Kudadoo-Factsheet-110121103122Ver110121-Digital_compressed-1.pdf</t>
        </is>
      </c>
      <c r="O334" t="inlineStr">
        <is>
          <t>30a930685c84c84cb21df5cfe02c792f8386e00f92be31090f107d923df8642f</t>
        </is>
      </c>
      <c r="P334" t="inlineStr">
        <is>
          <t>library/028_kudadoo-maldives-private-island/factsheet/2021_Kudadoo-Factsheet-110121103122Ver110121-Digital_compressed-1.pdf</t>
        </is>
      </c>
      <c r="R334" t="inlineStr">
        <is>
          <t>outdated</t>
        </is>
      </c>
      <c r="S334" t="inlineStr">
        <is>
          <t>N</t>
        </is>
      </c>
      <c r="T334" t="inlineStr">
        <is>
          <t>matched</t>
        </is>
      </c>
      <c r="U334" t="inlineStr">
        <is>
          <t>2026-10-04</t>
        </is>
      </c>
      <c r="V334" t="inlineStr"/>
    </row>
    <row r="335">
      <c r="A335" t="n">
        <v>28</v>
      </c>
      <c r="B335" t="inlineStr">
        <is>
          <t>Kudadoo Maldives Private island</t>
        </is>
      </c>
      <c r="C335" t="inlineStr">
        <is>
          <t>factsheet</t>
        </is>
      </c>
      <c r="D335" t="inlineStr">
        <is>
          <t>2019_Kudadoo-Factsheet-110119103120Ver010720.pdf</t>
        </is>
      </c>
      <c r="E335" t="n">
        <v>2019</v>
      </c>
      <c r="F335" t="inlineStr">
        <is>
          <t>2019-11-01</t>
        </is>
      </c>
      <c r="G335" t="inlineStr">
        <is>
          <t>2020-10-31</t>
        </is>
      </c>
      <c r="H335" t="n">
        <v>7</v>
      </c>
      <c r="I335" t="n">
        <v>1744</v>
      </c>
      <c r="J335" t="inlineStr">
        <is>
          <t>Y</t>
        </is>
      </c>
      <c r="K335" t="inlineStr">
        <is>
          <t>sales.crownandchamparesorts.com</t>
        </is>
      </c>
      <c r="L335" t="inlineStr">
        <is>
          <t>brand-cdn</t>
        </is>
      </c>
      <c r="M335" t="inlineStr">
        <is>
          <t>https://sales.crownandchamparesorts.com/wp-content/uploads/2020/01/Kudadoo-Factsheet-110119103120Ver010720.pdf</t>
        </is>
      </c>
      <c r="N335" t="inlineStr">
        <is>
          <t>https://sales.crownandchamparesorts.com/wp-content/uploads/2020/01/Kudadoo-Factsheet-110119103120Ver010720.pdf</t>
        </is>
      </c>
      <c r="O335" t="inlineStr">
        <is>
          <t>4a2efb538365abb18106c76aced6c717cfa712caf2d180ca1248a22b04224ef7</t>
        </is>
      </c>
      <c r="P335" t="inlineStr">
        <is>
          <t>library/028_kudadoo-maldives-private-island/factsheet/2019_Kudadoo-Factsheet-110119103120Ver010720.pdf</t>
        </is>
      </c>
      <c r="R335" t="inlineStr">
        <is>
          <t>outdated</t>
        </is>
      </c>
      <c r="S335" t="inlineStr">
        <is>
          <t>N</t>
        </is>
      </c>
      <c r="T335" t="inlineStr">
        <is>
          <t>matched</t>
        </is>
      </c>
      <c r="U335" t="inlineStr">
        <is>
          <t>2026-10-04</t>
        </is>
      </c>
      <c r="V335" t="inlineStr"/>
    </row>
    <row r="336">
      <c r="A336" t="n">
        <v>28</v>
      </c>
      <c r="B336" t="inlineStr">
        <is>
          <t>Kudadoo Maldives Private island</t>
        </is>
      </c>
      <c r="C336" t="inlineStr">
        <is>
          <t>factsheet</t>
        </is>
      </c>
      <c r="D336" t="inlineStr">
        <is>
          <t>2019_Kudadoo-Factsheet-110119103120Ver072719-Digital-Version.pdf</t>
        </is>
      </c>
      <c r="E336" t="n">
        <v>2019</v>
      </c>
      <c r="F336" t="inlineStr">
        <is>
          <t>2019-11-01</t>
        </is>
      </c>
      <c r="G336" t="inlineStr">
        <is>
          <t>2020-10-31</t>
        </is>
      </c>
      <c r="H336" t="n">
        <v>7</v>
      </c>
      <c r="I336" t="n">
        <v>2793</v>
      </c>
      <c r="J336" t="inlineStr">
        <is>
          <t>Y</t>
        </is>
      </c>
      <c r="K336" t="inlineStr">
        <is>
          <t>sales.crownandchamparesorts.com</t>
        </is>
      </c>
      <c r="L336" t="inlineStr">
        <is>
          <t>brand-cdn</t>
        </is>
      </c>
      <c r="M336" t="inlineStr">
        <is>
          <t>https://sales.crownandchamparesorts.com/wp-content/uploads/2018/03/Kudadoo-Factsheet-110119103120Ver072719-Digital-Version.pdf</t>
        </is>
      </c>
      <c r="N336" t="inlineStr">
        <is>
          <t>https://sales.crownandchamparesorts.com/wp-content/uploads/2018/03/Kudadoo-Factsheet-110119103120Ver072719-Digital-Version.pdf</t>
        </is>
      </c>
      <c r="O336" t="inlineStr">
        <is>
          <t>62b17bbc0d6812cf1b12a3399059d46150ae9aa9bc746a625d5c9d6b962dd07b</t>
        </is>
      </c>
      <c r="P336" t="inlineStr">
        <is>
          <t>library/028_kudadoo-maldives-private-island/factsheet/2019_Kudadoo-Factsheet-110119103120Ver072719-Digital-Version.pdf</t>
        </is>
      </c>
      <c r="R336" t="inlineStr">
        <is>
          <t>outdated</t>
        </is>
      </c>
      <c r="S336" t="inlineStr">
        <is>
          <t>N</t>
        </is>
      </c>
      <c r="T336" t="inlineStr">
        <is>
          <t>matched</t>
        </is>
      </c>
      <c r="U336" t="inlineStr">
        <is>
          <t>2026-10-04</t>
        </is>
      </c>
      <c r="V336" t="inlineStr"/>
    </row>
    <row r="337">
      <c r="A337" t="n">
        <v>28</v>
      </c>
      <c r="B337" t="inlineStr">
        <is>
          <t>Kudadoo Maldives Private island</t>
        </is>
      </c>
      <c r="C337" t="inlineStr">
        <is>
          <t>factsheet</t>
        </is>
      </c>
      <c r="D337" t="inlineStr">
        <is>
          <t>2018_FactsheetKudadoo100118103119Ver051718.pdf</t>
        </is>
      </c>
      <c r="E337" t="n">
        <v>2018</v>
      </c>
      <c r="F337" t="inlineStr">
        <is>
          <t>2018-10-01</t>
        </is>
      </c>
      <c r="G337" t="inlineStr">
        <is>
          <t>2019-10-31</t>
        </is>
      </c>
      <c r="H337" t="n">
        <v>7</v>
      </c>
      <c r="I337" t="n">
        <v>1602</v>
      </c>
      <c r="J337" t="inlineStr">
        <is>
          <t>Y</t>
        </is>
      </c>
      <c r="K337" t="inlineStr">
        <is>
          <t>sales.crownandchamparesorts.com</t>
        </is>
      </c>
      <c r="L337" t="inlineStr">
        <is>
          <t>brand-cdn</t>
        </is>
      </c>
      <c r="M337" t="inlineStr">
        <is>
          <t>https://sales.crownandchamparesorts.com/wp-content/uploads/2018/10/FactsheetKudadoo100118103119Ver051718.pdf</t>
        </is>
      </c>
      <c r="N337" t="inlineStr">
        <is>
          <t>https://sales.crownandchamparesorts.com/wp-content/uploads/2018/10/FactsheetKudadoo100118103119Ver051718.pdf</t>
        </is>
      </c>
      <c r="O337" t="inlineStr">
        <is>
          <t>74c252260a7a8a7d5ef2732b6f7b97e810e2884d7e8e1a0a3cbf8726ad6124bf</t>
        </is>
      </c>
      <c r="P337" t="inlineStr">
        <is>
          <t>library/028_kudadoo-maldives-private-island/factsheet/2018_FactsheetKudadoo100118103119Ver051718.pdf</t>
        </is>
      </c>
      <c r="R337" t="inlineStr">
        <is>
          <t>outdated</t>
        </is>
      </c>
      <c r="S337" t="inlineStr">
        <is>
          <t>N</t>
        </is>
      </c>
      <c r="T337" t="inlineStr">
        <is>
          <t>matched</t>
        </is>
      </c>
      <c r="U337" t="inlineStr">
        <is>
          <t>2026-10-04</t>
        </is>
      </c>
      <c r="V337" t="inlineStr"/>
    </row>
    <row r="338">
      <c r="A338" t="n">
        <v>28</v>
      </c>
      <c r="B338" t="inlineStr">
        <is>
          <t>Kudadoo Maldives Private island</t>
        </is>
      </c>
      <c r="C338" t="inlineStr">
        <is>
          <t>map</t>
        </is>
      </c>
      <c r="D338" t="inlineStr">
        <is>
          <t>2025_KudadooMap110125103126Ver070125.pdf</t>
        </is>
      </c>
      <c r="E338" t="n">
        <v>2025</v>
      </c>
      <c r="F338" t="inlineStr">
        <is>
          <t>2025-11-01</t>
        </is>
      </c>
      <c r="G338" t="inlineStr">
        <is>
          <t>2026-10-31</t>
        </is>
      </c>
      <c r="H338" t="n">
        <v>1</v>
      </c>
      <c r="I338" t="n">
        <v>1945</v>
      </c>
      <c r="J338" t="inlineStr">
        <is>
          <t>N</t>
        </is>
      </c>
      <c r="K338" t="inlineStr">
        <is>
          <t>sales.crownandchamparesorts.com</t>
        </is>
      </c>
      <c r="L338" t="inlineStr">
        <is>
          <t>brand-cdn</t>
        </is>
      </c>
      <c r="M338" t="inlineStr">
        <is>
          <t>https://sales.crownandchamparesorts.com/wp-content/uploads/2025/12/KudadooMap110125103126Ver070125.pdf</t>
        </is>
      </c>
      <c r="N338" t="inlineStr">
        <is>
          <t>https://sales.crownandchamparesorts.com/wp-content/uploads/2025/12/KudadooMap110125103126Ver070125.pdf</t>
        </is>
      </c>
      <c r="O338" t="inlineStr">
        <is>
          <t>1482e84d277b3aa0e5213c09c32601868f5135452861fd2b717d37be52a89c10</t>
        </is>
      </c>
      <c r="P338" t="inlineStr">
        <is>
          <t>library/028_kudadoo-maldives-private-island/map/2025_KudadooMap110125103126Ver070125.pdf</t>
        </is>
      </c>
      <c r="R338" t="inlineStr">
        <is>
          <t>current</t>
        </is>
      </c>
      <c r="S338" t="inlineStr">
        <is>
          <t>Y</t>
        </is>
      </c>
      <c r="T338" t="inlineStr">
        <is>
          <t>matched</t>
        </is>
      </c>
      <c r="U338" t="inlineStr">
        <is>
          <t>2026-10-04</t>
        </is>
      </c>
      <c r="V338" t="inlineStr"/>
    </row>
    <row r="339">
      <c r="A339" t="n">
        <v>28</v>
      </c>
      <c r="B339" t="inlineStr">
        <is>
          <t>Kudadoo Maldives Private island</t>
        </is>
      </c>
      <c r="C339" t="inlineStr">
        <is>
          <t>spa_menu</t>
        </is>
      </c>
      <c r="D339" t="inlineStr">
        <is>
          <t>2025_KudadooSulhaSpaMenu110125103126Ver112023.pdf</t>
        </is>
      </c>
      <c r="E339" t="n">
        <v>2025</v>
      </c>
      <c r="F339" t="inlineStr">
        <is>
          <t>2025-11-01</t>
        </is>
      </c>
      <c r="G339" t="inlineStr">
        <is>
          <t>2026-10-31</t>
        </is>
      </c>
      <c r="H339" t="n">
        <v>11</v>
      </c>
      <c r="I339" t="n">
        <v>1248</v>
      </c>
      <c r="J339" t="inlineStr">
        <is>
          <t>Y</t>
        </is>
      </c>
      <c r="K339" t="inlineStr">
        <is>
          <t>sales.crownandchamparesorts.com</t>
        </is>
      </c>
      <c r="L339" t="inlineStr">
        <is>
          <t>brand-cdn</t>
        </is>
      </c>
      <c r="M339" t="inlineStr">
        <is>
          <t>https://sales.crownandchamparesorts.com/wp-content/uploads/2025/12/KudadooSulhaSpaMenu110125103126Ver112023.pdf</t>
        </is>
      </c>
      <c r="N339" t="inlineStr">
        <is>
          <t>https://sales.crownandchamparesorts.com/wp-content/uploads/2025/12/KudadooSulhaSpaMenu110125103126Ver112023.pdf</t>
        </is>
      </c>
      <c r="O339" t="inlineStr">
        <is>
          <t>33eb8d1d582d6fcf7c2e059c4e343aaae42b2267d2438569e9cc2b599f5e1bd2</t>
        </is>
      </c>
      <c r="P339" t="inlineStr">
        <is>
          <t>library/028_kudadoo-maldives-private-island/spa_menu/2025_KudadooSulhaSpaMenu110125103126Ver112023.pdf</t>
        </is>
      </c>
      <c r="R339" t="inlineStr">
        <is>
          <t>current</t>
        </is>
      </c>
      <c r="S339" t="inlineStr">
        <is>
          <t>Y</t>
        </is>
      </c>
      <c r="T339" t="inlineStr">
        <is>
          <t>matched</t>
        </is>
      </c>
      <c r="U339" t="inlineStr">
        <is>
          <t>2026-10-04</t>
        </is>
      </c>
      <c r="V339" t="inlineStr"/>
    </row>
    <row r="340">
      <c r="A340" t="n">
        <v>28</v>
      </c>
      <c r="B340" t="inlineStr">
        <is>
          <t>Kudadoo Maldives Private island</t>
        </is>
      </c>
      <c r="C340" t="inlineStr">
        <is>
          <t>spa_menu</t>
        </is>
      </c>
      <c r="D340" t="inlineStr">
        <is>
          <t>2019_KUD_AAA1.pdf</t>
        </is>
      </c>
      <c r="E340" t="n">
        <v>2019</v>
      </c>
      <c r="H340" t="n">
        <v>1</v>
      </c>
      <c r="I340" t="n">
        <v>493</v>
      </c>
      <c r="J340" t="inlineStr">
        <is>
          <t>Y</t>
        </is>
      </c>
      <c r="K340" t="inlineStr">
        <is>
          <t>sales.crownandchamparesorts.com</t>
        </is>
      </c>
      <c r="L340" t="inlineStr">
        <is>
          <t>brand-cdn</t>
        </is>
      </c>
      <c r="M340" t="inlineStr">
        <is>
          <t>https://sales.crownandchamparesorts.com/wp-content/uploads/2020/10/KUD_AAA1.pdf</t>
        </is>
      </c>
      <c r="N340" t="inlineStr">
        <is>
          <t>https://sales.crownandchamparesorts.com/wp-content/uploads/2020/10/KUD_AAA1.pdf</t>
        </is>
      </c>
      <c r="O340" t="inlineStr">
        <is>
          <t>523feb84d5f24be5e7f545c4164812204724da66ccce4b96d63cf68c96a07a83</t>
        </is>
      </c>
      <c r="P340" t="inlineStr">
        <is>
          <t>library/028_kudadoo-maldives-private-island/spa_menu/2019_KUD_AAA1.pdf</t>
        </is>
      </c>
      <c r="R340" t="inlineStr">
        <is>
          <t>outdated</t>
        </is>
      </c>
      <c r="S340" t="inlineStr">
        <is>
          <t>N</t>
        </is>
      </c>
      <c r="T340" t="inlineStr">
        <is>
          <t>matched</t>
        </is>
      </c>
      <c r="U340" t="inlineStr">
        <is>
          <t>2026-10-04</t>
        </is>
      </c>
      <c r="V340" t="inlineStr"/>
    </row>
    <row r="341">
      <c r="A341" t="n">
        <v>28</v>
      </c>
      <c r="B341" t="inlineStr">
        <is>
          <t>Kudadoo Maldives Private island</t>
        </is>
      </c>
      <c r="C341" t="inlineStr">
        <is>
          <t>spa_menu</t>
        </is>
      </c>
      <c r="D341" t="inlineStr">
        <is>
          <t>2018_KudadooSulhaSpaMenu120118103119Ver112618.pdf</t>
        </is>
      </c>
      <c r="E341" t="n">
        <v>2018</v>
      </c>
      <c r="F341" t="inlineStr">
        <is>
          <t>2018-12-01</t>
        </is>
      </c>
      <c r="G341" t="inlineStr">
        <is>
          <t>2019-10-31</t>
        </is>
      </c>
      <c r="H341" t="n">
        <v>9</v>
      </c>
      <c r="I341" t="n">
        <v>603</v>
      </c>
      <c r="J341" t="inlineStr">
        <is>
          <t>Y</t>
        </is>
      </c>
      <c r="K341" t="inlineStr">
        <is>
          <t>sales.crownandchamparesorts.com</t>
        </is>
      </c>
      <c r="L341" t="inlineStr">
        <is>
          <t>brand-cdn</t>
        </is>
      </c>
      <c r="M341" t="inlineStr">
        <is>
          <t>https://sales.crownandchamparesorts.com/wp-content/uploads/2020/01/KudadooSulhaSpaMenu120118103119Ver112618.pdf</t>
        </is>
      </c>
      <c r="N341" t="inlineStr">
        <is>
          <t>https://sales.crownandchamparesorts.com/wp-content/uploads/2020/01/KudadooSulhaSpaMenu120118103119Ver112618.pdf</t>
        </is>
      </c>
      <c r="O341" t="inlineStr">
        <is>
          <t>65b53f81cd38420ba1e498772cd7f076f292537e39ffd5cdd96a5b75c1ae5659</t>
        </is>
      </c>
      <c r="P341" t="inlineStr">
        <is>
          <t>library/028_kudadoo-maldives-private-island/spa_menu/2018_KudadooSulhaSpaMenu120118103119Ver112618.pdf</t>
        </is>
      </c>
      <c r="R341" t="inlineStr">
        <is>
          <t>outdated</t>
        </is>
      </c>
      <c r="S341" t="inlineStr">
        <is>
          <t>N</t>
        </is>
      </c>
      <c r="T341" t="inlineStr">
        <is>
          <t>matched</t>
        </is>
      </c>
      <c r="U341" t="inlineStr">
        <is>
          <t>2026-10-04</t>
        </is>
      </c>
      <c r="V341" t="inlineStr"/>
    </row>
    <row r="342">
      <c r="A342" t="n">
        <v>28</v>
      </c>
      <c r="B342" t="inlineStr">
        <is>
          <t>Kudadoo Maldives Private island</t>
        </is>
      </c>
      <c r="C342" t="inlineStr">
        <is>
          <t>excursions</t>
        </is>
      </c>
      <c r="D342" t="inlineStr">
        <is>
          <t>2025_KudadooBrochureEffortlessAdventure110125103126Ver052625.pdf</t>
        </is>
      </c>
      <c r="E342" t="n">
        <v>2025</v>
      </c>
      <c r="F342" t="inlineStr">
        <is>
          <t>2025-11-01</t>
        </is>
      </c>
      <c r="G342" t="inlineStr">
        <is>
          <t>2026-10-31</t>
        </is>
      </c>
      <c r="H342" t="n">
        <v>10</v>
      </c>
      <c r="I342" t="n">
        <v>1102</v>
      </c>
      <c r="J342" t="inlineStr">
        <is>
          <t>Y</t>
        </is>
      </c>
      <c r="K342" t="inlineStr">
        <is>
          <t>sales.crownandchamparesorts.com</t>
        </is>
      </c>
      <c r="L342" t="inlineStr">
        <is>
          <t>brand-cdn</t>
        </is>
      </c>
      <c r="M342" t="inlineStr">
        <is>
          <t>https://sales.crownandchamparesorts.com/wp-content/uploads/2025/12/KudadooBrochureEffortlessAdventure110125103126Ver052625.pdf</t>
        </is>
      </c>
      <c r="N342" t="inlineStr">
        <is>
          <t>https://sales.crownandchamparesorts.com/wp-content/uploads/2025/12/KudadooBrochureEffortlessAdventure110125103126Ver052625.pdf</t>
        </is>
      </c>
      <c r="O342" t="inlineStr">
        <is>
          <t>136444b90c2163804ea4af14c46c7eaf3def153128799c85f56f5880deffbb3d</t>
        </is>
      </c>
      <c r="P342" t="inlineStr">
        <is>
          <t>library/028_kudadoo-maldives-private-island/excursions/2025_KudadooBrochureEffortlessAdventure110125103126Ver052625.pdf</t>
        </is>
      </c>
      <c r="R342" t="inlineStr">
        <is>
          <t>current</t>
        </is>
      </c>
      <c r="S342" t="inlineStr">
        <is>
          <t>Y</t>
        </is>
      </c>
      <c r="T342" t="inlineStr">
        <is>
          <t>matched</t>
        </is>
      </c>
      <c r="U342" t="inlineStr">
        <is>
          <t>2026-10-04</t>
        </is>
      </c>
      <c r="V342" t="inlineStr"/>
    </row>
    <row r="343">
      <c r="A343" t="n">
        <v>28</v>
      </c>
      <c r="B343" t="inlineStr">
        <is>
          <t>Kudadoo Maldives Private island</t>
        </is>
      </c>
      <c r="C343" t="inlineStr">
        <is>
          <t>all_inclusive</t>
        </is>
      </c>
      <c r="D343" t="inlineStr">
        <is>
          <t>2025_KudadooAnythingAnytimeAnywherePackage110125103126Ver052625.pdf</t>
        </is>
      </c>
      <c r="E343" t="n">
        <v>2025</v>
      </c>
      <c r="F343" t="inlineStr">
        <is>
          <t>2025-11-01</t>
        </is>
      </c>
      <c r="G343" t="inlineStr">
        <is>
          <t>2026-10-31</t>
        </is>
      </c>
      <c r="H343" t="n">
        <v>1</v>
      </c>
      <c r="I343" t="n">
        <v>516</v>
      </c>
      <c r="J343" t="inlineStr">
        <is>
          <t>Y</t>
        </is>
      </c>
      <c r="K343" t="inlineStr">
        <is>
          <t>sales.crownandchamparesorts.com</t>
        </is>
      </c>
      <c r="L343" t="inlineStr">
        <is>
          <t>brand-cdn</t>
        </is>
      </c>
      <c r="M343" t="inlineStr">
        <is>
          <t>https://sales.crownandchamparesorts.com/wp-content/uploads/2025/12/KudadooAnythingAnytimeAnywherePackage110125103126Ver052625.pdf</t>
        </is>
      </c>
      <c r="N343" t="inlineStr">
        <is>
          <t>https://sales.crownandchamparesorts.com/wp-content/uploads/2025/12/KudadooAnythingAnytimeAnywherePackage110125103126Ver052625.pdf</t>
        </is>
      </c>
      <c r="O343" t="inlineStr">
        <is>
          <t>16c1d609494c3ec6cdbde4aabc5891cd1cea2624f27009410687fc8edcc735c0</t>
        </is>
      </c>
      <c r="P343" t="inlineStr">
        <is>
          <t>library/028_kudadoo-maldives-private-island/all_inclusive/2025_KudadooAnythingAnytimeAnywherePackage110125103126Ver052625.pdf</t>
        </is>
      </c>
      <c r="R343" t="inlineStr">
        <is>
          <t>current</t>
        </is>
      </c>
      <c r="S343" t="inlineStr">
        <is>
          <t>Y</t>
        </is>
      </c>
      <c r="T343" t="inlineStr">
        <is>
          <t>matched</t>
        </is>
      </c>
      <c r="U343" t="inlineStr">
        <is>
          <t>2026-10-04</t>
        </is>
      </c>
      <c r="V343" t="inlineStr"/>
    </row>
    <row r="344">
      <c r="A344" t="n">
        <v>28</v>
      </c>
      <c r="B344" t="inlineStr">
        <is>
          <t>Kudadoo Maldives Private island</t>
        </is>
      </c>
      <c r="C344" t="inlineStr">
        <is>
          <t>all_inclusive</t>
        </is>
      </c>
      <c r="D344" t="inlineStr">
        <is>
          <t>2018_KudadooAnythingAnytimeAnywherePackageVer072019.pdf</t>
        </is>
      </c>
      <c r="E344" t="n">
        <v>2018</v>
      </c>
      <c r="H344" t="n">
        <v>1</v>
      </c>
      <c r="I344" t="n">
        <v>505</v>
      </c>
      <c r="J344" t="inlineStr">
        <is>
          <t>Y</t>
        </is>
      </c>
      <c r="K344" t="inlineStr">
        <is>
          <t>sales.crownandchamparesorts.com</t>
        </is>
      </c>
      <c r="L344" t="inlineStr">
        <is>
          <t>brand-cdn</t>
        </is>
      </c>
      <c r="M344" t="inlineStr">
        <is>
          <t>https://sales.crownandchamparesorts.com/wp-content/uploads/2019/05/KudadooAnythingAnytimeAnywherePackageVer072019.pdf</t>
        </is>
      </c>
      <c r="N344" t="inlineStr">
        <is>
          <t>https://sales.crownandchamparesorts.com/wp-content/uploads/2019/05/KudadooAnythingAnytimeAnywherePackageVer072019.pdf</t>
        </is>
      </c>
      <c r="O344" t="inlineStr">
        <is>
          <t>71fce0022b6f2fe10bfd9d2f7a949be3427debaf55baa76a2ca56c6b4e28e73e</t>
        </is>
      </c>
      <c r="P344" t="inlineStr">
        <is>
          <t>library/028_kudadoo-maldives-private-island/all_inclusive/2018_KudadooAnythingAnytimeAnywherePackageVer072019.pdf</t>
        </is>
      </c>
      <c r="R344" t="inlineStr">
        <is>
          <t>outdated</t>
        </is>
      </c>
      <c r="S344" t="inlineStr">
        <is>
          <t>N</t>
        </is>
      </c>
      <c r="T344" t="inlineStr">
        <is>
          <t>matched</t>
        </is>
      </c>
      <c r="U344" t="inlineStr">
        <is>
          <t>2026-10-04</t>
        </is>
      </c>
      <c r="V344" t="inlineStr"/>
    </row>
    <row r="345">
      <c r="A345" t="n">
        <v>28</v>
      </c>
      <c r="B345" t="inlineStr">
        <is>
          <t>Kudadoo Maldives Private island</t>
        </is>
      </c>
      <c r="C345" t="inlineStr">
        <is>
          <t>sustainability</t>
        </is>
      </c>
      <c r="D345" t="inlineStr">
        <is>
          <t>2025_KudadooSustainabilityBrochure110125103126Ver042024.pdf</t>
        </is>
      </c>
      <c r="E345" t="n">
        <v>2025</v>
      </c>
      <c r="F345" t="inlineStr">
        <is>
          <t>2025-11-01</t>
        </is>
      </c>
      <c r="G345" t="inlineStr">
        <is>
          <t>2026-10-31</t>
        </is>
      </c>
      <c r="H345" t="n">
        <v>11</v>
      </c>
      <c r="I345" t="n">
        <v>1447</v>
      </c>
      <c r="J345" t="inlineStr">
        <is>
          <t>Y</t>
        </is>
      </c>
      <c r="K345" t="inlineStr">
        <is>
          <t>sales.crownandchamparesorts.com</t>
        </is>
      </c>
      <c r="L345" t="inlineStr">
        <is>
          <t>brand-cdn</t>
        </is>
      </c>
      <c r="M345" t="inlineStr">
        <is>
          <t>https://sales.crownandchamparesorts.com/wp-content/uploads/2025/12/KudadooSustainabilityBrochure110125103126Ver042024.pdf</t>
        </is>
      </c>
      <c r="N345" t="inlineStr">
        <is>
          <t>https://sales.crownandchamparesorts.com/wp-content/uploads/2025/12/KudadooSustainabilityBrochure110125103126Ver042024.pdf</t>
        </is>
      </c>
      <c r="O345" t="inlineStr">
        <is>
          <t>9a3eb8d3acab0ea2fff57c9d55ad2cd60b68f1be124e054555bfb5bca5471df3</t>
        </is>
      </c>
      <c r="P345" t="inlineStr">
        <is>
          <t>library/028_kudadoo-maldives-private-island/sustainability/2025_KudadooSustainabilityBrochure110125103126Ver042024.pdf</t>
        </is>
      </c>
      <c r="R345" t="inlineStr">
        <is>
          <t>current</t>
        </is>
      </c>
      <c r="S345" t="inlineStr">
        <is>
          <t>Y</t>
        </is>
      </c>
      <c r="T345" t="inlineStr">
        <is>
          <t>matched</t>
        </is>
      </c>
      <c r="U345" t="inlineStr">
        <is>
          <t>2026-10-04</t>
        </is>
      </c>
      <c r="V345" t="inlineStr"/>
    </row>
    <row r="346">
      <c r="A346" t="n">
        <v>29</v>
      </c>
      <c r="B346" t="inlineStr">
        <is>
          <t>Dheruhfinolhu by Jawakara Islands Maldives</t>
        </is>
      </c>
      <c r="C346" t="inlineStr">
        <is>
          <t>factsheet</t>
        </is>
      </c>
      <c r="D346" t="inlineStr">
        <is>
          <t>2025_NalaMaldivesFactsheet011125311026Ver030426.pdf</t>
        </is>
      </c>
      <c r="E346" t="n">
        <v>2025</v>
      </c>
      <c r="F346" t="inlineStr">
        <is>
          <t>2025-11-01</t>
        </is>
      </c>
      <c r="G346" t="inlineStr">
        <is>
          <t>2026-10-31</t>
        </is>
      </c>
      <c r="H346" t="n">
        <v>13</v>
      </c>
      <c r="I346" t="n">
        <v>671</v>
      </c>
      <c r="J346" t="inlineStr">
        <is>
          <t>Y</t>
        </is>
      </c>
      <c r="K346" t="inlineStr">
        <is>
          <t>sales.crownandchamparesorts.com</t>
        </is>
      </c>
      <c r="L346" t="inlineStr">
        <is>
          <t>brand-cdn</t>
        </is>
      </c>
      <c r="M346" t="inlineStr">
        <is>
          <t>https://sales.crownandchamparesorts.com/wp-content/uploads/2026/04/NalaMaldivesFactsheet011125311026Ver030426.pdf</t>
        </is>
      </c>
      <c r="N346" t="inlineStr">
        <is>
          <t>https://sales.crownandchamparesorts.com/wp-content/uploads/2026/04/NalaMaldivesFactsheet011125311026Ver030426.pdf</t>
        </is>
      </c>
      <c r="O346" t="inlineStr">
        <is>
          <t>4ad61329a26c9e18c725660528f0b94cd13ec082d2ce3d09094d464849659c1e</t>
        </is>
      </c>
      <c r="P346" t="inlineStr">
        <is>
          <t>library/029_dheruhfinolhu-by-jawakara-islands-maldives/factsheet/2025_NalaMaldivesFactsheet011125311026Ver030426.pdf</t>
        </is>
      </c>
      <c r="R346" t="inlineStr">
        <is>
          <t>current</t>
        </is>
      </c>
      <c r="S346" t="inlineStr">
        <is>
          <t>Y</t>
        </is>
      </c>
      <c r="T346" t="inlineStr">
        <is>
          <t>needs-review</t>
        </is>
      </c>
      <c r="U346" t="inlineStr">
        <is>
          <t>2026-10-04</t>
        </is>
      </c>
      <c r="V346" t="inlineStr">
        <is>
          <t>ambiguous match [29, 83, 1]</t>
        </is>
      </c>
    </row>
    <row r="347">
      <c r="A347" t="n">
        <v>83</v>
      </c>
      <c r="B347" t="inlineStr">
        <is>
          <t>Mabinhura by Jawakara Islands Maldives</t>
        </is>
      </c>
      <c r="C347" t="inlineStr">
        <is>
          <t>factsheet</t>
        </is>
      </c>
      <c r="D347" t="inlineStr">
        <is>
          <t>2025_NalaMaldivesFactsheet011125311026Ver030426.pdf</t>
        </is>
      </c>
      <c r="E347" t="n">
        <v>2025</v>
      </c>
      <c r="F347" t="inlineStr">
        <is>
          <t>2025-11-01</t>
        </is>
      </c>
      <c r="G347" t="inlineStr">
        <is>
          <t>2026-10-31</t>
        </is>
      </c>
      <c r="H347" t="n">
        <v>13</v>
      </c>
      <c r="I347" t="n">
        <v>671</v>
      </c>
      <c r="J347" t="inlineStr">
        <is>
          <t>Y</t>
        </is>
      </c>
      <c r="K347" t="inlineStr">
        <is>
          <t>sales.crownandchamparesorts.com</t>
        </is>
      </c>
      <c r="L347" t="inlineStr">
        <is>
          <t>brand-cdn</t>
        </is>
      </c>
      <c r="M347" t="inlineStr">
        <is>
          <t>https://sales.crownandchamparesorts.com/wp-content/uploads/2026/04/NalaMaldivesFactsheet011125311026Ver030426.pdf</t>
        </is>
      </c>
      <c r="N347" t="inlineStr">
        <is>
          <t>https://sales.crownandchamparesorts.com/wp-content/uploads/2026/04/NalaMaldivesFactsheet011125311026Ver030426.pdf</t>
        </is>
      </c>
      <c r="O347" t="inlineStr">
        <is>
          <t>4ad61329a26c9e18c725660528f0b94cd13ec082d2ce3d09094d464849659c1e</t>
        </is>
      </c>
      <c r="P347" t="inlineStr">
        <is>
          <t>library/029_dheruhfinolhu-by-jawakara-islands-maldives/factsheet/2025_NalaMaldivesFactsheet011125311026Ver030426.pdf</t>
        </is>
      </c>
      <c r="R347" t="inlineStr">
        <is>
          <t>current</t>
        </is>
      </c>
      <c r="S347" t="inlineStr">
        <is>
          <t>Y</t>
        </is>
      </c>
      <c r="T347" t="inlineStr">
        <is>
          <t>needs-review</t>
        </is>
      </c>
      <c r="U347" t="inlineStr">
        <is>
          <t>2026-10-04</t>
        </is>
      </c>
      <c r="V347" t="inlineStr">
        <is>
          <t>ambiguous match [29, 83, 1]</t>
        </is>
      </c>
    </row>
    <row r="348">
      <c r="A348" t="n">
        <v>1</v>
      </c>
      <c r="B348" t="inlineStr">
        <is>
          <t>Six Senses Laamu</t>
        </is>
      </c>
      <c r="C348" t="inlineStr">
        <is>
          <t>factsheet</t>
        </is>
      </c>
      <c r="D348" t="inlineStr">
        <is>
          <t>2025_NalaMaldivesFactsheet011125311026Ver030426.pdf</t>
        </is>
      </c>
      <c r="E348" t="n">
        <v>2025</v>
      </c>
      <c r="F348" t="inlineStr">
        <is>
          <t>2025-11-01</t>
        </is>
      </c>
      <c r="G348" t="inlineStr">
        <is>
          <t>2026-10-31</t>
        </is>
      </c>
      <c r="H348" t="n">
        <v>13</v>
      </c>
      <c r="I348" t="n">
        <v>671</v>
      </c>
      <c r="J348" t="inlineStr">
        <is>
          <t>Y</t>
        </is>
      </c>
      <c r="K348" t="inlineStr">
        <is>
          <t>sales.crownandchamparesorts.com</t>
        </is>
      </c>
      <c r="L348" t="inlineStr">
        <is>
          <t>brand-cdn</t>
        </is>
      </c>
      <c r="M348" t="inlineStr">
        <is>
          <t>https://sales.crownandchamparesorts.com/wp-content/uploads/2026/04/NalaMaldivesFactsheet011125311026Ver030426.pdf</t>
        </is>
      </c>
      <c r="N348" t="inlineStr">
        <is>
          <t>https://sales.crownandchamparesorts.com/wp-content/uploads/2026/04/NalaMaldivesFactsheet011125311026Ver030426.pdf</t>
        </is>
      </c>
      <c r="O348" t="inlineStr">
        <is>
          <t>4ad61329a26c9e18c725660528f0b94cd13ec082d2ce3d09094d464849659c1e</t>
        </is>
      </c>
      <c r="P348" t="inlineStr">
        <is>
          <t>library/029_dheruhfinolhu-by-jawakara-islands-maldives/factsheet/2025_NalaMaldivesFactsheet011125311026Ver030426.pdf</t>
        </is>
      </c>
      <c r="R348" t="inlineStr">
        <is>
          <t>current</t>
        </is>
      </c>
      <c r="S348" t="inlineStr">
        <is>
          <t>Y</t>
        </is>
      </c>
      <c r="T348" t="inlineStr">
        <is>
          <t>needs-review</t>
        </is>
      </c>
      <c r="U348" t="inlineStr">
        <is>
          <t>2026-10-04</t>
        </is>
      </c>
      <c r="V348" t="inlineStr">
        <is>
          <t>ambiguous match [29, 83, 1]</t>
        </is>
      </c>
    </row>
    <row r="349">
      <c r="A349" t="n">
        <v>29</v>
      </c>
      <c r="B349" t="inlineStr">
        <is>
          <t>Dheruhfinolhu by Jawakara Islands Maldives</t>
        </is>
      </c>
      <c r="C349" t="inlineStr">
        <is>
          <t>map</t>
        </is>
      </c>
      <c r="D349" t="inlineStr">
        <is>
          <t>2023_Jawakara_Map_20Oct23.pdf</t>
        </is>
      </c>
      <c r="E349" t="n">
        <v>2023</v>
      </c>
      <c r="H349" t="n">
        <v>1</v>
      </c>
      <c r="I349" t="n">
        <v>364</v>
      </c>
      <c r="J349" t="inlineStr">
        <is>
          <t>N</t>
        </is>
      </c>
      <c r="K349" t="inlineStr">
        <is>
          <t>sales.crownandchamparesorts.com</t>
        </is>
      </c>
      <c r="L349" t="inlineStr">
        <is>
          <t>brand-cdn</t>
        </is>
      </c>
      <c r="M349" t="inlineStr">
        <is>
          <t>https://sales.crownandchamparesorts.com/wp-content/uploads/2023/10/Jawakara_Map_20Oct23.pdf</t>
        </is>
      </c>
      <c r="N349" t="inlineStr">
        <is>
          <t>https://sales.crownandchamparesorts.com/wp-content/uploads/2023/10/Jawakara_Map_20Oct23.pdf</t>
        </is>
      </c>
      <c r="O349" t="inlineStr">
        <is>
          <t>9775b6e6026f0016821c2c203ae61b3d94ff819c668f63dba8ad313fdae29a94</t>
        </is>
      </c>
      <c r="P349" t="inlineStr">
        <is>
          <t>library/029_dheruhfinolhu-by-jawakara-islands-maldives/map/2023_Jawakara_Map_20Oct23.pdf</t>
        </is>
      </c>
      <c r="R349" t="inlineStr">
        <is>
          <t>outdated</t>
        </is>
      </c>
      <c r="S349" t="inlineStr">
        <is>
          <t>Y</t>
        </is>
      </c>
      <c r="T349" t="inlineStr">
        <is>
          <t>matched</t>
        </is>
      </c>
      <c r="U349" t="inlineStr">
        <is>
          <t>2026-10-04</t>
        </is>
      </c>
      <c r="V349" t="inlineStr"/>
    </row>
    <row r="350">
      <c r="A350" t="n">
        <v>83</v>
      </c>
      <c r="B350" t="inlineStr">
        <is>
          <t>Mabinhura by Jawakara Islands Maldives</t>
        </is>
      </c>
      <c r="C350" t="inlineStr">
        <is>
          <t>map</t>
        </is>
      </c>
      <c r="D350" t="inlineStr">
        <is>
          <t>2023_Jawakara_Map_20Oct23.pdf</t>
        </is>
      </c>
      <c r="E350" t="n">
        <v>2023</v>
      </c>
      <c r="H350" t="n">
        <v>1</v>
      </c>
      <c r="I350" t="n">
        <v>364</v>
      </c>
      <c r="J350" t="inlineStr">
        <is>
          <t>N</t>
        </is>
      </c>
      <c r="K350" t="inlineStr">
        <is>
          <t>sales.crownandchamparesorts.com</t>
        </is>
      </c>
      <c r="L350" t="inlineStr">
        <is>
          <t>brand-cdn</t>
        </is>
      </c>
      <c r="M350" t="inlineStr">
        <is>
          <t>https://sales.crownandchamparesorts.com/wp-content/uploads/2023/10/Jawakara_Map_20Oct23.pdf</t>
        </is>
      </c>
      <c r="N350" t="inlineStr">
        <is>
          <t>https://sales.crownandchamparesorts.com/wp-content/uploads/2023/10/Jawakara_Map_20Oct23.pdf</t>
        </is>
      </c>
      <c r="O350" t="inlineStr">
        <is>
          <t>9775b6e6026f0016821c2c203ae61b3d94ff819c668f63dba8ad313fdae29a94</t>
        </is>
      </c>
      <c r="P350" t="inlineStr">
        <is>
          <t>library/029_dheruhfinolhu-by-jawakara-islands-maldives/map/2023_Jawakara_Map_20Oct23.pdf</t>
        </is>
      </c>
      <c r="R350" t="inlineStr">
        <is>
          <t>outdated</t>
        </is>
      </c>
      <c r="S350" t="inlineStr">
        <is>
          <t>Y</t>
        </is>
      </c>
      <c r="T350" t="inlineStr">
        <is>
          <t>matched</t>
        </is>
      </c>
      <c r="U350" t="inlineStr">
        <is>
          <t>2026-10-04</t>
        </is>
      </c>
      <c r="V350" t="inlineStr"/>
    </row>
    <row r="351">
      <c r="A351" t="n">
        <v>29</v>
      </c>
      <c r="B351" t="inlineStr">
        <is>
          <t>Dheruhfinolhu by Jawakara Islands Maldives</t>
        </is>
      </c>
      <c r="C351" t="inlineStr">
        <is>
          <t>calendar</t>
        </is>
      </c>
      <c r="D351" t="inlineStr">
        <is>
          <t>2023_Jawakara-Transfer-Policy.pdf</t>
        </is>
      </c>
      <c r="E351" t="n">
        <v>2023</v>
      </c>
      <c r="H351" t="n">
        <v>3</v>
      </c>
      <c r="I351" t="n">
        <v>848</v>
      </c>
      <c r="J351" t="inlineStr">
        <is>
          <t>Y</t>
        </is>
      </c>
      <c r="K351" t="inlineStr">
        <is>
          <t>sales.crownandchamparesorts.com</t>
        </is>
      </c>
      <c r="L351" t="inlineStr">
        <is>
          <t>brand-cdn</t>
        </is>
      </c>
      <c r="M351" t="inlineStr">
        <is>
          <t>https://sales.crownandchamparesorts.com/wp-content/uploads/2023/10/Jawakara-Transfer-Policy.pdf</t>
        </is>
      </c>
      <c r="N351" t="inlineStr">
        <is>
          <t>https://sales.crownandchamparesorts.com/wp-content/uploads/2023/10/Jawakara-Transfer-Policy.pdf</t>
        </is>
      </c>
      <c r="O351" t="inlineStr">
        <is>
          <t>7ce7b2cf9786612869281f996f96e5f96601ddd0ea678347befa37650822875c</t>
        </is>
      </c>
      <c r="P351" t="inlineStr">
        <is>
          <t>library/029_dheruhfinolhu-by-jawakara-islands-maldives/calendar/2023_Jawakara-Transfer-Policy.pdf</t>
        </is>
      </c>
      <c r="R351" t="inlineStr">
        <is>
          <t>outdated</t>
        </is>
      </c>
      <c r="S351" t="inlineStr">
        <is>
          <t>Y</t>
        </is>
      </c>
      <c r="T351" t="inlineStr">
        <is>
          <t>matched</t>
        </is>
      </c>
      <c r="U351" t="inlineStr">
        <is>
          <t>2026-10-04</t>
        </is>
      </c>
      <c r="V351" t="inlineStr"/>
    </row>
    <row r="352">
      <c r="A352" t="n">
        <v>83</v>
      </c>
      <c r="B352" t="inlineStr">
        <is>
          <t>Mabinhura by Jawakara Islands Maldives</t>
        </is>
      </c>
      <c r="C352" t="inlineStr">
        <is>
          <t>calendar</t>
        </is>
      </c>
      <c r="D352" t="inlineStr">
        <is>
          <t>2023_Jawakara-Transfer-Policy.pdf</t>
        </is>
      </c>
      <c r="E352" t="n">
        <v>2023</v>
      </c>
      <c r="H352" t="n">
        <v>3</v>
      </c>
      <c r="I352" t="n">
        <v>848</v>
      </c>
      <c r="J352" t="inlineStr">
        <is>
          <t>Y</t>
        </is>
      </c>
      <c r="K352" t="inlineStr">
        <is>
          <t>sales.crownandchamparesorts.com</t>
        </is>
      </c>
      <c r="L352" t="inlineStr">
        <is>
          <t>brand-cdn</t>
        </is>
      </c>
      <c r="M352" t="inlineStr">
        <is>
          <t>https://sales.crownandchamparesorts.com/wp-content/uploads/2023/10/Jawakara-Transfer-Policy.pdf</t>
        </is>
      </c>
      <c r="N352" t="inlineStr">
        <is>
          <t>https://sales.crownandchamparesorts.com/wp-content/uploads/2023/10/Jawakara-Transfer-Policy.pdf</t>
        </is>
      </c>
      <c r="O352" t="inlineStr">
        <is>
          <t>7ce7b2cf9786612869281f996f96e5f96601ddd0ea678347befa37650822875c</t>
        </is>
      </c>
      <c r="P352" t="inlineStr">
        <is>
          <t>library/029_dheruhfinolhu-by-jawakara-islands-maldives/calendar/2023_Jawakara-Transfer-Policy.pdf</t>
        </is>
      </c>
      <c r="R352" t="inlineStr">
        <is>
          <t>outdated</t>
        </is>
      </c>
      <c r="S352" t="inlineStr">
        <is>
          <t>Y</t>
        </is>
      </c>
      <c r="T352" t="inlineStr">
        <is>
          <t>matched</t>
        </is>
      </c>
      <c r="U352" t="inlineStr">
        <is>
          <t>2026-10-04</t>
        </is>
      </c>
      <c r="V352" t="inlineStr"/>
    </row>
    <row r="353">
      <c r="A353" t="n">
        <v>30</v>
      </c>
      <c r="B353" t="inlineStr">
        <is>
          <t>Hurawalhi Island Resort</t>
        </is>
      </c>
      <c r="C353" t="inlineStr">
        <is>
          <t>factsheet</t>
        </is>
      </c>
      <c r="D353" t="inlineStr">
        <is>
          <t>2023_FactSheetHurawalhi110123103124Ver030123.pdf</t>
        </is>
      </c>
      <c r="E353" t="n">
        <v>2023</v>
      </c>
      <c r="F353" t="inlineStr">
        <is>
          <t>2023-11-01</t>
        </is>
      </c>
      <c r="G353" t="inlineStr">
        <is>
          <t>2024-10-31</t>
        </is>
      </c>
      <c r="H353" t="n">
        <v>7</v>
      </c>
      <c r="I353" t="n">
        <v>1358</v>
      </c>
      <c r="J353" t="inlineStr">
        <is>
          <t>Y</t>
        </is>
      </c>
      <c r="K353" t="inlineStr">
        <is>
          <t>sales.crownandchamparesorts.com</t>
        </is>
      </c>
      <c r="L353" t="inlineStr">
        <is>
          <t>brand-cdn</t>
        </is>
      </c>
      <c r="M353" t="inlineStr">
        <is>
          <t>https://sales.crownandchamparesorts.com/wp-content/uploads/2023/08/FactSheetHurawalhi110123103124Ver030123.pdf</t>
        </is>
      </c>
      <c r="N353" t="inlineStr">
        <is>
          <t>https://sales.crownandchamparesorts.com/wp-content/uploads/2023/08/FactSheetHurawalhi110123103124Ver030123.pdf</t>
        </is>
      </c>
      <c r="O353" t="inlineStr">
        <is>
          <t>12e16a5bf26f7a12f047c4f8eb77e13660a3cbbf379bdd4faa707b131b11de61</t>
        </is>
      </c>
      <c r="P353" t="inlineStr">
        <is>
          <t>library/030_hurawalhi-island-resort/factsheet/2023_FactSheetHurawalhi110123103124Ver030123.pdf</t>
        </is>
      </c>
      <c r="R353" t="inlineStr">
        <is>
          <t>outdated</t>
        </is>
      </c>
      <c r="S353" t="inlineStr">
        <is>
          <t>Y</t>
        </is>
      </c>
      <c r="T353" t="inlineStr">
        <is>
          <t>matched</t>
        </is>
      </c>
      <c r="U353" t="inlineStr">
        <is>
          <t>2026-10-04</t>
        </is>
      </c>
      <c r="V353" t="inlineStr"/>
    </row>
    <row r="354">
      <c r="A354" t="n">
        <v>30</v>
      </c>
      <c r="B354" t="inlineStr">
        <is>
          <t>Hurawalhi Island Resort</t>
        </is>
      </c>
      <c r="C354" t="inlineStr">
        <is>
          <t>factsheet</t>
        </is>
      </c>
      <c r="D354" t="inlineStr">
        <is>
          <t>2020_FactSheetHurawalhi110120103121Rev100820.pdf</t>
        </is>
      </c>
      <c r="E354" t="n">
        <v>2020</v>
      </c>
      <c r="F354" t="inlineStr">
        <is>
          <t>2020-11-01</t>
        </is>
      </c>
      <c r="G354" t="inlineStr">
        <is>
          <t>2021-10-31</t>
        </is>
      </c>
      <c r="H354" t="n">
        <v>7</v>
      </c>
      <c r="I354" t="n">
        <v>2752</v>
      </c>
      <c r="J354" t="inlineStr">
        <is>
          <t>Y</t>
        </is>
      </c>
      <c r="K354" t="inlineStr">
        <is>
          <t>sales.crownandchamparesorts.com</t>
        </is>
      </c>
      <c r="L354" t="inlineStr">
        <is>
          <t>brand-cdn</t>
        </is>
      </c>
      <c r="M354" t="inlineStr">
        <is>
          <t>https://sales.crownandchamparesorts.com/wp-content/uploads/2018/10/FactSheetHurawalhi110120103121Rev100820.pdf</t>
        </is>
      </c>
      <c r="N354" t="inlineStr">
        <is>
          <t>https://sales.crownandchamparesorts.com/wp-content/uploads/2018/10/FactSheetHurawalhi110120103121Rev100820.pdf</t>
        </is>
      </c>
      <c r="O354" t="inlineStr">
        <is>
          <t>562472b9e710b4ce205958439f0838d042178a9c25f34b6db2910331e62cbb30</t>
        </is>
      </c>
      <c r="P354" t="inlineStr">
        <is>
          <t>library/030_hurawalhi-island-resort/factsheet/2020_FactSheetHurawalhi110120103121Rev100820.pdf</t>
        </is>
      </c>
      <c r="R354" t="inlineStr">
        <is>
          <t>outdated</t>
        </is>
      </c>
      <c r="S354" t="inlineStr">
        <is>
          <t>N</t>
        </is>
      </c>
      <c r="T354" t="inlineStr">
        <is>
          <t>matched</t>
        </is>
      </c>
      <c r="U354" t="inlineStr">
        <is>
          <t>2026-10-04</t>
        </is>
      </c>
      <c r="V354" t="inlineStr"/>
    </row>
    <row r="355">
      <c r="A355" t="n">
        <v>30</v>
      </c>
      <c r="B355" t="inlineStr">
        <is>
          <t>Hurawalhi Island Resort</t>
        </is>
      </c>
      <c r="C355" t="inlineStr">
        <is>
          <t>factsheet</t>
        </is>
      </c>
      <c r="D355" t="inlineStr">
        <is>
          <t>2019_FactSheet-Hurawalhi.pdf</t>
        </is>
      </c>
      <c r="E355" t="n">
        <v>2019</v>
      </c>
      <c r="H355" t="n">
        <v>7</v>
      </c>
      <c r="I355" t="n">
        <v>1219</v>
      </c>
      <c r="J355" t="inlineStr">
        <is>
          <t>Y</t>
        </is>
      </c>
      <c r="K355" t="inlineStr">
        <is>
          <t>neoscapesmaldives.com</t>
        </is>
      </c>
      <c r="L355" t="inlineStr">
        <is>
          <t>dmc-agency</t>
        </is>
      </c>
      <c r="M355" t="inlineStr">
        <is>
          <t>https://neoscapesmaldives.com/wp-content/uploads/FactSheet-Hurawalhi.pdf</t>
        </is>
      </c>
      <c r="N355" t="inlineStr">
        <is>
          <t>https://neoscapesmaldives.com/wp-content/uploads/FactSheet-Hurawalhi.pdf</t>
        </is>
      </c>
      <c r="O355" t="inlineStr">
        <is>
          <t>4d112dfbfc49300b7ef197ea7931fed5b82906d2c6f4f5f26f1adaa1a239ec5d</t>
        </is>
      </c>
      <c r="P355" t="inlineStr">
        <is>
          <t>library/030_hurawalhi-island-resort/factsheet/2019_FactSheet-Hurawalhi.pdf</t>
        </is>
      </c>
      <c r="R355" t="inlineStr">
        <is>
          <t>outdated</t>
        </is>
      </c>
      <c r="S355" t="inlineStr">
        <is>
          <t>N</t>
        </is>
      </c>
      <c r="T355" t="inlineStr">
        <is>
          <t>matched</t>
        </is>
      </c>
      <c r="U355" t="inlineStr">
        <is>
          <t>2026-10-04</t>
        </is>
      </c>
      <c r="V355" t="inlineStr"/>
    </row>
    <row r="356">
      <c r="A356" t="n">
        <v>30</v>
      </c>
      <c r="B356" t="inlineStr">
        <is>
          <t>Hurawalhi Island Resort</t>
        </is>
      </c>
      <c r="C356" t="inlineStr">
        <is>
          <t>wedding</t>
        </is>
      </c>
      <c r="D356" t="inlineStr">
        <is>
          <t>2019_HurawalhiCeremoniesPackagesVer110719.pdf</t>
        </is>
      </c>
      <c r="E356" t="n">
        <v>2019</v>
      </c>
      <c r="H356" t="n">
        <v>10</v>
      </c>
      <c r="I356" t="n">
        <v>3454</v>
      </c>
      <c r="J356" t="inlineStr">
        <is>
          <t>Y</t>
        </is>
      </c>
      <c r="K356" t="inlineStr">
        <is>
          <t>sales.crownandchamparesorts.com</t>
        </is>
      </c>
      <c r="L356" t="inlineStr">
        <is>
          <t>brand-cdn</t>
        </is>
      </c>
      <c r="M356" t="inlineStr">
        <is>
          <t>https://sales.crownandchamparesorts.com/wp-content/uploads/2020/01/HurawalhiCeremoniesPackagesVer110719.pdf</t>
        </is>
      </c>
      <c r="N356" t="inlineStr">
        <is>
          <t>https://sales.crownandchamparesorts.com/wp-content/uploads/2020/01/HurawalhiCeremoniesPackagesVer110719.pdf</t>
        </is>
      </c>
      <c r="O356" t="inlineStr">
        <is>
          <t>ecf6694ceb29b205a34253f5acb219cde5c283f38329f812f501b19c24e2e9d9</t>
        </is>
      </c>
      <c r="P356" t="inlineStr">
        <is>
          <t>library/030_hurawalhi-island-resort/wedding/2019_HurawalhiCeremoniesPackagesVer110719.pdf</t>
        </is>
      </c>
      <c r="R356" t="inlineStr">
        <is>
          <t>outdated</t>
        </is>
      </c>
      <c r="S356" t="inlineStr">
        <is>
          <t>Y</t>
        </is>
      </c>
      <c r="T356" t="inlineStr">
        <is>
          <t>matched</t>
        </is>
      </c>
      <c r="U356" t="inlineStr">
        <is>
          <t>2026-10-04</t>
        </is>
      </c>
      <c r="V356" t="inlineStr"/>
    </row>
    <row r="357">
      <c r="A357" t="n">
        <v>30</v>
      </c>
      <c r="B357" t="inlineStr">
        <is>
          <t>Hurawalhi Island Resort</t>
        </is>
      </c>
      <c r="C357" t="inlineStr">
        <is>
          <t>map</t>
        </is>
      </c>
      <c r="D357" t="inlineStr">
        <is>
          <t>2022_Hurawalhi-Map110122103123.pdf</t>
        </is>
      </c>
      <c r="E357" t="n">
        <v>2022</v>
      </c>
      <c r="F357" t="inlineStr">
        <is>
          <t>2022-11-01</t>
        </is>
      </c>
      <c r="G357" t="inlineStr">
        <is>
          <t>2023-10-31</t>
        </is>
      </c>
      <c r="H357" t="n">
        <v>1</v>
      </c>
      <c r="I357" t="n">
        <v>1544</v>
      </c>
      <c r="J357" t="inlineStr">
        <is>
          <t>N</t>
        </is>
      </c>
      <c r="K357" t="inlineStr">
        <is>
          <t>sales.crownandchamparesorts.com</t>
        </is>
      </c>
      <c r="L357" t="inlineStr">
        <is>
          <t>brand-cdn</t>
        </is>
      </c>
      <c r="M357" t="inlineStr">
        <is>
          <t>https://sales.crownandchamparesorts.com/wp-content/uploads/2023/08/Hurawalhi-Map110122103123.pdf</t>
        </is>
      </c>
      <c r="N357" t="inlineStr">
        <is>
          <t>https://sales.crownandchamparesorts.com/wp-content/uploads/2023/08/Hurawalhi-Map110122103123.pdf</t>
        </is>
      </c>
      <c r="O357" t="inlineStr">
        <is>
          <t>9d2e789c955c2d79ea5b103b571841ef6d03a127f914f8cf2d5fa763c0106455</t>
        </is>
      </c>
      <c r="P357" t="inlineStr">
        <is>
          <t>library/030_hurawalhi-island-resort/map/2022_Hurawalhi-Map110122103123.pdf</t>
        </is>
      </c>
      <c r="R357" t="inlineStr">
        <is>
          <t>outdated</t>
        </is>
      </c>
      <c r="S357" t="inlineStr">
        <is>
          <t>Y</t>
        </is>
      </c>
      <c r="T357" t="inlineStr">
        <is>
          <t>matched</t>
        </is>
      </c>
      <c r="U357" t="inlineStr">
        <is>
          <t>2026-10-04</t>
        </is>
      </c>
      <c r="V357" t="inlineStr"/>
    </row>
    <row r="358">
      <c r="A358" t="n">
        <v>30</v>
      </c>
      <c r="B358" t="inlineStr">
        <is>
          <t>Hurawalhi Island Resort</t>
        </is>
      </c>
      <c r="C358" t="inlineStr">
        <is>
          <t>map</t>
        </is>
      </c>
      <c r="D358" t="inlineStr">
        <is>
          <t>2019_Hurawalhi_Map.pdf</t>
        </is>
      </c>
      <c r="E358" t="n">
        <v>2019</v>
      </c>
      <c r="H358" t="n">
        <v>1</v>
      </c>
      <c r="I358" t="n">
        <v>1500</v>
      </c>
      <c r="J358" t="inlineStr">
        <is>
          <t>N</t>
        </is>
      </c>
      <c r="K358" t="inlineStr">
        <is>
          <t>neoscapesmaldives.com</t>
        </is>
      </c>
      <c r="L358" t="inlineStr">
        <is>
          <t>dmc-agency</t>
        </is>
      </c>
      <c r="M358" t="inlineStr">
        <is>
          <t>https://neoscapesmaldives.com/wp-content/uploads/Hurawalhi_Map.pdf</t>
        </is>
      </c>
      <c r="N358" t="inlineStr">
        <is>
          <t>https://neoscapesmaldives.com/wp-content/uploads/Hurawalhi_Map.pdf</t>
        </is>
      </c>
      <c r="O358" t="inlineStr">
        <is>
          <t>9caf12d6fe793b1c95b79b7e0adc8a291c8f176e9817ad03aa709a9f01b5126a</t>
        </is>
      </c>
      <c r="P358" t="inlineStr">
        <is>
          <t>library/030_hurawalhi-island-resort/map/2019_Hurawalhi_Map.pdf</t>
        </is>
      </c>
      <c r="R358" t="inlineStr">
        <is>
          <t>outdated</t>
        </is>
      </c>
      <c r="S358" t="inlineStr">
        <is>
          <t>N</t>
        </is>
      </c>
      <c r="T358" t="inlineStr">
        <is>
          <t>matched</t>
        </is>
      </c>
      <c r="U358" t="inlineStr">
        <is>
          <t>2026-10-04</t>
        </is>
      </c>
      <c r="V358" t="inlineStr"/>
    </row>
    <row r="359">
      <c r="A359" t="n">
        <v>30</v>
      </c>
      <c r="B359" t="inlineStr">
        <is>
          <t>Hurawalhi Island Resort</t>
        </is>
      </c>
      <c r="C359" t="inlineStr">
        <is>
          <t>map</t>
        </is>
      </c>
      <c r="D359" t="inlineStr">
        <is>
          <t>2018_MapHurawalhiPrintQuality092018ColorEnglish-1.pdf</t>
        </is>
      </c>
      <c r="E359" t="n">
        <v>2018</v>
      </c>
      <c r="H359" t="n">
        <v>1</v>
      </c>
      <c r="I359" t="n">
        <v>1548</v>
      </c>
      <c r="J359" t="inlineStr">
        <is>
          <t>N</t>
        </is>
      </c>
      <c r="K359" t="inlineStr">
        <is>
          <t>sales.crownandchamparesorts.com</t>
        </is>
      </c>
      <c r="L359" t="inlineStr">
        <is>
          <t>brand-cdn</t>
        </is>
      </c>
      <c r="M359" t="inlineStr">
        <is>
          <t>https://sales.crownandchamparesorts.com/wp-content/uploads/2018/10/MapHurawalhiPrintQuality092018ColorEnglish-1.pdf</t>
        </is>
      </c>
      <c r="N359" t="inlineStr">
        <is>
          <t>https://sales.crownandchamparesorts.com/wp-content/uploads/2018/10/MapHurawalhiPrintQuality092018ColorEnglish-1.pdf | https://sales.crownandchamparesorts.com/wp-content/uploads/2018/10/MapHurawalhiPrintQuality092018ColorEnglish.pdf</t>
        </is>
      </c>
      <c r="O359" t="inlineStr">
        <is>
          <t>dee4072b0b3a92ca7d77192d995b6c3aa7eca60aff9aea4e9dcb47362951fdf2</t>
        </is>
      </c>
      <c r="P359" t="inlineStr">
        <is>
          <t>library/030_hurawalhi-island-resort/map/2018_MapHurawalhiPrintQuality092018ColorEnglish-1.pdf</t>
        </is>
      </c>
      <c r="R359" t="inlineStr">
        <is>
          <t>outdated</t>
        </is>
      </c>
      <c r="S359" t="inlineStr">
        <is>
          <t>N</t>
        </is>
      </c>
      <c r="T359" t="inlineStr">
        <is>
          <t>matched</t>
        </is>
      </c>
      <c r="U359" t="inlineStr">
        <is>
          <t>2026-10-04</t>
        </is>
      </c>
      <c r="V359" t="inlineStr"/>
    </row>
    <row r="360">
      <c r="A360" t="n">
        <v>30</v>
      </c>
      <c r="B360" t="inlineStr">
        <is>
          <t>Hurawalhi Island Resort</t>
        </is>
      </c>
      <c r="C360" t="inlineStr">
        <is>
          <t>excursions</t>
        </is>
      </c>
      <c r="D360" t="inlineStr">
        <is>
          <t>2019_KUD_Brochure_Effortless-Adventure2.pdf</t>
        </is>
      </c>
      <c r="E360" t="n">
        <v>2019</v>
      </c>
      <c r="H360" t="n">
        <v>9</v>
      </c>
      <c r="I360" t="n">
        <v>1021</v>
      </c>
      <c r="J360" t="inlineStr">
        <is>
          <t>Y</t>
        </is>
      </c>
      <c r="K360" t="inlineStr">
        <is>
          <t>sales.crownandchamparesorts.com</t>
        </is>
      </c>
      <c r="L360" t="inlineStr">
        <is>
          <t>brand-cdn</t>
        </is>
      </c>
      <c r="M360" t="inlineStr">
        <is>
          <t>https://sales.crownandchamparesorts.com/wp-content/uploads/2020/10/KUD_Brochure_Effortless-Adventure2.pdf</t>
        </is>
      </c>
      <c r="N360" t="inlineStr">
        <is>
          <t>https://sales.crownandchamparesorts.com/wp-content/uploads/2020/10/KUD_Brochure_Effortless-Adventure2.pdf</t>
        </is>
      </c>
      <c r="O360" t="inlineStr">
        <is>
          <t>cdfa8cf6fb9684c6ef7dca754299a78378d03668faf2eff5ae3f6d0e5a23d7c0</t>
        </is>
      </c>
      <c r="P360" t="inlineStr">
        <is>
          <t>library/030_hurawalhi-island-resort/excursions/2019_KUD_Brochure_Effortless-Adventure2.pdf</t>
        </is>
      </c>
      <c r="R360" t="inlineStr">
        <is>
          <t>outdated</t>
        </is>
      </c>
      <c r="S360" t="inlineStr">
        <is>
          <t>Y</t>
        </is>
      </c>
      <c r="T360" t="inlineStr">
        <is>
          <t>needs-review</t>
        </is>
      </c>
      <c r="U360" t="inlineStr">
        <is>
          <t>2026-10-04</t>
        </is>
      </c>
      <c r="V360" t="inlineStr">
        <is>
          <t>ambiguous match [30, 28]</t>
        </is>
      </c>
    </row>
    <row r="361">
      <c r="A361" t="n">
        <v>28</v>
      </c>
      <c r="B361" t="inlineStr">
        <is>
          <t>Kudadoo Maldives Private island</t>
        </is>
      </c>
      <c r="C361" t="inlineStr">
        <is>
          <t>excursions</t>
        </is>
      </c>
      <c r="D361" t="inlineStr">
        <is>
          <t>2019_KUD_Brochure_Effortless-Adventure2.pdf</t>
        </is>
      </c>
      <c r="E361" t="n">
        <v>2019</v>
      </c>
      <c r="H361" t="n">
        <v>9</v>
      </c>
      <c r="I361" t="n">
        <v>1021</v>
      </c>
      <c r="J361" t="inlineStr">
        <is>
          <t>Y</t>
        </is>
      </c>
      <c r="K361" t="inlineStr">
        <is>
          <t>sales.crownandchamparesorts.com</t>
        </is>
      </c>
      <c r="L361" t="inlineStr">
        <is>
          <t>brand-cdn</t>
        </is>
      </c>
      <c r="M361" t="inlineStr">
        <is>
          <t>https://sales.crownandchamparesorts.com/wp-content/uploads/2020/10/KUD_Brochure_Effortless-Adventure2.pdf</t>
        </is>
      </c>
      <c r="N361" t="inlineStr">
        <is>
          <t>https://sales.crownandchamparesorts.com/wp-content/uploads/2020/10/KUD_Brochure_Effortless-Adventure2.pdf</t>
        </is>
      </c>
      <c r="O361" t="inlineStr">
        <is>
          <t>cdfa8cf6fb9684c6ef7dca754299a78378d03668faf2eff5ae3f6d0e5a23d7c0</t>
        </is>
      </c>
      <c r="P361" t="inlineStr">
        <is>
          <t>library/030_hurawalhi-island-resort/excursions/2019_KUD_Brochure_Effortless-Adventure2.pdf</t>
        </is>
      </c>
      <c r="R361" t="inlineStr">
        <is>
          <t>outdated</t>
        </is>
      </c>
      <c r="S361" t="inlineStr">
        <is>
          <t>Y</t>
        </is>
      </c>
      <c r="T361" t="inlineStr">
        <is>
          <t>needs-review</t>
        </is>
      </c>
      <c r="U361" t="inlineStr">
        <is>
          <t>2026-10-04</t>
        </is>
      </c>
      <c r="V361" t="inlineStr">
        <is>
          <t>ambiguous match [30, 28]</t>
        </is>
      </c>
    </row>
    <row r="362">
      <c r="A362" t="n">
        <v>31</v>
      </c>
      <c r="B362" t="inlineStr">
        <is>
          <t>Innahura Maldives Resort</t>
        </is>
      </c>
      <c r="C362" t="inlineStr">
        <is>
          <t>factsheet</t>
        </is>
      </c>
      <c r="D362" t="inlineStr">
        <is>
          <t>2021_FactSheetInnahura110121103122Ver110121.pdf</t>
        </is>
      </c>
      <c r="E362" t="n">
        <v>2021</v>
      </c>
      <c r="F362" t="inlineStr">
        <is>
          <t>2021-11-01</t>
        </is>
      </c>
      <c r="G362" t="inlineStr">
        <is>
          <t>2022-10-31</t>
        </is>
      </c>
      <c r="H362" t="n">
        <v>2</v>
      </c>
      <c r="I362" t="n">
        <v>1287</v>
      </c>
      <c r="J362" t="inlineStr">
        <is>
          <t>Y</t>
        </is>
      </c>
      <c r="K362" t="inlineStr">
        <is>
          <t>sales.crownandchamparesorts.com</t>
        </is>
      </c>
      <c r="L362" t="inlineStr">
        <is>
          <t>brand-cdn</t>
        </is>
      </c>
      <c r="M362" t="inlineStr">
        <is>
          <t>https://sales.crownandchamparesorts.com/wp-content/uploads/2023/08/FactSheetInnahura110121103122Ver110121.pdf</t>
        </is>
      </c>
      <c r="N362" t="inlineStr">
        <is>
          <t>https://sales.crownandchamparesorts.com/wp-content/uploads/2023/08/FactSheetInnahura110121103122Ver110121.pdf</t>
        </is>
      </c>
      <c r="O362" t="inlineStr">
        <is>
          <t>0a9e5501e70ea2887fed2d512069dc1a0f87ebedc422ed843b40e6ab51647a49</t>
        </is>
      </c>
      <c r="P362" t="inlineStr">
        <is>
          <t>library/031_innahura-maldives-resort/factsheet/2021_FactSheetInnahura110121103122Ver110121.pdf</t>
        </is>
      </c>
      <c r="R362" t="inlineStr">
        <is>
          <t>outdated</t>
        </is>
      </c>
      <c r="S362" t="inlineStr">
        <is>
          <t>Y</t>
        </is>
      </c>
      <c r="T362" t="inlineStr">
        <is>
          <t>matched</t>
        </is>
      </c>
      <c r="U362" t="inlineStr">
        <is>
          <t>2026-10-04</t>
        </is>
      </c>
      <c r="V362" t="inlineStr"/>
    </row>
    <row r="363">
      <c r="A363" t="n">
        <v>31</v>
      </c>
      <c r="B363" t="inlineStr">
        <is>
          <t>Innahura Maldives Resort</t>
        </is>
      </c>
      <c r="C363" t="inlineStr">
        <is>
          <t>factsheet</t>
        </is>
      </c>
      <c r="D363" t="inlineStr">
        <is>
          <t>2019_FactSheetInnahura110119103120Rev061019.pdf</t>
        </is>
      </c>
      <c r="E363" t="n">
        <v>2019</v>
      </c>
      <c r="F363" t="inlineStr">
        <is>
          <t>2019-11-01</t>
        </is>
      </c>
      <c r="G363" t="inlineStr">
        <is>
          <t>2020-10-31</t>
        </is>
      </c>
      <c r="H363" t="n">
        <v>2</v>
      </c>
      <c r="I363" t="n">
        <v>640</v>
      </c>
      <c r="J363" t="inlineStr">
        <is>
          <t>Y</t>
        </is>
      </c>
      <c r="K363" t="inlineStr">
        <is>
          <t>sales.crownandchamparesorts.com</t>
        </is>
      </c>
      <c r="L363" t="inlineStr">
        <is>
          <t>brand-cdn</t>
        </is>
      </c>
      <c r="M363" t="inlineStr">
        <is>
          <t>https://sales.crownandchamparesorts.com/wp-content/uploads/2019/05/FactSheetInnahura110119103120Rev061019.pdf</t>
        </is>
      </c>
      <c r="N363" t="inlineStr">
        <is>
          <t>https://sales.crownandchamparesorts.com/wp-content/uploads/2019/05/FactSheetInnahura110119103120Rev061019.pdf</t>
        </is>
      </c>
      <c r="O363" t="inlineStr">
        <is>
          <t>b39d8b448bbf3587e7dcbbfbda798e7f970c8f3dd7af6d2d15e5136d9f5a46b8</t>
        </is>
      </c>
      <c r="P363" t="inlineStr">
        <is>
          <t>library/031_innahura-maldives-resort/factsheet/2019_FactSheetInnahura110119103120Rev061019.pdf</t>
        </is>
      </c>
      <c r="R363" t="inlineStr">
        <is>
          <t>outdated</t>
        </is>
      </c>
      <c r="S363" t="inlineStr">
        <is>
          <t>N</t>
        </is>
      </c>
      <c r="T363" t="inlineStr">
        <is>
          <t>matched</t>
        </is>
      </c>
      <c r="U363" t="inlineStr">
        <is>
          <t>2026-10-04</t>
        </is>
      </c>
      <c r="V363" t="inlineStr"/>
    </row>
    <row r="364">
      <c r="A364" t="n">
        <v>31</v>
      </c>
      <c r="B364" t="inlineStr">
        <is>
          <t>Innahura Maldives Resort</t>
        </is>
      </c>
      <c r="C364" t="inlineStr">
        <is>
          <t>factsheet</t>
        </is>
      </c>
      <c r="D364" t="inlineStr">
        <is>
          <t>2018_Innahura_factsheet_v6low-res-1.pdf</t>
        </is>
      </c>
      <c r="E364" t="n">
        <v>2018</v>
      </c>
      <c r="H364" t="n">
        <v>3</v>
      </c>
      <c r="I364" t="n">
        <v>551</v>
      </c>
      <c r="J364" t="inlineStr">
        <is>
          <t>Y</t>
        </is>
      </c>
      <c r="K364" t="inlineStr">
        <is>
          <t>sales.crownandchamparesorts.com</t>
        </is>
      </c>
      <c r="L364" t="inlineStr">
        <is>
          <t>brand-cdn</t>
        </is>
      </c>
      <c r="M364" t="inlineStr">
        <is>
          <t>https://sales.crownandchamparesorts.com/wp-content/uploads/2018/04/Innahura_factsheet_v6low-res-1.pdf</t>
        </is>
      </c>
      <c r="N364" t="inlineStr">
        <is>
          <t>https://sales.crownandchamparesorts.com/wp-content/uploads/2018/04/Innahura_factsheet_v6low-res-1.pdf | https://sales.crownandchamparesorts.com/wp-content/uploads/2018/04/Innahura_factsheet_v6low-res.pdf</t>
        </is>
      </c>
      <c r="O364" t="inlineStr">
        <is>
          <t>7e93841a77341763c5c0aa0e20c25000e2a2781cd350a56b06e33cbef12c03b7</t>
        </is>
      </c>
      <c r="P364" t="inlineStr">
        <is>
          <t>library/031_innahura-maldives-resort/factsheet/2018_Innahura_factsheet_v6low-res-1.pdf</t>
        </is>
      </c>
      <c r="R364" t="inlineStr">
        <is>
          <t>outdated</t>
        </is>
      </c>
      <c r="S364" t="inlineStr">
        <is>
          <t>N</t>
        </is>
      </c>
      <c r="T364" t="inlineStr">
        <is>
          <t>matched</t>
        </is>
      </c>
      <c r="U364" t="inlineStr">
        <is>
          <t>2026-10-04</t>
        </is>
      </c>
      <c r="V364" t="inlineStr"/>
    </row>
    <row r="365">
      <c r="A365" t="n">
        <v>31</v>
      </c>
      <c r="B365" t="inlineStr">
        <is>
          <t>Innahura Maldives Resort</t>
        </is>
      </c>
      <c r="C365" t="inlineStr">
        <is>
          <t>all_inclusive</t>
        </is>
      </c>
      <c r="D365" t="inlineStr">
        <is>
          <t>2021_InnahuraAIEPackage110121103122Ver110121.pdf</t>
        </is>
      </c>
      <c r="E365" t="n">
        <v>2021</v>
      </c>
      <c r="F365" t="inlineStr">
        <is>
          <t>2021-11-01</t>
        </is>
      </c>
      <c r="G365" t="inlineStr">
        <is>
          <t>2022-10-31</t>
        </is>
      </c>
      <c r="H365" t="n">
        <v>1</v>
      </c>
      <c r="I365" t="n">
        <v>1226</v>
      </c>
      <c r="J365" t="inlineStr">
        <is>
          <t>Y</t>
        </is>
      </c>
      <c r="K365" t="inlineStr">
        <is>
          <t>sales.crownandchamparesorts.com</t>
        </is>
      </c>
      <c r="L365" t="inlineStr">
        <is>
          <t>brand-cdn</t>
        </is>
      </c>
      <c r="M365" t="inlineStr">
        <is>
          <t>https://sales.crownandchamparesorts.com/wp-content/uploads/2023/08/InnahuraAIEPackage110121103122Ver110121.pdf</t>
        </is>
      </c>
      <c r="N365" t="inlineStr">
        <is>
          <t>https://sales.crownandchamparesorts.com/wp-content/uploads/2023/08/InnahuraAIEPackage110121103122Ver110121.pdf</t>
        </is>
      </c>
      <c r="O365" t="inlineStr">
        <is>
          <t>9336ceef26a1d2d17985a0c60c47d5cce149b5891fc37624a393c36c36e14d40</t>
        </is>
      </c>
      <c r="P365" t="inlineStr">
        <is>
          <t>library/031_innahura-maldives-resort/all_inclusive/2021_InnahuraAIEPackage110121103122Ver110121.pdf</t>
        </is>
      </c>
      <c r="R365" t="inlineStr">
        <is>
          <t>outdated</t>
        </is>
      </c>
      <c r="S365" t="inlineStr">
        <is>
          <t>Y</t>
        </is>
      </c>
      <c r="T365" t="inlineStr">
        <is>
          <t>matched</t>
        </is>
      </c>
      <c r="U365" t="inlineStr">
        <is>
          <t>2026-10-04</t>
        </is>
      </c>
      <c r="V365" t="inlineStr"/>
    </row>
    <row r="366">
      <c r="A366" t="n">
        <v>32</v>
      </c>
      <c r="B366" t="inlineStr">
        <is>
          <t>Cocoon Maldives</t>
        </is>
      </c>
      <c r="C366" t="inlineStr">
        <is>
          <t>factsheet</t>
        </is>
      </c>
      <c r="D366" t="inlineStr">
        <is>
          <t>2025_Cocoon-Maldives-_-Fact-Sheet.pdf</t>
        </is>
      </c>
      <c r="E366" t="n">
        <v>2025</v>
      </c>
      <c r="H366" t="n">
        <v>6</v>
      </c>
      <c r="I366" t="n">
        <v>2993</v>
      </c>
      <c r="J366" t="inlineStr">
        <is>
          <t>Y</t>
        </is>
      </c>
      <c r="K366" t="inlineStr">
        <is>
          <t>neoscapesmaldives.com</t>
        </is>
      </c>
      <c r="L366" t="inlineStr">
        <is>
          <t>dmc-agency</t>
        </is>
      </c>
      <c r="M366" t="inlineStr">
        <is>
          <t>https://www.neoscapesmaldives.com/wp-content/uploads/Cocoon-Maldives-_-Fact-Sheet.pdf</t>
        </is>
      </c>
      <c r="N366" t="inlineStr">
        <is>
          <t>https://www.neoscapesmaldives.com/wp-content/uploads/Cocoon-Maldives-_-Fact-Sheet.pdf</t>
        </is>
      </c>
      <c r="O366" t="inlineStr">
        <is>
          <t>34f50f2019bc5baa0a0cd8bef11fbae4635b168722273cfaa5faf7574bc05144</t>
        </is>
      </c>
      <c r="P366" t="inlineStr">
        <is>
          <t>library/032_cocoon-maldives/factsheet/2025_Cocoon-Maldives-_-Fact-Sheet.pdf</t>
        </is>
      </c>
      <c r="R366" t="inlineStr">
        <is>
          <t>current</t>
        </is>
      </c>
      <c r="S366" t="inlineStr">
        <is>
          <t>Y</t>
        </is>
      </c>
      <c r="T366" t="inlineStr">
        <is>
          <t>matched</t>
        </is>
      </c>
      <c r="U366" t="inlineStr">
        <is>
          <t>2026-10-04</t>
        </is>
      </c>
      <c r="V366" t="inlineStr"/>
    </row>
    <row r="367">
      <c r="A367" t="n">
        <v>32</v>
      </c>
      <c r="B367" t="inlineStr">
        <is>
          <t>Cocoon Maldives</t>
        </is>
      </c>
      <c r="C367" t="inlineStr">
        <is>
          <t>map</t>
        </is>
      </c>
      <c r="D367" t="inlineStr">
        <is>
          <t>2025_DUSIT-D2-FEYDHOO-MAP-DIGITAL-HIGH-RES-.pdf</t>
        </is>
      </c>
      <c r="E367" t="n">
        <v>2025</v>
      </c>
      <c r="H367" t="n">
        <v>1</v>
      </c>
      <c r="I367" t="n">
        <v>4694</v>
      </c>
      <c r="J367" t="inlineStr">
        <is>
          <t>Y</t>
        </is>
      </c>
      <c r="K367" t="inlineStr">
        <is>
          <t>neoscapesmaldives.com</t>
        </is>
      </c>
      <c r="L367" t="inlineStr">
        <is>
          <t>dmc-agency</t>
        </is>
      </c>
      <c r="M367" t="inlineStr">
        <is>
          <t>https://www.neoscapesmaldives.com/wp-content/uploads/DUSIT-D2-FEYDHOO-MAP-DIGITAL-HIGH-RES-.pdf</t>
        </is>
      </c>
      <c r="N367" t="inlineStr">
        <is>
          <t>https://www.neoscapesmaldives.com/wp-content/uploads/DUSIT-D2-FEYDHOO-MAP-DIGITAL-HIGH-RES-.pdf</t>
        </is>
      </c>
      <c r="O367" t="inlineStr">
        <is>
          <t>d53c70cc4b3623c8f63e8d28df47d8a0ba5e8cabc851318bf2e58211a40a27c2</t>
        </is>
      </c>
      <c r="P367" t="inlineStr">
        <is>
          <t>library/032_cocoon-maldives/map/2025_DUSIT-D2-FEYDHOO-MAP-DIGITAL-HIGH-RES-.pdf</t>
        </is>
      </c>
      <c r="R367" t="inlineStr">
        <is>
          <t>current</t>
        </is>
      </c>
      <c r="S367" t="inlineStr">
        <is>
          <t>Y</t>
        </is>
      </c>
      <c r="T367" t="inlineStr">
        <is>
          <t>matched</t>
        </is>
      </c>
      <c r="U367" t="inlineStr">
        <is>
          <t>2026-10-04</t>
        </is>
      </c>
      <c r="V367" t="inlineStr"/>
    </row>
    <row r="368">
      <c r="A368" t="n">
        <v>32</v>
      </c>
      <c r="B368" t="inlineStr">
        <is>
          <t>Cocoon Maldives</t>
        </is>
      </c>
      <c r="C368" t="inlineStr">
        <is>
          <t>map</t>
        </is>
      </c>
      <c r="D368" t="inlineStr">
        <is>
          <t>2024_Cocoon-Maldives-_-Resort-Map.pdf</t>
        </is>
      </c>
      <c r="E368" t="n">
        <v>2024</v>
      </c>
      <c r="H368" t="n">
        <v>1</v>
      </c>
      <c r="I368" t="n">
        <v>1092</v>
      </c>
      <c r="J368" t="inlineStr">
        <is>
          <t>Y</t>
        </is>
      </c>
      <c r="K368" t="inlineStr">
        <is>
          <t>neoscapesmaldives.com</t>
        </is>
      </c>
      <c r="L368" t="inlineStr">
        <is>
          <t>dmc-agency</t>
        </is>
      </c>
      <c r="M368" t="inlineStr">
        <is>
          <t>https://www.neoscapesmaldives.com/wp-content/uploads/Cocoon-Maldives-_-Resort-Map.pdf</t>
        </is>
      </c>
      <c r="N368" t="inlineStr">
        <is>
          <t>https://www.neoscapesmaldives.com/wp-content/uploads/Cocoon-Maldives-_-Resort-Map.pdf</t>
        </is>
      </c>
      <c r="O368" t="inlineStr">
        <is>
          <t>62cde68b049648c29f61c9a24dae5b09f333ff81ced039e224d4b5eb70f04c8e</t>
        </is>
      </c>
      <c r="P368" t="inlineStr">
        <is>
          <t>library/032_cocoon-maldives/map/2024_Cocoon-Maldives-_-Resort-Map.pdf</t>
        </is>
      </c>
      <c r="R368" t="inlineStr">
        <is>
          <t>outdated</t>
        </is>
      </c>
      <c r="S368" t="inlineStr">
        <is>
          <t>N</t>
        </is>
      </c>
      <c r="T368" t="inlineStr">
        <is>
          <t>matched</t>
        </is>
      </c>
      <c r="U368" t="inlineStr">
        <is>
          <t>2026-10-04</t>
        </is>
      </c>
      <c r="V368" t="inlineStr"/>
    </row>
    <row r="369">
      <c r="A369" t="n">
        <v>32</v>
      </c>
      <c r="B369" t="inlineStr">
        <is>
          <t>Cocoon Maldives</t>
        </is>
      </c>
      <c r="C369" t="inlineStr">
        <is>
          <t>map</t>
        </is>
      </c>
      <c r="D369" t="inlineStr">
        <is>
          <t>2022_14dbea_619a17714cbe486e9663306167da43a0.pdf</t>
        </is>
      </c>
      <c r="E369" t="n">
        <v>2022</v>
      </c>
      <c r="H369" t="n">
        <v>1</v>
      </c>
      <c r="I369" t="n">
        <v>543</v>
      </c>
      <c r="J369" t="inlineStr">
        <is>
          <t>N</t>
        </is>
      </c>
      <c r="K369" t="inlineStr">
        <is>
          <t>cocoonmaldives.com</t>
        </is>
      </c>
      <c r="L369" t="inlineStr">
        <is>
          <t>official</t>
        </is>
      </c>
      <c r="M369" t="inlineStr">
        <is>
          <t>https://www.cocoonmaldives.com/_files/ugd/14dbea_619a17714cbe486e9663306167da43a0.pdf</t>
        </is>
      </c>
      <c r="N369" t="inlineStr">
        <is>
          <t>https://www.cocoonmaldives.com/_files/ugd/14dbea_619a17714cbe486e9663306167da43a0.pdf</t>
        </is>
      </c>
      <c r="O369" t="inlineStr">
        <is>
          <t>0fdea982dd25237a5fcccd7405bf839064b02a36f20972357a1898a1e2569d24</t>
        </is>
      </c>
      <c r="P369" t="inlineStr">
        <is>
          <t>library/032_cocoon-maldives/map/2022_14dbea_619a17714cbe486e9663306167da43a0.pdf</t>
        </is>
      </c>
      <c r="R369" t="inlineStr">
        <is>
          <t>outdated</t>
        </is>
      </c>
      <c r="S369" t="inlineStr">
        <is>
          <t>N</t>
        </is>
      </c>
      <c r="T369" t="inlineStr">
        <is>
          <t>matched</t>
        </is>
      </c>
      <c r="U369" t="inlineStr">
        <is>
          <t>2026-10-04</t>
        </is>
      </c>
      <c r="V369" t="inlineStr"/>
    </row>
    <row r="370">
      <c r="A370" t="n">
        <v>32</v>
      </c>
      <c r="B370" t="inlineStr">
        <is>
          <t>Cocoon Maldives</t>
        </is>
      </c>
      <c r="C370" t="inlineStr">
        <is>
          <t>other</t>
        </is>
      </c>
      <c r="D370" t="inlineStr">
        <is>
          <t>2024_482ba8_d145f86de70c47049c2639bac86b9c95.pdf</t>
        </is>
      </c>
      <c r="E370" t="n">
        <v>2024</v>
      </c>
      <c r="H370" t="n">
        <v>1</v>
      </c>
      <c r="I370" t="n">
        <v>719</v>
      </c>
      <c r="J370" t="inlineStr">
        <is>
          <t>Y</t>
        </is>
      </c>
      <c r="K370" t="inlineStr">
        <is>
          <t>cocoonmaldives.com</t>
        </is>
      </c>
      <c r="L370" t="inlineStr">
        <is>
          <t>official</t>
        </is>
      </c>
      <c r="M370" t="inlineStr">
        <is>
          <t>https://www.cocoonmaldives.com/_files/ugd/482ba8_d145f86de70c47049c2639bac86b9c95.pdf</t>
        </is>
      </c>
      <c r="N370" t="inlineStr">
        <is>
          <t>https://www.cocoonmaldives.com/_files/ugd/482ba8_d145f86de70c47049c2639bac86b9c95.pdf</t>
        </is>
      </c>
      <c r="O370" t="inlineStr">
        <is>
          <t>eaf09c0dcf9f8fe3ff245936f5916aab1d06194f8032dbf47f0aec55ef4613b8</t>
        </is>
      </c>
      <c r="P370" t="inlineStr">
        <is>
          <t>library/032_cocoon-maldives/other/2024_482ba8_d145f86de70c47049c2639bac86b9c95.pdf</t>
        </is>
      </c>
      <c r="R370" t="inlineStr">
        <is>
          <t>outdated</t>
        </is>
      </c>
      <c r="S370" t="inlineStr">
        <is>
          <t>Y</t>
        </is>
      </c>
      <c r="T370" t="inlineStr">
        <is>
          <t>matched</t>
        </is>
      </c>
      <c r="U370" t="inlineStr">
        <is>
          <t>2026-10-04</t>
        </is>
      </c>
      <c r="V370" t="inlineStr"/>
    </row>
    <row r="371">
      <c r="A371" t="n">
        <v>33</v>
      </c>
      <c r="B371" t="inlineStr">
        <is>
          <t>Dhigali Maldives</t>
        </is>
      </c>
      <c r="C371" t="inlineStr">
        <is>
          <t>factsheet</t>
        </is>
      </c>
      <c r="D371" t="inlineStr">
        <is>
          <t>2026_Excursions-Fact-Sheet_Rev04Aug26-1.pdf</t>
        </is>
      </c>
      <c r="E371" t="n">
        <v>2026</v>
      </c>
      <c r="H371" t="n">
        <v>4</v>
      </c>
      <c r="I371" t="n">
        <v>5839</v>
      </c>
      <c r="J371" t="inlineStr">
        <is>
          <t>Y</t>
        </is>
      </c>
      <c r="K371" t="inlineStr">
        <is>
          <t>dhigali.com</t>
        </is>
      </c>
      <c r="L371" t="inlineStr">
        <is>
          <t>official</t>
        </is>
      </c>
      <c r="M371" t="inlineStr">
        <is>
          <t>https://www.nivadhigali.com/wp-content/uploads/2026/08/Excursions-Fact-Sheet_Rev04Aug26-1.pdf</t>
        </is>
      </c>
      <c r="N371" t="inlineStr">
        <is>
          <t>https://www.nivadhigali.com/wp-content/uploads/2026/08/Excursions-Fact-Sheet_Rev04Aug26-1.pdf | https://www.nivadhigali.com/wp-content/uploads/2026/08/Excursions-Fact-Sheet_Rev04Aug26.pdf</t>
        </is>
      </c>
      <c r="O371" t="inlineStr">
        <is>
          <t>a03ec7e510cfd5fcfeaef81812b4ca6eca1e26b2e623bd84cc5f1e46af604a20</t>
        </is>
      </c>
      <c r="P371" t="inlineStr">
        <is>
          <t>library/033_dhigali-maldives/factsheet/2026_Excursions-Fact-Sheet_Rev04Aug26-1.pdf</t>
        </is>
      </c>
      <c r="R371" t="inlineStr">
        <is>
          <t>current</t>
        </is>
      </c>
      <c r="S371" t="inlineStr">
        <is>
          <t>N</t>
        </is>
      </c>
      <c r="T371" t="inlineStr">
        <is>
          <t>matched</t>
        </is>
      </c>
      <c r="U371" t="inlineStr">
        <is>
          <t>2026-10-04</t>
        </is>
      </c>
      <c r="V371" t="inlineStr"/>
    </row>
    <row r="372">
      <c r="A372" t="n">
        <v>33</v>
      </c>
      <c r="B372" t="inlineStr">
        <is>
          <t>Dhigali Maldives</t>
        </is>
      </c>
      <c r="C372" t="inlineStr">
        <is>
          <t>factsheet</t>
        </is>
      </c>
      <c r="D372" t="inlineStr">
        <is>
          <t>2026_DHIGALI_Factsheet.pdf</t>
        </is>
      </c>
      <c r="E372" t="n">
        <v>2026</v>
      </c>
      <c r="H372" t="n">
        <v>9</v>
      </c>
      <c r="I372" t="n">
        <v>7587</v>
      </c>
      <c r="J372" t="inlineStr">
        <is>
          <t>Y</t>
        </is>
      </c>
      <c r="K372" t="inlineStr">
        <is>
          <t>dhigali.com</t>
        </is>
      </c>
      <c r="L372" t="inlineStr">
        <is>
          <t>official</t>
        </is>
      </c>
      <c r="M372" t="inlineStr">
        <is>
          <t>https://www.nivadhigali.com/wp-content/uploads/2026/01/DHIGALI_Factsheet.pdf</t>
        </is>
      </c>
      <c r="N372" t="inlineStr">
        <is>
          <t>https://www.nivadhigali.com/wp-content/uploads/2026/01/DHIGALI_Factsheet.pdf</t>
        </is>
      </c>
      <c r="O372" t="inlineStr">
        <is>
          <t>a859e1ff94dd4c1f356194616a85508bb54e961358704b7f945252db01187250</t>
        </is>
      </c>
      <c r="P372" t="inlineStr">
        <is>
          <t>library/033_dhigali-maldives/factsheet/2026_DHIGALI_Factsheet.pdf</t>
        </is>
      </c>
      <c r="R372" t="inlineStr">
        <is>
          <t>current</t>
        </is>
      </c>
      <c r="S372" t="inlineStr">
        <is>
          <t>Y</t>
        </is>
      </c>
      <c r="T372" t="inlineStr">
        <is>
          <t>matched</t>
        </is>
      </c>
      <c r="U372" t="inlineStr">
        <is>
          <t>2026-10-04</t>
        </is>
      </c>
      <c r="V372" t="inlineStr"/>
    </row>
    <row r="373">
      <c r="A373" t="n">
        <v>33</v>
      </c>
      <c r="B373" t="inlineStr">
        <is>
          <t>Dhigali Maldives</t>
        </is>
      </c>
      <c r="C373" t="inlineStr">
        <is>
          <t>factsheet</t>
        </is>
      </c>
      <c r="D373" t="inlineStr">
        <is>
          <t>2026_Excursions-Fact-Sheet_Rev250626-1.pdf</t>
        </is>
      </c>
      <c r="E373" t="n">
        <v>2026</v>
      </c>
      <c r="H373" t="n">
        <v>4</v>
      </c>
      <c r="I373" t="n">
        <v>5839</v>
      </c>
      <c r="J373" t="inlineStr">
        <is>
          <t>Y</t>
        </is>
      </c>
      <c r="K373" t="inlineStr">
        <is>
          <t>dhigali.com</t>
        </is>
      </c>
      <c r="L373" t="inlineStr">
        <is>
          <t>official</t>
        </is>
      </c>
      <c r="M373" t="inlineStr">
        <is>
          <t>https://www.nivadhigali.com/wp-content/uploads/2026/06/Excursions-Fact-Sheet_Rev250626-1.pdf</t>
        </is>
      </c>
      <c r="N373" t="inlineStr">
        <is>
          <t>https://www.nivadhigali.com/wp-content/uploads/2026/06/Excursions-Fact-Sheet_Rev250626-1.pdf | https://www.nivadhigali.com/wp-content/uploads/2026/06/Excursions-Fact-Sheet_Rev250626.pdf</t>
        </is>
      </c>
      <c r="O373" t="inlineStr">
        <is>
          <t>a69bd31e0c5ba4d2b160f88645c8d2eb7820027f4f7103da2ee5de21d996c402</t>
        </is>
      </c>
      <c r="P373" t="inlineStr">
        <is>
          <t>library/033_dhigali-maldives/factsheet/2026_Excursions-Fact-Sheet_Rev250626-1.pdf</t>
        </is>
      </c>
      <c r="R373" t="inlineStr">
        <is>
          <t>current</t>
        </is>
      </c>
      <c r="S373" t="inlineStr">
        <is>
          <t>N</t>
        </is>
      </c>
      <c r="T373" t="inlineStr">
        <is>
          <t>matched</t>
        </is>
      </c>
      <c r="U373" t="inlineStr">
        <is>
          <t>2026-10-04</t>
        </is>
      </c>
      <c r="V373" t="inlineStr"/>
    </row>
    <row r="374">
      <c r="A374" t="n">
        <v>33</v>
      </c>
      <c r="B374" t="inlineStr">
        <is>
          <t>Dhigali Maldives</t>
        </is>
      </c>
      <c r="C374" t="inlineStr">
        <is>
          <t>factsheet</t>
        </is>
      </c>
      <c r="D374" t="inlineStr">
        <is>
          <t>2026_Premium-All-Inclusive-Factsheet-2026.pdf</t>
        </is>
      </c>
      <c r="E374" t="n">
        <v>2026</v>
      </c>
      <c r="H374" t="n">
        <v>5</v>
      </c>
      <c r="I374" t="n">
        <v>1118</v>
      </c>
      <c r="J374" t="inlineStr">
        <is>
          <t>Y</t>
        </is>
      </c>
      <c r="K374" t="inlineStr">
        <is>
          <t>dhigali.com</t>
        </is>
      </c>
      <c r="L374" t="inlineStr">
        <is>
          <t>official</t>
        </is>
      </c>
      <c r="M374" t="inlineStr">
        <is>
          <t>https://www.nivadhigali.com/wp-content/uploads/2026/01/Premium-All-Inclusive-Factsheet-2026.pdf</t>
        </is>
      </c>
      <c r="N374" t="inlineStr">
        <is>
          <t>https://www.nivadhigali.com/wp-content/uploads/2026/01/Premium-All-Inclusive-Factsheet-2026.pdf</t>
        </is>
      </c>
      <c r="O374" t="inlineStr">
        <is>
          <t>22fc413aa26c2fb7e813eac18937dce0152dd8ed97fca0a00ad007aa34683661</t>
        </is>
      </c>
      <c r="P374" t="inlineStr">
        <is>
          <t>library/033_dhigali-maldives/factsheet/2026_Premium-All-Inclusive-Factsheet-2026.pdf</t>
        </is>
      </c>
      <c r="R374" t="inlineStr">
        <is>
          <t>current</t>
        </is>
      </c>
      <c r="S374" t="inlineStr">
        <is>
          <t>N</t>
        </is>
      </c>
      <c r="T374" t="inlineStr">
        <is>
          <t>matched</t>
        </is>
      </c>
      <c r="U374" t="inlineStr">
        <is>
          <t>2026-10-04</t>
        </is>
      </c>
      <c r="V374" t="inlineStr"/>
    </row>
    <row r="375">
      <c r="A375" t="n">
        <v>33</v>
      </c>
      <c r="B375" t="inlineStr">
        <is>
          <t>Dhigali Maldives</t>
        </is>
      </c>
      <c r="C375" t="inlineStr">
        <is>
          <t>factsheet</t>
        </is>
      </c>
      <c r="D375" t="inlineStr">
        <is>
          <t>2026_Diving-Fact-Sheet-January-15-NIVA-LR.pdf</t>
        </is>
      </c>
      <c r="E375" t="n">
        <v>2026</v>
      </c>
      <c r="H375" t="n">
        <v>6</v>
      </c>
      <c r="I375" t="n">
        <v>865</v>
      </c>
      <c r="J375" t="inlineStr">
        <is>
          <t>Y</t>
        </is>
      </c>
      <c r="K375" t="inlineStr">
        <is>
          <t>dhigali.com</t>
        </is>
      </c>
      <c r="L375" t="inlineStr">
        <is>
          <t>official</t>
        </is>
      </c>
      <c r="M375" t="inlineStr">
        <is>
          <t>https://www.nivadhigali.com/wp-content/uploads/2026/01/Diving-Fact-Sheet-January-15-NIVA-LR.pdf</t>
        </is>
      </c>
      <c r="N375" t="inlineStr">
        <is>
          <t>https://www.nivadhigali.com/wp-content/uploads/2026/01/Diving-Fact-Sheet-January-15-NIVA-LR.pdf</t>
        </is>
      </c>
      <c r="O375" t="inlineStr">
        <is>
          <t>08dbe844f3ffc1dabe921828b1ae9ccbd99c111a5aabe1586769a731d81ed806</t>
        </is>
      </c>
      <c r="P375" t="inlineStr">
        <is>
          <t>library/033_dhigali-maldives/factsheet/2026_Diving-Fact-Sheet-January-15-NIVA-LR.pdf</t>
        </is>
      </c>
      <c r="R375" t="inlineStr">
        <is>
          <t>current</t>
        </is>
      </c>
      <c r="S375" t="inlineStr">
        <is>
          <t>N</t>
        </is>
      </c>
      <c r="T375" t="inlineStr">
        <is>
          <t>matched</t>
        </is>
      </c>
      <c r="U375" t="inlineStr">
        <is>
          <t>2026-10-04</t>
        </is>
      </c>
      <c r="V375" t="inlineStr"/>
    </row>
    <row r="376">
      <c r="A376" t="n">
        <v>33</v>
      </c>
      <c r="B376" t="inlineStr">
        <is>
          <t>Dhigali Maldives</t>
        </is>
      </c>
      <c r="C376" t="inlineStr">
        <is>
          <t>factsheet</t>
        </is>
      </c>
      <c r="D376" t="inlineStr">
        <is>
          <t>2022_Dhigali_Factsheet-03-15-2022.pdf</t>
        </is>
      </c>
      <c r="E376" t="n">
        <v>2022</v>
      </c>
      <c r="H376" t="n">
        <v>8</v>
      </c>
      <c r="I376" t="n">
        <v>4683</v>
      </c>
      <c r="J376" t="inlineStr">
        <is>
          <t>Y</t>
        </is>
      </c>
      <c r="K376" t="inlineStr">
        <is>
          <t>neoscapesmaldives.com</t>
        </is>
      </c>
      <c r="L376" t="inlineStr">
        <is>
          <t>dmc-agency</t>
        </is>
      </c>
      <c r="M376" t="inlineStr">
        <is>
          <t>https://www.neoscapesmaldives.com/wp-content/uploads/Dhigali_Factsheet-03-15-2022.pdf</t>
        </is>
      </c>
      <c r="N376" t="inlineStr">
        <is>
          <t>https://www.neoscapesmaldives.com/wp-content/uploads/Dhigali_Factsheet-03-15-2022.pdf</t>
        </is>
      </c>
      <c r="O376" t="inlineStr">
        <is>
          <t>34619d93f825f391b75cbe496f1d8b5a2601507cba561a25749b40f4f3707fe8</t>
        </is>
      </c>
      <c r="P376" t="inlineStr">
        <is>
          <t>library/033_dhigali-maldives/factsheet/2022_Dhigali_Factsheet-03-15-2022.pdf</t>
        </is>
      </c>
      <c r="R376" t="inlineStr">
        <is>
          <t>outdated</t>
        </is>
      </c>
      <c r="S376" t="inlineStr">
        <is>
          <t>N</t>
        </is>
      </c>
      <c r="T376" t="inlineStr">
        <is>
          <t>matched</t>
        </is>
      </c>
      <c r="U376" t="inlineStr">
        <is>
          <t>2026-10-04</t>
        </is>
      </c>
      <c r="V376" t="inlineStr"/>
    </row>
    <row r="377">
      <c r="A377" t="n">
        <v>33</v>
      </c>
      <c r="B377" t="inlineStr">
        <is>
          <t>Dhigali Maldives</t>
        </is>
      </c>
      <c r="C377" t="inlineStr">
        <is>
          <t>map</t>
        </is>
      </c>
      <c r="D377" t="inlineStr">
        <is>
          <t>2022_Dhigali_Map-03-15-2022.pdf</t>
        </is>
      </c>
      <c r="E377" t="n">
        <v>2022</v>
      </c>
      <c r="H377" t="n">
        <v>1</v>
      </c>
      <c r="I377" t="n">
        <v>1277</v>
      </c>
      <c r="J377" t="inlineStr">
        <is>
          <t>N</t>
        </is>
      </c>
      <c r="K377" t="inlineStr">
        <is>
          <t>neoscapesmaldives.com</t>
        </is>
      </c>
      <c r="L377" t="inlineStr">
        <is>
          <t>dmc-agency</t>
        </is>
      </c>
      <c r="M377" t="inlineStr">
        <is>
          <t>https://www.neoscapesmaldives.com/wp-content/uploads/Dhigali_Map-03-15-2022.pdf</t>
        </is>
      </c>
      <c r="N377" t="inlineStr">
        <is>
          <t>https://www.neoscapesmaldives.com/wp-content/uploads/Dhigali_Map-03-15-2022.pdf</t>
        </is>
      </c>
      <c r="O377" t="inlineStr">
        <is>
          <t>e7122ad4dace502ec5c93eb499a03ab652ebeb8ae2232f2cc1d02c5859a96673</t>
        </is>
      </c>
      <c r="P377" t="inlineStr">
        <is>
          <t>library/033_dhigali-maldives/map/2022_Dhigali_Map-03-15-2022.pdf</t>
        </is>
      </c>
      <c r="R377" t="inlineStr">
        <is>
          <t>outdated</t>
        </is>
      </c>
      <c r="S377" t="inlineStr">
        <is>
          <t>Y</t>
        </is>
      </c>
      <c r="T377" t="inlineStr">
        <is>
          <t>matched</t>
        </is>
      </c>
      <c r="U377" t="inlineStr">
        <is>
          <t>2026-10-04</t>
        </is>
      </c>
      <c r="V377" t="inlineStr"/>
    </row>
    <row r="378">
      <c r="A378" t="n">
        <v>33</v>
      </c>
      <c r="B378" t="inlineStr">
        <is>
          <t>Dhigali Maldives</t>
        </is>
      </c>
      <c r="C378" t="inlineStr">
        <is>
          <t>spa_menu</t>
        </is>
      </c>
      <c r="D378" t="inlineStr">
        <is>
          <t>2026_LIMEDhigalkiSpaPricelistHighWeb.pdf</t>
        </is>
      </c>
      <c r="E378" t="n">
        <v>2026</v>
      </c>
      <c r="H378" t="n">
        <v>4</v>
      </c>
      <c r="I378" t="n">
        <v>265</v>
      </c>
      <c r="J378" t="inlineStr">
        <is>
          <t>Y</t>
        </is>
      </c>
      <c r="K378" t="inlineStr">
        <is>
          <t>dhigali.com</t>
        </is>
      </c>
      <c r="L378" t="inlineStr">
        <is>
          <t>official</t>
        </is>
      </c>
      <c r="M378" t="inlineStr">
        <is>
          <t>https://www.nivadhigali.com/wp-content/uploads/2026/10/LIMEDhigalkiSpaPricelistHighWeb.pdf</t>
        </is>
      </c>
      <c r="N378" t="inlineStr">
        <is>
          <t>https://www.nivadhigali.com/wp-content/uploads/2026/10/LIMEDhigalkiSpaPricelistHighWeb.pdf</t>
        </is>
      </c>
      <c r="O378" t="inlineStr">
        <is>
          <t>d5ce3869d4885995d4adbf683f0e8ecec1c059df2a2093efab1e74208c5a998d</t>
        </is>
      </c>
      <c r="P378" t="inlineStr">
        <is>
          <t>library/033_dhigali-maldives/spa_menu/2026_LIMEDhigalkiSpaPricelistHighWeb.pdf</t>
        </is>
      </c>
      <c r="R378" t="inlineStr">
        <is>
          <t>current</t>
        </is>
      </c>
      <c r="S378" t="inlineStr">
        <is>
          <t>N</t>
        </is>
      </c>
      <c r="T378" t="inlineStr">
        <is>
          <t>matched</t>
        </is>
      </c>
      <c r="U378" t="inlineStr">
        <is>
          <t>2026-10-04</t>
        </is>
      </c>
      <c r="V378" t="inlineStr"/>
    </row>
    <row r="379">
      <c r="A379" t="n">
        <v>33</v>
      </c>
      <c r="B379" t="inlineStr">
        <is>
          <t>Dhigali Maldives</t>
        </is>
      </c>
      <c r="C379" t="inlineStr">
        <is>
          <t>spa_menu</t>
        </is>
      </c>
      <c r="D379" t="inlineStr">
        <is>
          <t>2026_Full-Moon-Yoga.pdf</t>
        </is>
      </c>
      <c r="E379" t="n">
        <v>2026</v>
      </c>
      <c r="H379" t="n">
        <v>1</v>
      </c>
      <c r="I379" t="n">
        <v>1091</v>
      </c>
      <c r="J379" t="inlineStr">
        <is>
          <t>Y</t>
        </is>
      </c>
      <c r="K379" t="inlineStr">
        <is>
          <t>dhigali.com</t>
        </is>
      </c>
      <c r="L379" t="inlineStr">
        <is>
          <t>official</t>
        </is>
      </c>
      <c r="M379" t="inlineStr">
        <is>
          <t>https://www.nivadhigali.com/wp-content/uploads/2026/09/Full-Moon-Yoga.pdf</t>
        </is>
      </c>
      <c r="N379" t="inlineStr">
        <is>
          <t>https://www.nivadhigali.com/wp-content/uploads/2026/09/Full-Moon-Yoga.pdf</t>
        </is>
      </c>
      <c r="O379" t="inlineStr">
        <is>
          <t>15cea1765feeb4fff4869903194043cb69a5f7c155c2d49561a379bf9e92ba21</t>
        </is>
      </c>
      <c r="P379" t="inlineStr">
        <is>
          <t>library/033_dhigali-maldives/spa_menu/2026_Full-Moon-Yoga.pdf</t>
        </is>
      </c>
      <c r="R379" t="inlineStr">
        <is>
          <t>current</t>
        </is>
      </c>
      <c r="S379" t="inlineStr">
        <is>
          <t>N</t>
        </is>
      </c>
      <c r="T379" t="inlineStr">
        <is>
          <t>matched</t>
        </is>
      </c>
      <c r="U379" t="inlineStr">
        <is>
          <t>2026-10-04</t>
        </is>
      </c>
      <c r="V379" t="inlineStr"/>
    </row>
    <row r="380">
      <c r="A380" t="n">
        <v>33</v>
      </c>
      <c r="B380" t="inlineStr">
        <is>
          <t>Dhigali Maldives</t>
        </is>
      </c>
      <c r="C380" t="inlineStr">
        <is>
          <t>spa_menu</t>
        </is>
      </c>
      <c r="D380" t="inlineStr">
        <is>
          <t>2026_Coconut-Ease.pdf</t>
        </is>
      </c>
      <c r="E380" t="n">
        <v>2026</v>
      </c>
      <c r="H380" t="n">
        <v>1</v>
      </c>
      <c r="I380" t="n">
        <v>3727</v>
      </c>
      <c r="J380" t="inlineStr">
        <is>
          <t>Y</t>
        </is>
      </c>
      <c r="K380" t="inlineStr">
        <is>
          <t>dhigali.com</t>
        </is>
      </c>
      <c r="L380" t="inlineStr">
        <is>
          <t>official</t>
        </is>
      </c>
      <c r="M380" t="inlineStr">
        <is>
          <t>https://www.nivadhigali.com/wp-content/uploads/2026/09/Coconut-Ease.pdf</t>
        </is>
      </c>
      <c r="N380" t="inlineStr">
        <is>
          <t>https://www.nivadhigali.com/wp-content/uploads/2026/09/Coconut-Ease.pdf</t>
        </is>
      </c>
      <c r="O380" t="inlineStr">
        <is>
          <t>4064b34a49237a980c4bc9ac4e416d5558954fb3125384512ec7bc65524cf8f6</t>
        </is>
      </c>
      <c r="P380" t="inlineStr">
        <is>
          <t>library/033_dhigali-maldives/spa_menu/2026_Coconut-Ease.pdf</t>
        </is>
      </c>
      <c r="R380" t="inlineStr">
        <is>
          <t>current</t>
        </is>
      </c>
      <c r="S380" t="inlineStr">
        <is>
          <t>N</t>
        </is>
      </c>
      <c r="T380" t="inlineStr">
        <is>
          <t>matched</t>
        </is>
      </c>
      <c r="U380" t="inlineStr">
        <is>
          <t>2026-10-04</t>
        </is>
      </c>
      <c r="V380" t="inlineStr"/>
    </row>
    <row r="381">
      <c r="A381" t="n">
        <v>33</v>
      </c>
      <c r="B381" t="inlineStr">
        <is>
          <t>Dhigali Maldives</t>
        </is>
      </c>
      <c r="C381" t="inlineStr">
        <is>
          <t>spa_menu</t>
        </is>
      </c>
      <c r="D381" t="inlineStr">
        <is>
          <t>2026_LIME-MM-DhigaliWEB.pdf</t>
        </is>
      </c>
      <c r="E381" t="n">
        <v>2026</v>
      </c>
      <c r="H381" t="n">
        <v>6</v>
      </c>
      <c r="I381" t="n">
        <v>752</v>
      </c>
      <c r="J381" t="inlineStr">
        <is>
          <t>Y</t>
        </is>
      </c>
      <c r="K381" t="inlineStr">
        <is>
          <t>dhigali.com</t>
        </is>
      </c>
      <c r="L381" t="inlineStr">
        <is>
          <t>official</t>
        </is>
      </c>
      <c r="M381" t="inlineStr">
        <is>
          <t>https://www.nivadhigali.com/wp-content/uploads/2026/09/LIME-MM-DhigaliWEB.pdf</t>
        </is>
      </c>
      <c r="N381" t="inlineStr">
        <is>
          <t>https://www.nivadhigali.com/wp-content/uploads/2026/09/LIME-MM-DhigaliWEB.pdf</t>
        </is>
      </c>
      <c r="O381" t="inlineStr">
        <is>
          <t>62eead353dbbbb9104b7a6db7a81491ce524c4d73ff90a1ab6b1e087e7159171</t>
        </is>
      </c>
      <c r="P381" t="inlineStr">
        <is>
          <t>library/033_dhigali-maldives/spa_menu/2026_LIME-MM-DhigaliWEB.pdf</t>
        </is>
      </c>
      <c r="R381" t="inlineStr">
        <is>
          <t>current</t>
        </is>
      </c>
      <c r="S381" t="inlineStr">
        <is>
          <t>Y</t>
        </is>
      </c>
      <c r="T381" t="inlineStr">
        <is>
          <t>matched</t>
        </is>
      </c>
      <c r="U381" t="inlineStr">
        <is>
          <t>2026-10-04</t>
        </is>
      </c>
      <c r="V381" t="inlineStr"/>
    </row>
    <row r="382">
      <c r="A382" t="n">
        <v>33</v>
      </c>
      <c r="B382" t="inlineStr">
        <is>
          <t>Dhigali Maldives</t>
        </is>
      </c>
      <c r="C382" t="inlineStr">
        <is>
          <t>spa_menu</t>
        </is>
      </c>
      <c r="D382" t="inlineStr">
        <is>
          <t>2026_LIMEDhigalkiSpaPricelistLow.pdf</t>
        </is>
      </c>
      <c r="E382" t="n">
        <v>2026</v>
      </c>
      <c r="H382" t="n">
        <v>4</v>
      </c>
      <c r="I382" t="n">
        <v>266</v>
      </c>
      <c r="J382" t="inlineStr">
        <is>
          <t>Y</t>
        </is>
      </c>
      <c r="K382" t="inlineStr">
        <is>
          <t>dhigali.com</t>
        </is>
      </c>
      <c r="L382" t="inlineStr">
        <is>
          <t>official</t>
        </is>
      </c>
      <c r="M382" t="inlineStr">
        <is>
          <t>https://www.nivadhigali.com/wp-content/uploads/2026/08/LIMEDhigalkiSpaPricelistLow.pdf</t>
        </is>
      </c>
      <c r="N382" t="inlineStr">
        <is>
          <t>https://www.nivadhigali.com/wp-content/uploads/2026/08/LIMEDhigalkiSpaPricelistLow.pdf</t>
        </is>
      </c>
      <c r="O382" t="inlineStr">
        <is>
          <t>27bfc8f028f7b1248fdcd8a9c224d4a4998617a702e3aac82248e5c01c84e7f3</t>
        </is>
      </c>
      <c r="P382" t="inlineStr">
        <is>
          <t>library/033_dhigali-maldives/spa_menu/2026_LIMEDhigalkiSpaPricelistLow.pdf</t>
        </is>
      </c>
      <c r="R382" t="inlineStr">
        <is>
          <t>current</t>
        </is>
      </c>
      <c r="S382" t="inlineStr">
        <is>
          <t>N</t>
        </is>
      </c>
      <c r="T382" t="inlineStr">
        <is>
          <t>matched</t>
        </is>
      </c>
      <c r="U382" t="inlineStr">
        <is>
          <t>2026-10-04</t>
        </is>
      </c>
      <c r="V382" t="inlineStr"/>
    </row>
    <row r="383">
      <c r="A383" t="n">
        <v>33</v>
      </c>
      <c r="B383" t="inlineStr">
        <is>
          <t>Dhigali Maldives</t>
        </is>
      </c>
      <c r="C383" t="inlineStr">
        <is>
          <t>spa_menu</t>
        </is>
      </c>
      <c r="D383" t="inlineStr">
        <is>
          <t>2026_LIMEDhigalkiSpaPricelistLow-1.pdf</t>
        </is>
      </c>
      <c r="E383" t="n">
        <v>2026</v>
      </c>
      <c r="H383" t="n">
        <v>4</v>
      </c>
      <c r="I383" t="n">
        <v>266</v>
      </c>
      <c r="J383" t="inlineStr">
        <is>
          <t>Y</t>
        </is>
      </c>
      <c r="K383" t="inlineStr">
        <is>
          <t>dhigali.com</t>
        </is>
      </c>
      <c r="L383" t="inlineStr">
        <is>
          <t>official</t>
        </is>
      </c>
      <c r="M383" t="inlineStr">
        <is>
          <t>https://www.nivadhigali.com/wp-content/uploads/2026/07/LIMEDhigalkiSpaPricelistLow-1.pdf</t>
        </is>
      </c>
      <c r="N383" t="inlineStr">
        <is>
          <t>https://www.nivadhigali.com/wp-content/uploads/2026/07/LIMEDhigalkiSpaPricelistLow-1.pdf | https://www.nivadhigali.com/wp-content/uploads/2026/07/LIMEDhigalkiSpaPricelistLow.pdf</t>
        </is>
      </c>
      <c r="O383" t="inlineStr">
        <is>
          <t>e47298cf094d4d367889a02d3537fdbde78b022e2331fb9145d964688595ca41</t>
        </is>
      </c>
      <c r="P383" t="inlineStr">
        <is>
          <t>library/033_dhigali-maldives/spa_menu/2026_LIMEDhigalkiSpaPricelistLow-1.pdf</t>
        </is>
      </c>
      <c r="R383" t="inlineStr">
        <is>
          <t>current</t>
        </is>
      </c>
      <c r="S383" t="inlineStr">
        <is>
          <t>N</t>
        </is>
      </c>
      <c r="T383" t="inlineStr">
        <is>
          <t>matched</t>
        </is>
      </c>
      <c r="U383" t="inlineStr">
        <is>
          <t>2026-10-04</t>
        </is>
      </c>
      <c r="V383" t="inlineStr"/>
    </row>
    <row r="384">
      <c r="A384" t="n">
        <v>33</v>
      </c>
      <c r="B384" t="inlineStr">
        <is>
          <t>Dhigali Maldives</t>
        </is>
      </c>
      <c r="C384" t="inlineStr">
        <is>
          <t>spa_menu</t>
        </is>
      </c>
      <c r="D384" t="inlineStr">
        <is>
          <t>2026_Fullmoon-Ritual.pdf</t>
        </is>
      </c>
      <c r="E384" t="n">
        <v>2026</v>
      </c>
      <c r="H384" t="n">
        <v>1</v>
      </c>
      <c r="I384" t="n">
        <v>1661</v>
      </c>
      <c r="J384" t="inlineStr">
        <is>
          <t>Y</t>
        </is>
      </c>
      <c r="K384" t="inlineStr">
        <is>
          <t>dhigali.com</t>
        </is>
      </c>
      <c r="L384" t="inlineStr">
        <is>
          <t>official</t>
        </is>
      </c>
      <c r="M384" t="inlineStr">
        <is>
          <t>https://www.nivadhigali.com/wp-content/uploads/2026/07/Fullmoon-Ritual.pdf</t>
        </is>
      </c>
      <c r="N384" t="inlineStr">
        <is>
          <t>https://www.nivadhigali.com/wp-content/uploads/2026/07/Fullmoon-Ritual.pdf</t>
        </is>
      </c>
      <c r="O384" t="inlineStr">
        <is>
          <t>939468cc86361a4acffeded865b686620546d903b17fab5d0af4bb7694c481d3</t>
        </is>
      </c>
      <c r="P384" t="inlineStr">
        <is>
          <t>library/033_dhigali-maldives/spa_menu/2026_Fullmoon-Ritual.pdf</t>
        </is>
      </c>
      <c r="R384" t="inlineStr">
        <is>
          <t>current</t>
        </is>
      </c>
      <c r="S384" t="inlineStr">
        <is>
          <t>N</t>
        </is>
      </c>
      <c r="T384" t="inlineStr">
        <is>
          <t>matched</t>
        </is>
      </c>
      <c r="U384" t="inlineStr">
        <is>
          <t>2026-10-04</t>
        </is>
      </c>
      <c r="V384" t="inlineStr"/>
    </row>
    <row r="385">
      <c r="A385" t="n">
        <v>33</v>
      </c>
      <c r="B385" t="inlineStr">
        <is>
          <t>Dhigali Maldives</t>
        </is>
      </c>
      <c r="C385" t="inlineStr">
        <is>
          <t>spa_menu</t>
        </is>
      </c>
      <c r="D385" t="inlineStr">
        <is>
          <t>2026_Full-Moon-Yoga-June-28-LR.pdf</t>
        </is>
      </c>
      <c r="E385" t="n">
        <v>2026</v>
      </c>
      <c r="H385" t="n">
        <v>1</v>
      </c>
      <c r="I385" t="n">
        <v>197</v>
      </c>
      <c r="J385" t="inlineStr">
        <is>
          <t>Y</t>
        </is>
      </c>
      <c r="K385" t="inlineStr">
        <is>
          <t>dhigali.com</t>
        </is>
      </c>
      <c r="L385" t="inlineStr">
        <is>
          <t>official</t>
        </is>
      </c>
      <c r="M385" t="inlineStr">
        <is>
          <t>https://www.nivadhigali.com/wp-content/uploads/2026/06/Full-Moon-Yoga-June-28-LR.pdf</t>
        </is>
      </c>
      <c r="N385" t="inlineStr">
        <is>
          <t>https://www.nivadhigali.com/wp-content/uploads/2026/06/Full-Moon-Yoga-June-28-LR.pdf</t>
        </is>
      </c>
      <c r="O385" t="inlineStr">
        <is>
          <t>1686936053a031dc6e8c3053276887a72acd72f18affd085b41ea3d2ad5c6aa8</t>
        </is>
      </c>
      <c r="P385" t="inlineStr">
        <is>
          <t>library/033_dhigali-maldives/spa_menu/2026_Full-Moon-Yoga-June-28-LR.pdf</t>
        </is>
      </c>
      <c r="R385" t="inlineStr">
        <is>
          <t>current</t>
        </is>
      </c>
      <c r="S385" t="inlineStr">
        <is>
          <t>N</t>
        </is>
      </c>
      <c r="T385" t="inlineStr">
        <is>
          <t>matched</t>
        </is>
      </c>
      <c r="U385" t="inlineStr">
        <is>
          <t>2026-10-04</t>
        </is>
      </c>
      <c r="V385" t="inlineStr"/>
    </row>
    <row r="386">
      <c r="A386" t="n">
        <v>33</v>
      </c>
      <c r="B386" t="inlineStr">
        <is>
          <t>Dhigali Maldives</t>
        </is>
      </c>
      <c r="C386" t="inlineStr">
        <is>
          <t>spa_menu</t>
        </is>
      </c>
      <c r="D386" t="inlineStr">
        <is>
          <t>2026_International-Yoga-Day-June-21-1.pdf</t>
        </is>
      </c>
      <c r="E386" t="n">
        <v>2026</v>
      </c>
      <c r="H386" t="n">
        <v>1</v>
      </c>
      <c r="I386" t="n">
        <v>914</v>
      </c>
      <c r="J386" t="inlineStr">
        <is>
          <t>Y</t>
        </is>
      </c>
      <c r="K386" t="inlineStr">
        <is>
          <t>dhigali.com</t>
        </is>
      </c>
      <c r="L386" t="inlineStr">
        <is>
          <t>official</t>
        </is>
      </c>
      <c r="M386" t="inlineStr">
        <is>
          <t>https://www.nivadhigali.com/wp-content/uploads/2026/06/International-Yoga-Day-June-21-1.pdf</t>
        </is>
      </c>
      <c r="N386" t="inlineStr">
        <is>
          <t>https://www.nivadhigali.com/wp-content/uploads/2026/06/International-Yoga-Day-June-21-1.pdf</t>
        </is>
      </c>
      <c r="O386" t="inlineStr">
        <is>
          <t>e250a894c9499fb7b5988ae6059708f430419c79b7d611897ceb4df42cdae9c2</t>
        </is>
      </c>
      <c r="P386" t="inlineStr">
        <is>
          <t>library/033_dhigali-maldives/spa_menu/2026_International-Yoga-Day-June-21-1.pdf</t>
        </is>
      </c>
      <c r="R386" t="inlineStr">
        <is>
          <t>current</t>
        </is>
      </c>
      <c r="S386" t="inlineStr">
        <is>
          <t>N</t>
        </is>
      </c>
      <c r="T386" t="inlineStr">
        <is>
          <t>matched</t>
        </is>
      </c>
      <c r="U386" t="inlineStr">
        <is>
          <t>2026-10-04</t>
        </is>
      </c>
      <c r="V386" t="inlineStr"/>
    </row>
    <row r="387">
      <c r="A387" t="n">
        <v>33</v>
      </c>
      <c r="B387" t="inlineStr">
        <is>
          <t>Dhigali Maldives</t>
        </is>
      </c>
      <c r="C387" t="inlineStr">
        <is>
          <t>dining_menu</t>
        </is>
      </c>
      <c r="D387" t="inlineStr">
        <is>
          <t>2026_Halloween-Island-Style-1.pdf</t>
        </is>
      </c>
      <c r="E387" t="n">
        <v>2026</v>
      </c>
      <c r="H387" t="n">
        <v>2</v>
      </c>
      <c r="I387" t="n">
        <v>3188</v>
      </c>
      <c r="J387" t="inlineStr">
        <is>
          <t>Y</t>
        </is>
      </c>
      <c r="K387" t="inlineStr">
        <is>
          <t>dhigali.com</t>
        </is>
      </c>
      <c r="L387" t="inlineStr">
        <is>
          <t>official</t>
        </is>
      </c>
      <c r="M387" t="inlineStr">
        <is>
          <t>https://www.nivadhigali.com/wp-content/uploads/2026/09/Halloween-Island-Style-1.pdf</t>
        </is>
      </c>
      <c r="N387" t="inlineStr">
        <is>
          <t>https://www.nivadhigali.com/wp-content/uploads/2026/09/Halloween-Island-Style-1.pdf</t>
        </is>
      </c>
      <c r="O387" t="inlineStr">
        <is>
          <t>78ed4123f7ccdc42be619682318df07cd18716f2097cce308d428eada6f40e25</t>
        </is>
      </c>
      <c r="P387" t="inlineStr">
        <is>
          <t>library/033_dhigali-maldives/dining_menu/2026_Halloween-Island-Style-1.pdf</t>
        </is>
      </c>
      <c r="R387" t="inlineStr">
        <is>
          <t>current</t>
        </is>
      </c>
      <c r="S387" t="inlineStr">
        <is>
          <t>N</t>
        </is>
      </c>
      <c r="T387" t="inlineStr">
        <is>
          <t>matched</t>
        </is>
      </c>
      <c r="U387" t="inlineStr">
        <is>
          <t>2026-10-04</t>
        </is>
      </c>
      <c r="V387" t="inlineStr"/>
    </row>
    <row r="388">
      <c r="A388" t="n">
        <v>33</v>
      </c>
      <c r="B388" t="inlineStr">
        <is>
          <t>Dhigali Maldives</t>
        </is>
      </c>
      <c r="C388" t="inlineStr">
        <is>
          <t>dining_menu</t>
        </is>
      </c>
      <c r="D388" t="inlineStr">
        <is>
          <t>2026_International-Coffee-Day.pdf</t>
        </is>
      </c>
      <c r="E388" t="n">
        <v>2026</v>
      </c>
      <c r="H388" t="n">
        <v>2</v>
      </c>
      <c r="I388" t="n">
        <v>2157</v>
      </c>
      <c r="J388" t="inlineStr">
        <is>
          <t>Y</t>
        </is>
      </c>
      <c r="K388" t="inlineStr">
        <is>
          <t>dhigali.com</t>
        </is>
      </c>
      <c r="L388" t="inlineStr">
        <is>
          <t>official</t>
        </is>
      </c>
      <c r="M388" t="inlineStr">
        <is>
          <t>https://www.nivadhigali.com/wp-content/uploads/2026/09/International-Coffee-Day.pdf</t>
        </is>
      </c>
      <c r="N388" t="inlineStr">
        <is>
          <t>https://www.nivadhigali.com/wp-content/uploads/2026/09/International-Coffee-Day.pdf</t>
        </is>
      </c>
      <c r="O388" t="inlineStr">
        <is>
          <t>aa9f97fc52d711f0043a722612dbde5505ec574fc3d6c828cc329b5ef20a9be1</t>
        </is>
      </c>
      <c r="P388" t="inlineStr">
        <is>
          <t>library/033_dhigali-maldives/dining_menu/2026_International-Coffee-Day.pdf</t>
        </is>
      </c>
      <c r="R388" t="inlineStr">
        <is>
          <t>current</t>
        </is>
      </c>
      <c r="S388" t="inlineStr">
        <is>
          <t>N</t>
        </is>
      </c>
      <c r="T388" t="inlineStr">
        <is>
          <t>matched</t>
        </is>
      </c>
      <c r="U388" t="inlineStr">
        <is>
          <t>2026-10-04</t>
        </is>
      </c>
      <c r="V388" t="inlineStr"/>
    </row>
    <row r="389">
      <c r="A389" t="n">
        <v>33</v>
      </c>
      <c r="B389" t="inlineStr">
        <is>
          <t>Dhigali Maldives</t>
        </is>
      </c>
      <c r="C389" t="inlineStr">
        <is>
          <t>dining_menu</t>
        </is>
      </c>
      <c r="D389" t="inlineStr">
        <is>
          <t>2026_Halloween-Island-Style.pdf</t>
        </is>
      </c>
      <c r="E389" t="n">
        <v>2026</v>
      </c>
      <c r="H389" t="n">
        <v>2</v>
      </c>
      <c r="I389" t="n">
        <v>3186</v>
      </c>
      <c r="J389" t="inlineStr">
        <is>
          <t>Y</t>
        </is>
      </c>
      <c r="K389" t="inlineStr">
        <is>
          <t>dhigali.com</t>
        </is>
      </c>
      <c r="L389" t="inlineStr">
        <is>
          <t>official</t>
        </is>
      </c>
      <c r="M389" t="inlineStr">
        <is>
          <t>https://www.nivadhigali.com/wp-content/uploads/2026/09/Halloween-Island-Style.pdf</t>
        </is>
      </c>
      <c r="N389" t="inlineStr">
        <is>
          <t>https://www.nivadhigali.com/wp-content/uploads/2026/09/Halloween-Island-Style.pdf</t>
        </is>
      </c>
      <c r="O389" t="inlineStr">
        <is>
          <t>3016209f82ab378d090ae3efc87475f75ad37b76615fe9f4591d09d29a12176d</t>
        </is>
      </c>
      <c r="P389" t="inlineStr">
        <is>
          <t>library/033_dhigali-maldives/dining_menu/2026_Halloween-Island-Style.pdf</t>
        </is>
      </c>
      <c r="R389" t="inlineStr">
        <is>
          <t>current</t>
        </is>
      </c>
      <c r="S389" t="inlineStr">
        <is>
          <t>N</t>
        </is>
      </c>
      <c r="T389" t="inlineStr">
        <is>
          <t>matched</t>
        </is>
      </c>
      <c r="U389" t="inlineStr">
        <is>
          <t>2026-10-04</t>
        </is>
      </c>
      <c r="V389" t="inlineStr"/>
    </row>
    <row r="390">
      <c r="A390" t="n">
        <v>33</v>
      </c>
      <c r="B390" t="inlineStr">
        <is>
          <t>Dhigali Maldives</t>
        </is>
      </c>
      <c r="C390" t="inlineStr">
        <is>
          <t>dining_menu</t>
        </is>
      </c>
      <c r="D390" t="inlineStr">
        <is>
          <t>2026_Full-Moon-Lobster-Feast.pdf</t>
        </is>
      </c>
      <c r="E390" t="n">
        <v>2026</v>
      </c>
      <c r="H390" t="n">
        <v>3</v>
      </c>
      <c r="I390" t="n">
        <v>2989</v>
      </c>
      <c r="J390" t="inlineStr">
        <is>
          <t>Y</t>
        </is>
      </c>
      <c r="K390" t="inlineStr">
        <is>
          <t>dhigali.com</t>
        </is>
      </c>
      <c r="L390" t="inlineStr">
        <is>
          <t>official</t>
        </is>
      </c>
      <c r="M390" t="inlineStr">
        <is>
          <t>https://www.nivadhigali.com/wp-content/uploads/2026/09/Full-Moon-Lobster-Feast.pdf</t>
        </is>
      </c>
      <c r="N390" t="inlineStr">
        <is>
          <t>https://www.nivadhigali.com/wp-content/uploads/2026/09/Full-Moon-Lobster-Feast.pdf</t>
        </is>
      </c>
      <c r="O390" t="inlineStr">
        <is>
          <t>93e78236452b665a414988bbc80b364e9aa90121f04a676277afdbed5898eb85</t>
        </is>
      </c>
      <c r="P390" t="inlineStr">
        <is>
          <t>library/033_dhigali-maldives/dining_menu/2026_Full-Moon-Lobster-Feast.pdf</t>
        </is>
      </c>
      <c r="R390" t="inlineStr">
        <is>
          <t>current</t>
        </is>
      </c>
      <c r="S390" t="inlineStr">
        <is>
          <t>N</t>
        </is>
      </c>
      <c r="T390" t="inlineStr">
        <is>
          <t>matched</t>
        </is>
      </c>
      <c r="U390" t="inlineStr">
        <is>
          <t>2026-10-04</t>
        </is>
      </c>
      <c r="V390" t="inlineStr"/>
    </row>
    <row r="391">
      <c r="A391" t="n">
        <v>33</v>
      </c>
      <c r="B391" t="inlineStr">
        <is>
          <t>Dhigali Maldives</t>
        </is>
      </c>
      <c r="C391" t="inlineStr">
        <is>
          <t>dining_menu</t>
        </is>
      </c>
      <c r="D391" t="inlineStr">
        <is>
          <t>2026_Website_FaruDinner_Niva_06Sep26.pdf</t>
        </is>
      </c>
      <c r="E391" t="n">
        <v>2026</v>
      </c>
      <c r="H391" t="n">
        <v>2</v>
      </c>
      <c r="I391" t="n">
        <v>330</v>
      </c>
      <c r="J391" t="inlineStr">
        <is>
          <t>Y</t>
        </is>
      </c>
      <c r="K391" t="inlineStr">
        <is>
          <t>dhigali.com</t>
        </is>
      </c>
      <c r="L391" t="inlineStr">
        <is>
          <t>official</t>
        </is>
      </c>
      <c r="M391" t="inlineStr">
        <is>
          <t>https://www.nivadhigali.com/wp-content/uploads/2025/09/Website_FaruDinner_Niva_06Sep26.pdf</t>
        </is>
      </c>
      <c r="N391" t="inlineStr">
        <is>
          <t>https://www.nivadhigali.com/wp-content/uploads/2025/09/Website_FaruDinner_Niva_06Sep26.pdf</t>
        </is>
      </c>
      <c r="O391" t="inlineStr">
        <is>
          <t>5ee8d5f72386d0e3c657563ea62f2f6a23a7fc12d674bded19d7a768f3accee6</t>
        </is>
      </c>
      <c r="P391" t="inlineStr">
        <is>
          <t>library/033_dhigali-maldives/dining_menu/2026_Website_FaruDinner_Niva_06Sep26.pdf</t>
        </is>
      </c>
      <c r="R391" t="inlineStr">
        <is>
          <t>current</t>
        </is>
      </c>
      <c r="S391" t="inlineStr">
        <is>
          <t>N</t>
        </is>
      </c>
      <c r="T391" t="inlineStr">
        <is>
          <t>matched</t>
        </is>
      </c>
      <c r="U391" t="inlineStr">
        <is>
          <t>2026-10-04</t>
        </is>
      </c>
      <c r="V391" t="inlineStr"/>
    </row>
    <row r="392">
      <c r="A392" t="n">
        <v>33</v>
      </c>
      <c r="B392" t="inlineStr">
        <is>
          <t>Dhigali Maldives</t>
        </is>
      </c>
      <c r="C392" t="inlineStr">
        <is>
          <t>dining_menu</t>
        </is>
      </c>
      <c r="D392" t="inlineStr">
        <is>
          <t>2026_Website_FaruLunch_Niva_06Sep.pdf</t>
        </is>
      </c>
      <c r="E392" t="n">
        <v>2026</v>
      </c>
      <c r="H392" t="n">
        <v>3</v>
      </c>
      <c r="I392" t="n">
        <v>363</v>
      </c>
      <c r="J392" t="inlineStr">
        <is>
          <t>Y</t>
        </is>
      </c>
      <c r="K392" t="inlineStr">
        <is>
          <t>dhigali.com</t>
        </is>
      </c>
      <c r="L392" t="inlineStr">
        <is>
          <t>official</t>
        </is>
      </c>
      <c r="M392" t="inlineStr">
        <is>
          <t>https://www.nivadhigali.com/wp-content/uploads/2025/09/Website_FaruLunch_Niva_06Sep.pdf</t>
        </is>
      </c>
      <c r="N392" t="inlineStr">
        <is>
          <t>https://www.nivadhigali.com/wp-content/uploads/2025/09/Website_FaruLunch_Niva_06Sep.pdf</t>
        </is>
      </c>
      <c r="O392" t="inlineStr">
        <is>
          <t>f1b72bf47d3420a8b6904da60e92ffdefb149a9d087795a6a91f0bb469141dd2</t>
        </is>
      </c>
      <c r="P392" t="inlineStr">
        <is>
          <t>library/033_dhigali-maldives/dining_menu/2026_Website_FaruLunch_Niva_06Sep.pdf</t>
        </is>
      </c>
      <c r="R392" t="inlineStr">
        <is>
          <t>current</t>
        </is>
      </c>
      <c r="S392" t="inlineStr">
        <is>
          <t>N</t>
        </is>
      </c>
      <c r="T392" t="inlineStr">
        <is>
          <t>matched</t>
        </is>
      </c>
      <c r="U392" t="inlineStr">
        <is>
          <t>2026-10-04</t>
        </is>
      </c>
      <c r="V392" t="inlineStr"/>
    </row>
    <row r="393">
      <c r="A393" t="n">
        <v>33</v>
      </c>
      <c r="B393" t="inlineStr">
        <is>
          <t>Dhigali Maldives</t>
        </is>
      </c>
      <c r="C393" t="inlineStr">
        <is>
          <t>dining_menu</t>
        </is>
      </c>
      <c r="D393" t="inlineStr">
        <is>
          <t>2026_Website_Battuta_Menu_06Sep26.pdf</t>
        </is>
      </c>
      <c r="E393" t="n">
        <v>2026</v>
      </c>
      <c r="H393" t="n">
        <v>6</v>
      </c>
      <c r="I393" t="n">
        <v>642</v>
      </c>
      <c r="J393" t="inlineStr">
        <is>
          <t>Y</t>
        </is>
      </c>
      <c r="K393" t="inlineStr">
        <is>
          <t>dhigali.com</t>
        </is>
      </c>
      <c r="L393" t="inlineStr">
        <is>
          <t>official</t>
        </is>
      </c>
      <c r="M393" t="inlineStr">
        <is>
          <t>https://www.nivadhigali.com/wp-content/uploads/2025/09/Website_Battuta_Menu_06Sep26.pdf</t>
        </is>
      </c>
      <c r="N393" t="inlineStr">
        <is>
          <t>https://www.nivadhigali.com/wp-content/uploads/2025/09/Website_Battuta_Menu_06Sep26.pdf</t>
        </is>
      </c>
      <c r="O393" t="inlineStr">
        <is>
          <t>0544e93e3a9efe2af9b88ec5aee73e64f7a66ed3eb0bb91a8d066faa0e308d3f</t>
        </is>
      </c>
      <c r="P393" t="inlineStr">
        <is>
          <t>library/033_dhigali-maldives/dining_menu/2026_Website_Battuta_Menu_06Sep26.pdf</t>
        </is>
      </c>
      <c r="R393" t="inlineStr">
        <is>
          <t>current</t>
        </is>
      </c>
      <c r="S393" t="inlineStr">
        <is>
          <t>N</t>
        </is>
      </c>
      <c r="T393" t="inlineStr">
        <is>
          <t>matched</t>
        </is>
      </c>
      <c r="U393" t="inlineStr">
        <is>
          <t>2026-10-04</t>
        </is>
      </c>
      <c r="V393" t="inlineStr"/>
    </row>
    <row r="394">
      <c r="A394" t="n">
        <v>33</v>
      </c>
      <c r="B394" t="inlineStr">
        <is>
          <t>Dhigali Maldives</t>
        </is>
      </c>
      <c r="C394" t="inlineStr">
        <is>
          <t>dining_menu</t>
        </is>
      </c>
      <c r="D394" t="inlineStr">
        <is>
          <t>2026_Website_Jade-Menu_Niva_17Aug26.pdf</t>
        </is>
      </c>
      <c r="E394" t="n">
        <v>2026</v>
      </c>
      <c r="H394" t="n">
        <v>4</v>
      </c>
      <c r="I394" t="n">
        <v>597</v>
      </c>
      <c r="J394" t="inlineStr">
        <is>
          <t>Y</t>
        </is>
      </c>
      <c r="K394" t="inlineStr">
        <is>
          <t>dhigali.com</t>
        </is>
      </c>
      <c r="L394" t="inlineStr">
        <is>
          <t>official</t>
        </is>
      </c>
      <c r="M394" t="inlineStr">
        <is>
          <t>https://www.nivadhigali.com/wp-content/uploads/2026/08/Website_Jade-Menu_Niva_17Aug26.pdf</t>
        </is>
      </c>
      <c r="N394" t="inlineStr">
        <is>
          <t>https://www.nivadhigali.com/wp-content/uploads/2026/08/Website_Jade-Menu_Niva_17Aug26.pdf</t>
        </is>
      </c>
      <c r="O394" t="inlineStr">
        <is>
          <t>b689ac7fbcc82331140fc127eee95237e745bf9dd17c2910e6dc4dae26a6ea2e</t>
        </is>
      </c>
      <c r="P394" t="inlineStr">
        <is>
          <t>library/033_dhigali-maldives/dining_menu/2026_Website_Jade-Menu_Niva_17Aug26.pdf</t>
        </is>
      </c>
      <c r="R394" t="inlineStr">
        <is>
          <t>current</t>
        </is>
      </c>
      <c r="S394" t="inlineStr">
        <is>
          <t>N</t>
        </is>
      </c>
      <c r="T394" t="inlineStr">
        <is>
          <t>matched</t>
        </is>
      </c>
      <c r="U394" t="inlineStr">
        <is>
          <t>2026-10-04</t>
        </is>
      </c>
      <c r="V394" t="inlineStr"/>
    </row>
    <row r="395">
      <c r="A395" t="n">
        <v>33</v>
      </c>
      <c r="B395" t="inlineStr">
        <is>
          <t>Dhigali Maldives</t>
        </is>
      </c>
      <c r="C395" t="inlineStr">
        <is>
          <t>dining_menu</t>
        </is>
      </c>
      <c r="D395" t="inlineStr">
        <is>
          <t>2026_Website_Battuta_Menu_12Aug26.pdf</t>
        </is>
      </c>
      <c r="E395" t="n">
        <v>2026</v>
      </c>
      <c r="H395" t="n">
        <v>6</v>
      </c>
      <c r="I395" t="n">
        <v>631</v>
      </c>
      <c r="J395" t="inlineStr">
        <is>
          <t>Y</t>
        </is>
      </c>
      <c r="K395" t="inlineStr">
        <is>
          <t>dhigali.com</t>
        </is>
      </c>
      <c r="L395" t="inlineStr">
        <is>
          <t>official</t>
        </is>
      </c>
      <c r="M395" t="inlineStr">
        <is>
          <t>https://www.nivadhigali.com/wp-content/uploads/2026/08/Website_Battuta_Menu_12Aug26.pdf</t>
        </is>
      </c>
      <c r="N395" t="inlineStr">
        <is>
          <t>https://www.nivadhigali.com/wp-content/uploads/2026/08/Website_Battuta_Menu_12Aug26.pdf</t>
        </is>
      </c>
      <c r="O395" t="inlineStr">
        <is>
          <t>5b14410b9f2125e82d0800cd48044c66462c2f2b1cd4db24053824c53e2d4c84</t>
        </is>
      </c>
      <c r="P395" t="inlineStr">
        <is>
          <t>library/033_dhigali-maldives/dining_menu/2026_Website_Battuta_Menu_12Aug26.pdf</t>
        </is>
      </c>
      <c r="R395" t="inlineStr">
        <is>
          <t>current</t>
        </is>
      </c>
      <c r="S395" t="inlineStr">
        <is>
          <t>N</t>
        </is>
      </c>
      <c r="T395" t="inlineStr">
        <is>
          <t>matched</t>
        </is>
      </c>
      <c r="U395" t="inlineStr">
        <is>
          <t>2026-10-04</t>
        </is>
      </c>
      <c r="V395" t="inlineStr"/>
    </row>
    <row r="396">
      <c r="A396" t="n">
        <v>33</v>
      </c>
      <c r="B396" t="inlineStr">
        <is>
          <t>Dhigali Maldives</t>
        </is>
      </c>
      <c r="C396" t="inlineStr">
        <is>
          <t>dining_menu</t>
        </is>
      </c>
      <c r="D396" t="inlineStr">
        <is>
          <t>2026_Website_NIVA_BeverageMenu_HaaliBar_6Aug26.pdf</t>
        </is>
      </c>
      <c r="E396" t="n">
        <v>2026</v>
      </c>
      <c r="H396" t="n">
        <v>5</v>
      </c>
      <c r="I396" t="n">
        <v>254</v>
      </c>
      <c r="J396" t="inlineStr">
        <is>
          <t>Y</t>
        </is>
      </c>
      <c r="K396" t="inlineStr">
        <is>
          <t>dhigali.com</t>
        </is>
      </c>
      <c r="L396" t="inlineStr">
        <is>
          <t>official</t>
        </is>
      </c>
      <c r="M396" t="inlineStr">
        <is>
          <t>https://www.nivadhigali.com/wp-content/uploads/2025/09/Website_NIVA_BeverageMenu_HaaliBar_6Aug26.pdf</t>
        </is>
      </c>
      <c r="N396" t="inlineStr">
        <is>
          <t>https://www.nivadhigali.com/wp-content/uploads/2025/09/Website_NIVA_BeverageMenu_HaaliBar_6Aug26.pdf</t>
        </is>
      </c>
      <c r="O396" t="inlineStr">
        <is>
          <t>c38071a1782ec9db0de7f10bb52c3abdabefa54599519810026c083b406ce673</t>
        </is>
      </c>
      <c r="P396" t="inlineStr">
        <is>
          <t>library/033_dhigali-maldives/dining_menu/2026_Website_NIVA_BeverageMenu_HaaliBar_6Aug26.pdf</t>
        </is>
      </c>
      <c r="R396" t="inlineStr">
        <is>
          <t>current</t>
        </is>
      </c>
      <c r="S396" t="inlineStr">
        <is>
          <t>N</t>
        </is>
      </c>
      <c r="T396" t="inlineStr">
        <is>
          <t>matched</t>
        </is>
      </c>
      <c r="U396" t="inlineStr">
        <is>
          <t>2026-10-04</t>
        </is>
      </c>
      <c r="V396" t="inlineStr"/>
    </row>
    <row r="397">
      <c r="A397" t="n">
        <v>33</v>
      </c>
      <c r="B397" t="inlineStr">
        <is>
          <t>Dhigali Maldives</t>
        </is>
      </c>
      <c r="C397" t="inlineStr">
        <is>
          <t>dining_menu</t>
        </is>
      </c>
      <c r="D397" t="inlineStr">
        <is>
          <t>2026_Website_NIVA_BeverageMenu_BeachBar_6Aug26.pdf</t>
        </is>
      </c>
      <c r="E397" t="n">
        <v>2026</v>
      </c>
      <c r="H397" t="n">
        <v>4</v>
      </c>
      <c r="I397" t="n">
        <v>196</v>
      </c>
      <c r="J397" t="inlineStr">
        <is>
          <t>Y</t>
        </is>
      </c>
      <c r="K397" t="inlineStr">
        <is>
          <t>dhigali.com</t>
        </is>
      </c>
      <c r="L397" t="inlineStr">
        <is>
          <t>official</t>
        </is>
      </c>
      <c r="M397" t="inlineStr">
        <is>
          <t>https://www.nivadhigali.com/wp-content/uploads/2025/09/Website_NIVA_BeverageMenu_BeachBar_6Aug26.pdf</t>
        </is>
      </c>
      <c r="N397" t="inlineStr">
        <is>
          <t>https://www.nivadhigali.com/wp-content/uploads/2025/09/Website_NIVA_BeverageMenu_BeachBar_6Aug26.pdf</t>
        </is>
      </c>
      <c r="O397" t="inlineStr">
        <is>
          <t>bfca6cc126e77dd25770829de849b4342a9dd781f0f2e72c8e35d117becb0673</t>
        </is>
      </c>
      <c r="P397" t="inlineStr">
        <is>
          <t>library/033_dhigali-maldives/dining_menu/2026_Website_NIVA_BeverageMenu_BeachBar_6Aug26.pdf</t>
        </is>
      </c>
      <c r="R397" t="inlineStr">
        <is>
          <t>current</t>
        </is>
      </c>
      <c r="S397" t="inlineStr">
        <is>
          <t>N</t>
        </is>
      </c>
      <c r="T397" t="inlineStr">
        <is>
          <t>matched</t>
        </is>
      </c>
      <c r="U397" t="inlineStr">
        <is>
          <t>2026-10-04</t>
        </is>
      </c>
      <c r="V397" t="inlineStr"/>
    </row>
    <row r="398">
      <c r="A398" t="n">
        <v>33</v>
      </c>
      <c r="B398" t="inlineStr">
        <is>
          <t>Dhigali Maldives</t>
        </is>
      </c>
      <c r="C398" t="inlineStr">
        <is>
          <t>dining_menu</t>
        </is>
      </c>
      <c r="D398" t="inlineStr">
        <is>
          <t>2026_Website_NIVA_BeverageMenu_EastBar_6Aug26.pdf</t>
        </is>
      </c>
      <c r="E398" t="n">
        <v>2026</v>
      </c>
      <c r="H398" t="n">
        <v>5</v>
      </c>
      <c r="I398" t="n">
        <v>245</v>
      </c>
      <c r="J398" t="inlineStr">
        <is>
          <t>Y</t>
        </is>
      </c>
      <c r="K398" t="inlineStr">
        <is>
          <t>dhigali.com</t>
        </is>
      </c>
      <c r="L398" t="inlineStr">
        <is>
          <t>official</t>
        </is>
      </c>
      <c r="M398" t="inlineStr">
        <is>
          <t>https://www.nivadhigali.com/wp-content/uploads/2025/09/Website_NIVA_BeverageMenu_EastBar_6Aug26.pdf</t>
        </is>
      </c>
      <c r="N398" t="inlineStr">
        <is>
          <t>https://www.nivadhigali.com/wp-content/uploads/2025/09/Website_NIVA_BeverageMenu_EastBar_6Aug26.pdf</t>
        </is>
      </c>
      <c r="O398" t="inlineStr">
        <is>
          <t>2d88605dda5b52ad03a037b99a16dc17c59321100057e32e40eb9bf432ccfcd1</t>
        </is>
      </c>
      <c r="P398" t="inlineStr">
        <is>
          <t>library/033_dhigali-maldives/dining_menu/2026_Website_NIVA_BeverageMenu_EastBar_6Aug26.pdf</t>
        </is>
      </c>
      <c r="R398" t="inlineStr">
        <is>
          <t>current</t>
        </is>
      </c>
      <c r="S398" t="inlineStr">
        <is>
          <t>N</t>
        </is>
      </c>
      <c r="T398" t="inlineStr">
        <is>
          <t>matched</t>
        </is>
      </c>
      <c r="U398" t="inlineStr">
        <is>
          <t>2026-10-04</t>
        </is>
      </c>
      <c r="V398" t="inlineStr"/>
    </row>
    <row r="399">
      <c r="A399" t="n">
        <v>33</v>
      </c>
      <c r="B399" t="inlineStr">
        <is>
          <t>Dhigali Maldives</t>
        </is>
      </c>
      <c r="C399" t="inlineStr">
        <is>
          <t>dining_menu</t>
        </is>
      </c>
      <c r="D399" t="inlineStr">
        <is>
          <t>2026_Website_NIVA_BeverageMenu_Faru_Battuta_6Aug26.pdf</t>
        </is>
      </c>
      <c r="E399" t="n">
        <v>2026</v>
      </c>
      <c r="H399" t="n">
        <v>4</v>
      </c>
      <c r="I399" t="n">
        <v>201</v>
      </c>
      <c r="J399" t="inlineStr">
        <is>
          <t>Y</t>
        </is>
      </c>
      <c r="K399" t="inlineStr">
        <is>
          <t>dhigali.com</t>
        </is>
      </c>
      <c r="L399" t="inlineStr">
        <is>
          <t>official</t>
        </is>
      </c>
      <c r="M399" t="inlineStr">
        <is>
          <t>https://www.nivadhigali.com/wp-content/uploads/2025/09/Website_NIVA_BeverageMenu_Faru_Battuta_6Aug26.pdf</t>
        </is>
      </c>
      <c r="N399" t="inlineStr">
        <is>
          <t>https://www.nivadhigali.com/wp-content/uploads/2025/09/Website_NIVA_BeverageMenu_Faru_Battuta_6Aug26.pdf</t>
        </is>
      </c>
      <c r="O399" t="inlineStr">
        <is>
          <t>28fdbe4c93f1f33ef1f324de7ca1a4eb24ac1805ceeb78480c963ecbb104be35</t>
        </is>
      </c>
      <c r="P399" t="inlineStr">
        <is>
          <t>library/033_dhigali-maldives/dining_menu/2026_Website_NIVA_BeverageMenu_Faru_Battuta_6Aug26.pdf</t>
        </is>
      </c>
      <c r="R399" t="inlineStr">
        <is>
          <t>current</t>
        </is>
      </c>
      <c r="S399" t="inlineStr">
        <is>
          <t>N</t>
        </is>
      </c>
      <c r="T399" t="inlineStr">
        <is>
          <t>matched</t>
        </is>
      </c>
      <c r="U399" t="inlineStr">
        <is>
          <t>2026-10-04</t>
        </is>
      </c>
      <c r="V399" t="inlineStr"/>
    </row>
    <row r="400">
      <c r="A400" t="n">
        <v>33</v>
      </c>
      <c r="B400" t="inlineStr">
        <is>
          <t>Dhigali Maldives</t>
        </is>
      </c>
      <c r="C400" t="inlineStr">
        <is>
          <t>dining_menu</t>
        </is>
      </c>
      <c r="D400" t="inlineStr">
        <is>
          <t>2026_Website_NIVA_BeverageMenu_Capers_Jade_6Aug26-1.pdf</t>
        </is>
      </c>
      <c r="E400" t="n">
        <v>2026</v>
      </c>
      <c r="H400" t="n">
        <v>4</v>
      </c>
      <c r="I400" t="n">
        <v>203</v>
      </c>
      <c r="J400" t="inlineStr">
        <is>
          <t>Y</t>
        </is>
      </c>
      <c r="K400" t="inlineStr">
        <is>
          <t>dhigali.com</t>
        </is>
      </c>
      <c r="L400" t="inlineStr">
        <is>
          <t>official</t>
        </is>
      </c>
      <c r="M400" t="inlineStr">
        <is>
          <t>https://www.nivadhigali.com/wp-content/uploads/2025/09/Website_NIVA_BeverageMenu_Capers_Jade_6Aug26-1.pdf</t>
        </is>
      </c>
      <c r="N400" t="inlineStr">
        <is>
          <t>https://www.nivadhigali.com/wp-content/uploads/2025/09/Website_NIVA_BeverageMenu_Capers_Jade_6Aug26-1.pdf | https://www.nivadhigali.com/wp-content/uploads/2025/09/Website_NIVA_BeverageMenu_Capers_Jade_6Aug26.pdf</t>
        </is>
      </c>
      <c r="O400" t="inlineStr">
        <is>
          <t>406a1d2086eb46db0ed91ae95d55b657172b75ac3d156f3171f8b03402258329</t>
        </is>
      </c>
      <c r="P400" t="inlineStr">
        <is>
          <t>library/033_dhigali-maldives/dining_menu/2026_Website_NIVA_BeverageMenu_Capers_Jade_6Aug26-1.pdf</t>
        </is>
      </c>
      <c r="R400" t="inlineStr">
        <is>
          <t>current</t>
        </is>
      </c>
      <c r="S400" t="inlineStr">
        <is>
          <t>N</t>
        </is>
      </c>
      <c r="T400" t="inlineStr">
        <is>
          <t>matched</t>
        </is>
      </c>
      <c r="U400" t="inlineStr">
        <is>
          <t>2026-10-04</t>
        </is>
      </c>
      <c r="V400" t="inlineStr"/>
    </row>
    <row r="401">
      <c r="A401" t="n">
        <v>33</v>
      </c>
      <c r="B401" t="inlineStr">
        <is>
          <t>Dhigali Maldives</t>
        </is>
      </c>
      <c r="C401" t="inlineStr">
        <is>
          <t>dining_menu</t>
        </is>
      </c>
      <c r="D401" t="inlineStr">
        <is>
          <t>2026_Website_FaruDinner_Niva_03Aug26.pdf</t>
        </is>
      </c>
      <c r="E401" t="n">
        <v>2026</v>
      </c>
      <c r="H401" t="n">
        <v>2</v>
      </c>
      <c r="I401" t="n">
        <v>315</v>
      </c>
      <c r="J401" t="inlineStr">
        <is>
          <t>Y</t>
        </is>
      </c>
      <c r="K401" t="inlineStr">
        <is>
          <t>dhigali.com</t>
        </is>
      </c>
      <c r="L401" t="inlineStr">
        <is>
          <t>official</t>
        </is>
      </c>
      <c r="M401" t="inlineStr">
        <is>
          <t>https://www.nivadhigali.com/wp-content/uploads/2026/08/Website_FaruDinner_Niva_03Aug26.pdf</t>
        </is>
      </c>
      <c r="N401" t="inlineStr">
        <is>
          <t>https://www.nivadhigali.com/wp-content/uploads/2026/08/Website_FaruDinner_Niva_03Aug26.pdf</t>
        </is>
      </c>
      <c r="O401" t="inlineStr">
        <is>
          <t>5ccc0d3baba7c955da2d51e5304dd36af79d454d8a6759dd2570b9f3900e2747</t>
        </is>
      </c>
      <c r="P401" t="inlineStr">
        <is>
          <t>library/033_dhigali-maldives/dining_menu/2026_Website_FaruDinner_Niva_03Aug26.pdf</t>
        </is>
      </c>
      <c r="R401" t="inlineStr">
        <is>
          <t>current</t>
        </is>
      </c>
      <c r="S401" t="inlineStr">
        <is>
          <t>N</t>
        </is>
      </c>
      <c r="T401" t="inlineStr">
        <is>
          <t>matched</t>
        </is>
      </c>
      <c r="U401" t="inlineStr">
        <is>
          <t>2026-10-04</t>
        </is>
      </c>
      <c r="V401" t="inlineStr"/>
    </row>
    <row r="402">
      <c r="A402" t="n">
        <v>33</v>
      </c>
      <c r="B402" t="inlineStr">
        <is>
          <t>Dhigali Maldives</t>
        </is>
      </c>
      <c r="C402" t="inlineStr">
        <is>
          <t>dining_menu</t>
        </is>
      </c>
      <c r="D402" t="inlineStr">
        <is>
          <t>2026_Website_FaruLunch_Niva-29JUL26-1.pdf</t>
        </is>
      </c>
      <c r="E402" t="n">
        <v>2026</v>
      </c>
      <c r="H402" t="n">
        <v>3</v>
      </c>
      <c r="I402" t="n">
        <v>363</v>
      </c>
      <c r="J402" t="inlineStr">
        <is>
          <t>Y</t>
        </is>
      </c>
      <c r="K402" t="inlineStr">
        <is>
          <t>dhigali.com</t>
        </is>
      </c>
      <c r="L402" t="inlineStr">
        <is>
          <t>official</t>
        </is>
      </c>
      <c r="M402" t="inlineStr">
        <is>
          <t>https://www.nivadhigali.com/wp-content/uploads/2025/09/Website_FaruLunch_Niva-29JUL26-1.pdf</t>
        </is>
      </c>
      <c r="N402" t="inlineStr">
        <is>
          <t>https://www.nivadhigali.com/wp-content/uploads/2025/09/Website_FaruLunch_Niva-29JUL26-1.pdf</t>
        </is>
      </c>
      <c r="O402" t="inlineStr">
        <is>
          <t>0869cd50b2f72458fa86847b3296a524f21d45921ec7b9cd02917e3d0a1a2bef</t>
        </is>
      </c>
      <c r="P402" t="inlineStr">
        <is>
          <t>library/033_dhigali-maldives/dining_menu/2026_Website_FaruLunch_Niva-29JUL26-1.pdf</t>
        </is>
      </c>
      <c r="R402" t="inlineStr">
        <is>
          <t>current</t>
        </is>
      </c>
      <c r="S402" t="inlineStr">
        <is>
          <t>N</t>
        </is>
      </c>
      <c r="T402" t="inlineStr">
        <is>
          <t>matched</t>
        </is>
      </c>
      <c r="U402" t="inlineStr">
        <is>
          <t>2026-10-04</t>
        </is>
      </c>
      <c r="V402" t="inlineStr"/>
    </row>
    <row r="403">
      <c r="A403" t="n">
        <v>33</v>
      </c>
      <c r="B403" t="inlineStr">
        <is>
          <t>Dhigali Maldives</t>
        </is>
      </c>
      <c r="C403" t="inlineStr">
        <is>
          <t>dining_menu</t>
        </is>
      </c>
      <c r="D403" t="inlineStr">
        <is>
          <t>2026_LIMESpaMenu-Dhigali.pdf</t>
        </is>
      </c>
      <c r="E403" t="n">
        <v>2026</v>
      </c>
      <c r="H403" t="n">
        <v>26</v>
      </c>
      <c r="I403" t="n">
        <v>2815</v>
      </c>
      <c r="J403" t="inlineStr">
        <is>
          <t>Y</t>
        </is>
      </c>
      <c r="K403" t="inlineStr">
        <is>
          <t>dhigali.com</t>
        </is>
      </c>
      <c r="L403" t="inlineStr">
        <is>
          <t>official</t>
        </is>
      </c>
      <c r="M403" t="inlineStr">
        <is>
          <t>https://www.nivadhigali.com/wp-content/uploads/2026/07/LIMESpaMenu-Dhigali.pdf</t>
        </is>
      </c>
      <c r="N403" t="inlineStr">
        <is>
          <t>https://www.nivadhigali.com/wp-content/uploads/2026/07/LIMESpaMenu-Dhigali.pdf</t>
        </is>
      </c>
      <c r="O403" t="inlineStr">
        <is>
          <t>e1af31b02f83404cb7f0be4cad8c3dabef28e8e7d6dd88284dde73357192ca61</t>
        </is>
      </c>
      <c r="P403" t="inlineStr">
        <is>
          <t>library/033_dhigali-maldives/dining_menu/2026_LIMESpaMenu-Dhigali.pdf</t>
        </is>
      </c>
      <c r="R403" t="inlineStr">
        <is>
          <t>current</t>
        </is>
      </c>
      <c r="S403" t="inlineStr">
        <is>
          <t>Y</t>
        </is>
      </c>
      <c r="T403" t="inlineStr">
        <is>
          <t>matched</t>
        </is>
      </c>
      <c r="U403" t="inlineStr">
        <is>
          <t>2026-10-04</t>
        </is>
      </c>
      <c r="V403" t="inlineStr"/>
    </row>
    <row r="404">
      <c r="A404" t="n">
        <v>33</v>
      </c>
      <c r="B404" t="inlineStr">
        <is>
          <t>Dhigali Maldives</t>
        </is>
      </c>
      <c r="C404" t="inlineStr">
        <is>
          <t>dining_menu</t>
        </is>
      </c>
      <c r="D404" t="inlineStr">
        <is>
          <t>2026_Website_Battuta_Menu_6July26.pdf</t>
        </is>
      </c>
      <c r="E404" t="n">
        <v>2026</v>
      </c>
      <c r="H404" t="n">
        <v>6</v>
      </c>
      <c r="I404" t="n">
        <v>594</v>
      </c>
      <c r="J404" t="inlineStr">
        <is>
          <t>Y</t>
        </is>
      </c>
      <c r="K404" t="inlineStr">
        <is>
          <t>dhigali.com</t>
        </is>
      </c>
      <c r="L404" t="inlineStr">
        <is>
          <t>official</t>
        </is>
      </c>
      <c r="M404" t="inlineStr">
        <is>
          <t>https://www.nivadhigali.com/wp-content/uploads/2025/09/Website_Battuta_Menu_6July26.pdf</t>
        </is>
      </c>
      <c r="N404" t="inlineStr">
        <is>
          <t>https://www.nivadhigali.com/wp-content/uploads/2025/09/Website_Battuta_Menu_6July26.pdf</t>
        </is>
      </c>
      <c r="O404" t="inlineStr">
        <is>
          <t>a5d2f43eeee9a1d8253b801d40e55a449a04055073c922724ca4fa0a6a08c96e</t>
        </is>
      </c>
      <c r="P404" t="inlineStr">
        <is>
          <t>library/033_dhigali-maldives/dining_menu/2026_Website_Battuta_Menu_6July26.pdf</t>
        </is>
      </c>
      <c r="R404" t="inlineStr">
        <is>
          <t>current</t>
        </is>
      </c>
      <c r="S404" t="inlineStr">
        <is>
          <t>N</t>
        </is>
      </c>
      <c r="T404" t="inlineStr">
        <is>
          <t>matched</t>
        </is>
      </c>
      <c r="U404" t="inlineStr">
        <is>
          <t>2026-10-04</t>
        </is>
      </c>
      <c r="V404" t="inlineStr"/>
    </row>
    <row r="405">
      <c r="A405" t="n">
        <v>33</v>
      </c>
      <c r="B405" t="inlineStr">
        <is>
          <t>Dhigali Maldives</t>
        </is>
      </c>
      <c r="C405" t="inlineStr">
        <is>
          <t>dining_menu</t>
        </is>
      </c>
      <c r="D405" t="inlineStr">
        <is>
          <t>2026_Website_FaruLunch_Niva-1-1.pdf</t>
        </is>
      </c>
      <c r="E405" t="n">
        <v>2026</v>
      </c>
      <c r="H405" t="n">
        <v>3</v>
      </c>
      <c r="I405" t="n">
        <v>333</v>
      </c>
      <c r="J405" t="inlineStr">
        <is>
          <t>Y</t>
        </is>
      </c>
      <c r="K405" t="inlineStr">
        <is>
          <t>dhigali.com</t>
        </is>
      </c>
      <c r="L405" t="inlineStr">
        <is>
          <t>official</t>
        </is>
      </c>
      <c r="M405" t="inlineStr">
        <is>
          <t>https://www.nivadhigali.com/wp-content/uploads/2025/09/Website_FaruLunch_Niva-1-1.pdf</t>
        </is>
      </c>
      <c r="N405" t="inlineStr">
        <is>
          <t>https://www.nivadhigali.com/wp-content/uploads/2025/09/Website_FaruLunch_Niva-1-1.pdf</t>
        </is>
      </c>
      <c r="O405" t="inlineStr">
        <is>
          <t>307b22e3da1e57a6c456e71e52cadba4fc764ce4b1125c9ed14b8c721cef762b</t>
        </is>
      </c>
      <c r="P405" t="inlineStr">
        <is>
          <t>library/033_dhigali-maldives/dining_menu/2026_Website_FaruLunch_Niva-1-1.pdf</t>
        </is>
      </c>
      <c r="R405" t="inlineStr">
        <is>
          <t>current</t>
        </is>
      </c>
      <c r="S405" t="inlineStr">
        <is>
          <t>N</t>
        </is>
      </c>
      <c r="T405" t="inlineStr">
        <is>
          <t>matched</t>
        </is>
      </c>
      <c r="U405" t="inlineStr">
        <is>
          <t>2026-10-04</t>
        </is>
      </c>
      <c r="V405" t="inlineStr"/>
    </row>
    <row r="406">
      <c r="A406" t="n">
        <v>33</v>
      </c>
      <c r="B406" t="inlineStr">
        <is>
          <t>Dhigali Maldives</t>
        </is>
      </c>
      <c r="C406" t="inlineStr">
        <is>
          <t>dining_menu</t>
        </is>
      </c>
      <c r="D406" t="inlineStr">
        <is>
          <t>2026_Website_NIVA_BeverageMenu_HaaliBar-1.pdf</t>
        </is>
      </c>
      <c r="E406" t="n">
        <v>2026</v>
      </c>
      <c r="H406" t="n">
        <v>5</v>
      </c>
      <c r="I406" t="n">
        <v>252</v>
      </c>
      <c r="J406" t="inlineStr">
        <is>
          <t>Y</t>
        </is>
      </c>
      <c r="K406" t="inlineStr">
        <is>
          <t>dhigali.com</t>
        </is>
      </c>
      <c r="L406" t="inlineStr">
        <is>
          <t>official</t>
        </is>
      </c>
      <c r="M406" t="inlineStr">
        <is>
          <t>https://www.nivadhigali.com/wp-content/uploads/2025/09/Website_NIVA_BeverageMenu_HaaliBar-1.pdf</t>
        </is>
      </c>
      <c r="N406" t="inlineStr">
        <is>
          <t>https://www.nivadhigali.com/wp-content/uploads/2025/09/Website_NIVA_BeverageMenu_HaaliBar-1.pdf</t>
        </is>
      </c>
      <c r="O406" t="inlineStr">
        <is>
          <t>13e640597eed866a283125f88dc31912f88abcdac636b99a70e74aad3b9ea561</t>
        </is>
      </c>
      <c r="P406" t="inlineStr">
        <is>
          <t>library/033_dhigali-maldives/dining_menu/2026_Website_NIVA_BeverageMenu_HaaliBar-1.pdf</t>
        </is>
      </c>
      <c r="R406" t="inlineStr">
        <is>
          <t>current</t>
        </is>
      </c>
      <c r="S406" t="inlineStr">
        <is>
          <t>N</t>
        </is>
      </c>
      <c r="T406" t="inlineStr">
        <is>
          <t>matched</t>
        </is>
      </c>
      <c r="U406" t="inlineStr">
        <is>
          <t>2026-10-04</t>
        </is>
      </c>
      <c r="V406" t="inlineStr"/>
    </row>
    <row r="407">
      <c r="A407" t="n">
        <v>33</v>
      </c>
      <c r="B407" t="inlineStr">
        <is>
          <t>Dhigali Maldives</t>
        </is>
      </c>
      <c r="C407" t="inlineStr">
        <is>
          <t>dining_menu</t>
        </is>
      </c>
      <c r="D407" t="inlineStr">
        <is>
          <t>2026_Website_NIVA_BeverageMenu_BeachBar-1.pdf</t>
        </is>
      </c>
      <c r="E407" t="n">
        <v>2026</v>
      </c>
      <c r="H407" t="n">
        <v>4</v>
      </c>
      <c r="I407" t="n">
        <v>193</v>
      </c>
      <c r="J407" t="inlineStr">
        <is>
          <t>Y</t>
        </is>
      </c>
      <c r="K407" t="inlineStr">
        <is>
          <t>dhigali.com</t>
        </is>
      </c>
      <c r="L407" t="inlineStr">
        <is>
          <t>official</t>
        </is>
      </c>
      <c r="M407" t="inlineStr">
        <is>
          <t>https://www.nivadhigali.com/wp-content/uploads/2025/09/Website_NIVA_BeverageMenu_BeachBar-1.pdf</t>
        </is>
      </c>
      <c r="N407" t="inlineStr">
        <is>
          <t>https://www.nivadhigali.com/wp-content/uploads/2025/09/Website_NIVA_BeverageMenu_BeachBar-1.pdf</t>
        </is>
      </c>
      <c r="O407" t="inlineStr">
        <is>
          <t>1f120d6063fd0234e7ab5778563152f1d467bcb4bedd2ef1da0ad59c70501902</t>
        </is>
      </c>
      <c r="P407" t="inlineStr">
        <is>
          <t>library/033_dhigali-maldives/dining_menu/2026_Website_NIVA_BeverageMenu_BeachBar-1.pdf</t>
        </is>
      </c>
      <c r="R407" t="inlineStr">
        <is>
          <t>current</t>
        </is>
      </c>
      <c r="S407" t="inlineStr">
        <is>
          <t>N</t>
        </is>
      </c>
      <c r="T407" t="inlineStr">
        <is>
          <t>matched</t>
        </is>
      </c>
      <c r="U407" t="inlineStr">
        <is>
          <t>2026-10-04</t>
        </is>
      </c>
      <c r="V407" t="inlineStr"/>
    </row>
    <row r="408">
      <c r="A408" t="n">
        <v>33</v>
      </c>
      <c r="B408" t="inlineStr">
        <is>
          <t>Dhigali Maldives</t>
        </is>
      </c>
      <c r="C408" t="inlineStr">
        <is>
          <t>dining_menu</t>
        </is>
      </c>
      <c r="D408" t="inlineStr">
        <is>
          <t>2026_Website_NIVA_BeverageMenu_EastBar-1.pdf</t>
        </is>
      </c>
      <c r="E408" t="n">
        <v>2026</v>
      </c>
      <c r="H408" t="n">
        <v>5</v>
      </c>
      <c r="I408" t="n">
        <v>243</v>
      </c>
      <c r="J408" t="inlineStr">
        <is>
          <t>Y</t>
        </is>
      </c>
      <c r="K408" t="inlineStr">
        <is>
          <t>dhigali.com</t>
        </is>
      </c>
      <c r="L408" t="inlineStr">
        <is>
          <t>official</t>
        </is>
      </c>
      <c r="M408" t="inlineStr">
        <is>
          <t>https://www.nivadhigali.com/wp-content/uploads/2025/09/Website_NIVA_BeverageMenu_EastBar-1.pdf</t>
        </is>
      </c>
      <c r="N408" t="inlineStr">
        <is>
          <t>https://www.nivadhigali.com/wp-content/uploads/2025/09/Website_NIVA_BeverageMenu_EastBar-1.pdf</t>
        </is>
      </c>
      <c r="O408" t="inlineStr">
        <is>
          <t>ca32d504716f16a7f92aebf889872e4aa942cb63bd389849bdeb2e2ff8ac0a68</t>
        </is>
      </c>
      <c r="P408" t="inlineStr">
        <is>
          <t>library/033_dhigali-maldives/dining_menu/2026_Website_NIVA_BeverageMenu_EastBar-1.pdf</t>
        </is>
      </c>
      <c r="R408" t="inlineStr">
        <is>
          <t>current</t>
        </is>
      </c>
      <c r="S408" t="inlineStr">
        <is>
          <t>N</t>
        </is>
      </c>
      <c r="T408" t="inlineStr">
        <is>
          <t>matched</t>
        </is>
      </c>
      <c r="U408" t="inlineStr">
        <is>
          <t>2026-10-04</t>
        </is>
      </c>
      <c r="V408" t="inlineStr"/>
    </row>
    <row r="409">
      <c r="A409" t="n">
        <v>33</v>
      </c>
      <c r="B409" t="inlineStr">
        <is>
          <t>Dhigali Maldives</t>
        </is>
      </c>
      <c r="C409" t="inlineStr">
        <is>
          <t>dining_menu</t>
        </is>
      </c>
      <c r="D409" t="inlineStr">
        <is>
          <t>2026_Website_NIVA_BeverageMenu_Faru_Battuta-3.pdf</t>
        </is>
      </c>
      <c r="E409" t="n">
        <v>2026</v>
      </c>
      <c r="H409" t="n">
        <v>4</v>
      </c>
      <c r="I409" t="n">
        <v>199</v>
      </c>
      <c r="J409" t="inlineStr">
        <is>
          <t>Y</t>
        </is>
      </c>
      <c r="K409" t="inlineStr">
        <is>
          <t>dhigali.com</t>
        </is>
      </c>
      <c r="L409" t="inlineStr">
        <is>
          <t>official</t>
        </is>
      </c>
      <c r="M409" t="inlineStr">
        <is>
          <t>https://www.nivadhigali.com/wp-content/uploads/2025/09/Website_NIVA_BeverageMenu_Faru_Battuta-3.pdf</t>
        </is>
      </c>
      <c r="N409" t="inlineStr">
        <is>
          <t>https://www.nivadhigali.com/wp-content/uploads/2025/09/Website_NIVA_BeverageMenu_Faru_Battuta-3.pdf | https://www.nivadhigali.com/wp-content/uploads/2025/09/Website_NIVA_BeverageMenu_Faru_Battuta-2.pdf</t>
        </is>
      </c>
      <c r="O409" t="inlineStr">
        <is>
          <t>52cc0ce4380faf5bb01429be29f461e763f204d50f66f54cdbe48c754e5817ed</t>
        </is>
      </c>
      <c r="P409" t="inlineStr">
        <is>
          <t>library/033_dhigali-maldives/dining_menu/2026_Website_NIVA_BeverageMenu_Faru_Battuta-3.pdf</t>
        </is>
      </c>
      <c r="R409" t="inlineStr">
        <is>
          <t>current</t>
        </is>
      </c>
      <c r="S409" t="inlineStr">
        <is>
          <t>N</t>
        </is>
      </c>
      <c r="T409" t="inlineStr">
        <is>
          <t>matched</t>
        </is>
      </c>
      <c r="U409" t="inlineStr">
        <is>
          <t>2026-10-04</t>
        </is>
      </c>
      <c r="V409" t="inlineStr"/>
    </row>
    <row r="410">
      <c r="A410" t="n">
        <v>33</v>
      </c>
      <c r="B410" t="inlineStr">
        <is>
          <t>Dhigali Maldives</t>
        </is>
      </c>
      <c r="C410" t="inlineStr">
        <is>
          <t>dining_menu</t>
        </is>
      </c>
      <c r="D410" t="inlineStr">
        <is>
          <t>2026_Website_Battuta_Menu.pdf</t>
        </is>
      </c>
      <c r="E410" t="n">
        <v>2026</v>
      </c>
      <c r="H410" t="n">
        <v>6</v>
      </c>
      <c r="I410" t="n">
        <v>591</v>
      </c>
      <c r="J410" t="inlineStr">
        <is>
          <t>Y</t>
        </is>
      </c>
      <c r="K410" t="inlineStr">
        <is>
          <t>dhigali.com</t>
        </is>
      </c>
      <c r="L410" t="inlineStr">
        <is>
          <t>official</t>
        </is>
      </c>
      <c r="M410" t="inlineStr">
        <is>
          <t>https://www.nivadhigali.com/wp-content/uploads/2025/09/Website_Battuta_Menu.pdf</t>
        </is>
      </c>
      <c r="N410" t="inlineStr">
        <is>
          <t>https://www.nivadhigali.com/wp-content/uploads/2025/09/Website_Battuta_Menu.pdf</t>
        </is>
      </c>
      <c r="O410" t="inlineStr">
        <is>
          <t>945f9cae507f80002ea9767b979b466e59487e06533731a87253211e81c540ef</t>
        </is>
      </c>
      <c r="P410" t="inlineStr">
        <is>
          <t>library/033_dhigali-maldives/dining_menu/2026_Website_Battuta_Menu.pdf</t>
        </is>
      </c>
      <c r="R410" t="inlineStr">
        <is>
          <t>current</t>
        </is>
      </c>
      <c r="S410" t="inlineStr">
        <is>
          <t>N</t>
        </is>
      </c>
      <c r="T410" t="inlineStr">
        <is>
          <t>matched</t>
        </is>
      </c>
      <c r="U410" t="inlineStr">
        <is>
          <t>2026-10-04</t>
        </is>
      </c>
      <c r="V410" t="inlineStr"/>
    </row>
    <row r="411">
      <c r="A411" t="n">
        <v>33</v>
      </c>
      <c r="B411" t="inlineStr">
        <is>
          <t>Dhigali Maldives</t>
        </is>
      </c>
      <c r="C411" t="inlineStr">
        <is>
          <t>dining_menu</t>
        </is>
      </c>
      <c r="D411" t="inlineStr">
        <is>
          <t>2026_Website_NIVA_BeverageMenu_Capers_Jade-3.pdf</t>
        </is>
      </c>
      <c r="E411" t="n">
        <v>2026</v>
      </c>
      <c r="H411" t="n">
        <v>4</v>
      </c>
      <c r="I411" t="n">
        <v>200</v>
      </c>
      <c r="J411" t="inlineStr">
        <is>
          <t>Y</t>
        </is>
      </c>
      <c r="K411" t="inlineStr">
        <is>
          <t>dhigali.com</t>
        </is>
      </c>
      <c r="L411" t="inlineStr">
        <is>
          <t>official</t>
        </is>
      </c>
      <c r="M411" t="inlineStr">
        <is>
          <t>https://www.nivadhigali.com/wp-content/uploads/2025/09/Website_NIVA_BeverageMenu_Capers_Jade-3.pdf</t>
        </is>
      </c>
      <c r="N411" t="inlineStr">
        <is>
          <t>https://www.nivadhigali.com/wp-content/uploads/2025/09/Website_NIVA_BeverageMenu_Capers_Jade-3.pdf | https://www.nivadhigali.com/wp-content/uploads/2025/09/Website_NIVA_BeverageMenu_Capers_Jade-2.pdf</t>
        </is>
      </c>
      <c r="O411" t="inlineStr">
        <is>
          <t>e81a43595081dbf73c07aff507be5a203ed1f4fa7ea125912bc80ce6c25a9a5b</t>
        </is>
      </c>
      <c r="P411" t="inlineStr">
        <is>
          <t>library/033_dhigali-maldives/dining_menu/2026_Website_NIVA_BeverageMenu_Capers_Jade-3.pdf</t>
        </is>
      </c>
      <c r="R411" t="inlineStr">
        <is>
          <t>current</t>
        </is>
      </c>
      <c r="S411" t="inlineStr">
        <is>
          <t>N</t>
        </is>
      </c>
      <c r="T411" t="inlineStr">
        <is>
          <t>matched</t>
        </is>
      </c>
      <c r="U411" t="inlineStr">
        <is>
          <t>2026-10-04</t>
        </is>
      </c>
      <c r="V411" t="inlineStr"/>
    </row>
    <row r="412">
      <c r="A412" t="n">
        <v>33</v>
      </c>
      <c r="B412" t="inlineStr">
        <is>
          <t>Dhigali Maldives</t>
        </is>
      </c>
      <c r="C412" t="inlineStr">
        <is>
          <t>dining_menu</t>
        </is>
      </c>
      <c r="D412" t="inlineStr">
        <is>
          <t>2026_Website_Jade_Menu.pdf</t>
        </is>
      </c>
      <c r="E412" t="n">
        <v>2026</v>
      </c>
      <c r="H412" t="n">
        <v>4</v>
      </c>
      <c r="I412" t="n">
        <v>561</v>
      </c>
      <c r="J412" t="inlineStr">
        <is>
          <t>Y</t>
        </is>
      </c>
      <c r="K412" t="inlineStr">
        <is>
          <t>dhigali.com</t>
        </is>
      </c>
      <c r="L412" t="inlineStr">
        <is>
          <t>official</t>
        </is>
      </c>
      <c r="M412" t="inlineStr">
        <is>
          <t>https://www.nivadhigali.com/wp-content/uploads/2025/09/Website_Jade_Menu.pdf</t>
        </is>
      </c>
      <c r="N412" t="inlineStr">
        <is>
          <t>https://www.nivadhigali.com/wp-content/uploads/2025/09/Website_Jade_Menu.pdf | https://www.nivadhigali.com/wp-content/uploads/2025/09/Website_Jade-Menu_Niva-2.pdf</t>
        </is>
      </c>
      <c r="O412" t="inlineStr">
        <is>
          <t>279861a957b584057f6566a36b8120b31dbcfbd13286a87b84de349fc141b3ba</t>
        </is>
      </c>
      <c r="P412" t="inlineStr">
        <is>
          <t>library/033_dhigali-maldives/dining_menu/2026_Website_Jade_Menu.pdf</t>
        </is>
      </c>
      <c r="R412" t="inlineStr">
        <is>
          <t>current</t>
        </is>
      </c>
      <c r="S412" t="inlineStr">
        <is>
          <t>N</t>
        </is>
      </c>
      <c r="T412" t="inlineStr">
        <is>
          <t>matched</t>
        </is>
      </c>
      <c r="U412" t="inlineStr">
        <is>
          <t>2026-10-04</t>
        </is>
      </c>
      <c r="V412" t="inlineStr"/>
    </row>
    <row r="413">
      <c r="A413" t="n">
        <v>33</v>
      </c>
      <c r="B413" t="inlineStr">
        <is>
          <t>Dhigali Maldives</t>
        </is>
      </c>
      <c r="C413" t="inlineStr">
        <is>
          <t>dining_menu</t>
        </is>
      </c>
      <c r="D413" t="inlineStr">
        <is>
          <t>2026_Website_NIVA_BeverageMenu_HaaliBar_05Apr26.pdf</t>
        </is>
      </c>
      <c r="E413" t="n">
        <v>2026</v>
      </c>
      <c r="H413" t="n">
        <v>5</v>
      </c>
      <c r="I413" t="n">
        <v>251</v>
      </c>
      <c r="J413" t="inlineStr">
        <is>
          <t>Y</t>
        </is>
      </c>
      <c r="K413" t="inlineStr">
        <is>
          <t>dhigali.com</t>
        </is>
      </c>
      <c r="L413" t="inlineStr">
        <is>
          <t>official</t>
        </is>
      </c>
      <c r="M413" t="inlineStr">
        <is>
          <t>https://www.nivadhigali.com/wp-content/uploads/2025/09/Website_NIVA_BeverageMenu_HaaliBar_05Apr26.pdf</t>
        </is>
      </c>
      <c r="N413" t="inlineStr">
        <is>
          <t>https://www.nivadhigali.com/wp-content/uploads/2025/09/Website_NIVA_BeverageMenu_HaaliBar_05Apr26.pdf</t>
        </is>
      </c>
      <c r="O413" t="inlineStr">
        <is>
          <t>b4e07b340c849dda0b0295554b0df4562cd5dbbbeb4a385c4274ceb6bb16c8a4</t>
        </is>
      </c>
      <c r="P413" t="inlineStr">
        <is>
          <t>library/033_dhigali-maldives/dining_menu/2026_Website_NIVA_BeverageMenu_HaaliBar_05Apr26.pdf</t>
        </is>
      </c>
      <c r="R413" t="inlineStr">
        <is>
          <t>current</t>
        </is>
      </c>
      <c r="S413" t="inlineStr">
        <is>
          <t>N</t>
        </is>
      </c>
      <c r="T413" t="inlineStr">
        <is>
          <t>matched</t>
        </is>
      </c>
      <c r="U413" t="inlineStr">
        <is>
          <t>2026-10-04</t>
        </is>
      </c>
      <c r="V413" t="inlineStr"/>
    </row>
    <row r="414">
      <c r="A414" t="n">
        <v>33</v>
      </c>
      <c r="B414" t="inlineStr">
        <is>
          <t>Dhigali Maldives</t>
        </is>
      </c>
      <c r="C414" t="inlineStr">
        <is>
          <t>dining_menu</t>
        </is>
      </c>
      <c r="D414" t="inlineStr">
        <is>
          <t>2026_Website_NIVA_BeverageMenu_BeachBar_05Apr26.pdf</t>
        </is>
      </c>
      <c r="E414" t="n">
        <v>2026</v>
      </c>
      <c r="H414" t="n">
        <v>4</v>
      </c>
      <c r="I414" t="n">
        <v>193</v>
      </c>
      <c r="J414" t="inlineStr">
        <is>
          <t>Y</t>
        </is>
      </c>
      <c r="K414" t="inlineStr">
        <is>
          <t>dhigali.com</t>
        </is>
      </c>
      <c r="L414" t="inlineStr">
        <is>
          <t>official</t>
        </is>
      </c>
      <c r="M414" t="inlineStr">
        <is>
          <t>https://www.nivadhigali.com/wp-content/uploads/2025/09/Website_NIVA_BeverageMenu_BeachBar_05Apr26.pdf</t>
        </is>
      </c>
      <c r="N414" t="inlineStr">
        <is>
          <t>https://www.nivadhigali.com/wp-content/uploads/2025/09/Website_NIVA_BeverageMenu_BeachBar_05Apr26.pdf</t>
        </is>
      </c>
      <c r="O414" t="inlineStr">
        <is>
          <t>cea68a579122b7df332a7242919ff1a480c364dca23eca5f01bf9270c650a54d</t>
        </is>
      </c>
      <c r="P414" t="inlineStr">
        <is>
          <t>library/033_dhigali-maldives/dining_menu/2026_Website_NIVA_BeverageMenu_BeachBar_05Apr26.pdf</t>
        </is>
      </c>
      <c r="R414" t="inlineStr">
        <is>
          <t>current</t>
        </is>
      </c>
      <c r="S414" t="inlineStr">
        <is>
          <t>N</t>
        </is>
      </c>
      <c r="T414" t="inlineStr">
        <is>
          <t>matched</t>
        </is>
      </c>
      <c r="U414" t="inlineStr">
        <is>
          <t>2026-10-04</t>
        </is>
      </c>
      <c r="V414" t="inlineStr"/>
    </row>
    <row r="415">
      <c r="A415" t="n">
        <v>33</v>
      </c>
      <c r="B415" t="inlineStr">
        <is>
          <t>Dhigali Maldives</t>
        </is>
      </c>
      <c r="C415" t="inlineStr">
        <is>
          <t>dining_menu</t>
        </is>
      </c>
      <c r="D415" t="inlineStr">
        <is>
          <t>2026_Website_NIVA_BeverageMenu_Faru_Battuta_05Apr26-1.pdf</t>
        </is>
      </c>
      <c r="E415" t="n">
        <v>2026</v>
      </c>
      <c r="H415" t="n">
        <v>4</v>
      </c>
      <c r="I415" t="n">
        <v>199</v>
      </c>
      <c r="J415" t="inlineStr">
        <is>
          <t>Y</t>
        </is>
      </c>
      <c r="K415" t="inlineStr">
        <is>
          <t>dhigali.com</t>
        </is>
      </c>
      <c r="L415" t="inlineStr">
        <is>
          <t>official</t>
        </is>
      </c>
      <c r="M415" t="inlineStr">
        <is>
          <t>https://www.nivadhigali.com/wp-content/uploads/2025/09/Website_NIVA_BeverageMenu_Faru_Battuta_05Apr26-1.pdf</t>
        </is>
      </c>
      <c r="N415" t="inlineStr">
        <is>
          <t>https://www.nivadhigali.com/wp-content/uploads/2025/09/Website_NIVA_BeverageMenu_Faru_Battuta_05Apr26-1.pdf | https://www.nivadhigali.com/wp-content/uploads/2025/09/Website_NIVA_BeverageMenu_Faru_Battuta_05Apr26.pdf</t>
        </is>
      </c>
      <c r="O415" t="inlineStr">
        <is>
          <t>5578ee3dfc292c97497393971bfe9c9bae8c958fa96a12034e842ddadd86e6db</t>
        </is>
      </c>
      <c r="P415" t="inlineStr">
        <is>
          <t>library/033_dhigali-maldives/dining_menu/2026_Website_NIVA_BeverageMenu_Faru_Battuta_05Apr26-1.pdf</t>
        </is>
      </c>
      <c r="R415" t="inlineStr">
        <is>
          <t>current</t>
        </is>
      </c>
      <c r="S415" t="inlineStr">
        <is>
          <t>N</t>
        </is>
      </c>
      <c r="T415" t="inlineStr">
        <is>
          <t>matched</t>
        </is>
      </c>
      <c r="U415" t="inlineStr">
        <is>
          <t>2026-10-04</t>
        </is>
      </c>
      <c r="V415" t="inlineStr"/>
    </row>
    <row r="416">
      <c r="A416" t="n">
        <v>33</v>
      </c>
      <c r="B416" t="inlineStr">
        <is>
          <t>Dhigali Maldives</t>
        </is>
      </c>
      <c r="C416" t="inlineStr">
        <is>
          <t>dining_menu</t>
        </is>
      </c>
      <c r="D416" t="inlineStr">
        <is>
          <t>2026_Website-Cigar-Menu-1.pdf</t>
        </is>
      </c>
      <c r="E416" t="n">
        <v>2026</v>
      </c>
      <c r="H416" t="n">
        <v>1</v>
      </c>
      <c r="I416" t="n">
        <v>168</v>
      </c>
      <c r="J416" t="inlineStr">
        <is>
          <t>Y</t>
        </is>
      </c>
      <c r="K416" t="inlineStr">
        <is>
          <t>dhigali.com</t>
        </is>
      </c>
      <c r="L416" t="inlineStr">
        <is>
          <t>official</t>
        </is>
      </c>
      <c r="M416" t="inlineStr">
        <is>
          <t>https://www.nivadhigali.com/wp-content/uploads/2025/09/Website-Cigar-Menu-1.pdf</t>
        </is>
      </c>
      <c r="N416" t="inlineStr">
        <is>
          <t>https://www.nivadhigali.com/wp-content/uploads/2025/09/Website-Cigar-Menu-1.pdf</t>
        </is>
      </c>
      <c r="O416" t="inlineStr">
        <is>
          <t>56c7b0349c7125ab9045bf956aa151749a570f7f4b40ee4f284d46bb53fd0f60</t>
        </is>
      </c>
      <c r="P416" t="inlineStr">
        <is>
          <t>library/033_dhigali-maldives/dining_menu/2026_Website-Cigar-Menu-1.pdf</t>
        </is>
      </c>
      <c r="R416" t="inlineStr">
        <is>
          <t>current</t>
        </is>
      </c>
      <c r="S416" t="inlineStr">
        <is>
          <t>N</t>
        </is>
      </c>
      <c r="T416" t="inlineStr">
        <is>
          <t>matched</t>
        </is>
      </c>
      <c r="U416" t="inlineStr">
        <is>
          <t>2026-10-04</t>
        </is>
      </c>
      <c r="V416" t="inlineStr"/>
    </row>
    <row r="417">
      <c r="A417" t="n">
        <v>33</v>
      </c>
      <c r="B417" t="inlineStr">
        <is>
          <t>Dhigali Maldives</t>
        </is>
      </c>
      <c r="C417" t="inlineStr">
        <is>
          <t>dining_menu</t>
        </is>
      </c>
      <c r="D417" t="inlineStr">
        <is>
          <t>2026_Website-Shisha-Menu-1.pdf</t>
        </is>
      </c>
      <c r="E417" t="n">
        <v>2026</v>
      </c>
      <c r="H417" t="n">
        <v>1</v>
      </c>
      <c r="I417" t="n">
        <v>114</v>
      </c>
      <c r="J417" t="inlineStr">
        <is>
          <t>Y</t>
        </is>
      </c>
      <c r="K417" t="inlineStr">
        <is>
          <t>dhigali.com</t>
        </is>
      </c>
      <c r="L417" t="inlineStr">
        <is>
          <t>official</t>
        </is>
      </c>
      <c r="M417" t="inlineStr">
        <is>
          <t>https://www.nivadhigali.com/wp-content/uploads/2025/09/Website-Shisha-Menu-1.pdf</t>
        </is>
      </c>
      <c r="N417" t="inlineStr">
        <is>
          <t>https://www.nivadhigali.com/wp-content/uploads/2025/09/Website-Shisha-Menu-1.pdf</t>
        </is>
      </c>
      <c r="O417" t="inlineStr">
        <is>
          <t>73f66206a8222b77808908ac714383bd8c55df56c8c70bb46fc5a61133a8a08f</t>
        </is>
      </c>
      <c r="P417" t="inlineStr">
        <is>
          <t>library/033_dhigali-maldives/dining_menu/2026_Website-Shisha-Menu-1.pdf</t>
        </is>
      </c>
      <c r="R417" t="inlineStr">
        <is>
          <t>current</t>
        </is>
      </c>
      <c r="S417" t="inlineStr">
        <is>
          <t>N</t>
        </is>
      </c>
      <c r="T417" t="inlineStr">
        <is>
          <t>matched</t>
        </is>
      </c>
      <c r="U417" t="inlineStr">
        <is>
          <t>2026-10-04</t>
        </is>
      </c>
      <c r="V417" t="inlineStr"/>
    </row>
    <row r="418">
      <c r="A418" t="n">
        <v>33</v>
      </c>
      <c r="B418" t="inlineStr">
        <is>
          <t>Dhigali Maldives</t>
        </is>
      </c>
      <c r="C418" t="inlineStr">
        <is>
          <t>dining_menu</t>
        </is>
      </c>
      <c r="D418" t="inlineStr">
        <is>
          <t>2026_Pizzeria-Menu.pdf</t>
        </is>
      </c>
      <c r="E418" t="n">
        <v>2026</v>
      </c>
      <c r="H418" t="n">
        <v>1</v>
      </c>
      <c r="I418" t="n">
        <v>27</v>
      </c>
      <c r="J418" t="inlineStr">
        <is>
          <t>Y</t>
        </is>
      </c>
      <c r="K418" t="inlineStr">
        <is>
          <t>dhigali.com</t>
        </is>
      </c>
      <c r="L418" t="inlineStr">
        <is>
          <t>official</t>
        </is>
      </c>
      <c r="M418" t="inlineStr">
        <is>
          <t>https://www.nivadhigali.com/wp-content/uploads/2025/09/Pizzeria-Menu.pdf</t>
        </is>
      </c>
      <c r="N418" t="inlineStr">
        <is>
          <t>https://www.nivadhigali.com/wp-content/uploads/2025/09/Pizzeria-Menu.pdf</t>
        </is>
      </c>
      <c r="O418" t="inlineStr">
        <is>
          <t>940eda923e79053de3750dbfbb52a44fc0f3597ff64b98dbfcc1e2448b8434d8</t>
        </is>
      </c>
      <c r="P418" t="inlineStr">
        <is>
          <t>library/033_dhigali-maldives/dining_menu/2026_Pizzeria-Menu.pdf</t>
        </is>
      </c>
      <c r="R418" t="inlineStr">
        <is>
          <t>current</t>
        </is>
      </c>
      <c r="S418" t="inlineStr">
        <is>
          <t>N</t>
        </is>
      </c>
      <c r="T418" t="inlineStr">
        <is>
          <t>matched</t>
        </is>
      </c>
      <c r="U418" t="inlineStr">
        <is>
          <t>2026-10-04</t>
        </is>
      </c>
      <c r="V418" t="inlineStr"/>
    </row>
    <row r="419">
      <c r="A419" t="n">
        <v>33</v>
      </c>
      <c r="B419" t="inlineStr">
        <is>
          <t>Dhigali Maldives</t>
        </is>
      </c>
      <c r="C419" t="inlineStr">
        <is>
          <t>dining_menu</t>
        </is>
      </c>
      <c r="D419" t="inlineStr">
        <is>
          <t>2026_Faru-Kids-Menu.pdf</t>
        </is>
      </c>
      <c r="E419" t="n">
        <v>2026</v>
      </c>
      <c r="H419" t="n">
        <v>1</v>
      </c>
      <c r="I419" t="n">
        <v>105</v>
      </c>
      <c r="J419" t="inlineStr">
        <is>
          <t>Y</t>
        </is>
      </c>
      <c r="K419" t="inlineStr">
        <is>
          <t>dhigali.com</t>
        </is>
      </c>
      <c r="L419" t="inlineStr">
        <is>
          <t>official</t>
        </is>
      </c>
      <c r="M419" t="inlineStr">
        <is>
          <t>https://www.nivadhigali.com/wp-content/uploads/2025/09/Faru-Kids-Menu.pdf</t>
        </is>
      </c>
      <c r="N419" t="inlineStr">
        <is>
          <t>https://www.nivadhigali.com/wp-content/uploads/2025/09/Faru-Kids-Menu.pdf</t>
        </is>
      </c>
      <c r="O419" t="inlineStr">
        <is>
          <t>9f419b53e9be78f10ac1fc9181d2aadebf571d527e889a0cf664c061a8006a08</t>
        </is>
      </c>
      <c r="P419" t="inlineStr">
        <is>
          <t>library/033_dhigali-maldives/dining_menu/2026_Faru-Kids-Menu.pdf</t>
        </is>
      </c>
      <c r="R419" t="inlineStr">
        <is>
          <t>current</t>
        </is>
      </c>
      <c r="S419" t="inlineStr">
        <is>
          <t>N</t>
        </is>
      </c>
      <c r="T419" t="inlineStr">
        <is>
          <t>matched</t>
        </is>
      </c>
      <c r="U419" t="inlineStr">
        <is>
          <t>2026-10-04</t>
        </is>
      </c>
      <c r="V419" t="inlineStr"/>
    </row>
    <row r="420">
      <c r="A420" t="n">
        <v>33</v>
      </c>
      <c r="B420" t="inlineStr">
        <is>
          <t>Dhigali Maldives</t>
        </is>
      </c>
      <c r="C420" t="inlineStr">
        <is>
          <t>dining_menu</t>
        </is>
      </c>
      <c r="D420" t="inlineStr">
        <is>
          <t>2026_Website_CafeMenu_Niva.pdf</t>
        </is>
      </c>
      <c r="E420" t="n">
        <v>2026</v>
      </c>
      <c r="H420" t="n">
        <v>1</v>
      </c>
      <c r="I420" t="n">
        <v>36</v>
      </c>
      <c r="J420" t="inlineStr">
        <is>
          <t>Y</t>
        </is>
      </c>
      <c r="K420" t="inlineStr">
        <is>
          <t>dhigali.com</t>
        </is>
      </c>
      <c r="L420" t="inlineStr">
        <is>
          <t>official</t>
        </is>
      </c>
      <c r="M420" t="inlineStr">
        <is>
          <t>https://www.nivadhigali.com/wp-content/uploads/2025/09/Website_CafeMenu_Niva.pdf</t>
        </is>
      </c>
      <c r="N420" t="inlineStr">
        <is>
          <t>https://www.nivadhigali.com/wp-content/uploads/2025/09/Website_CafeMenu_Niva.pdf</t>
        </is>
      </c>
      <c r="O420" t="inlineStr">
        <is>
          <t>aac4617e0531abc0e6f754455cec6b85a70c14d2f7512ffded4e6fa187c160e5</t>
        </is>
      </c>
      <c r="P420" t="inlineStr">
        <is>
          <t>library/033_dhigali-maldives/dining_menu/2026_Website_CafeMenu_Niva.pdf</t>
        </is>
      </c>
      <c r="R420" t="inlineStr">
        <is>
          <t>current</t>
        </is>
      </c>
      <c r="S420" t="inlineStr">
        <is>
          <t>N</t>
        </is>
      </c>
      <c r="T420" t="inlineStr">
        <is>
          <t>matched</t>
        </is>
      </c>
      <c r="U420" t="inlineStr">
        <is>
          <t>2026-10-04</t>
        </is>
      </c>
      <c r="V420" t="inlineStr"/>
    </row>
    <row r="421">
      <c r="A421" t="n">
        <v>33</v>
      </c>
      <c r="B421" t="inlineStr">
        <is>
          <t>Dhigali Maldives</t>
        </is>
      </c>
      <c r="C421" t="inlineStr">
        <is>
          <t>dining_menu</t>
        </is>
      </c>
      <c r="D421" t="inlineStr">
        <is>
          <t>2021_Website_Wine-Menu_6August26-5.pdf</t>
        </is>
      </c>
      <c r="E421" t="n">
        <v>2021</v>
      </c>
      <c r="H421" t="n">
        <v>3</v>
      </c>
      <c r="I421" t="n">
        <v>137</v>
      </c>
      <c r="J421" t="inlineStr">
        <is>
          <t>Y</t>
        </is>
      </c>
      <c r="K421" t="inlineStr">
        <is>
          <t>dhigali.com</t>
        </is>
      </c>
      <c r="L421" t="inlineStr">
        <is>
          <t>official</t>
        </is>
      </c>
      <c r="M421" t="inlineStr">
        <is>
          <t>https://www.nivadhigali.com/wp-content/uploads/2025/09/Website_Wine-Menu_6August26-5.pdf</t>
        </is>
      </c>
      <c r="N421"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t>
        </is>
      </c>
      <c r="O421" t="inlineStr">
        <is>
          <t>bce338360c3768151c0628d189fe2454661a7dc230e889777028a7c0a19e8db2</t>
        </is>
      </c>
      <c r="P421" t="inlineStr">
        <is>
          <t>library/033_dhigali-maldives/dining_menu/2021_Website_Wine-Menu_6August26-5.pdf</t>
        </is>
      </c>
      <c r="R421" t="inlineStr">
        <is>
          <t>outdated</t>
        </is>
      </c>
      <c r="S421" t="inlineStr">
        <is>
          <t>N</t>
        </is>
      </c>
      <c r="T421" t="inlineStr">
        <is>
          <t>matched</t>
        </is>
      </c>
      <c r="U421" t="inlineStr">
        <is>
          <t>2026-10-04</t>
        </is>
      </c>
      <c r="V421" t="inlineStr"/>
    </row>
    <row r="422">
      <c r="A422" t="n">
        <v>33</v>
      </c>
      <c r="B422" t="inlineStr">
        <is>
          <t>Dhigali Maldives</t>
        </is>
      </c>
      <c r="C422" t="inlineStr">
        <is>
          <t>dining_menu</t>
        </is>
      </c>
      <c r="D422" t="inlineStr">
        <is>
          <t>2021_Website_Haali_Wine-Menu-1.pdf</t>
        </is>
      </c>
      <c r="E422" t="n">
        <v>2021</v>
      </c>
      <c r="H422" t="n">
        <v>3</v>
      </c>
      <c r="I422" t="n">
        <v>134</v>
      </c>
      <c r="J422" t="inlineStr">
        <is>
          <t>Y</t>
        </is>
      </c>
      <c r="K422" t="inlineStr">
        <is>
          <t>dhigali.com</t>
        </is>
      </c>
      <c r="L422" t="inlineStr">
        <is>
          <t>official</t>
        </is>
      </c>
      <c r="M422" t="inlineStr">
        <is>
          <t>https://www.nivadhigali.com/wp-content/uploads/2025/09/Website_Haali_Wine-Menu-1.pdf</t>
        </is>
      </c>
      <c r="N422" t="inlineStr">
        <is>
          <t>https://www.nivadhigali.com/wp-content/uploads/2025/09/Website_Haali_Wine-Menu-1.pdf</t>
        </is>
      </c>
      <c r="O422" t="inlineStr">
        <is>
          <t>1475e27329aaae8145b0b23ca8c2c5dbb157a63037ec53f1ea8ec74bc023f2f7</t>
        </is>
      </c>
      <c r="P422" t="inlineStr">
        <is>
          <t>library/033_dhigali-maldives/dining_menu/2021_Website_Haali_Wine-Menu-1.pdf</t>
        </is>
      </c>
      <c r="R422" t="inlineStr">
        <is>
          <t>outdated</t>
        </is>
      </c>
      <c r="S422" t="inlineStr">
        <is>
          <t>N</t>
        </is>
      </c>
      <c r="T422" t="inlineStr">
        <is>
          <t>matched</t>
        </is>
      </c>
      <c r="U422" t="inlineStr">
        <is>
          <t>2026-10-04</t>
        </is>
      </c>
      <c r="V422" t="inlineStr"/>
    </row>
    <row r="423">
      <c r="A423" t="n">
        <v>33</v>
      </c>
      <c r="B423" t="inlineStr">
        <is>
          <t>Dhigali Maldives</t>
        </is>
      </c>
      <c r="C423" t="inlineStr">
        <is>
          <t>dining_menu</t>
        </is>
      </c>
      <c r="D423" t="inlineStr">
        <is>
          <t>2021_Website_East_Wine-Menu-1.pdf</t>
        </is>
      </c>
      <c r="E423" t="n">
        <v>2021</v>
      </c>
      <c r="H423" t="n">
        <v>3</v>
      </c>
      <c r="I423" t="n">
        <v>134</v>
      </c>
      <c r="J423" t="inlineStr">
        <is>
          <t>Y</t>
        </is>
      </c>
      <c r="K423" t="inlineStr">
        <is>
          <t>dhigali.com</t>
        </is>
      </c>
      <c r="L423" t="inlineStr">
        <is>
          <t>official</t>
        </is>
      </c>
      <c r="M423" t="inlineStr">
        <is>
          <t>https://www.nivadhigali.com/wp-content/uploads/2025/09/Website_East_Wine-Menu-1.pdf</t>
        </is>
      </c>
      <c r="N423" t="inlineStr">
        <is>
          <t>https://www.nivadhigali.com/wp-content/uploads/2025/09/Website_East_Wine-Menu-1.pdf</t>
        </is>
      </c>
      <c r="O423" t="inlineStr">
        <is>
          <t>22b24db9c0f99c86b3f5fc54ed0ca95fcede6d0554afc3c2e114f8a723c4676f</t>
        </is>
      </c>
      <c r="P423" t="inlineStr">
        <is>
          <t>library/033_dhigali-maldives/dining_menu/2021_Website_East_Wine-Menu-1.pdf</t>
        </is>
      </c>
      <c r="R423" t="inlineStr">
        <is>
          <t>outdated</t>
        </is>
      </c>
      <c r="S423" t="inlineStr">
        <is>
          <t>N</t>
        </is>
      </c>
      <c r="T423" t="inlineStr">
        <is>
          <t>matched</t>
        </is>
      </c>
      <c r="U423" t="inlineStr">
        <is>
          <t>2026-10-04</t>
        </is>
      </c>
      <c r="V423" t="inlineStr"/>
    </row>
    <row r="424">
      <c r="A424" t="n">
        <v>33</v>
      </c>
      <c r="B424" t="inlineStr">
        <is>
          <t>Dhigali Maldives</t>
        </is>
      </c>
      <c r="C424" t="inlineStr">
        <is>
          <t>dining_menu</t>
        </is>
      </c>
      <c r="D424" t="inlineStr">
        <is>
          <t>2021_Website_Faru_Wine-Menu-1.pdf</t>
        </is>
      </c>
      <c r="E424" t="n">
        <v>2021</v>
      </c>
      <c r="H424" t="n">
        <v>3</v>
      </c>
      <c r="I424" t="n">
        <v>142</v>
      </c>
      <c r="J424" t="inlineStr">
        <is>
          <t>Y</t>
        </is>
      </c>
      <c r="K424" t="inlineStr">
        <is>
          <t>dhigali.com</t>
        </is>
      </c>
      <c r="L424" t="inlineStr">
        <is>
          <t>official</t>
        </is>
      </c>
      <c r="M424" t="inlineStr">
        <is>
          <t>https://www.nivadhigali.com/wp-content/uploads/2025/09/Website_Faru_Wine-Menu-1.pdf</t>
        </is>
      </c>
      <c r="N424" t="inlineStr">
        <is>
          <t>https://www.nivadhigali.com/wp-content/uploads/2025/09/Website_Faru_Wine-Menu-1.pdf</t>
        </is>
      </c>
      <c r="O424" t="inlineStr">
        <is>
          <t>0c6ef94274f03cf6d869a99f2cedc54de40eb3726ca378a878b4a0a22fb99e74</t>
        </is>
      </c>
      <c r="P424" t="inlineStr">
        <is>
          <t>library/033_dhigali-maldives/dining_menu/2021_Website_Faru_Wine-Menu-1.pdf</t>
        </is>
      </c>
      <c r="R424" t="inlineStr">
        <is>
          <t>outdated</t>
        </is>
      </c>
      <c r="S424" t="inlineStr">
        <is>
          <t>N</t>
        </is>
      </c>
      <c r="T424" t="inlineStr">
        <is>
          <t>matched</t>
        </is>
      </c>
      <c r="U424" t="inlineStr">
        <is>
          <t>2026-10-04</t>
        </is>
      </c>
      <c r="V424" t="inlineStr"/>
    </row>
    <row r="425">
      <c r="A425" t="n">
        <v>33</v>
      </c>
      <c r="B425" t="inlineStr">
        <is>
          <t>Dhigali Maldives</t>
        </is>
      </c>
      <c r="C425" t="inlineStr">
        <is>
          <t>dining_menu</t>
        </is>
      </c>
      <c r="D425" t="inlineStr">
        <is>
          <t>2021_Website_Battuta_Wine-Menu-1.pdf</t>
        </is>
      </c>
      <c r="E425" t="n">
        <v>2021</v>
      </c>
      <c r="H425" t="n">
        <v>3</v>
      </c>
      <c r="I425" t="n">
        <v>142</v>
      </c>
      <c r="J425" t="inlineStr">
        <is>
          <t>Y</t>
        </is>
      </c>
      <c r="K425" t="inlineStr">
        <is>
          <t>dhigali.com</t>
        </is>
      </c>
      <c r="L425" t="inlineStr">
        <is>
          <t>official</t>
        </is>
      </c>
      <c r="M425" t="inlineStr">
        <is>
          <t>https://www.nivadhigali.com/wp-content/uploads/2025/09/Website_Battuta_Wine-Menu-1.pdf</t>
        </is>
      </c>
      <c r="N425" t="inlineStr">
        <is>
          <t>https://www.nivadhigali.com/wp-content/uploads/2025/09/Website_Battuta_Wine-Menu-1.pdf</t>
        </is>
      </c>
      <c r="O425" t="inlineStr">
        <is>
          <t>1ac01ebd45d40cde208d71911c11c01a924b6cca3fd24c982da1d7c60501478b</t>
        </is>
      </c>
      <c r="P425" t="inlineStr">
        <is>
          <t>library/033_dhigali-maldives/dining_menu/2021_Website_Battuta_Wine-Menu-1.pdf</t>
        </is>
      </c>
      <c r="R425" t="inlineStr">
        <is>
          <t>outdated</t>
        </is>
      </c>
      <c r="S425" t="inlineStr">
        <is>
          <t>N</t>
        </is>
      </c>
      <c r="T425" t="inlineStr">
        <is>
          <t>matched</t>
        </is>
      </c>
      <c r="U425" t="inlineStr">
        <is>
          <t>2026-10-04</t>
        </is>
      </c>
      <c r="V425" t="inlineStr"/>
    </row>
    <row r="426">
      <c r="A426" t="n">
        <v>33</v>
      </c>
      <c r="B426" t="inlineStr">
        <is>
          <t>Dhigali Maldives</t>
        </is>
      </c>
      <c r="C426" t="inlineStr">
        <is>
          <t>dining_menu</t>
        </is>
      </c>
      <c r="D426" t="inlineStr">
        <is>
          <t>2021_Website_Capers_Wine-Menu-1.pdf</t>
        </is>
      </c>
      <c r="E426" t="n">
        <v>2021</v>
      </c>
      <c r="H426" t="n">
        <v>3</v>
      </c>
      <c r="I426" t="n">
        <v>134</v>
      </c>
      <c r="J426" t="inlineStr">
        <is>
          <t>Y</t>
        </is>
      </c>
      <c r="K426" t="inlineStr">
        <is>
          <t>dhigali.com</t>
        </is>
      </c>
      <c r="L426" t="inlineStr">
        <is>
          <t>official</t>
        </is>
      </c>
      <c r="M426" t="inlineStr">
        <is>
          <t>https://www.nivadhigali.com/wp-content/uploads/2025/09/Website_Capers_Wine-Menu-1.pdf</t>
        </is>
      </c>
      <c r="N426" t="inlineStr">
        <is>
          <t>https://www.nivadhigali.com/wp-content/uploads/2025/09/Website_Capers_Wine-Menu-1.pdf</t>
        </is>
      </c>
      <c r="O426" t="inlineStr">
        <is>
          <t>f5509e8a4289736a7b44f53320ad6aac7c23d4e03ffd313207772809a84e09b8</t>
        </is>
      </c>
      <c r="P426" t="inlineStr">
        <is>
          <t>library/033_dhigali-maldives/dining_menu/2021_Website_Capers_Wine-Menu-1.pdf</t>
        </is>
      </c>
      <c r="R426" t="inlineStr">
        <is>
          <t>outdated</t>
        </is>
      </c>
      <c r="S426" t="inlineStr">
        <is>
          <t>N</t>
        </is>
      </c>
      <c r="T426" t="inlineStr">
        <is>
          <t>matched</t>
        </is>
      </c>
      <c r="U426" t="inlineStr">
        <is>
          <t>2026-10-04</t>
        </is>
      </c>
      <c r="V426" t="inlineStr"/>
    </row>
    <row r="427">
      <c r="A427" t="n">
        <v>33</v>
      </c>
      <c r="B427" t="inlineStr">
        <is>
          <t>Dhigali Maldives</t>
        </is>
      </c>
      <c r="C427" t="inlineStr">
        <is>
          <t>dining_menu</t>
        </is>
      </c>
      <c r="D427" t="inlineStr">
        <is>
          <t>2021_Website_Jade_Wine-Menu-1.pdf</t>
        </is>
      </c>
      <c r="E427" t="n">
        <v>2021</v>
      </c>
      <c r="H427" t="n">
        <v>3</v>
      </c>
      <c r="I427" t="n">
        <v>134</v>
      </c>
      <c r="J427" t="inlineStr">
        <is>
          <t>Y</t>
        </is>
      </c>
      <c r="K427" t="inlineStr">
        <is>
          <t>dhigali.com</t>
        </is>
      </c>
      <c r="L427" t="inlineStr">
        <is>
          <t>official</t>
        </is>
      </c>
      <c r="M427" t="inlineStr">
        <is>
          <t>https://www.nivadhigali.com/wp-content/uploads/2025/09/Website_Jade_Wine-Menu-1.pdf</t>
        </is>
      </c>
      <c r="N427" t="inlineStr">
        <is>
          <t>https://www.nivadhigali.com/wp-content/uploads/2025/09/Website_Jade_Wine-Menu-1.pdf</t>
        </is>
      </c>
      <c r="O427" t="inlineStr">
        <is>
          <t>4693a5704bed9491d6e99bc4f4e61d97d126df127a846a846d88ae105ad1f9f9</t>
        </is>
      </c>
      <c r="P427" t="inlineStr">
        <is>
          <t>library/033_dhigali-maldives/dining_menu/2021_Website_Jade_Wine-Menu-1.pdf</t>
        </is>
      </c>
      <c r="R427" t="inlineStr">
        <is>
          <t>outdated</t>
        </is>
      </c>
      <c r="S427" t="inlineStr">
        <is>
          <t>N</t>
        </is>
      </c>
      <c r="T427" t="inlineStr">
        <is>
          <t>matched</t>
        </is>
      </c>
      <c r="U427" t="inlineStr">
        <is>
          <t>2026-10-04</t>
        </is>
      </c>
      <c r="V427" t="inlineStr"/>
    </row>
    <row r="428">
      <c r="A428" t="n">
        <v>33</v>
      </c>
      <c r="B428" t="inlineStr">
        <is>
          <t>Dhigali Maldives</t>
        </is>
      </c>
      <c r="C428" t="inlineStr">
        <is>
          <t>dining_menu</t>
        </is>
      </c>
      <c r="D428" t="inlineStr">
        <is>
          <t>2021_Website_Haali_Wine-Menu_05Apr26.pdf</t>
        </is>
      </c>
      <c r="E428" t="n">
        <v>2021</v>
      </c>
      <c r="H428" t="n">
        <v>3</v>
      </c>
      <c r="I428" t="n">
        <v>133</v>
      </c>
      <c r="J428" t="inlineStr">
        <is>
          <t>Y</t>
        </is>
      </c>
      <c r="K428" t="inlineStr">
        <is>
          <t>dhigali.com</t>
        </is>
      </c>
      <c r="L428" t="inlineStr">
        <is>
          <t>official</t>
        </is>
      </c>
      <c r="M428" t="inlineStr">
        <is>
          <t>https://www.nivadhigali.com/wp-content/uploads/2025/09/Website_Haali_Wine-Menu_05Apr26.pdf</t>
        </is>
      </c>
      <c r="N428" t="inlineStr">
        <is>
          <t>https://www.nivadhigali.com/wp-content/uploads/2025/09/Website_Haali_Wine-Menu_05Apr26.pdf</t>
        </is>
      </c>
      <c r="O428" t="inlineStr">
        <is>
          <t>a1eed65339dd20d414c6d77c0cf011f9c71a0f74b994e5849cd2bdaa23db1a04</t>
        </is>
      </c>
      <c r="P428" t="inlineStr">
        <is>
          <t>library/033_dhigali-maldives/dining_menu/2021_Website_Haali_Wine-Menu_05Apr26.pdf</t>
        </is>
      </c>
      <c r="R428" t="inlineStr">
        <is>
          <t>outdated</t>
        </is>
      </c>
      <c r="S428" t="inlineStr">
        <is>
          <t>N</t>
        </is>
      </c>
      <c r="T428" t="inlineStr">
        <is>
          <t>matched</t>
        </is>
      </c>
      <c r="U428" t="inlineStr">
        <is>
          <t>2026-10-04</t>
        </is>
      </c>
      <c r="V428" t="inlineStr"/>
    </row>
    <row r="429">
      <c r="A429" t="n">
        <v>33</v>
      </c>
      <c r="B429" t="inlineStr">
        <is>
          <t>Dhigali Maldives</t>
        </is>
      </c>
      <c r="C429" t="inlineStr">
        <is>
          <t>dining_menu</t>
        </is>
      </c>
      <c r="D429" t="inlineStr">
        <is>
          <t>2021_Website_East_Wine-Menu_05Apr26.pdf</t>
        </is>
      </c>
      <c r="E429" t="n">
        <v>2021</v>
      </c>
      <c r="H429" t="n">
        <v>3</v>
      </c>
      <c r="I429" t="n">
        <v>133</v>
      </c>
      <c r="J429" t="inlineStr">
        <is>
          <t>Y</t>
        </is>
      </c>
      <c r="K429" t="inlineStr">
        <is>
          <t>dhigali.com</t>
        </is>
      </c>
      <c r="L429" t="inlineStr">
        <is>
          <t>official</t>
        </is>
      </c>
      <c r="M429" t="inlineStr">
        <is>
          <t>https://www.nivadhigali.com/wp-content/uploads/2025/09/Website_East_Wine-Menu_05Apr26.pdf</t>
        </is>
      </c>
      <c r="N429" t="inlineStr">
        <is>
          <t>https://www.nivadhigali.com/wp-content/uploads/2025/09/Website_East_Wine-Menu_05Apr26.pdf</t>
        </is>
      </c>
      <c r="O429" t="inlineStr">
        <is>
          <t>439fc3d28ab04cae88896095b598dc275be0a694bfdc4e495789e0c0ee36239d</t>
        </is>
      </c>
      <c r="P429" t="inlineStr">
        <is>
          <t>library/033_dhigali-maldives/dining_menu/2021_Website_East_Wine-Menu_05Apr26.pdf</t>
        </is>
      </c>
      <c r="R429" t="inlineStr">
        <is>
          <t>outdated</t>
        </is>
      </c>
      <c r="S429" t="inlineStr">
        <is>
          <t>N</t>
        </is>
      </c>
      <c r="T429" t="inlineStr">
        <is>
          <t>matched</t>
        </is>
      </c>
      <c r="U429" t="inlineStr">
        <is>
          <t>2026-10-04</t>
        </is>
      </c>
      <c r="V429" t="inlineStr"/>
    </row>
    <row r="430">
      <c r="A430" t="n">
        <v>33</v>
      </c>
      <c r="B430" t="inlineStr">
        <is>
          <t>Dhigali Maldives</t>
        </is>
      </c>
      <c r="C430" t="inlineStr">
        <is>
          <t>dining_menu</t>
        </is>
      </c>
      <c r="D430" t="inlineStr">
        <is>
          <t>2021_Website_Faru_Wine-Menu_05Apr26.pdf</t>
        </is>
      </c>
      <c r="E430" t="n">
        <v>2021</v>
      </c>
      <c r="H430" t="n">
        <v>3</v>
      </c>
      <c r="I430" t="n">
        <v>142</v>
      </c>
      <c r="J430" t="inlineStr">
        <is>
          <t>Y</t>
        </is>
      </c>
      <c r="K430" t="inlineStr">
        <is>
          <t>dhigali.com</t>
        </is>
      </c>
      <c r="L430" t="inlineStr">
        <is>
          <t>official</t>
        </is>
      </c>
      <c r="M430" t="inlineStr">
        <is>
          <t>https://www.nivadhigali.com/wp-content/uploads/2025/09/Website_Faru_Wine-Menu_05Apr26.pdf</t>
        </is>
      </c>
      <c r="N430" t="inlineStr">
        <is>
          <t>https://www.nivadhigali.com/wp-content/uploads/2025/09/Website_Faru_Wine-Menu_05Apr26.pdf</t>
        </is>
      </c>
      <c r="O430" t="inlineStr">
        <is>
          <t>9cace3497371ceb77ccea77959c686e583363e7ed1f5454f68f12caf61af42df</t>
        </is>
      </c>
      <c r="P430" t="inlineStr">
        <is>
          <t>library/033_dhigali-maldives/dining_menu/2021_Website_Faru_Wine-Menu_05Apr26.pdf</t>
        </is>
      </c>
      <c r="R430" t="inlineStr">
        <is>
          <t>outdated</t>
        </is>
      </c>
      <c r="S430" t="inlineStr">
        <is>
          <t>N</t>
        </is>
      </c>
      <c r="T430" t="inlineStr">
        <is>
          <t>matched</t>
        </is>
      </c>
      <c r="U430" t="inlineStr">
        <is>
          <t>2026-10-04</t>
        </is>
      </c>
      <c r="V430" t="inlineStr"/>
    </row>
    <row r="431">
      <c r="A431" t="n">
        <v>33</v>
      </c>
      <c r="B431" t="inlineStr">
        <is>
          <t>Dhigali Maldives</t>
        </is>
      </c>
      <c r="C431" t="inlineStr">
        <is>
          <t>dining_menu</t>
        </is>
      </c>
      <c r="D431" t="inlineStr">
        <is>
          <t>2021_Website_Battuta_Wine-Menu_05Apr26.pdf</t>
        </is>
      </c>
      <c r="E431" t="n">
        <v>2021</v>
      </c>
      <c r="H431" t="n">
        <v>3</v>
      </c>
      <c r="I431" t="n">
        <v>142</v>
      </c>
      <c r="J431" t="inlineStr">
        <is>
          <t>Y</t>
        </is>
      </c>
      <c r="K431" t="inlineStr">
        <is>
          <t>dhigali.com</t>
        </is>
      </c>
      <c r="L431" t="inlineStr">
        <is>
          <t>official</t>
        </is>
      </c>
      <c r="M431" t="inlineStr">
        <is>
          <t>https://www.nivadhigali.com/wp-content/uploads/2025/09/Website_Battuta_Wine-Menu_05Apr26.pdf</t>
        </is>
      </c>
      <c r="N431" t="inlineStr">
        <is>
          <t>https://www.nivadhigali.com/wp-content/uploads/2025/09/Website_Battuta_Wine-Menu_05Apr26.pdf</t>
        </is>
      </c>
      <c r="O431" t="inlineStr">
        <is>
          <t>f6667c8fbe420b932846bef02841d650a11151751310fcc7a30792158e991819</t>
        </is>
      </c>
      <c r="P431" t="inlineStr">
        <is>
          <t>library/033_dhigali-maldives/dining_menu/2021_Website_Battuta_Wine-Menu_05Apr26.pdf</t>
        </is>
      </c>
      <c r="R431" t="inlineStr">
        <is>
          <t>outdated</t>
        </is>
      </c>
      <c r="S431" t="inlineStr">
        <is>
          <t>N</t>
        </is>
      </c>
      <c r="T431" t="inlineStr">
        <is>
          <t>matched</t>
        </is>
      </c>
      <c r="U431" t="inlineStr">
        <is>
          <t>2026-10-04</t>
        </is>
      </c>
      <c r="V431" t="inlineStr"/>
    </row>
    <row r="432">
      <c r="A432" t="n">
        <v>33</v>
      </c>
      <c r="B432" t="inlineStr">
        <is>
          <t>Dhigali Maldives</t>
        </is>
      </c>
      <c r="C432" t="inlineStr">
        <is>
          <t>dive_prices</t>
        </is>
      </c>
      <c r="D432" t="inlineStr">
        <is>
          <t>2026_Snorkeling-Pricelist_Rev200826.pdf</t>
        </is>
      </c>
      <c r="E432" t="n">
        <v>2026</v>
      </c>
      <c r="H432" t="n">
        <v>2</v>
      </c>
      <c r="I432" t="n">
        <v>2580</v>
      </c>
      <c r="J432" t="inlineStr">
        <is>
          <t>Y</t>
        </is>
      </c>
      <c r="K432" t="inlineStr">
        <is>
          <t>dhigali.com</t>
        </is>
      </c>
      <c r="L432" t="inlineStr">
        <is>
          <t>official</t>
        </is>
      </c>
      <c r="M432" t="inlineStr">
        <is>
          <t>https://www.nivadhigali.com/wp-content/uploads/2026/08/Snorkeling-Pricelist_Rev200826.pdf</t>
        </is>
      </c>
      <c r="N432" t="inlineStr">
        <is>
          <t>https://www.nivadhigali.com/wp-content/uploads/2026/08/Snorkeling-Pricelist_Rev200826.pdf</t>
        </is>
      </c>
      <c r="O432" t="inlineStr">
        <is>
          <t>ab298717dec468c7996e4cde50abb486ece21fc86dac98a303b948f266ae8aac</t>
        </is>
      </c>
      <c r="P432" t="inlineStr">
        <is>
          <t>library/033_dhigali-maldives/dive_prices/2026_Snorkeling-Pricelist_Rev200826.pdf</t>
        </is>
      </c>
      <c r="R432" t="inlineStr">
        <is>
          <t>current</t>
        </is>
      </c>
      <c r="S432" t="inlineStr">
        <is>
          <t>Y</t>
        </is>
      </c>
      <c r="T432" t="inlineStr">
        <is>
          <t>matched</t>
        </is>
      </c>
      <c r="U432" t="inlineStr">
        <is>
          <t>2026-10-04</t>
        </is>
      </c>
      <c r="V432" t="inlineStr"/>
    </row>
    <row r="433">
      <c r="A433" t="n">
        <v>33</v>
      </c>
      <c r="B433" t="inlineStr">
        <is>
          <t>Dhigali Maldives</t>
        </is>
      </c>
      <c r="C433" t="inlineStr">
        <is>
          <t>dive_prices</t>
        </is>
      </c>
      <c r="D433" t="inlineStr">
        <is>
          <t>2026_Snorkeling-Pricelist_Rev200826_updated.pdf</t>
        </is>
      </c>
      <c r="E433" t="n">
        <v>2026</v>
      </c>
      <c r="H433" t="n">
        <v>2</v>
      </c>
      <c r="I433" t="n">
        <v>479</v>
      </c>
      <c r="J433" t="inlineStr">
        <is>
          <t>Y</t>
        </is>
      </c>
      <c r="K433" t="inlineStr">
        <is>
          <t>dhigali.com</t>
        </is>
      </c>
      <c r="L433" t="inlineStr">
        <is>
          <t>official</t>
        </is>
      </c>
      <c r="M433" t="inlineStr">
        <is>
          <t>https://www.nivadhigali.com/wp-content/uploads/2026/08/Snorkeling-Pricelist_Rev200826_updated.pdf</t>
        </is>
      </c>
      <c r="N433" t="inlineStr">
        <is>
          <t>https://www.nivadhigali.com/wp-content/uploads/2026/08/Snorkeling-Pricelist_Rev200826_updated.pdf</t>
        </is>
      </c>
      <c r="O433" t="inlineStr">
        <is>
          <t>d3fc780522906ed9cb687b248e17c95c69d0e819e84e6f21c57359eb1d7f4dd4</t>
        </is>
      </c>
      <c r="P433" t="inlineStr">
        <is>
          <t>library/033_dhigali-maldives/dive_prices/2026_Snorkeling-Pricelist_Rev200826_updated.pdf</t>
        </is>
      </c>
      <c r="R433" t="inlineStr">
        <is>
          <t>current</t>
        </is>
      </c>
      <c r="S433" t="inlineStr">
        <is>
          <t>N</t>
        </is>
      </c>
      <c r="T433" t="inlineStr">
        <is>
          <t>matched</t>
        </is>
      </c>
      <c r="U433" t="inlineStr">
        <is>
          <t>2026-10-04</t>
        </is>
      </c>
      <c r="V433" t="inlineStr"/>
    </row>
    <row r="434">
      <c r="A434" t="n">
        <v>33</v>
      </c>
      <c r="B434" t="inlineStr">
        <is>
          <t>Dhigali Maldives</t>
        </is>
      </c>
      <c r="C434" t="inlineStr">
        <is>
          <t>dive_prices</t>
        </is>
      </c>
      <c r="D434" t="inlineStr">
        <is>
          <t>2026_Snorkeling-Pricelist_Rev050726.pdf</t>
        </is>
      </c>
      <c r="E434" t="n">
        <v>2026</v>
      </c>
      <c r="H434" t="n">
        <v>2</v>
      </c>
      <c r="I434" t="n">
        <v>2580</v>
      </c>
      <c r="J434" t="inlineStr">
        <is>
          <t>Y</t>
        </is>
      </c>
      <c r="K434" t="inlineStr">
        <is>
          <t>dhigali.com</t>
        </is>
      </c>
      <c r="L434" t="inlineStr">
        <is>
          <t>official</t>
        </is>
      </c>
      <c r="M434" t="inlineStr">
        <is>
          <t>https://www.nivadhigali.com/wp-content/uploads/2026/07/Snorkeling-Pricelist_Rev050726.pdf</t>
        </is>
      </c>
      <c r="N434" t="inlineStr">
        <is>
          <t>https://www.nivadhigali.com/wp-content/uploads/2026/07/Snorkeling-Pricelist_Rev050726.pdf</t>
        </is>
      </c>
      <c r="O434" t="inlineStr">
        <is>
          <t>5adbf2b2546408cd70141ad03eda69a9245e0ca5fa699719d067eea5cea84d5e</t>
        </is>
      </c>
      <c r="P434" t="inlineStr">
        <is>
          <t>library/033_dhigali-maldives/dive_prices/2026_Snorkeling-Pricelist_Rev050726.pdf</t>
        </is>
      </c>
      <c r="R434" t="inlineStr">
        <is>
          <t>current</t>
        </is>
      </c>
      <c r="S434" t="inlineStr">
        <is>
          <t>N</t>
        </is>
      </c>
      <c r="T434" t="inlineStr">
        <is>
          <t>matched</t>
        </is>
      </c>
      <c r="U434" t="inlineStr">
        <is>
          <t>2026-10-04</t>
        </is>
      </c>
      <c r="V434" t="inlineStr"/>
    </row>
    <row r="435">
      <c r="A435" t="n">
        <v>33</v>
      </c>
      <c r="B435" t="inlineStr">
        <is>
          <t>Dhigali Maldives</t>
        </is>
      </c>
      <c r="C435" t="inlineStr">
        <is>
          <t>dive_prices</t>
        </is>
      </c>
      <c r="D435" t="inlineStr">
        <is>
          <t>2026_Dhigali-Snorkeling-Code-of-Conduct.pdf</t>
        </is>
      </c>
      <c r="E435" t="n">
        <v>2026</v>
      </c>
      <c r="H435" t="n">
        <v>2</v>
      </c>
      <c r="I435" t="n">
        <v>4180</v>
      </c>
      <c r="J435" t="inlineStr">
        <is>
          <t>Y</t>
        </is>
      </c>
      <c r="K435" t="inlineStr">
        <is>
          <t>dhigali.com</t>
        </is>
      </c>
      <c r="L435" t="inlineStr">
        <is>
          <t>official</t>
        </is>
      </c>
      <c r="M435" t="inlineStr">
        <is>
          <t>https://www.nivadhigali.com/wp-content/uploads/2026/07/Dhigali-Snorkeling-Code-of-Conduct.pdf</t>
        </is>
      </c>
      <c r="N435" t="inlineStr">
        <is>
          <t>https://www.nivadhigali.com/wp-content/uploads/2026/07/Dhigali-Snorkeling-Code-of-Conduct.pdf</t>
        </is>
      </c>
      <c r="O435" t="inlineStr">
        <is>
          <t>76b92002bc1ddd8f945547a47eb8bba079c891711ec56471728b8b438b7fe8e6</t>
        </is>
      </c>
      <c r="P435" t="inlineStr">
        <is>
          <t>library/033_dhigali-maldives/dive_prices/2026_Dhigali-Snorkeling-Code-of-Conduct.pdf</t>
        </is>
      </c>
      <c r="R435" t="inlineStr">
        <is>
          <t>current</t>
        </is>
      </c>
      <c r="S435" t="inlineStr">
        <is>
          <t>N</t>
        </is>
      </c>
      <c r="T435" t="inlineStr">
        <is>
          <t>matched</t>
        </is>
      </c>
      <c r="U435" t="inlineStr">
        <is>
          <t>2026-10-04</t>
        </is>
      </c>
      <c r="V435" t="inlineStr"/>
    </row>
    <row r="436">
      <c r="A436" t="n">
        <v>33</v>
      </c>
      <c r="B436" t="inlineStr">
        <is>
          <t>Dhigali Maldives</t>
        </is>
      </c>
      <c r="C436" t="inlineStr">
        <is>
          <t>dive_prices</t>
        </is>
      </c>
      <c r="D436" t="inlineStr">
        <is>
          <t>2026_PADI-Womens-Dive-Day-1.pdf</t>
        </is>
      </c>
      <c r="E436" t="n">
        <v>2026</v>
      </c>
      <c r="H436" t="n">
        <v>2</v>
      </c>
      <c r="I436" t="n">
        <v>9748</v>
      </c>
      <c r="J436" t="inlineStr">
        <is>
          <t>Y</t>
        </is>
      </c>
      <c r="K436" t="inlineStr">
        <is>
          <t>dhigali.com</t>
        </is>
      </c>
      <c r="L436" t="inlineStr">
        <is>
          <t>official</t>
        </is>
      </c>
      <c r="M436" t="inlineStr">
        <is>
          <t>https://www.nivadhigali.com/wp-content/uploads/2026/07/PADI-Womens-Dive-Day-1.pdf</t>
        </is>
      </c>
      <c r="N436" t="inlineStr">
        <is>
          <t>https://www.nivadhigali.com/wp-content/uploads/2026/07/PADI-Womens-Dive-Day-1.pdf</t>
        </is>
      </c>
      <c r="O436" t="inlineStr">
        <is>
          <t>a8a66799d1551c15e3de4b7ead70c1bb8e5f19f4ccbda192dc0514ea8b90a0f6</t>
        </is>
      </c>
      <c r="P436" t="inlineStr">
        <is>
          <t>library/033_dhigali-maldives/dive_prices/2026_PADI-Womens-Dive-Day-1.pdf</t>
        </is>
      </c>
      <c r="R436" t="inlineStr">
        <is>
          <t>current</t>
        </is>
      </c>
      <c r="S436" t="inlineStr">
        <is>
          <t>N</t>
        </is>
      </c>
      <c r="T436" t="inlineStr">
        <is>
          <t>matched</t>
        </is>
      </c>
      <c r="U436" t="inlineStr">
        <is>
          <t>2026-10-04</t>
        </is>
      </c>
      <c r="V436" t="inlineStr"/>
    </row>
    <row r="437">
      <c r="A437" t="n">
        <v>33</v>
      </c>
      <c r="B437" t="inlineStr">
        <is>
          <t>Dhigali Maldives</t>
        </is>
      </c>
      <c r="C437" t="inlineStr">
        <is>
          <t>dive_prices</t>
        </is>
      </c>
      <c r="D437" t="inlineStr">
        <is>
          <t>2026_PADI-Womens-Dive-Day-2.pdf</t>
        </is>
      </c>
      <c r="E437" t="n">
        <v>2026</v>
      </c>
      <c r="H437" t="n">
        <v>2</v>
      </c>
      <c r="I437" t="n">
        <v>9748</v>
      </c>
      <c r="J437" t="inlineStr">
        <is>
          <t>Y</t>
        </is>
      </c>
      <c r="K437" t="inlineStr">
        <is>
          <t>dhigali.com</t>
        </is>
      </c>
      <c r="L437" t="inlineStr">
        <is>
          <t>official</t>
        </is>
      </c>
      <c r="M437" t="inlineStr">
        <is>
          <t>https://www.nivadhigali.com/wp-content/uploads/2026/07/PADI-Womens-Dive-Day-2.pdf</t>
        </is>
      </c>
      <c r="N437" t="inlineStr">
        <is>
          <t>https://www.nivadhigali.com/wp-content/uploads/2026/07/PADI-Womens-Dive-Day-2.pdf</t>
        </is>
      </c>
      <c r="O437" t="inlineStr">
        <is>
          <t>29fac44bf663ad800ac6f7fb112d1a02d3bdadfcf557ba3b23eedc7f9fbaf155</t>
        </is>
      </c>
      <c r="P437" t="inlineStr">
        <is>
          <t>library/033_dhigali-maldives/dive_prices/2026_PADI-Womens-Dive-Day-2.pdf</t>
        </is>
      </c>
      <c r="R437" t="inlineStr">
        <is>
          <t>current</t>
        </is>
      </c>
      <c r="S437" t="inlineStr">
        <is>
          <t>N</t>
        </is>
      </c>
      <c r="T437" t="inlineStr">
        <is>
          <t>matched</t>
        </is>
      </c>
      <c r="U437" t="inlineStr">
        <is>
          <t>2026-10-04</t>
        </is>
      </c>
      <c r="V437" t="inlineStr"/>
    </row>
    <row r="438">
      <c r="A438" t="n">
        <v>33</v>
      </c>
      <c r="B438" t="inlineStr">
        <is>
          <t>Dhigali Maldives</t>
        </is>
      </c>
      <c r="C438" t="inlineStr">
        <is>
          <t>dive_prices</t>
        </is>
      </c>
      <c r="D438" t="inlineStr">
        <is>
          <t>2026_PADI-Womens-Dive-Day.pdf</t>
        </is>
      </c>
      <c r="E438" t="n">
        <v>2026</v>
      </c>
      <c r="H438" t="n">
        <v>1</v>
      </c>
      <c r="I438" t="n">
        <v>4824</v>
      </c>
      <c r="J438" t="inlineStr">
        <is>
          <t>Y</t>
        </is>
      </c>
      <c r="K438" t="inlineStr">
        <is>
          <t>dhigali.com</t>
        </is>
      </c>
      <c r="L438" t="inlineStr">
        <is>
          <t>official</t>
        </is>
      </c>
      <c r="M438" t="inlineStr">
        <is>
          <t>https://www.nivadhigali.com/wp-content/uploads/2026/07/PADI-Womens-Dive-Day.pdf</t>
        </is>
      </c>
      <c r="N438" t="inlineStr">
        <is>
          <t>https://www.nivadhigali.com/wp-content/uploads/2026/07/PADI-Womens-Dive-Day.pdf</t>
        </is>
      </c>
      <c r="O438" t="inlineStr">
        <is>
          <t>841b77918a10151c3ca2352791b5915cccfd11be7f7fe203da89f042f09baa48</t>
        </is>
      </c>
      <c r="P438" t="inlineStr">
        <is>
          <t>library/033_dhigali-maldives/dive_prices/2026_PADI-Womens-Dive-Day.pdf</t>
        </is>
      </c>
      <c r="R438" t="inlineStr">
        <is>
          <t>current</t>
        </is>
      </c>
      <c r="S438" t="inlineStr">
        <is>
          <t>N</t>
        </is>
      </c>
      <c r="T438" t="inlineStr">
        <is>
          <t>matched</t>
        </is>
      </c>
      <c r="U438" t="inlineStr">
        <is>
          <t>2026-10-04</t>
        </is>
      </c>
      <c r="V438" t="inlineStr"/>
    </row>
    <row r="439">
      <c r="A439" t="n">
        <v>33</v>
      </c>
      <c r="B439" t="inlineStr">
        <is>
          <t>Dhigali Maldives</t>
        </is>
      </c>
      <c r="C439" t="inlineStr">
        <is>
          <t>dive_prices</t>
        </is>
      </c>
      <c r="D439" t="inlineStr">
        <is>
          <t>2026_Shark-Awareness-Day-Special-Dive.pdf</t>
        </is>
      </c>
      <c r="E439" t="n">
        <v>2026</v>
      </c>
      <c r="H439" t="n">
        <v>1</v>
      </c>
      <c r="I439" t="n">
        <v>3563</v>
      </c>
      <c r="J439" t="inlineStr">
        <is>
          <t>Y</t>
        </is>
      </c>
      <c r="K439" t="inlineStr">
        <is>
          <t>dhigali.com</t>
        </is>
      </c>
      <c r="L439" t="inlineStr">
        <is>
          <t>official</t>
        </is>
      </c>
      <c r="M439" t="inlineStr">
        <is>
          <t>https://www.nivadhigali.com/wp-content/uploads/2026/07/Shark-Awareness-Day-Special-Dive.pdf</t>
        </is>
      </c>
      <c r="N439" t="inlineStr">
        <is>
          <t>https://www.nivadhigali.com/wp-content/uploads/2026/07/Shark-Awareness-Day-Special-Dive.pdf</t>
        </is>
      </c>
      <c r="O439" t="inlineStr">
        <is>
          <t>a5ba94ca7aa909b202009b6ea931ce384196cfc29c5fdfc04c33e0b8b8e9a402</t>
        </is>
      </c>
      <c r="P439" t="inlineStr">
        <is>
          <t>library/033_dhigali-maldives/dive_prices/2026_Shark-Awareness-Day-Special-Dive.pdf</t>
        </is>
      </c>
      <c r="R439" t="inlineStr">
        <is>
          <t>current</t>
        </is>
      </c>
      <c r="S439" t="inlineStr">
        <is>
          <t>N</t>
        </is>
      </c>
      <c r="T439" t="inlineStr">
        <is>
          <t>matched</t>
        </is>
      </c>
      <c r="U439" t="inlineStr">
        <is>
          <t>2026-10-04</t>
        </is>
      </c>
      <c r="V439" t="inlineStr"/>
    </row>
    <row r="440">
      <c r="A440" t="n">
        <v>33</v>
      </c>
      <c r="B440" t="inlineStr">
        <is>
          <t>Dhigali Maldives</t>
        </is>
      </c>
      <c r="C440" t="inlineStr">
        <is>
          <t>dive_prices</t>
        </is>
      </c>
      <c r="D440" t="inlineStr">
        <is>
          <t>2026_Niva-Dhigali-Dive-English.pdf</t>
        </is>
      </c>
      <c r="E440" t="n">
        <v>2026</v>
      </c>
      <c r="H440" t="n">
        <v>2</v>
      </c>
      <c r="I440" t="n">
        <v>83</v>
      </c>
      <c r="J440" t="inlineStr">
        <is>
          <t>Y</t>
        </is>
      </c>
      <c r="K440" t="inlineStr">
        <is>
          <t>dhigali.com</t>
        </is>
      </c>
      <c r="L440" t="inlineStr">
        <is>
          <t>official</t>
        </is>
      </c>
      <c r="M440" t="inlineStr">
        <is>
          <t>https://www.nivadhigali.com/wp-content/uploads/2026/06/Niva-Dhigali-Dive-English.pdf</t>
        </is>
      </c>
      <c r="N440" t="inlineStr">
        <is>
          <t>https://www.nivadhigali.com/wp-content/uploads/2026/06/Niva-Dhigali-Dive-English.pdf</t>
        </is>
      </c>
      <c r="O440" t="inlineStr">
        <is>
          <t>faa7056ef3aa6259a462271aa9256f06c0d6711b6c72e7ab8a21009aa274bbc6</t>
        </is>
      </c>
      <c r="P440" t="inlineStr">
        <is>
          <t>library/033_dhigali-maldives/dive_prices/2026_Niva-Dhigali-Dive-English.pdf</t>
        </is>
      </c>
      <c r="R440" t="inlineStr">
        <is>
          <t>current</t>
        </is>
      </c>
      <c r="S440" t="inlineStr">
        <is>
          <t>N</t>
        </is>
      </c>
      <c r="T440" t="inlineStr">
        <is>
          <t>matched</t>
        </is>
      </c>
      <c r="U440" t="inlineStr">
        <is>
          <t>2026-10-04</t>
        </is>
      </c>
      <c r="V440" t="inlineStr"/>
    </row>
    <row r="441">
      <c r="A441" t="n">
        <v>33</v>
      </c>
      <c r="B441" t="inlineStr">
        <is>
          <t>Dhigali Maldives</t>
        </is>
      </c>
      <c r="C441" t="inlineStr">
        <is>
          <t>excursions</t>
        </is>
      </c>
      <c r="D441" t="inlineStr">
        <is>
          <t>2026_Plastic-Recycling-Workshop.pdf</t>
        </is>
      </c>
      <c r="E441" t="n">
        <v>2026</v>
      </c>
      <c r="H441" t="n">
        <v>1</v>
      </c>
      <c r="I441" t="n">
        <v>2255</v>
      </c>
      <c r="J441" t="inlineStr">
        <is>
          <t>Y</t>
        </is>
      </c>
      <c r="K441" t="inlineStr">
        <is>
          <t>dhigali.com</t>
        </is>
      </c>
      <c r="L441" t="inlineStr">
        <is>
          <t>official</t>
        </is>
      </c>
      <c r="M441" t="inlineStr">
        <is>
          <t>https://www.nivadhigali.com/wp-content/uploads/2026/08/Plastic-Recycling-Workshop.pdf</t>
        </is>
      </c>
      <c r="N441" t="inlineStr">
        <is>
          <t>https://www.nivadhigali.com/wp-content/uploads/2026/08/Plastic-Recycling-Workshop.pdf</t>
        </is>
      </c>
      <c r="O441" t="inlineStr">
        <is>
          <t>febac0c6cf5f7db859e6e16fa275e86c4dfe435f414df36a21066af69f13d4c5</t>
        </is>
      </c>
      <c r="P441" t="inlineStr">
        <is>
          <t>library/033_dhigali-maldives/excursions/2026_Plastic-Recycling-Workshop.pdf</t>
        </is>
      </c>
      <c r="R441" t="inlineStr">
        <is>
          <t>current</t>
        </is>
      </c>
      <c r="S441" t="inlineStr">
        <is>
          <t>Y</t>
        </is>
      </c>
      <c r="T441" t="inlineStr">
        <is>
          <t>matched</t>
        </is>
      </c>
      <c r="U441" t="inlineStr">
        <is>
          <t>2026-10-04</t>
        </is>
      </c>
      <c r="V441" t="inlineStr"/>
    </row>
    <row r="442">
      <c r="A442" t="n">
        <v>33</v>
      </c>
      <c r="B442" t="inlineStr">
        <is>
          <t>Dhigali Maldives</t>
        </is>
      </c>
      <c r="C442" t="inlineStr">
        <is>
          <t>kids</t>
        </is>
      </c>
      <c r="D442" t="inlineStr">
        <is>
          <t>2026_Kids-Club-Program_Rev2May26.pdf</t>
        </is>
      </c>
      <c r="E442" t="n">
        <v>2026</v>
      </c>
      <c r="H442" t="n">
        <v>9</v>
      </c>
      <c r="I442" t="n">
        <v>4167</v>
      </c>
      <c r="J442" t="inlineStr">
        <is>
          <t>Y</t>
        </is>
      </c>
      <c r="K442" t="inlineStr">
        <is>
          <t>dhigali.com</t>
        </is>
      </c>
      <c r="L442" t="inlineStr">
        <is>
          <t>official</t>
        </is>
      </c>
      <c r="M442" t="inlineStr">
        <is>
          <t>https://www.nivadhigali.com/wp-content/uploads/2026/06/Kids-Club-Program_Rev2May26.pdf</t>
        </is>
      </c>
      <c r="N442" t="inlineStr">
        <is>
          <t>https://www.nivadhigali.com/wp-content/uploads/2026/06/Kids-Club-Program_Rev2May26.pdf | https://www.nivadhigali.com/wp-content/uploads/2026/01/Kids-Club-Program_Rev2May26.pdf</t>
        </is>
      </c>
      <c r="O442" t="inlineStr">
        <is>
          <t>8b0b17e665db38cbbf5d999a9fd1aa1256746118b4497d4e16e359261293bfca</t>
        </is>
      </c>
      <c r="P442" t="inlineStr">
        <is>
          <t>library/033_dhigali-maldives/kids/2026_Kids-Club-Program_Rev2May26.pdf</t>
        </is>
      </c>
      <c r="R442" t="inlineStr">
        <is>
          <t>current</t>
        </is>
      </c>
      <c r="S442" t="inlineStr">
        <is>
          <t>Y</t>
        </is>
      </c>
      <c r="T442" t="inlineStr">
        <is>
          <t>matched</t>
        </is>
      </c>
      <c r="U442" t="inlineStr">
        <is>
          <t>2026-10-04</t>
        </is>
      </c>
      <c r="V442" t="inlineStr"/>
    </row>
    <row r="443">
      <c r="A443" t="n">
        <v>33</v>
      </c>
      <c r="B443" t="inlineStr">
        <is>
          <t>Dhigali Maldives</t>
        </is>
      </c>
      <c r="C443" t="inlineStr">
        <is>
          <t>all_inclusive</t>
        </is>
      </c>
      <c r="D443" t="inlineStr">
        <is>
          <t>2026_Awaken-Glow_merged.pdf</t>
        </is>
      </c>
      <c r="E443" t="n">
        <v>2026</v>
      </c>
      <c r="H443" t="n">
        <v>2</v>
      </c>
      <c r="I443" t="n">
        <v>4139</v>
      </c>
      <c r="J443" t="inlineStr">
        <is>
          <t>Y</t>
        </is>
      </c>
      <c r="K443" t="inlineStr">
        <is>
          <t>dhigali.com</t>
        </is>
      </c>
      <c r="L443" t="inlineStr">
        <is>
          <t>official</t>
        </is>
      </c>
      <c r="M443" t="inlineStr">
        <is>
          <t>https://www.nivadhigali.com/wp-content/uploads/2026/09/Awaken-Glow_merged.pdf</t>
        </is>
      </c>
      <c r="N443" t="inlineStr">
        <is>
          <t>https://www.nivadhigali.com/wp-content/uploads/2026/09/Awaken-Glow_merged.pdf</t>
        </is>
      </c>
      <c r="O443" t="inlineStr">
        <is>
          <t>254020f7547c2fcae2ab498951f911032f1f7fd940c7e63e950782c5d91b2468</t>
        </is>
      </c>
      <c r="P443" t="inlineStr">
        <is>
          <t>library/033_dhigali-maldives/all_inclusive/2026_Awaken-Glow_merged.pdf</t>
        </is>
      </c>
      <c r="R443" t="inlineStr">
        <is>
          <t>current</t>
        </is>
      </c>
      <c r="S443" t="inlineStr">
        <is>
          <t>Y</t>
        </is>
      </c>
      <c r="T443" t="inlineStr">
        <is>
          <t>matched</t>
        </is>
      </c>
      <c r="U443" t="inlineStr">
        <is>
          <t>2026-10-04</t>
        </is>
      </c>
      <c r="V443" t="inlineStr"/>
    </row>
    <row r="444">
      <c r="A444" t="n">
        <v>33</v>
      </c>
      <c r="B444" t="inlineStr">
        <is>
          <t>Dhigali Maldives</t>
        </is>
      </c>
      <c r="C444" t="inlineStr">
        <is>
          <t>all_inclusive</t>
        </is>
      </c>
      <c r="D444" t="inlineStr">
        <is>
          <t>2026_Awaken-Glow.pdf</t>
        </is>
      </c>
      <c r="E444" t="n">
        <v>2026</v>
      </c>
      <c r="H444" t="n">
        <v>1</v>
      </c>
      <c r="I444" t="n">
        <v>1141</v>
      </c>
      <c r="J444" t="inlineStr">
        <is>
          <t>Y</t>
        </is>
      </c>
      <c r="K444" t="inlineStr">
        <is>
          <t>dhigali.com</t>
        </is>
      </c>
      <c r="L444" t="inlineStr">
        <is>
          <t>official</t>
        </is>
      </c>
      <c r="M444" t="inlineStr">
        <is>
          <t>https://www.nivadhigali.com/wp-content/uploads/2026/09/Awaken-Glow.pdf</t>
        </is>
      </c>
      <c r="N444" t="inlineStr">
        <is>
          <t>https://www.nivadhigali.com/wp-content/uploads/2026/09/Awaken-Glow.pdf</t>
        </is>
      </c>
      <c r="O444" t="inlineStr">
        <is>
          <t>f14c7c6ed2e66afb3e878dc99b81eede9e93333b79e40cbc80b85e13faa2e7b3</t>
        </is>
      </c>
      <c r="P444" t="inlineStr">
        <is>
          <t>library/033_dhigali-maldives/all_inclusive/2026_Awaken-Glow.pdf</t>
        </is>
      </c>
      <c r="R444" t="inlineStr">
        <is>
          <t>current</t>
        </is>
      </c>
      <c r="S444" t="inlineStr">
        <is>
          <t>N</t>
        </is>
      </c>
      <c r="T444" t="inlineStr">
        <is>
          <t>matched</t>
        </is>
      </c>
      <c r="U444" t="inlineStr">
        <is>
          <t>2026-10-04</t>
        </is>
      </c>
      <c r="V444" t="inlineStr"/>
    </row>
    <row r="445">
      <c r="A445" t="n">
        <v>33</v>
      </c>
      <c r="B445" t="inlineStr">
        <is>
          <t>Dhigali Maldives</t>
        </is>
      </c>
      <c r="C445" t="inlineStr">
        <is>
          <t>all_inclusive</t>
        </is>
      </c>
      <c r="D445" t="inlineStr">
        <is>
          <t>2026_Giant-Chess-Tournament.pdf</t>
        </is>
      </c>
      <c r="E445" t="n">
        <v>2026</v>
      </c>
      <c r="H445" t="n">
        <v>1</v>
      </c>
      <c r="I445" t="n">
        <v>7895</v>
      </c>
      <c r="J445" t="inlineStr">
        <is>
          <t>Y</t>
        </is>
      </c>
      <c r="K445" t="inlineStr">
        <is>
          <t>dhigali.com</t>
        </is>
      </c>
      <c r="L445" t="inlineStr">
        <is>
          <t>official</t>
        </is>
      </c>
      <c r="M445" t="inlineStr">
        <is>
          <t>https://www.nivadhigali.com/wp-content/uploads/2026/07/Giant-Chess-Tournament.pdf</t>
        </is>
      </c>
      <c r="N445" t="inlineStr">
        <is>
          <t>https://www.nivadhigali.com/wp-content/uploads/2026/07/Giant-Chess-Tournament.pdf</t>
        </is>
      </c>
      <c r="O445" t="inlineStr">
        <is>
          <t>7b23a07986152126aeaa906b009b44935c95bb6ab2a34ab8d96494160c5ab4e5</t>
        </is>
      </c>
      <c r="P445" t="inlineStr">
        <is>
          <t>library/033_dhigali-maldives/all_inclusive/2026_Giant-Chess-Tournament.pdf</t>
        </is>
      </c>
      <c r="R445" t="inlineStr">
        <is>
          <t>current</t>
        </is>
      </c>
      <c r="S445" t="inlineStr">
        <is>
          <t>N</t>
        </is>
      </c>
      <c r="T445" t="inlineStr">
        <is>
          <t>matched</t>
        </is>
      </c>
      <c r="U445" t="inlineStr">
        <is>
          <t>2026-10-04</t>
        </is>
      </c>
      <c r="V445" t="inlineStr"/>
    </row>
    <row r="446">
      <c r="A446" t="n">
        <v>33</v>
      </c>
      <c r="B446" t="inlineStr">
        <is>
          <t>Dhigali Maldives</t>
        </is>
      </c>
      <c r="C446" t="inlineStr">
        <is>
          <t>all_inclusive</t>
        </is>
      </c>
      <c r="D446" t="inlineStr">
        <is>
          <t>2026_June-Special-Offer-LR.pdf</t>
        </is>
      </c>
      <c r="E446" t="n">
        <v>2026</v>
      </c>
      <c r="H446" t="n">
        <v>1</v>
      </c>
      <c r="I446" t="n">
        <v>216</v>
      </c>
      <c r="J446" t="inlineStr">
        <is>
          <t>Y</t>
        </is>
      </c>
      <c r="K446" t="inlineStr">
        <is>
          <t>dhigali.com</t>
        </is>
      </c>
      <c r="L446" t="inlineStr">
        <is>
          <t>official</t>
        </is>
      </c>
      <c r="M446" t="inlineStr">
        <is>
          <t>https://www.nivadhigali.com/wp-content/uploads/2026/06/June-Special-Offer-LR.pdf</t>
        </is>
      </c>
      <c r="N446" t="inlineStr">
        <is>
          <t>https://www.nivadhigali.com/wp-content/uploads/2026/06/June-Special-Offer-LR.pdf</t>
        </is>
      </c>
      <c r="O446" t="inlineStr">
        <is>
          <t>ee08ba436b293c87d3797ff9e45de5bffec98311bcf52de0bb21117f62a38245</t>
        </is>
      </c>
      <c r="P446" t="inlineStr">
        <is>
          <t>library/033_dhigali-maldives/all_inclusive/2026_June-Special-Offer-LR.pdf</t>
        </is>
      </c>
      <c r="R446" t="inlineStr">
        <is>
          <t>current</t>
        </is>
      </c>
      <c r="S446" t="inlineStr">
        <is>
          <t>N</t>
        </is>
      </c>
      <c r="T446" t="inlineStr">
        <is>
          <t>matched</t>
        </is>
      </c>
      <c r="U446" t="inlineStr">
        <is>
          <t>2026-10-04</t>
        </is>
      </c>
      <c r="V446" t="inlineStr"/>
    </row>
    <row r="447">
      <c r="A447" t="n">
        <v>33</v>
      </c>
      <c r="B447" t="inlineStr">
        <is>
          <t>Dhigali Maldives</t>
        </is>
      </c>
      <c r="C447" t="inlineStr">
        <is>
          <t>all_inclusive</t>
        </is>
      </c>
      <c r="D447" t="inlineStr">
        <is>
          <t>2020_DHIGALI_PERSONAL_DATA_PROTECTION_POLICY-unlocked.pdf</t>
        </is>
      </c>
      <c r="E447" t="n">
        <v>2020</v>
      </c>
      <c r="H447" t="n">
        <v>7</v>
      </c>
      <c r="I447" t="n">
        <v>185</v>
      </c>
      <c r="J447" t="inlineStr">
        <is>
          <t>Y</t>
        </is>
      </c>
      <c r="K447" t="inlineStr">
        <is>
          <t>dhigali.com</t>
        </is>
      </c>
      <c r="L447" t="inlineStr">
        <is>
          <t>official</t>
        </is>
      </c>
      <c r="M447" t="inlineStr">
        <is>
          <t>https://www.nivadhigali.com/wp-content/uploads/2026/01/DHIGALI_PERSONAL_DATA_PROTECTION_POLICY-unlocked.pdf</t>
        </is>
      </c>
      <c r="N447" t="inlineStr">
        <is>
          <t>https://www.nivadhigali.com/wp-content/uploads/2026/01/DHIGALI_PERSONAL_DATA_PROTECTION_POLICY-unlocked.pdf</t>
        </is>
      </c>
      <c r="O447" t="inlineStr">
        <is>
          <t>b21a694dc66693f9bc15193c6a9ace36529a51285738fd68a101edc25232a4eb</t>
        </is>
      </c>
      <c r="P447" t="inlineStr">
        <is>
          <t>library/033_dhigali-maldives/all_inclusive/2020_DHIGALI_PERSONAL_DATA_PROTECTION_POLICY-unlocked.pdf</t>
        </is>
      </c>
      <c r="R447" t="inlineStr">
        <is>
          <t>outdated</t>
        </is>
      </c>
      <c r="S447" t="inlineStr">
        <is>
          <t>N</t>
        </is>
      </c>
      <c r="T447" t="inlineStr">
        <is>
          <t>matched</t>
        </is>
      </c>
      <c r="U447" t="inlineStr">
        <is>
          <t>2026-10-04</t>
        </is>
      </c>
      <c r="V447" t="inlineStr"/>
    </row>
    <row r="448">
      <c r="A448" t="n">
        <v>33</v>
      </c>
      <c r="B448" t="inlineStr">
        <is>
          <t>Dhigali Maldives</t>
        </is>
      </c>
      <c r="C448" t="inlineStr">
        <is>
          <t>sustainability</t>
        </is>
      </c>
      <c r="D448" t="inlineStr">
        <is>
          <t>2026_Dhigali-Waste-Management-Policy.pdf</t>
        </is>
      </c>
      <c r="E448" t="n">
        <v>2026</v>
      </c>
      <c r="H448" t="n">
        <v>2</v>
      </c>
      <c r="I448" t="n">
        <v>2658</v>
      </c>
      <c r="J448" t="inlineStr">
        <is>
          <t>Y</t>
        </is>
      </c>
      <c r="K448" t="inlineStr">
        <is>
          <t>dhigali.com</t>
        </is>
      </c>
      <c r="L448" t="inlineStr">
        <is>
          <t>official</t>
        </is>
      </c>
      <c r="M448" t="inlineStr">
        <is>
          <t>https://www.nivadhigali.com/wp-content/uploads/2026/07/Dhigali-Waste-Management-Policy.pdf</t>
        </is>
      </c>
      <c r="N448" t="inlineStr">
        <is>
          <t>https://www.nivadhigali.com/wp-content/uploads/2026/07/Dhigali-Waste-Management-Policy.pdf</t>
        </is>
      </c>
      <c r="O448" t="inlineStr">
        <is>
          <t>fe55f2943692c799a8b4223a92c91cb06eee95101be15598e340249c338abfdd</t>
        </is>
      </c>
      <c r="P448" t="inlineStr">
        <is>
          <t>library/033_dhigali-maldives/sustainability/2026_Dhigali-Waste-Management-Policy.pdf</t>
        </is>
      </c>
      <c r="R448" t="inlineStr">
        <is>
          <t>current</t>
        </is>
      </c>
      <c r="S448" t="inlineStr">
        <is>
          <t>N</t>
        </is>
      </c>
      <c r="T448" t="inlineStr">
        <is>
          <t>matched</t>
        </is>
      </c>
      <c r="U448" t="inlineStr">
        <is>
          <t>2026-10-04</t>
        </is>
      </c>
      <c r="V448" t="inlineStr"/>
    </row>
    <row r="449">
      <c r="A449" t="n">
        <v>33</v>
      </c>
      <c r="B449" t="inlineStr">
        <is>
          <t>Dhigali Maldives</t>
        </is>
      </c>
      <c r="C449" t="inlineStr">
        <is>
          <t>sustainability</t>
        </is>
      </c>
      <c r="D449" t="inlineStr">
        <is>
          <t>2026_Dhigali-Environement-Policy.pdf</t>
        </is>
      </c>
      <c r="E449" t="n">
        <v>2026</v>
      </c>
      <c r="H449" t="n">
        <v>2</v>
      </c>
      <c r="I449" t="n">
        <v>2679</v>
      </c>
      <c r="J449" t="inlineStr">
        <is>
          <t>Y</t>
        </is>
      </c>
      <c r="K449" t="inlineStr">
        <is>
          <t>dhigali.com</t>
        </is>
      </c>
      <c r="L449" t="inlineStr">
        <is>
          <t>official</t>
        </is>
      </c>
      <c r="M449" t="inlineStr">
        <is>
          <t>https://www.nivadhigali.com/wp-content/uploads/2026/07/Dhigali-Environement-Policy.pdf</t>
        </is>
      </c>
      <c r="N449" t="inlineStr">
        <is>
          <t>https://www.nivadhigali.com/wp-content/uploads/2026/07/Dhigali-Environement-Policy.pdf</t>
        </is>
      </c>
      <c r="O449" t="inlineStr">
        <is>
          <t>205b7651684185e8bd7cdf7226ba5e79c8e1bfe0006bf37c056ea33c316bf1fc</t>
        </is>
      </c>
      <c r="P449" t="inlineStr">
        <is>
          <t>library/033_dhigali-maldives/sustainability/2026_Dhigali-Environement-Policy.pdf</t>
        </is>
      </c>
      <c r="R449" t="inlineStr">
        <is>
          <t>current</t>
        </is>
      </c>
      <c r="S449" t="inlineStr">
        <is>
          <t>N</t>
        </is>
      </c>
      <c r="T449" t="inlineStr">
        <is>
          <t>matched</t>
        </is>
      </c>
      <c r="U449" t="inlineStr">
        <is>
          <t>2026-10-04</t>
        </is>
      </c>
      <c r="V449" t="inlineStr"/>
    </row>
    <row r="450">
      <c r="A450" t="n">
        <v>33</v>
      </c>
      <c r="B450" t="inlineStr">
        <is>
          <t>Dhigali Maldives</t>
        </is>
      </c>
      <c r="C450" t="inlineStr">
        <is>
          <t>sustainability</t>
        </is>
      </c>
      <c r="D450" t="inlineStr">
        <is>
          <t>2026_Dhigali-Pollution-Management-Policy-1.pdf</t>
        </is>
      </c>
      <c r="E450" t="n">
        <v>2026</v>
      </c>
      <c r="H450" t="n">
        <v>2</v>
      </c>
      <c r="I450" t="n">
        <v>2796</v>
      </c>
      <c r="J450" t="inlineStr">
        <is>
          <t>Y</t>
        </is>
      </c>
      <c r="K450" t="inlineStr">
        <is>
          <t>dhigali.com</t>
        </is>
      </c>
      <c r="L450" t="inlineStr">
        <is>
          <t>official</t>
        </is>
      </c>
      <c r="M450" t="inlineStr">
        <is>
          <t>https://www.nivadhigali.com/wp-content/uploads/2026/07/Dhigali-Pollution-Management-Policy-1.pdf</t>
        </is>
      </c>
      <c r="N450" t="inlineStr">
        <is>
          <t>https://www.nivadhigali.com/wp-content/uploads/2026/07/Dhigali-Pollution-Management-Policy-1.pdf | https://www.nivadhigali.com/wp-content/uploads/2026/07/Dhigali-Pollution-Management-Policy.pdf</t>
        </is>
      </c>
      <c r="O450" t="inlineStr">
        <is>
          <t>eeac072cfcd195b845eef9013d759134818793a219a4d32a305ae7c4060a458a</t>
        </is>
      </c>
      <c r="P450" t="inlineStr">
        <is>
          <t>library/033_dhigali-maldives/sustainability/2026_Dhigali-Pollution-Management-Policy-1.pdf</t>
        </is>
      </c>
      <c r="R450" t="inlineStr">
        <is>
          <t>current</t>
        </is>
      </c>
      <c r="S450" t="inlineStr">
        <is>
          <t>N</t>
        </is>
      </c>
      <c r="T450" t="inlineStr">
        <is>
          <t>matched</t>
        </is>
      </c>
      <c r="U450" t="inlineStr">
        <is>
          <t>2026-10-04</t>
        </is>
      </c>
      <c r="V450" t="inlineStr"/>
    </row>
    <row r="451">
      <c r="A451" t="n">
        <v>33</v>
      </c>
      <c r="B451" t="inlineStr">
        <is>
          <t>Dhigali Maldives</t>
        </is>
      </c>
      <c r="C451" t="inlineStr">
        <is>
          <t>sustainability</t>
        </is>
      </c>
      <c r="D451" t="inlineStr">
        <is>
          <t>2026_Niva-Dhigali-Sunscreen-Recommendation.pdf</t>
        </is>
      </c>
      <c r="E451" t="n">
        <v>2026</v>
      </c>
      <c r="H451" t="n">
        <v>1</v>
      </c>
      <c r="I451" t="n">
        <v>239</v>
      </c>
      <c r="J451" t="inlineStr">
        <is>
          <t>Y</t>
        </is>
      </c>
      <c r="K451" t="inlineStr">
        <is>
          <t>dhigali.com</t>
        </is>
      </c>
      <c r="L451" t="inlineStr">
        <is>
          <t>official</t>
        </is>
      </c>
      <c r="M451" t="inlineStr">
        <is>
          <t>https://www.nivadhigali.com/wp-content/uploads/2026/07/Niva-Dhigali-Sunscreen-Recommendation.pdf</t>
        </is>
      </c>
      <c r="N451" t="inlineStr">
        <is>
          <t>https://www.nivadhigali.com/wp-content/uploads/2026/07/Niva-Dhigali-Sunscreen-Recommendation.pdf</t>
        </is>
      </c>
      <c r="O451" t="inlineStr">
        <is>
          <t>294fcb786df757cd3f0daa05a387e647d6d27d0e97502e818e2bada6feec61af</t>
        </is>
      </c>
      <c r="P451" t="inlineStr">
        <is>
          <t>library/033_dhigali-maldives/sustainability/2026_Niva-Dhigali-Sunscreen-Recommendation.pdf</t>
        </is>
      </c>
      <c r="R451" t="inlineStr">
        <is>
          <t>current</t>
        </is>
      </c>
      <c r="S451" t="inlineStr">
        <is>
          <t>N</t>
        </is>
      </c>
      <c r="T451" t="inlineStr">
        <is>
          <t>matched</t>
        </is>
      </c>
      <c r="U451" t="inlineStr">
        <is>
          <t>2026-10-04</t>
        </is>
      </c>
      <c r="V451" t="inlineStr"/>
    </row>
    <row r="452">
      <c r="A452" t="n">
        <v>33</v>
      </c>
      <c r="B452" t="inlineStr">
        <is>
          <t>Dhigali Maldives</t>
        </is>
      </c>
      <c r="C452" t="inlineStr">
        <is>
          <t>sustainability</t>
        </is>
      </c>
      <c r="D452" t="inlineStr">
        <is>
          <t>2026_Niva-Dhigali-Responsible-Guest-Guide.pdf</t>
        </is>
      </c>
      <c r="E452" t="n">
        <v>2026</v>
      </c>
      <c r="H452" t="n">
        <v>3</v>
      </c>
      <c r="I452" t="n">
        <v>6043</v>
      </c>
      <c r="J452" t="inlineStr">
        <is>
          <t>Y</t>
        </is>
      </c>
      <c r="K452" t="inlineStr">
        <is>
          <t>dhigali.com</t>
        </is>
      </c>
      <c r="L452" t="inlineStr">
        <is>
          <t>official</t>
        </is>
      </c>
      <c r="M452" t="inlineStr">
        <is>
          <t>https://www.nivadhigali.com/wp-content/uploads/2026/07/Niva-Dhigali-Responsible-Guest-Guide.pdf</t>
        </is>
      </c>
      <c r="N452" t="inlineStr">
        <is>
          <t>https://www.nivadhigali.com/wp-content/uploads/2026/07/Niva-Dhigali-Responsible-Guest-Guide.pdf</t>
        </is>
      </c>
      <c r="O452" t="inlineStr">
        <is>
          <t>d6d6e1b775e7c6211a1a6d9df3daa66802f7a90e5681765ff463d822c109c15e</t>
        </is>
      </c>
      <c r="P452" t="inlineStr">
        <is>
          <t>library/033_dhigali-maldives/sustainability/2026_Niva-Dhigali-Responsible-Guest-Guide.pdf</t>
        </is>
      </c>
      <c r="R452" t="inlineStr">
        <is>
          <t>current</t>
        </is>
      </c>
      <c r="S452" t="inlineStr">
        <is>
          <t>N</t>
        </is>
      </c>
      <c r="T452" t="inlineStr">
        <is>
          <t>matched</t>
        </is>
      </c>
      <c r="U452" t="inlineStr">
        <is>
          <t>2026-10-04</t>
        </is>
      </c>
      <c r="V452" t="inlineStr"/>
    </row>
    <row r="453">
      <c r="A453" t="n">
        <v>33</v>
      </c>
      <c r="B453" t="inlineStr">
        <is>
          <t>Dhigali Maldives</t>
        </is>
      </c>
      <c r="C453" t="inlineStr">
        <is>
          <t>sustainability</t>
        </is>
      </c>
      <c r="D453" t="inlineStr">
        <is>
          <t>2026_Dhigali-Sustainability-Management-Policy.pdf</t>
        </is>
      </c>
      <c r="E453" t="n">
        <v>2026</v>
      </c>
      <c r="H453" t="n">
        <v>6</v>
      </c>
      <c r="I453" t="n">
        <v>13762</v>
      </c>
      <c r="J453" t="inlineStr">
        <is>
          <t>Y</t>
        </is>
      </c>
      <c r="K453" t="inlineStr">
        <is>
          <t>dhigali.com</t>
        </is>
      </c>
      <c r="L453" t="inlineStr">
        <is>
          <t>official</t>
        </is>
      </c>
      <c r="M453" t="inlineStr">
        <is>
          <t>https://www.nivadhigali.com/wp-content/uploads/2026/07/Dhigali-Sustainability-Management-Policy.pdf</t>
        </is>
      </c>
      <c r="N453" t="inlineStr">
        <is>
          <t>https://www.nivadhigali.com/wp-content/uploads/2026/07/Dhigali-Sustainability-Management-Policy.pdf</t>
        </is>
      </c>
      <c r="O453" t="inlineStr">
        <is>
          <t>6889138f6da1d7bd3c3abf79ccf5d15ffd3ab2c4e6a5d5e5e6efbb1ff2001a4b</t>
        </is>
      </c>
      <c r="P453" t="inlineStr">
        <is>
          <t>library/033_dhigali-maldives/sustainability/2026_Dhigali-Sustainability-Management-Policy.pdf</t>
        </is>
      </c>
      <c r="R453" t="inlineStr">
        <is>
          <t>current</t>
        </is>
      </c>
      <c r="S453" t="inlineStr">
        <is>
          <t>Y</t>
        </is>
      </c>
      <c r="T453" t="inlineStr">
        <is>
          <t>matched</t>
        </is>
      </c>
      <c r="U453" t="inlineStr">
        <is>
          <t>2026-10-04</t>
        </is>
      </c>
      <c r="V453" t="inlineStr"/>
    </row>
    <row r="454">
      <c r="A454" t="n">
        <v>33</v>
      </c>
      <c r="B454" t="inlineStr">
        <is>
          <t>Dhigali Maldives</t>
        </is>
      </c>
      <c r="C454" t="inlineStr">
        <is>
          <t>sustainability</t>
        </is>
      </c>
      <c r="D454" t="inlineStr">
        <is>
          <t>2026_Dhigali-Green-Team-Policy.pdf</t>
        </is>
      </c>
      <c r="E454" t="n">
        <v>2026</v>
      </c>
      <c r="H454" t="n">
        <v>2</v>
      </c>
      <c r="I454" t="n">
        <v>3073</v>
      </c>
      <c r="J454" t="inlineStr">
        <is>
          <t>Y</t>
        </is>
      </c>
      <c r="K454" t="inlineStr">
        <is>
          <t>dhigali.com</t>
        </is>
      </c>
      <c r="L454" t="inlineStr">
        <is>
          <t>official</t>
        </is>
      </c>
      <c r="M454" t="inlineStr">
        <is>
          <t>https://www.nivadhigali.com/wp-content/uploads/2026/07/Dhigali-Green-Team-Policy.pdf</t>
        </is>
      </c>
      <c r="N454" t="inlineStr">
        <is>
          <t>https://www.nivadhigali.com/wp-content/uploads/2026/07/Dhigali-Green-Team-Policy.pdf</t>
        </is>
      </c>
      <c r="O454" t="inlineStr">
        <is>
          <t>6f795e2a7893e7c40568582d49ca9db25ff8a108fd5a8947a30b5916f1029a51</t>
        </is>
      </c>
      <c r="P454" t="inlineStr">
        <is>
          <t>library/033_dhigali-maldives/sustainability/2026_Dhigali-Green-Team-Policy.pdf</t>
        </is>
      </c>
      <c r="R454" t="inlineStr">
        <is>
          <t>current</t>
        </is>
      </c>
      <c r="S454" t="inlineStr">
        <is>
          <t>N</t>
        </is>
      </c>
      <c r="T454" t="inlineStr">
        <is>
          <t>matched</t>
        </is>
      </c>
      <c r="U454" t="inlineStr">
        <is>
          <t>2026-10-04</t>
        </is>
      </c>
      <c r="V454" t="inlineStr"/>
    </row>
    <row r="455">
      <c r="A455" t="n">
        <v>33</v>
      </c>
      <c r="B455" t="inlineStr">
        <is>
          <t>Dhigali Maldives</t>
        </is>
      </c>
      <c r="C455" t="inlineStr">
        <is>
          <t>sustainability</t>
        </is>
      </c>
      <c r="D455" t="inlineStr">
        <is>
          <t>2026_Biodiversity-Policy.pdf</t>
        </is>
      </c>
      <c r="E455" t="n">
        <v>2026</v>
      </c>
      <c r="H455" t="n">
        <v>2</v>
      </c>
      <c r="I455" t="n">
        <v>2851</v>
      </c>
      <c r="J455" t="inlineStr">
        <is>
          <t>Y</t>
        </is>
      </c>
      <c r="K455" t="inlineStr">
        <is>
          <t>dhigali.com</t>
        </is>
      </c>
      <c r="L455" t="inlineStr">
        <is>
          <t>official</t>
        </is>
      </c>
      <c r="M455" t="inlineStr">
        <is>
          <t>https://www.nivadhigali.com/wp-content/uploads/2026/07/Biodiversity-Policy.pdf</t>
        </is>
      </c>
      <c r="N455" t="inlineStr">
        <is>
          <t>https://www.nivadhigali.com/wp-content/uploads/2026/07/Biodiversity-Policy.pdf</t>
        </is>
      </c>
      <c r="O455" t="inlineStr">
        <is>
          <t>7bc27afcfeeafeed351df5b8f45fe4e4cb69563a8579b70b82d56e6aa2a63ddc</t>
        </is>
      </c>
      <c r="P455" t="inlineStr">
        <is>
          <t>library/033_dhigali-maldives/sustainability/2026_Biodiversity-Policy.pdf</t>
        </is>
      </c>
      <c r="R455" t="inlineStr">
        <is>
          <t>current</t>
        </is>
      </c>
      <c r="S455" t="inlineStr">
        <is>
          <t>N</t>
        </is>
      </c>
      <c r="T455" t="inlineStr">
        <is>
          <t>matched</t>
        </is>
      </c>
      <c r="U455" t="inlineStr">
        <is>
          <t>2026-10-04</t>
        </is>
      </c>
      <c r="V455" t="inlineStr"/>
    </row>
    <row r="456">
      <c r="A456" t="n">
        <v>33</v>
      </c>
      <c r="B456" t="inlineStr">
        <is>
          <t>Dhigali Maldives</t>
        </is>
      </c>
      <c r="C456" t="inlineStr">
        <is>
          <t>calendar</t>
        </is>
      </c>
      <c r="D456" t="inlineStr">
        <is>
          <t>2026_Christmas-Cake-Mixing.pdf</t>
        </is>
      </c>
      <c r="E456" t="n">
        <v>2026</v>
      </c>
      <c r="H456" t="n">
        <v>1</v>
      </c>
      <c r="I456" t="n">
        <v>3583</v>
      </c>
      <c r="J456" t="inlineStr">
        <is>
          <t>Y</t>
        </is>
      </c>
      <c r="K456" t="inlineStr">
        <is>
          <t>dhigali.com</t>
        </is>
      </c>
      <c r="L456" t="inlineStr">
        <is>
          <t>official</t>
        </is>
      </c>
      <c r="M456" t="inlineStr">
        <is>
          <t>https://www.nivadhigali.com/wp-content/uploads/2026/09/Christmas-Cake-Mixing.pdf</t>
        </is>
      </c>
      <c r="N456" t="inlineStr">
        <is>
          <t>https://www.nivadhigali.com/wp-content/uploads/2026/09/Christmas-Cake-Mixing.pdf</t>
        </is>
      </c>
      <c r="O456" t="inlineStr">
        <is>
          <t>78b773437010a364f3fabed3d81babb9265190930eaae86be36c38befe5c419b</t>
        </is>
      </c>
      <c r="P456" t="inlineStr">
        <is>
          <t>library/033_dhigali-maldives/calendar/2026_Christmas-Cake-Mixing.pdf</t>
        </is>
      </c>
      <c r="R456" t="inlineStr">
        <is>
          <t>current</t>
        </is>
      </c>
      <c r="S456" t="inlineStr">
        <is>
          <t>N</t>
        </is>
      </c>
      <c r="T456" t="inlineStr">
        <is>
          <t>matched</t>
        </is>
      </c>
      <c r="U456" t="inlineStr">
        <is>
          <t>2026-10-04</t>
        </is>
      </c>
      <c r="V456" t="inlineStr"/>
    </row>
    <row r="457">
      <c r="A457" t="n">
        <v>33</v>
      </c>
      <c r="B457" t="inlineStr">
        <is>
          <t>Dhigali Maldives</t>
        </is>
      </c>
      <c r="C457" t="inlineStr">
        <is>
          <t>calendar</t>
        </is>
      </c>
      <c r="D457" t="inlineStr">
        <is>
          <t>2026_Niva-Dhigali_Festive-2026_web-1.pdf</t>
        </is>
      </c>
      <c r="E457" t="n">
        <v>2026</v>
      </c>
      <c r="H457" t="n">
        <v>30</v>
      </c>
      <c r="I457" t="n">
        <v>10879</v>
      </c>
      <c r="J457" t="inlineStr">
        <is>
          <t>Y</t>
        </is>
      </c>
      <c r="K457" t="inlineStr">
        <is>
          <t>dhigali.com</t>
        </is>
      </c>
      <c r="L457" t="inlineStr">
        <is>
          <t>official</t>
        </is>
      </c>
      <c r="M457" t="inlineStr">
        <is>
          <t>https://www.nivadhigali.com/wp-content/uploads/2026/05/Niva-Dhigali_Festive-2026_web-1.pdf</t>
        </is>
      </c>
      <c r="N457" t="inlineStr">
        <is>
          <t>https://www.nivadhigali.com/wp-content/uploads/2026/05/Niva-Dhigali_Festive-2026_web-1.pdf | https://www.nivadhigali.com/wp-content/uploads/2026/05/Niva-Dhigali_Festive-2026_web.pdf</t>
        </is>
      </c>
      <c r="O457" t="inlineStr">
        <is>
          <t>f2674b9b5c1bff3b07e79c584f645fd63a18acf96b0f07e8da3c605452f7dc5a</t>
        </is>
      </c>
      <c r="P457" t="inlineStr">
        <is>
          <t>library/033_dhigali-maldives/calendar/2026_Niva-Dhigali_Festive-2026_web-1.pdf</t>
        </is>
      </c>
      <c r="R457" t="inlineStr">
        <is>
          <t>current</t>
        </is>
      </c>
      <c r="S457" t="inlineStr">
        <is>
          <t>Y</t>
        </is>
      </c>
      <c r="T457" t="inlineStr">
        <is>
          <t>matched</t>
        </is>
      </c>
      <c r="U457" t="inlineStr">
        <is>
          <t>2026-10-04</t>
        </is>
      </c>
      <c r="V457" t="inlineStr"/>
    </row>
    <row r="458">
      <c r="A458" t="n">
        <v>33</v>
      </c>
      <c r="B458" t="inlineStr">
        <is>
          <t>Dhigali Maldives</t>
        </is>
      </c>
      <c r="C458" t="inlineStr">
        <is>
          <t>calendar</t>
        </is>
      </c>
      <c r="D458" t="inlineStr">
        <is>
          <t>2026_Niva-Dhigali_Festive-2026.pdf</t>
        </is>
      </c>
      <c r="E458" t="n">
        <v>2026</v>
      </c>
      <c r="H458" t="n">
        <v>30</v>
      </c>
      <c r="I458" t="n">
        <v>10876</v>
      </c>
      <c r="J458" t="inlineStr">
        <is>
          <t>Y</t>
        </is>
      </c>
      <c r="K458" t="inlineStr">
        <is>
          <t>dhigali.com</t>
        </is>
      </c>
      <c r="L458" t="inlineStr">
        <is>
          <t>official</t>
        </is>
      </c>
      <c r="M458" t="inlineStr">
        <is>
          <t>https://www.nivadhigali.com/wp-content/uploads/2026/05/Niva-Dhigali_Festive-2026.pdf</t>
        </is>
      </c>
      <c r="N458" t="inlineStr">
        <is>
          <t>https://www.nivadhigali.com/wp-content/uploads/2026/05/Niva-Dhigali_Festive-2026.pdf</t>
        </is>
      </c>
      <c r="O458" t="inlineStr">
        <is>
          <t>195f2e3977da34bc7615d31a5fd3353a738453ca4864801e1b0a76225ff2e02b</t>
        </is>
      </c>
      <c r="P458" t="inlineStr">
        <is>
          <t>library/033_dhigali-maldives/calendar/2026_Niva-Dhigali_Festive-2026.pdf</t>
        </is>
      </c>
      <c r="R458" t="inlineStr">
        <is>
          <t>current</t>
        </is>
      </c>
      <c r="S458" t="inlineStr">
        <is>
          <t>N</t>
        </is>
      </c>
      <c r="T458" t="inlineStr">
        <is>
          <t>matched</t>
        </is>
      </c>
      <c r="U458" t="inlineStr">
        <is>
          <t>2026-10-04</t>
        </is>
      </c>
      <c r="V458" t="inlineStr"/>
    </row>
    <row r="459">
      <c r="A459" t="n">
        <v>33</v>
      </c>
      <c r="B459" t="inlineStr">
        <is>
          <t>Dhigali Maldives</t>
        </is>
      </c>
      <c r="C459" t="inlineStr">
        <is>
          <t>other</t>
        </is>
      </c>
      <c r="D459" t="inlineStr">
        <is>
          <t>2026_Maldives-Independence-Day.pdf</t>
        </is>
      </c>
      <c r="E459" t="n">
        <v>2026</v>
      </c>
      <c r="H459" t="n">
        <v>1</v>
      </c>
      <c r="I459" t="n">
        <v>7722</v>
      </c>
      <c r="J459" t="inlineStr">
        <is>
          <t>Y</t>
        </is>
      </c>
      <c r="K459" t="inlineStr">
        <is>
          <t>dhigali.com</t>
        </is>
      </c>
      <c r="L459" t="inlineStr">
        <is>
          <t>official</t>
        </is>
      </c>
      <c r="M459" t="inlineStr">
        <is>
          <t>https://www.nivadhigali.com/wp-content/uploads/2026/07/Maldives-Independence-Day.pdf</t>
        </is>
      </c>
      <c r="N459" t="inlineStr">
        <is>
          <t>https://www.nivadhigali.com/wp-content/uploads/2026/07/Maldives-Independence-Day.pdf</t>
        </is>
      </c>
      <c r="O459" t="inlineStr">
        <is>
          <t>842c8fcfa3a86ed9a95fd2f058e5c5ce6cbe91f0671da9da3d87f5ddf95182ae</t>
        </is>
      </c>
      <c r="P459" t="inlineStr">
        <is>
          <t>library/033_dhigali-maldives/other/2026_Maldives-Independence-Day.pdf</t>
        </is>
      </c>
      <c r="R459" t="inlineStr">
        <is>
          <t>current</t>
        </is>
      </c>
      <c r="S459" t="inlineStr">
        <is>
          <t>Y</t>
        </is>
      </c>
      <c r="T459" t="inlineStr">
        <is>
          <t>matched</t>
        </is>
      </c>
      <c r="U459" t="inlineStr">
        <is>
          <t>2026-10-04</t>
        </is>
      </c>
      <c r="V459" t="inlineStr"/>
    </row>
    <row r="460">
      <c r="A460" t="n">
        <v>34</v>
      </c>
      <c r="B460" t="inlineStr">
        <is>
          <t>Adaaran Select Meedhupparu</t>
        </is>
      </c>
      <c r="C460" t="inlineStr">
        <is>
          <t>factsheet</t>
        </is>
      </c>
      <c r="D460" t="inlineStr">
        <is>
          <t>2026_document.pdf</t>
        </is>
      </c>
      <c r="E460" t="n">
        <v>2026</v>
      </c>
      <c r="H460" t="n">
        <v>13</v>
      </c>
      <c r="I460" t="n">
        <v>5274</v>
      </c>
      <c r="J460" t="inlineStr">
        <is>
          <t>Y</t>
        </is>
      </c>
      <c r="K460" t="inlineStr">
        <is>
          <t>adaaran.com</t>
        </is>
      </c>
      <c r="L460" t="inlineStr">
        <is>
          <t>official</t>
        </is>
      </c>
      <c r="M460" t="inlineStr">
        <is>
          <t>https://www.adaaran.com/selectmeedhupparu/view-download/?id=asm-factsheet</t>
        </is>
      </c>
      <c r="N460" t="inlineStr">
        <is>
          <t>https://www.adaaran.com/selectmeedhupparu/view-download/?id=asm-factsheet</t>
        </is>
      </c>
      <c r="O460" t="inlineStr">
        <is>
          <t>7a4fb3ef3d8d44fd15ee9bb2889f34b1c79e356dd9dc7115b2d3c570f2e889aa</t>
        </is>
      </c>
      <c r="P460" t="inlineStr">
        <is>
          <t>library/034_adaaran-select-meedhupparu/factsheet/2026_document.pdf</t>
        </is>
      </c>
      <c r="R460" t="inlineStr">
        <is>
          <t>current</t>
        </is>
      </c>
      <c r="S460" t="inlineStr">
        <is>
          <t>Y</t>
        </is>
      </c>
      <c r="T460" t="inlineStr">
        <is>
          <t>matched</t>
        </is>
      </c>
      <c r="U460" t="inlineStr">
        <is>
          <t>2026-10-04</t>
        </is>
      </c>
      <c r="V460" t="inlineStr"/>
    </row>
    <row r="461">
      <c r="A461" t="n">
        <v>34</v>
      </c>
      <c r="B461" t="inlineStr">
        <is>
          <t>Adaaran Select Meedhupparu</t>
        </is>
      </c>
      <c r="C461" t="inlineStr">
        <is>
          <t>wedding</t>
        </is>
      </c>
      <c r="D461" t="inlineStr">
        <is>
          <t>2026_document.pdf</t>
        </is>
      </c>
      <c r="E461" t="n">
        <v>2026</v>
      </c>
      <c r="H461" t="n">
        <v>5</v>
      </c>
      <c r="I461" t="n">
        <v>14280</v>
      </c>
      <c r="J461" t="inlineStr">
        <is>
          <t>Y</t>
        </is>
      </c>
      <c r="K461" t="inlineStr">
        <is>
          <t>adaaran.com</t>
        </is>
      </c>
      <c r="L461" t="inlineStr">
        <is>
          <t>official</t>
        </is>
      </c>
      <c r="M461" t="inlineStr">
        <is>
          <t>https://www.adaaran.com/selectmeedhupparu/view-download/?id=ASMW</t>
        </is>
      </c>
      <c r="N461" t="inlineStr">
        <is>
          <t>https://www.adaaran.com/selectmeedhupparu/view-download/?id=ASMW</t>
        </is>
      </c>
      <c r="O461" t="inlineStr">
        <is>
          <t>befdca09a1092f8d2341dffd19e1cc9f080dd0e9ecec7e759b3210c802b82449</t>
        </is>
      </c>
      <c r="P461" t="inlineStr">
        <is>
          <t>library/034_adaaran-select-meedhupparu/wedding/2026_document.pdf</t>
        </is>
      </c>
      <c r="R461" t="inlineStr">
        <is>
          <t>current</t>
        </is>
      </c>
      <c r="S461" t="inlineStr">
        <is>
          <t>Y</t>
        </is>
      </c>
      <c r="T461" t="inlineStr">
        <is>
          <t>matched</t>
        </is>
      </c>
      <c r="U461" t="inlineStr">
        <is>
          <t>2026-10-04</t>
        </is>
      </c>
      <c r="V461" t="inlineStr"/>
    </row>
    <row r="462">
      <c r="A462" t="n">
        <v>34</v>
      </c>
      <c r="B462" t="inlineStr">
        <is>
          <t>Adaaran Select Meedhupparu</t>
        </is>
      </c>
      <c r="C462" t="inlineStr">
        <is>
          <t>dining_menu</t>
        </is>
      </c>
      <c r="D462" t="inlineStr">
        <is>
          <t>2025_document.pdf</t>
        </is>
      </c>
      <c r="E462" t="n">
        <v>2025</v>
      </c>
      <c r="H462" t="n">
        <v>7</v>
      </c>
      <c r="I462" t="n">
        <v>836</v>
      </c>
      <c r="J462" t="inlineStr">
        <is>
          <t>Y</t>
        </is>
      </c>
      <c r="K462" t="inlineStr">
        <is>
          <t>adaaran.com</t>
        </is>
      </c>
      <c r="L462" t="inlineStr">
        <is>
          <t>official</t>
        </is>
      </c>
      <c r="M462" t="inlineStr">
        <is>
          <t>https://www.adaaran.com/selectmeedhupparu/view-download/?id=asm-spa-menu</t>
        </is>
      </c>
      <c r="N462" t="inlineStr">
        <is>
          <t>https://www.adaaran.com/selectmeedhupparu/view-download/?id=asm-spa-menu</t>
        </is>
      </c>
      <c r="O462" t="inlineStr">
        <is>
          <t>23d0b413d0426099808e8a9450adfc51f427310c973bea4b14c272dfd0d31442</t>
        </is>
      </c>
      <c r="P462" t="inlineStr">
        <is>
          <t>library/034_adaaran-select-meedhupparu/dining_menu/2025_document.pdf</t>
        </is>
      </c>
      <c r="R462" t="inlineStr">
        <is>
          <t>current</t>
        </is>
      </c>
      <c r="S462" t="inlineStr">
        <is>
          <t>Y</t>
        </is>
      </c>
      <c r="T462" t="inlineStr">
        <is>
          <t>matched</t>
        </is>
      </c>
      <c r="U462" t="inlineStr">
        <is>
          <t>2026-10-04</t>
        </is>
      </c>
      <c r="V462" t="inlineStr"/>
    </row>
    <row r="463">
      <c r="A463" t="n">
        <v>34</v>
      </c>
      <c r="B463" t="inlineStr">
        <is>
          <t>Adaaran Select Meedhupparu</t>
        </is>
      </c>
      <c r="C463" t="inlineStr">
        <is>
          <t>dive_prices</t>
        </is>
      </c>
      <c r="D463" t="inlineStr">
        <is>
          <t>2026_document.pdf</t>
        </is>
      </c>
      <c r="E463" t="n">
        <v>2026</v>
      </c>
      <c r="H463" t="n">
        <v>19</v>
      </c>
      <c r="I463" t="n">
        <v>2220</v>
      </c>
      <c r="J463" t="inlineStr">
        <is>
          <t>Y</t>
        </is>
      </c>
      <c r="K463" t="inlineStr">
        <is>
          <t>adaaran.com</t>
        </is>
      </c>
      <c r="L463" t="inlineStr">
        <is>
          <t>official</t>
        </is>
      </c>
      <c r="M463" t="inlineStr">
        <is>
          <t>https://www.adaaran.com/selectmeedhupparu/view-download/?id=asm-watersport</t>
        </is>
      </c>
      <c r="N463" t="inlineStr">
        <is>
          <t>https://www.adaaran.com/selectmeedhupparu/view-download/?id=asm-watersport</t>
        </is>
      </c>
      <c r="O463" t="inlineStr">
        <is>
          <t>c375430b29ebefc70671ca8daac20c7d1f3beaee22bc35e25b5ba49c2b7c3a9c</t>
        </is>
      </c>
      <c r="P463" t="inlineStr">
        <is>
          <t>library/034_adaaran-select-meedhupparu/dive_prices/2026_document.pdf</t>
        </is>
      </c>
      <c r="R463" t="inlineStr">
        <is>
          <t>current</t>
        </is>
      </c>
      <c r="S463" t="inlineStr">
        <is>
          <t>Y</t>
        </is>
      </c>
      <c r="T463" t="inlineStr">
        <is>
          <t>matched</t>
        </is>
      </c>
      <c r="U463" t="inlineStr">
        <is>
          <t>2026-10-04</t>
        </is>
      </c>
      <c r="V463" t="inlineStr"/>
    </row>
    <row r="464">
      <c r="A464" t="n">
        <v>34</v>
      </c>
      <c r="B464" t="inlineStr">
        <is>
          <t>Adaaran Select Meedhupparu</t>
        </is>
      </c>
      <c r="C464" t="inlineStr">
        <is>
          <t>dive_prices</t>
        </is>
      </c>
      <c r="D464" t="inlineStr">
        <is>
          <t>2025_dive-point-price-list.pdf</t>
        </is>
      </c>
      <c r="E464" t="n">
        <v>2025</v>
      </c>
      <c r="H464" t="n">
        <v>2</v>
      </c>
      <c r="I464" t="n">
        <v>261</v>
      </c>
      <c r="J464" t="inlineStr">
        <is>
          <t>Y</t>
        </is>
      </c>
      <c r="K464" t="inlineStr">
        <is>
          <t>adaaran.com</t>
        </is>
      </c>
      <c r="L464" t="inlineStr">
        <is>
          <t>official</t>
        </is>
      </c>
      <c r="M464" t="inlineStr">
        <is>
          <t>https://adaaran.eme-devops.com/sites/5/2025/08/dive-point-price-list.pdf</t>
        </is>
      </c>
      <c r="N464" t="inlineStr">
        <is>
          <t>https://adaaran.eme-devops.com/sites/5/2025/08/dive-point-price-list.pdf | https://www.adaaran.com/selectmeedhupparu/view-download/?id=spot-dive-price</t>
        </is>
      </c>
      <c r="O464" t="inlineStr">
        <is>
          <t>cc91816ea1115380a37f929a62b23406d383b5377d2c37d9f52cab51359d3a14</t>
        </is>
      </c>
      <c r="P464" t="inlineStr">
        <is>
          <t>library/034_adaaran-select-meedhupparu/dive_prices/2025_dive-point-price-list.pdf</t>
        </is>
      </c>
      <c r="R464" t="inlineStr">
        <is>
          <t>current</t>
        </is>
      </c>
      <c r="S464" t="inlineStr">
        <is>
          <t>N</t>
        </is>
      </c>
      <c r="T464" t="inlineStr">
        <is>
          <t>matched</t>
        </is>
      </c>
      <c r="U464" t="inlineStr">
        <is>
          <t>2026-10-04</t>
        </is>
      </c>
      <c r="V464" t="inlineStr"/>
    </row>
    <row r="465">
      <c r="A465" t="n">
        <v>34</v>
      </c>
      <c r="B465" t="inlineStr">
        <is>
          <t>Adaaran Select Meedhupparu</t>
        </is>
      </c>
      <c r="C465" t="inlineStr">
        <is>
          <t>excursions</t>
        </is>
      </c>
      <c r="D465" t="inlineStr">
        <is>
          <t>2026_document.pdf</t>
        </is>
      </c>
      <c r="E465" t="n">
        <v>2026</v>
      </c>
      <c r="H465" t="n">
        <v>12</v>
      </c>
      <c r="I465" t="n">
        <v>2411</v>
      </c>
      <c r="J465" t="inlineStr">
        <is>
          <t>Y</t>
        </is>
      </c>
      <c r="K465" t="inlineStr">
        <is>
          <t>adaaran.com</t>
        </is>
      </c>
      <c r="L465" t="inlineStr">
        <is>
          <t>official</t>
        </is>
      </c>
      <c r="M465" t="inlineStr">
        <is>
          <t>https://www.adaaran.com/selectmeedhupparu/view-download/?id=asm-premium-all</t>
        </is>
      </c>
      <c r="N465" t="inlineStr">
        <is>
          <t>https://www.adaaran.com/selectmeedhupparu/view-download/?id=asm-premium-all</t>
        </is>
      </c>
      <c r="O465" t="inlineStr">
        <is>
          <t>b3f2a56cd3f56d879392add7d8690681f844974c4551f278c2a169d33f7db36b</t>
        </is>
      </c>
      <c r="P465" t="inlineStr">
        <is>
          <t>library/034_adaaran-select-meedhupparu/excursions/2026_document.pdf</t>
        </is>
      </c>
      <c r="R465" t="inlineStr">
        <is>
          <t>current</t>
        </is>
      </c>
      <c r="S465" t="inlineStr">
        <is>
          <t>Y</t>
        </is>
      </c>
      <c r="T465" t="inlineStr">
        <is>
          <t>matched</t>
        </is>
      </c>
      <c r="U465" t="inlineStr">
        <is>
          <t>2026-10-04</t>
        </is>
      </c>
      <c r="V465" t="inlineStr"/>
    </row>
    <row r="466">
      <c r="A466" t="n">
        <v>34</v>
      </c>
      <c r="B466" t="inlineStr">
        <is>
          <t>Adaaran Select Meedhupparu</t>
        </is>
      </c>
      <c r="C466" t="inlineStr">
        <is>
          <t>kids</t>
        </is>
      </c>
      <c r="D466" t="inlineStr">
        <is>
          <t>2025_document.pdf</t>
        </is>
      </c>
      <c r="E466" t="n">
        <v>2025</v>
      </c>
      <c r="H466" t="n">
        <v>7</v>
      </c>
      <c r="I466" t="n">
        <v>1615</v>
      </c>
      <c r="J466" t="inlineStr">
        <is>
          <t>Y</t>
        </is>
      </c>
      <c r="K466" t="inlineStr">
        <is>
          <t>adaaran.com</t>
        </is>
      </c>
      <c r="L466" t="inlineStr">
        <is>
          <t>official</t>
        </is>
      </c>
      <c r="M466" t="inlineStr">
        <is>
          <t>https://www.adaaran.com/selectmeedhupparu/view-download/?id=kid-act-plan</t>
        </is>
      </c>
      <c r="N466" t="inlineStr">
        <is>
          <t>https://www.adaaran.com/selectmeedhupparu/view-download/?id=kid-act-plan</t>
        </is>
      </c>
      <c r="O466" t="inlineStr">
        <is>
          <t>67779f1b846dc301608a2f18cb5d87816408413076f9031f40052c8b86fb5d07</t>
        </is>
      </c>
      <c r="P466" t="inlineStr">
        <is>
          <t>library/034_adaaran-select-meedhupparu/kids/2025_document.pdf</t>
        </is>
      </c>
      <c r="R466" t="inlineStr">
        <is>
          <t>current</t>
        </is>
      </c>
      <c r="S466" t="inlineStr">
        <is>
          <t>Y</t>
        </is>
      </c>
      <c r="T466" t="inlineStr">
        <is>
          <t>matched</t>
        </is>
      </c>
      <c r="U466" t="inlineStr">
        <is>
          <t>2026-10-04</t>
        </is>
      </c>
      <c r="V466" t="inlineStr"/>
    </row>
    <row r="467">
      <c r="A467" t="n">
        <v>34</v>
      </c>
      <c r="B467" t="inlineStr">
        <is>
          <t>Adaaran Select Meedhupparu</t>
        </is>
      </c>
      <c r="C467" t="inlineStr">
        <is>
          <t>sustainability</t>
        </is>
      </c>
      <c r="D467" t="inlineStr">
        <is>
          <t>2025_Sustainabilty-Report-ASM-2025-26-compressed.pdf</t>
        </is>
      </c>
      <c r="E467" t="n">
        <v>2025</v>
      </c>
      <c r="H467" t="n">
        <v>21</v>
      </c>
      <c r="I467" t="n">
        <v>5686</v>
      </c>
      <c r="J467" t="inlineStr">
        <is>
          <t>Y</t>
        </is>
      </c>
      <c r="K467" t="inlineStr">
        <is>
          <t>adaaran.com</t>
        </is>
      </c>
      <c r="L467" t="inlineStr">
        <is>
          <t>official</t>
        </is>
      </c>
      <c r="M467" t="inlineStr">
        <is>
          <t>https://adaaran.eme-devops.com/2026/05/Sustainabilty-Report-ASM-2025-26-compressed.pdf</t>
        </is>
      </c>
      <c r="N467" t="inlineStr">
        <is>
          <t>https://adaaran.eme-devops.com/2026/05/Sustainabilty-Report-ASM-2025-26-compressed.pdf</t>
        </is>
      </c>
      <c r="O467" t="inlineStr">
        <is>
          <t>6b3907d79837723d7b58333fbda16c186296fa8802208f39ffa378ad10ebdbb6</t>
        </is>
      </c>
      <c r="P467" t="inlineStr">
        <is>
          <t>library/034_adaaran-select-meedhupparu/sustainability/2025_Sustainabilty-Report-ASM-2025-26-compressed.pdf</t>
        </is>
      </c>
      <c r="R467" t="inlineStr">
        <is>
          <t>current</t>
        </is>
      </c>
      <c r="S467" t="inlineStr">
        <is>
          <t>Y</t>
        </is>
      </c>
      <c r="T467" t="inlineStr">
        <is>
          <t>matched</t>
        </is>
      </c>
      <c r="U467" t="inlineStr">
        <is>
          <t>2026-10-04</t>
        </is>
      </c>
      <c r="V467" t="inlineStr"/>
    </row>
    <row r="468">
      <c r="A468" t="n">
        <v>34</v>
      </c>
      <c r="B468" t="inlineStr">
        <is>
          <t>Adaaran Select Meedhupparu</t>
        </is>
      </c>
      <c r="C468" t="inlineStr">
        <is>
          <t>sustainability</t>
        </is>
      </c>
      <c r="D468" t="inlineStr">
        <is>
          <t>2024_2024-25-Adaaran-Select-Meedhupparu-Sustainability-Report-2024-25.pdf</t>
        </is>
      </c>
      <c r="E468" t="n">
        <v>2024</v>
      </c>
      <c r="H468" t="n">
        <v>19</v>
      </c>
      <c r="I468" t="n">
        <v>2975</v>
      </c>
      <c r="J468" t="inlineStr">
        <is>
          <t>Y</t>
        </is>
      </c>
      <c r="K468" t="inlineStr">
        <is>
          <t>adaaran.com</t>
        </is>
      </c>
      <c r="L468" t="inlineStr">
        <is>
          <t>official</t>
        </is>
      </c>
      <c r="M468" t="inlineStr">
        <is>
          <t>https://adaaran.eme-devops.com/2025/08/2024-25-Adaaran-Select-Meedhupparu-Sustainability-Report-2024-25.pdf</t>
        </is>
      </c>
      <c r="N468" t="inlineStr">
        <is>
          <t>https://adaaran.eme-devops.com/2025/08/2024-25-Adaaran-Select-Meedhupparu-Sustainability-Report-2024-25.pdf</t>
        </is>
      </c>
      <c r="O468" t="inlineStr">
        <is>
          <t>45cc90e49dcac418986e36b772c8abea0554537404edcfec9b91cd7ae066ac21</t>
        </is>
      </c>
      <c r="P468" t="inlineStr">
        <is>
          <t>library/034_adaaran-select-meedhupparu/sustainability/2024_2024-25-Adaaran-Select-Meedhupparu-Sustainability-Report-2024-25.pdf</t>
        </is>
      </c>
      <c r="R468" t="inlineStr">
        <is>
          <t>outdated</t>
        </is>
      </c>
      <c r="S468" t="inlineStr">
        <is>
          <t>N</t>
        </is>
      </c>
      <c r="T468" t="inlineStr">
        <is>
          <t>matched</t>
        </is>
      </c>
      <c r="U468" t="inlineStr">
        <is>
          <t>2026-10-04</t>
        </is>
      </c>
      <c r="V468" t="inlineStr"/>
    </row>
    <row r="469">
      <c r="A469" t="n">
        <v>34</v>
      </c>
      <c r="B469" t="inlineStr">
        <is>
          <t>Adaaran Select Meedhupparu</t>
        </is>
      </c>
      <c r="C469" t="inlineStr">
        <is>
          <t>sustainability</t>
        </is>
      </c>
      <c r="D469" t="inlineStr">
        <is>
          <t>2023_Adaaran-Select-Meedhupparu-Sustainability-Report-2023-24.pdf</t>
        </is>
      </c>
      <c r="E469" t="n">
        <v>2023</v>
      </c>
      <c r="H469" t="n">
        <v>17</v>
      </c>
      <c r="I469" t="n">
        <v>2418</v>
      </c>
      <c r="J469" t="inlineStr">
        <is>
          <t>Y</t>
        </is>
      </c>
      <c r="K469" t="inlineStr">
        <is>
          <t>adaaran.com</t>
        </is>
      </c>
      <c r="L469" t="inlineStr">
        <is>
          <t>official</t>
        </is>
      </c>
      <c r="M469" t="inlineStr">
        <is>
          <t>https://adaaran.eme-devops.com/2025/08/Adaaran-Select-Meedhupparu-Sustainability-Report-2023-24.pdf</t>
        </is>
      </c>
      <c r="N469" t="inlineStr">
        <is>
          <t>https://adaaran.eme-devops.com/2025/08/Adaaran-Select-Meedhupparu-Sustainability-Report-2023-24.pdf</t>
        </is>
      </c>
      <c r="O469" t="inlineStr">
        <is>
          <t>63f67c08439a61af521e4d32244ac493a9c99019c4ee4fb31799b08c195af488</t>
        </is>
      </c>
      <c r="P469" t="inlineStr">
        <is>
          <t>library/034_adaaran-select-meedhupparu/sustainability/2023_Adaaran-Select-Meedhupparu-Sustainability-Report-2023-24.pdf</t>
        </is>
      </c>
      <c r="R469" t="inlineStr">
        <is>
          <t>outdated</t>
        </is>
      </c>
      <c r="S469" t="inlineStr">
        <is>
          <t>N</t>
        </is>
      </c>
      <c r="T469" t="inlineStr">
        <is>
          <t>matched</t>
        </is>
      </c>
      <c r="U469" t="inlineStr">
        <is>
          <t>2026-10-04</t>
        </is>
      </c>
      <c r="V469" t="inlineStr"/>
    </row>
    <row r="470">
      <c r="A470" t="n">
        <v>34</v>
      </c>
      <c r="B470" t="inlineStr">
        <is>
          <t>Adaaran Select Meedhupparu</t>
        </is>
      </c>
      <c r="C470" t="inlineStr">
        <is>
          <t>sustainability</t>
        </is>
      </c>
      <c r="D470" t="inlineStr">
        <is>
          <t>2022_Adaaran-Select-Meedhupparu-Sustainability-Report-2022-23.pdf</t>
        </is>
      </c>
      <c r="E470" t="n">
        <v>2022</v>
      </c>
      <c r="H470" t="n">
        <v>17</v>
      </c>
      <c r="I470" t="n">
        <v>5050</v>
      </c>
      <c r="J470" t="inlineStr">
        <is>
          <t>Y</t>
        </is>
      </c>
      <c r="K470" t="inlineStr">
        <is>
          <t>adaaran.com</t>
        </is>
      </c>
      <c r="L470" t="inlineStr">
        <is>
          <t>official</t>
        </is>
      </c>
      <c r="M470" t="inlineStr">
        <is>
          <t>https://adaaran.eme-devops.com/2025/08/Adaaran-Select-Meedhupparu-Sustainability-Report-2022-23.pdf</t>
        </is>
      </c>
      <c r="N470" t="inlineStr">
        <is>
          <t>https://adaaran.eme-devops.com/2025/08/Adaaran-Select-Meedhupparu-Sustainability-Report-2022-23.pdf</t>
        </is>
      </c>
      <c r="O470" t="inlineStr">
        <is>
          <t>fed83de8c673acc9a6aaf9bf98b4201ce561bb277f8dedfe103adf1c3ba6e3eb</t>
        </is>
      </c>
      <c r="P470" t="inlineStr">
        <is>
          <t>library/034_adaaran-select-meedhupparu/sustainability/2022_Adaaran-Select-Meedhupparu-Sustainability-Report-2022-23.pdf</t>
        </is>
      </c>
      <c r="R470" t="inlineStr">
        <is>
          <t>outdated</t>
        </is>
      </c>
      <c r="S470" t="inlineStr">
        <is>
          <t>N</t>
        </is>
      </c>
      <c r="T470" t="inlineStr">
        <is>
          <t>matched</t>
        </is>
      </c>
      <c r="U470" t="inlineStr">
        <is>
          <t>2026-10-04</t>
        </is>
      </c>
      <c r="V470" t="inlineStr"/>
    </row>
    <row r="471">
      <c r="A471" t="n">
        <v>34</v>
      </c>
      <c r="B471" t="inlineStr">
        <is>
          <t>Adaaran Select Meedhupparu</t>
        </is>
      </c>
      <c r="C471" t="inlineStr">
        <is>
          <t>sustainability</t>
        </is>
      </c>
      <c r="D471" t="inlineStr">
        <is>
          <t>2021_Adaaran-Select-Meedhupparu-Sustainability-Report-2021-22.pdf</t>
        </is>
      </c>
      <c r="E471" t="n">
        <v>2021</v>
      </c>
      <c r="H471" t="n">
        <v>20</v>
      </c>
      <c r="I471" t="n">
        <v>5447</v>
      </c>
      <c r="J471" t="inlineStr">
        <is>
          <t>Y</t>
        </is>
      </c>
      <c r="K471" t="inlineStr">
        <is>
          <t>adaaran.com</t>
        </is>
      </c>
      <c r="L471" t="inlineStr">
        <is>
          <t>official</t>
        </is>
      </c>
      <c r="M471" t="inlineStr">
        <is>
          <t>https://adaaran.eme-devops.com/2025/08/Adaaran-Select-Meedhupparu-Sustainability-Report-2021-22.pdf</t>
        </is>
      </c>
      <c r="N471" t="inlineStr">
        <is>
          <t>https://adaaran.eme-devops.com/2025/08/Adaaran-Select-Meedhupparu-Sustainability-Report-2021-22.pdf</t>
        </is>
      </c>
      <c r="O471" t="inlineStr">
        <is>
          <t>33b5432724621e74c3ce07215dc14ca93e1f76bbd6da90b6e87ffe630dc7721c</t>
        </is>
      </c>
      <c r="P471" t="inlineStr">
        <is>
          <t>library/034_adaaran-select-meedhupparu/sustainability/2021_Adaaran-Select-Meedhupparu-Sustainability-Report-2021-22.pdf</t>
        </is>
      </c>
      <c r="R471" t="inlineStr">
        <is>
          <t>outdated</t>
        </is>
      </c>
      <c r="S471" t="inlineStr">
        <is>
          <t>N</t>
        </is>
      </c>
      <c r="T471" t="inlineStr">
        <is>
          <t>matched</t>
        </is>
      </c>
      <c r="U471" t="inlineStr">
        <is>
          <t>2026-10-04</t>
        </is>
      </c>
      <c r="V471" t="inlineStr"/>
    </row>
    <row r="472">
      <c r="A472" t="n">
        <v>34</v>
      </c>
      <c r="B472" t="inlineStr">
        <is>
          <t>Adaaran Select Meedhupparu</t>
        </is>
      </c>
      <c r="C472" t="inlineStr">
        <is>
          <t>sustainability</t>
        </is>
      </c>
      <c r="D472" t="inlineStr">
        <is>
          <t>2021_Adaaran-Select-Meedhupparu-Sustainability-Report-_-2019-2020-2021.pdf</t>
        </is>
      </c>
      <c r="E472" t="n">
        <v>2021</v>
      </c>
      <c r="H472" t="n">
        <v>20</v>
      </c>
      <c r="I472" t="n">
        <v>4534</v>
      </c>
      <c r="J472" t="inlineStr">
        <is>
          <t>N</t>
        </is>
      </c>
      <c r="K472" t="inlineStr">
        <is>
          <t>adaaran.com</t>
        </is>
      </c>
      <c r="L472" t="inlineStr">
        <is>
          <t>official</t>
        </is>
      </c>
      <c r="M472" t="inlineStr">
        <is>
          <t>https://adaaran.eme-devops.com/2025/08/Adaaran-Select-Meedhupparu-Sustainability-Report-%E2%80%93-2019-2020-2021.pdf</t>
        </is>
      </c>
      <c r="N472" t="inlineStr">
        <is>
          <t>https://adaaran.eme-devops.com/2025/08/Adaaran-Select-Meedhupparu-Sustainability-Report-%E2%80%93-2019-2020-2021.pdf</t>
        </is>
      </c>
      <c r="O472" t="inlineStr">
        <is>
          <t>40c51d0b2955bffa72d2229baa9ae55beba209dc66ad471f578a068a8d0721b3</t>
        </is>
      </c>
      <c r="P472" t="inlineStr">
        <is>
          <t>library/034_adaaran-select-meedhupparu/sustainability/2021_Adaaran-Select-Meedhupparu-Sustainability-Report-_-2019-2020-2021.pdf</t>
        </is>
      </c>
      <c r="R472" t="inlineStr">
        <is>
          <t>outdated</t>
        </is>
      </c>
      <c r="S472" t="inlineStr">
        <is>
          <t>N</t>
        </is>
      </c>
      <c r="T472" t="inlineStr">
        <is>
          <t>matched</t>
        </is>
      </c>
      <c r="U472" t="inlineStr">
        <is>
          <t>2026-10-04</t>
        </is>
      </c>
      <c r="V472" t="inlineStr"/>
    </row>
    <row r="473">
      <c r="A473" t="n">
        <v>35</v>
      </c>
      <c r="B473" t="inlineStr">
        <is>
          <t>Heritance Aarah</t>
        </is>
      </c>
      <c r="C473" t="inlineStr">
        <is>
          <t>factsheet</t>
        </is>
      </c>
      <c r="D473" t="inlineStr">
        <is>
          <t>2026_Heritance-Aarah-Fact-Sheet.pdf</t>
        </is>
      </c>
      <c r="E473" t="n">
        <v>2026</v>
      </c>
      <c r="H473" t="n">
        <v>9</v>
      </c>
      <c r="I473" t="n">
        <v>6257</v>
      </c>
      <c r="J473" t="inlineStr">
        <is>
          <t>Y</t>
        </is>
      </c>
      <c r="K473" t="inlineStr">
        <is>
          <t>heritancehotels.com</t>
        </is>
      </c>
      <c r="L473" t="inlineStr">
        <is>
          <t>official</t>
        </is>
      </c>
      <c r="M473" t="inlineStr">
        <is>
          <t>https://heritancehotels.eme-devops.com/sites/2/2026/09/Heritance-Aarah-Fact-Sheet.pdf</t>
        </is>
      </c>
      <c r="N473" t="inlineStr">
        <is>
          <t>https://heritancehotels.eme-devops.com/sites/2/2026/09/Heritance-Aarah-Fact-Sheet.pdf</t>
        </is>
      </c>
      <c r="O473" t="inlineStr">
        <is>
          <t>b3b7ea310901423b6aa69bbc0d1cf522da7e1802b7b4d3bb048406a8c59a07f5</t>
        </is>
      </c>
      <c r="P473" t="inlineStr">
        <is>
          <t>library/035_heritance-aarah/factsheet/2026_Heritance-Aarah-Fact-Sheet.pdf</t>
        </is>
      </c>
      <c r="R473" t="inlineStr">
        <is>
          <t>current</t>
        </is>
      </c>
      <c r="S473" t="inlineStr">
        <is>
          <t>Y</t>
        </is>
      </c>
      <c r="T473" t="inlineStr">
        <is>
          <t>matched</t>
        </is>
      </c>
      <c r="U473" t="inlineStr">
        <is>
          <t>2026-10-04</t>
        </is>
      </c>
      <c r="V473" t="inlineStr"/>
    </row>
    <row r="474">
      <c r="A474" t="n">
        <v>35</v>
      </c>
      <c r="B474" t="inlineStr">
        <is>
          <t>Heritance Aarah</t>
        </is>
      </c>
      <c r="C474" t="inlineStr">
        <is>
          <t>factsheet</t>
        </is>
      </c>
      <c r="D474" t="inlineStr">
        <is>
          <t>2025_aarah-fact-sheet-2025-new.pdf</t>
        </is>
      </c>
      <c r="E474" t="n">
        <v>2025</v>
      </c>
      <c r="H474" t="n">
        <v>9</v>
      </c>
      <c r="I474" t="n">
        <v>6655</v>
      </c>
      <c r="J474" t="inlineStr">
        <is>
          <t>Y</t>
        </is>
      </c>
      <c r="K474" t="inlineStr">
        <is>
          <t>heritancehotels.com</t>
        </is>
      </c>
      <c r="L474" t="inlineStr">
        <is>
          <t>official</t>
        </is>
      </c>
      <c r="M474" t="inlineStr">
        <is>
          <t>https://heritancehotels.eme-devops.com/2025/08/aarah-fact-sheet-2025-new.pdf</t>
        </is>
      </c>
      <c r="N474" t="inlineStr">
        <is>
          <t>https://heritancehotels.eme-devops.com/2025/08/aarah-fact-sheet-2025-new.pdf</t>
        </is>
      </c>
      <c r="O474" t="inlineStr">
        <is>
          <t>af642d9fc0b830a2c8bfe10488db5b0e5cc4e1461f7e6d03897e3e28dffb7c3c</t>
        </is>
      </c>
      <c r="P474" t="inlineStr">
        <is>
          <t>library/035_heritance-aarah/factsheet/2025_aarah-fact-sheet-2025-new.pdf</t>
        </is>
      </c>
      <c r="R474" t="inlineStr">
        <is>
          <t>current</t>
        </is>
      </c>
      <c r="S474" t="inlineStr">
        <is>
          <t>N</t>
        </is>
      </c>
      <c r="T474" t="inlineStr">
        <is>
          <t>matched</t>
        </is>
      </c>
      <c r="U474" t="inlineStr">
        <is>
          <t>2026-10-04</t>
        </is>
      </c>
      <c r="V474" t="inlineStr"/>
    </row>
    <row r="475">
      <c r="A475" t="n">
        <v>35</v>
      </c>
      <c r="B475" t="inlineStr">
        <is>
          <t>Heritance Aarah</t>
        </is>
      </c>
      <c r="C475" t="inlineStr">
        <is>
          <t>factsheet</t>
        </is>
      </c>
      <c r="D475" t="inlineStr">
        <is>
          <t>2023_HAR-FO-FACT-SHEET-7.pdf</t>
        </is>
      </c>
      <c r="E475" t="n">
        <v>2023</v>
      </c>
      <c r="H475" t="n">
        <v>8</v>
      </c>
      <c r="I475" t="n">
        <v>1695</v>
      </c>
      <c r="J475" t="inlineStr">
        <is>
          <t>Y</t>
        </is>
      </c>
      <c r="K475" t="inlineStr">
        <is>
          <t>heritancehotels.com</t>
        </is>
      </c>
      <c r="L475" t="inlineStr">
        <is>
          <t>official</t>
        </is>
      </c>
      <c r="M475" t="inlineStr">
        <is>
          <t>https://heritancehotels.eme-devops.com/2025/02/HAR-FO-FACT-SHEET-7.pdf</t>
        </is>
      </c>
      <c r="N475" t="inlineStr">
        <is>
          <t>https://heritancehotels.eme-devops.com/2025/02/HAR-FO-FACT-SHEET-7.pdf</t>
        </is>
      </c>
      <c r="O475" t="inlineStr">
        <is>
          <t>c82fb0f5e0e4b3d20ad11cbf707d446b91414c5a95bd6ee0e4db1903d1a010fe</t>
        </is>
      </c>
      <c r="P475" t="inlineStr">
        <is>
          <t>library/035_heritance-aarah/factsheet/2023_HAR-FO-FACT-SHEET-7.pdf</t>
        </is>
      </c>
      <c r="R475" t="inlineStr">
        <is>
          <t>outdated</t>
        </is>
      </c>
      <c r="S475" t="inlineStr">
        <is>
          <t>N</t>
        </is>
      </c>
      <c r="T475" t="inlineStr">
        <is>
          <t>matched</t>
        </is>
      </c>
      <c r="U475" t="inlineStr">
        <is>
          <t>2026-10-04</t>
        </is>
      </c>
      <c r="V475" t="inlineStr"/>
    </row>
    <row r="476">
      <c r="A476" t="n">
        <v>35</v>
      </c>
      <c r="B476" t="inlineStr">
        <is>
          <t>Heritance Aarah</t>
        </is>
      </c>
      <c r="C476" t="inlineStr">
        <is>
          <t>factsheet</t>
        </is>
      </c>
      <c r="D476" t="inlineStr">
        <is>
          <t>2020_Heritance-Aarah-Fact-Sheet_Dec-V2.pdf</t>
        </is>
      </c>
      <c r="E476" t="n">
        <v>2020</v>
      </c>
      <c r="H476" t="n">
        <v>6</v>
      </c>
      <c r="I476" t="n">
        <v>1721</v>
      </c>
      <c r="J476" t="inlineStr">
        <is>
          <t>Y</t>
        </is>
      </c>
      <c r="K476" t="inlineStr">
        <is>
          <t>neoscapesmaldives.com</t>
        </is>
      </c>
      <c r="L476" t="inlineStr">
        <is>
          <t>dmc-agency</t>
        </is>
      </c>
      <c r="M476" t="inlineStr">
        <is>
          <t>https://www.neoscapesmaldives.com/wp-content/uploads/Heritance-Aarah-Fact-Sheet_Dec-V2.pdf</t>
        </is>
      </c>
      <c r="N476" t="inlineStr">
        <is>
          <t>https://www.neoscapesmaldives.com/wp-content/uploads/Heritance-Aarah-Fact-Sheet_Dec-V2.pdf</t>
        </is>
      </c>
      <c r="O476" t="inlineStr">
        <is>
          <t>6965adc3b09f579b553b32c86575f64d34744f44408a084d8fd16b581ee62a84</t>
        </is>
      </c>
      <c r="P476" t="inlineStr">
        <is>
          <t>library/035_heritance-aarah/factsheet/2020_Heritance-Aarah-Fact-Sheet_Dec-V2.pdf</t>
        </is>
      </c>
      <c r="R476" t="inlineStr">
        <is>
          <t>outdated</t>
        </is>
      </c>
      <c r="S476" t="inlineStr">
        <is>
          <t>N</t>
        </is>
      </c>
      <c r="T476" t="inlineStr">
        <is>
          <t>matched</t>
        </is>
      </c>
      <c r="U476" t="inlineStr">
        <is>
          <t>2026-10-04</t>
        </is>
      </c>
      <c r="V476" t="inlineStr"/>
    </row>
    <row r="477">
      <c r="A477" t="n">
        <v>35</v>
      </c>
      <c r="B477" t="inlineStr">
        <is>
          <t>Heritance Aarah</t>
        </is>
      </c>
      <c r="C477" t="inlineStr">
        <is>
          <t>factsheet</t>
        </is>
      </c>
      <c r="D477" t="inlineStr">
        <is>
          <t>2020_RUSSIAN-RESORT-INFORMATION.pdf</t>
        </is>
      </c>
      <c r="E477" t="n">
        <v>2020</v>
      </c>
      <c r="H477" t="n">
        <v>2</v>
      </c>
      <c r="I477" t="n">
        <v>777</v>
      </c>
      <c r="J477" t="inlineStr">
        <is>
          <t>Y</t>
        </is>
      </c>
      <c r="K477" t="inlineStr">
        <is>
          <t>heritancehotels.com</t>
        </is>
      </c>
      <c r="L477" t="inlineStr">
        <is>
          <t>official</t>
        </is>
      </c>
      <c r="M477" t="inlineStr">
        <is>
          <t>https://heritancehotels.eme-devops.com/2025/03/RUSSIAN-RESORT-INFORMATION.pdf</t>
        </is>
      </c>
      <c r="N477" t="inlineStr">
        <is>
          <t>https://heritancehotels.eme-devops.com/2025/03/RUSSIAN-RESORT-INFORMATION.pdf</t>
        </is>
      </c>
      <c r="O477" t="inlineStr">
        <is>
          <t>9fde27a77cbe8e2bf5a14d3753738f9f3392cc19fba9ab916d93f9478dbdc0f8</t>
        </is>
      </c>
      <c r="P477" t="inlineStr">
        <is>
          <t>library/035_heritance-aarah/factsheet/2020_RUSSIAN-RESORT-INFORMATION.pdf</t>
        </is>
      </c>
      <c r="R477" t="inlineStr">
        <is>
          <t>outdated</t>
        </is>
      </c>
      <c r="S477" t="inlineStr">
        <is>
          <t>N</t>
        </is>
      </c>
      <c r="T477" t="inlineStr">
        <is>
          <t>matched</t>
        </is>
      </c>
      <c r="U477" t="inlineStr">
        <is>
          <t>2026-10-04</t>
        </is>
      </c>
      <c r="V477" t="inlineStr"/>
    </row>
    <row r="478">
      <c r="A478" t="n">
        <v>35</v>
      </c>
      <c r="B478" t="inlineStr">
        <is>
          <t>Heritance Aarah</t>
        </is>
      </c>
      <c r="C478" t="inlineStr">
        <is>
          <t>factsheet</t>
        </is>
      </c>
      <c r="D478" t="inlineStr">
        <is>
          <t>2020_ENGLISH-RESORT-INFORMATION-1.pdf</t>
        </is>
      </c>
      <c r="E478" t="n">
        <v>2020</v>
      </c>
      <c r="H478" t="n">
        <v>2</v>
      </c>
      <c r="I478" t="n">
        <v>963</v>
      </c>
      <c r="J478" t="inlineStr">
        <is>
          <t>Y</t>
        </is>
      </c>
      <c r="K478" t="inlineStr">
        <is>
          <t>heritancehotels.com</t>
        </is>
      </c>
      <c r="L478" t="inlineStr">
        <is>
          <t>official</t>
        </is>
      </c>
      <c r="M478" t="inlineStr">
        <is>
          <t>https://heritancehotels.eme-devops.com/2025/03/ENGLISH-RESORT-INFORMATION-1.pdf</t>
        </is>
      </c>
      <c r="N478" t="inlineStr">
        <is>
          <t>https://heritancehotels.eme-devops.com/2025/03/ENGLISH-RESORT-INFORMATION-1.pdf</t>
        </is>
      </c>
      <c r="O478" t="inlineStr">
        <is>
          <t>ac1e3292022a25f0bdc7d7e265bfdbefd3d5df5324a38ab03d0d0d5b1ee1cdc5</t>
        </is>
      </c>
      <c r="P478" t="inlineStr">
        <is>
          <t>library/035_heritance-aarah/factsheet/2020_ENGLISH-RESORT-INFORMATION-1.pdf</t>
        </is>
      </c>
      <c r="R478" t="inlineStr">
        <is>
          <t>outdated</t>
        </is>
      </c>
      <c r="S478" t="inlineStr">
        <is>
          <t>N</t>
        </is>
      </c>
      <c r="T478" t="inlineStr">
        <is>
          <t>matched</t>
        </is>
      </c>
      <c r="U478" t="inlineStr">
        <is>
          <t>2026-10-04</t>
        </is>
      </c>
      <c r="V478" t="inlineStr"/>
    </row>
    <row r="479">
      <c r="A479" t="n">
        <v>35</v>
      </c>
      <c r="B479" t="inlineStr">
        <is>
          <t>Heritance Aarah</t>
        </is>
      </c>
      <c r="C479" t="inlineStr">
        <is>
          <t>factsheet</t>
        </is>
      </c>
      <c r="D479" t="inlineStr">
        <is>
          <t>2020_GERMAN-RESORT-INFORMATION-1.pdf</t>
        </is>
      </c>
      <c r="E479" t="n">
        <v>2020</v>
      </c>
      <c r="H479" t="n">
        <v>2</v>
      </c>
      <c r="I479" t="n">
        <v>1255</v>
      </c>
      <c r="J479" t="inlineStr">
        <is>
          <t>Y</t>
        </is>
      </c>
      <c r="K479" t="inlineStr">
        <is>
          <t>heritancehotels.com</t>
        </is>
      </c>
      <c r="L479" t="inlineStr">
        <is>
          <t>official</t>
        </is>
      </c>
      <c r="M479" t="inlineStr">
        <is>
          <t>https://heritancehotels.eme-devops.com/2025/03/GERMAN-RESORT-INFORMATION-1.pdf</t>
        </is>
      </c>
      <c r="N479" t="inlineStr">
        <is>
          <t>https://heritancehotels.eme-devops.com/2025/03/GERMAN-RESORT-INFORMATION-1.pdf</t>
        </is>
      </c>
      <c r="O479" t="inlineStr">
        <is>
          <t>08808bedf385f38899ae5a9e43e4f1d26363d16a67916a0a4b28709c394dce2e</t>
        </is>
      </c>
      <c r="P479" t="inlineStr">
        <is>
          <t>library/035_heritance-aarah/factsheet/2020_GERMAN-RESORT-INFORMATION-1.pdf</t>
        </is>
      </c>
      <c r="R479" t="inlineStr">
        <is>
          <t>outdated</t>
        </is>
      </c>
      <c r="S479" t="inlineStr">
        <is>
          <t>N</t>
        </is>
      </c>
      <c r="T479" t="inlineStr">
        <is>
          <t>matched</t>
        </is>
      </c>
      <c r="U479" t="inlineStr">
        <is>
          <t>2026-10-04</t>
        </is>
      </c>
      <c r="V479" t="inlineStr"/>
    </row>
    <row r="480">
      <c r="A480" t="n">
        <v>35</v>
      </c>
      <c r="B480" t="inlineStr">
        <is>
          <t>Heritance Aarah</t>
        </is>
      </c>
      <c r="C480" t="inlineStr">
        <is>
          <t>factsheet</t>
        </is>
      </c>
      <c r="D480" t="inlineStr">
        <is>
          <t>2020_FRENCH-RESORT-INFORMATION.pdf</t>
        </is>
      </c>
      <c r="E480" t="n">
        <v>2020</v>
      </c>
      <c r="H480" t="n">
        <v>2</v>
      </c>
      <c r="I480" t="n">
        <v>560</v>
      </c>
      <c r="J480" t="inlineStr">
        <is>
          <t>Y</t>
        </is>
      </c>
      <c r="K480" t="inlineStr">
        <is>
          <t>heritancehotels.com</t>
        </is>
      </c>
      <c r="L480" t="inlineStr">
        <is>
          <t>official</t>
        </is>
      </c>
      <c r="M480" t="inlineStr">
        <is>
          <t>https://heritancehotels.eme-devops.com/2025/03/FRENCH-RESORT-INFORMATION.pdf</t>
        </is>
      </c>
      <c r="N480" t="inlineStr">
        <is>
          <t>https://heritancehotels.eme-devops.com/2025/03/FRENCH-RESORT-INFORMATION.pdf</t>
        </is>
      </c>
      <c r="O480" t="inlineStr">
        <is>
          <t>6d00850cbd39d75cd1596152628a7ae41bce010e2d54c119ad4dae0d260cd281</t>
        </is>
      </c>
      <c r="P480" t="inlineStr">
        <is>
          <t>library/035_heritance-aarah/factsheet/2020_FRENCH-RESORT-INFORMATION.pdf</t>
        </is>
      </c>
      <c r="R480" t="inlineStr">
        <is>
          <t>outdated</t>
        </is>
      </c>
      <c r="S480" t="inlineStr">
        <is>
          <t>N</t>
        </is>
      </c>
      <c r="T480" t="inlineStr">
        <is>
          <t>matched</t>
        </is>
      </c>
      <c r="U480" t="inlineStr">
        <is>
          <t>2026-10-04</t>
        </is>
      </c>
      <c r="V480" t="inlineStr"/>
    </row>
    <row r="481">
      <c r="A481" t="n">
        <v>35</v>
      </c>
      <c r="B481" t="inlineStr">
        <is>
          <t>Heritance Aarah</t>
        </is>
      </c>
      <c r="C481" t="inlineStr">
        <is>
          <t>factsheet</t>
        </is>
      </c>
      <c r="D481" t="inlineStr">
        <is>
          <t>2020_ITALIAN-RESORT-INFORMATION.pdf</t>
        </is>
      </c>
      <c r="E481" t="n">
        <v>2020</v>
      </c>
      <c r="H481" t="n">
        <v>2</v>
      </c>
      <c r="I481" t="n">
        <v>590</v>
      </c>
      <c r="J481" t="inlineStr">
        <is>
          <t>Y</t>
        </is>
      </c>
      <c r="K481" t="inlineStr">
        <is>
          <t>heritancehotels.com</t>
        </is>
      </c>
      <c r="L481" t="inlineStr">
        <is>
          <t>official</t>
        </is>
      </c>
      <c r="M481" t="inlineStr">
        <is>
          <t>https://heritancehotels.eme-devops.com/2025/03/ITALIAN-RESORT-INFORMATION.pdf</t>
        </is>
      </c>
      <c r="N481" t="inlineStr">
        <is>
          <t>https://heritancehotels.eme-devops.com/2025/03/ITALIAN-RESORT-INFORMATION.pdf</t>
        </is>
      </c>
      <c r="O481" t="inlineStr">
        <is>
          <t>c949d487869b0af967b5be29582df9b49d3e1789da01f6c4eb0bcbafb440f712</t>
        </is>
      </c>
      <c r="P481" t="inlineStr">
        <is>
          <t>library/035_heritance-aarah/factsheet/2020_ITALIAN-RESORT-INFORMATION.pdf</t>
        </is>
      </c>
      <c r="R481" t="inlineStr">
        <is>
          <t>outdated</t>
        </is>
      </c>
      <c r="S481" t="inlineStr">
        <is>
          <t>N</t>
        </is>
      </c>
      <c r="T481" t="inlineStr">
        <is>
          <t>matched</t>
        </is>
      </c>
      <c r="U481" t="inlineStr">
        <is>
          <t>2026-10-04</t>
        </is>
      </c>
      <c r="V481" t="inlineStr"/>
    </row>
    <row r="482">
      <c r="A482" t="n">
        <v>35</v>
      </c>
      <c r="B482" t="inlineStr">
        <is>
          <t>Heritance Aarah</t>
        </is>
      </c>
      <c r="C482" t="inlineStr">
        <is>
          <t>wedding</t>
        </is>
      </c>
      <c r="D482" t="inlineStr">
        <is>
          <t>2026_Wedding-Page-IND.pdf</t>
        </is>
      </c>
      <c r="E482" t="n">
        <v>2026</v>
      </c>
      <c r="H482" t="n">
        <v>1</v>
      </c>
      <c r="I482" t="n">
        <v>4614</v>
      </c>
      <c r="J482" t="inlineStr">
        <is>
          <t>Y</t>
        </is>
      </c>
      <c r="K482" t="inlineStr">
        <is>
          <t>heritancehotels.com</t>
        </is>
      </c>
      <c r="L482" t="inlineStr">
        <is>
          <t>official</t>
        </is>
      </c>
      <c r="M482" t="inlineStr">
        <is>
          <t>https://heritancehotels.eme-devops.com/2026/09/Wedding-Page-IND.pdf</t>
        </is>
      </c>
      <c r="N482" t="inlineStr">
        <is>
          <t>https://heritancehotels.eme-devops.com/2026/09/Wedding-Page-IND.pdf</t>
        </is>
      </c>
      <c r="O482" t="inlineStr">
        <is>
          <t>3c991e101bd8eb4ed46cb3d70fd98a5a65c974e059e4c83eedb14f13653fa43d</t>
        </is>
      </c>
      <c r="P482" t="inlineStr">
        <is>
          <t>library/035_heritance-aarah/wedding/2026_Wedding-Page-IND.pdf</t>
        </is>
      </c>
      <c r="R482" t="inlineStr">
        <is>
          <t>current</t>
        </is>
      </c>
      <c r="S482" t="inlineStr">
        <is>
          <t>N</t>
        </is>
      </c>
      <c r="T482" t="inlineStr">
        <is>
          <t>matched</t>
        </is>
      </c>
      <c r="U482" t="inlineStr">
        <is>
          <t>2026-10-04</t>
        </is>
      </c>
      <c r="V482" t="inlineStr"/>
    </row>
    <row r="483">
      <c r="A483" t="n">
        <v>35</v>
      </c>
      <c r="B483" t="inlineStr">
        <is>
          <t>Heritance Aarah</t>
        </is>
      </c>
      <c r="C483" t="inlineStr">
        <is>
          <t>wedding</t>
        </is>
      </c>
      <c r="D483" t="inlineStr">
        <is>
          <t>2026_Heritance-Aarah-Wedding-Document.pdf</t>
        </is>
      </c>
      <c r="E483" t="n">
        <v>2026</v>
      </c>
      <c r="H483" t="n">
        <v>9</v>
      </c>
      <c r="I483" t="n">
        <v>4522</v>
      </c>
      <c r="J483" t="inlineStr">
        <is>
          <t>Y</t>
        </is>
      </c>
      <c r="K483" t="inlineStr">
        <is>
          <t>heritancehotels.com</t>
        </is>
      </c>
      <c r="L483" t="inlineStr">
        <is>
          <t>official</t>
        </is>
      </c>
      <c r="M483" t="inlineStr">
        <is>
          <t>https://heritancehotels.eme-devops.com/2026/09/Heritance-Aarah-Wedding-Document.pdf</t>
        </is>
      </c>
      <c r="N483" t="inlineStr">
        <is>
          <t>https://heritancehotels.eme-devops.com/2026/09/Heritance-Aarah-Wedding-Document.pdf</t>
        </is>
      </c>
      <c r="O483" t="inlineStr">
        <is>
          <t>e1af527b17d5b0c02aea110246a6d165c86eec32d0d6a4b145ea302416811716</t>
        </is>
      </c>
      <c r="P483" t="inlineStr">
        <is>
          <t>library/035_heritance-aarah/wedding/2026_Heritance-Aarah-Wedding-Document.pdf</t>
        </is>
      </c>
      <c r="R483" t="inlineStr">
        <is>
          <t>current</t>
        </is>
      </c>
      <c r="S483" t="inlineStr">
        <is>
          <t>Y</t>
        </is>
      </c>
      <c r="T483" t="inlineStr">
        <is>
          <t>matched</t>
        </is>
      </c>
      <c r="U483" t="inlineStr">
        <is>
          <t>2026-10-04</t>
        </is>
      </c>
      <c r="V483" t="inlineStr"/>
    </row>
    <row r="484">
      <c r="A484" t="n">
        <v>35</v>
      </c>
      <c r="B484" t="inlineStr">
        <is>
          <t>Heritance Aarah</t>
        </is>
      </c>
      <c r="C484" t="inlineStr">
        <is>
          <t>wedding</t>
        </is>
      </c>
      <c r="D484" t="inlineStr">
        <is>
          <t>2025_Heritance-Aarah-Wedding-Package.pdf</t>
        </is>
      </c>
      <c r="E484" t="n">
        <v>2025</v>
      </c>
      <c r="H484" t="n">
        <v>9</v>
      </c>
      <c r="I484" t="n">
        <v>2757</v>
      </c>
      <c r="J484" t="inlineStr">
        <is>
          <t>Y</t>
        </is>
      </c>
      <c r="K484" t="inlineStr">
        <is>
          <t>heritancehotels.com</t>
        </is>
      </c>
      <c r="L484" t="inlineStr">
        <is>
          <t>official</t>
        </is>
      </c>
      <c r="M484" t="inlineStr">
        <is>
          <t>https://heritancehotels.eme-devops.com/sites/2/2025/12/Heritance-Aarah-Wedding-Package.pdf</t>
        </is>
      </c>
      <c r="N484" t="inlineStr">
        <is>
          <t>https://heritancehotels.eme-devops.com/sites/2/2025/12/Heritance-Aarah-Wedding-Package.pdf</t>
        </is>
      </c>
      <c r="O484" t="inlineStr">
        <is>
          <t>0ffcc57e42182480ea04387bc2482110b5cd4c0274fe7abd4b5694c4b96df592</t>
        </is>
      </c>
      <c r="P484" t="inlineStr">
        <is>
          <t>library/035_heritance-aarah/wedding/2025_Heritance-Aarah-Wedding-Package.pdf</t>
        </is>
      </c>
      <c r="R484" t="inlineStr">
        <is>
          <t>current</t>
        </is>
      </c>
      <c r="S484" t="inlineStr">
        <is>
          <t>N</t>
        </is>
      </c>
      <c r="T484" t="inlineStr">
        <is>
          <t>matched</t>
        </is>
      </c>
      <c r="U484" t="inlineStr">
        <is>
          <t>2026-10-04</t>
        </is>
      </c>
      <c r="V484" t="inlineStr"/>
    </row>
    <row r="485">
      <c r="A485" t="n">
        <v>35</v>
      </c>
      <c r="B485" t="inlineStr">
        <is>
          <t>Heritance Aarah</t>
        </is>
      </c>
      <c r="C485" t="inlineStr">
        <is>
          <t>wedding</t>
        </is>
      </c>
      <c r="D485" t="inlineStr">
        <is>
          <t>2024_Aarah-Wedding-Packages-22.10.2024.pdf</t>
        </is>
      </c>
      <c r="E485" t="n">
        <v>2024</v>
      </c>
      <c r="H485" t="n">
        <v>14</v>
      </c>
      <c r="I485" t="n">
        <v>1317</v>
      </c>
      <c r="J485" t="inlineStr">
        <is>
          <t>Y</t>
        </is>
      </c>
      <c r="K485" t="inlineStr">
        <is>
          <t>heritancehotels.com</t>
        </is>
      </c>
      <c r="L485" t="inlineStr">
        <is>
          <t>official</t>
        </is>
      </c>
      <c r="M485" t="inlineStr">
        <is>
          <t>https://heritancehotels.eme-devops.com/2025/02/Aarah-Wedding-Packages-22.10.2024.pdf</t>
        </is>
      </c>
      <c r="N485" t="inlineStr">
        <is>
          <t>https://heritancehotels.eme-devops.com/2025/02/Aarah-Wedding-Packages-22.10.2024.pdf</t>
        </is>
      </c>
      <c r="O485" t="inlineStr">
        <is>
          <t>73cfd87b6e487016bc792910c2dcc81db3c9a57767bbffc6ba9def357303e4de</t>
        </is>
      </c>
      <c r="P485" t="inlineStr">
        <is>
          <t>library/035_heritance-aarah/wedding/2024_Aarah-Wedding-Packages-22.10.2024.pdf</t>
        </is>
      </c>
      <c r="R485" t="inlineStr">
        <is>
          <t>outdated</t>
        </is>
      </c>
      <c r="S485" t="inlineStr">
        <is>
          <t>N</t>
        </is>
      </c>
      <c r="T485" t="inlineStr">
        <is>
          <t>matched</t>
        </is>
      </c>
      <c r="U485" t="inlineStr">
        <is>
          <t>2026-10-04</t>
        </is>
      </c>
      <c r="V485" t="inlineStr"/>
    </row>
    <row r="486">
      <c r="A486" t="n">
        <v>35</v>
      </c>
      <c r="B486" t="inlineStr">
        <is>
          <t>Heritance Aarah</t>
        </is>
      </c>
      <c r="C486" t="inlineStr">
        <is>
          <t>map</t>
        </is>
      </c>
      <c r="D486" t="inlineStr">
        <is>
          <t>2020_Heritance-Aarah-Resort-map.pdf</t>
        </is>
      </c>
      <c r="E486" t="n">
        <v>2020</v>
      </c>
      <c r="H486" t="n">
        <v>1</v>
      </c>
      <c r="I486" t="n">
        <v>87</v>
      </c>
      <c r="J486" t="inlineStr">
        <is>
          <t>N</t>
        </is>
      </c>
      <c r="K486" t="inlineStr">
        <is>
          <t>neoscapesmaldives.com</t>
        </is>
      </c>
      <c r="L486" t="inlineStr">
        <is>
          <t>dmc-agency</t>
        </is>
      </c>
      <c r="M486" t="inlineStr">
        <is>
          <t>https://www.neoscapesmaldives.com/wp-content/uploads/Heritance-Aarah-Resort-map.pdf</t>
        </is>
      </c>
      <c r="N486" t="inlineStr">
        <is>
          <t>https://www.neoscapesmaldives.com/wp-content/uploads/Heritance-Aarah-Resort-map.pdf</t>
        </is>
      </c>
      <c r="O486" t="inlineStr">
        <is>
          <t>2f359de71c2ba859d96b36f11d0488b21ea1486131a93313c267bf76c1b0dde0</t>
        </is>
      </c>
      <c r="P486" t="inlineStr">
        <is>
          <t>library/035_heritance-aarah/map/2020_Heritance-Aarah-Resort-map.pdf</t>
        </is>
      </c>
      <c r="R486" t="inlineStr">
        <is>
          <t>outdated</t>
        </is>
      </c>
      <c r="S486" t="inlineStr">
        <is>
          <t>Y</t>
        </is>
      </c>
      <c r="T486" t="inlineStr">
        <is>
          <t>matched</t>
        </is>
      </c>
      <c r="U486" t="inlineStr">
        <is>
          <t>2026-10-04</t>
        </is>
      </c>
      <c r="V486" t="inlineStr"/>
    </row>
    <row r="487">
      <c r="A487" t="n">
        <v>35</v>
      </c>
      <c r="B487" t="inlineStr">
        <is>
          <t>Heritance Aarah</t>
        </is>
      </c>
      <c r="C487" t="inlineStr">
        <is>
          <t>spa_menu</t>
        </is>
      </c>
      <c r="D487" t="inlineStr">
        <is>
          <t>2025_Wellness-Activities-IASO-Spa.pdf</t>
        </is>
      </c>
      <c r="E487" t="n">
        <v>2025</v>
      </c>
      <c r="H487" t="n">
        <v>2</v>
      </c>
      <c r="I487" t="n">
        <v>287</v>
      </c>
      <c r="J487" t="inlineStr">
        <is>
          <t>Y</t>
        </is>
      </c>
      <c r="K487" t="inlineStr">
        <is>
          <t>heritancehotels.com</t>
        </is>
      </c>
      <c r="L487" t="inlineStr">
        <is>
          <t>official</t>
        </is>
      </c>
      <c r="M487" t="inlineStr">
        <is>
          <t>https://heritancehotels.eme-devops.com/sites/2/2025/09/Wellness-Activities-IASO-Spa.pdf</t>
        </is>
      </c>
      <c r="N487" t="inlineStr">
        <is>
          <t>https://heritancehotels.eme-devops.com/sites/2/2025/09/Wellness-Activities-IASO-Spa.pdf</t>
        </is>
      </c>
      <c r="O487" t="inlineStr">
        <is>
          <t>709605ae0c7aa93300462294a0ceb5157840bffaee1b4454c3657b1038e7c96f</t>
        </is>
      </c>
      <c r="P487" t="inlineStr">
        <is>
          <t>library/035_heritance-aarah/spa_menu/2025_Wellness-Activities-IASO-Spa.pdf</t>
        </is>
      </c>
      <c r="R487" t="inlineStr">
        <is>
          <t>current</t>
        </is>
      </c>
      <c r="S487" t="inlineStr">
        <is>
          <t>Y</t>
        </is>
      </c>
      <c r="T487" t="inlineStr">
        <is>
          <t>needs-review</t>
        </is>
      </c>
      <c r="U487" t="inlineStr">
        <is>
          <t>2026-10-04</t>
        </is>
      </c>
      <c r="V487" t="inlineStr">
        <is>
          <t>ambiguous match [35]</t>
        </is>
      </c>
    </row>
    <row r="488">
      <c r="A488" t="n">
        <v>35</v>
      </c>
      <c r="B488" t="inlineStr">
        <is>
          <t>Heritance Aarah</t>
        </is>
      </c>
      <c r="C488" t="inlineStr">
        <is>
          <t>spa_menu</t>
        </is>
      </c>
      <c r="D488" t="inlineStr">
        <is>
          <t>2025_IASO-Spa-Promotions.pdf</t>
        </is>
      </c>
      <c r="E488" t="n">
        <v>2025</v>
      </c>
      <c r="H488" t="n">
        <v>1</v>
      </c>
      <c r="I488" t="n">
        <v>345</v>
      </c>
      <c r="J488" t="inlineStr">
        <is>
          <t>Y</t>
        </is>
      </c>
      <c r="K488" t="inlineStr">
        <is>
          <t>heritancehotels.com</t>
        </is>
      </c>
      <c r="L488" t="inlineStr">
        <is>
          <t>official</t>
        </is>
      </c>
      <c r="M488" t="inlineStr">
        <is>
          <t>https://heritancehotels.eme-devops.com/sites/2/2025/09/IASO-Spa-Promotions.pdf</t>
        </is>
      </c>
      <c r="N488" t="inlineStr">
        <is>
          <t>https://heritancehotels.eme-devops.com/sites/2/2025/09/IASO-Spa-Promotions.pdf</t>
        </is>
      </c>
      <c r="O488" t="inlineStr">
        <is>
          <t>13b183ad1e49da97f42373b17f83bd54a4dd48867f71a10f6deb2297938e39b8</t>
        </is>
      </c>
      <c r="P488" t="inlineStr">
        <is>
          <t>library/035_heritance-aarah/spa_menu/2025_IASO-Spa-Promotions.pdf</t>
        </is>
      </c>
      <c r="R488" t="inlineStr">
        <is>
          <t>current</t>
        </is>
      </c>
      <c r="S488" t="inlineStr">
        <is>
          <t>N</t>
        </is>
      </c>
      <c r="T488" t="inlineStr">
        <is>
          <t>needs-review</t>
        </is>
      </c>
      <c r="U488" t="inlineStr">
        <is>
          <t>2026-10-04</t>
        </is>
      </c>
      <c r="V488" t="inlineStr">
        <is>
          <t>ambiguous match [35]</t>
        </is>
      </c>
    </row>
    <row r="489">
      <c r="A489" t="n">
        <v>35</v>
      </c>
      <c r="B489" t="inlineStr">
        <is>
          <t>Heritance Aarah</t>
        </is>
      </c>
      <c r="C489" t="inlineStr">
        <is>
          <t>spa_menu</t>
        </is>
      </c>
      <c r="D489" t="inlineStr">
        <is>
          <t>2022_Aarah-IASO-Medi-Spa-Price-List.pdf</t>
        </is>
      </c>
      <c r="E489" t="n">
        <v>2022</v>
      </c>
      <c r="H489" t="n">
        <v>5</v>
      </c>
      <c r="I489" t="n">
        <v>179</v>
      </c>
      <c r="J489" t="inlineStr">
        <is>
          <t>Y</t>
        </is>
      </c>
      <c r="K489" t="inlineStr">
        <is>
          <t>heritancehotels.com</t>
        </is>
      </c>
      <c r="L489" t="inlineStr">
        <is>
          <t>official</t>
        </is>
      </c>
      <c r="M489" t="inlineStr">
        <is>
          <t>https://heritancehotels.eme-devops.com/2025/03/Aarah-IASO-Medi-Spa-Price-List.pdf</t>
        </is>
      </c>
      <c r="N489" t="inlineStr">
        <is>
          <t>https://heritancehotels.eme-devops.com/2025/03/Aarah-IASO-Medi-Spa-Price-List.pdf</t>
        </is>
      </c>
      <c r="O489" t="inlineStr">
        <is>
          <t>74a65c77a0a94cf848475394e916b58cfabab80f17da2e49c79a52ba0bf6a0a4</t>
        </is>
      </c>
      <c r="P489" t="inlineStr">
        <is>
          <t>library/035_heritance-aarah/spa_menu/2022_Aarah-IASO-Medi-Spa-Price-List.pdf</t>
        </is>
      </c>
      <c r="R489" t="inlineStr">
        <is>
          <t>outdated</t>
        </is>
      </c>
      <c r="S489" t="inlineStr">
        <is>
          <t>N</t>
        </is>
      </c>
      <c r="T489" t="inlineStr">
        <is>
          <t>matched</t>
        </is>
      </c>
      <c r="U489" t="inlineStr">
        <is>
          <t>2026-10-04</t>
        </is>
      </c>
      <c r="V489" t="inlineStr"/>
    </row>
    <row r="490">
      <c r="A490" t="n">
        <v>35</v>
      </c>
      <c r="B490" t="inlineStr">
        <is>
          <t>Heritance Aarah</t>
        </is>
      </c>
      <c r="C490" t="inlineStr">
        <is>
          <t>spa_menu</t>
        </is>
      </c>
      <c r="D490" t="inlineStr">
        <is>
          <t>2022_Heritance-Ayurveda-Maha-Gedara-Sustainability-Report-2021-2022.pdf</t>
        </is>
      </c>
      <c r="E490" t="n">
        <v>2022</v>
      </c>
      <c r="H490" t="n">
        <v>20</v>
      </c>
      <c r="I490" t="n">
        <v>1006</v>
      </c>
      <c r="J490" t="inlineStr">
        <is>
          <t>Y</t>
        </is>
      </c>
      <c r="K490" t="inlineStr">
        <is>
          <t>heritancehotels.com</t>
        </is>
      </c>
      <c r="L490" t="inlineStr">
        <is>
          <t>official</t>
        </is>
      </c>
      <c r="M490" t="inlineStr">
        <is>
          <t>https://heritancehotels.eme-devops.com/2025/01/Heritance-Ayurveda-Maha-Gedara-Sustainability-Report-2021-2022.pdf</t>
        </is>
      </c>
      <c r="N490" t="inlineStr">
        <is>
          <t>https://heritancehotels.eme-devops.com/2025/01/Heritance-Ayurveda-Maha-Gedara-Sustainability-Report-2021-2022.pdf</t>
        </is>
      </c>
      <c r="O490" t="inlineStr">
        <is>
          <t>010f2e475466f6365427cee4231937c2462f4fb6ebaf7bc70abcc6031e5115da</t>
        </is>
      </c>
      <c r="P490" t="inlineStr">
        <is>
          <t>library/035_heritance-aarah/spa_menu/2022_Heritance-Ayurveda-Maha-Gedara-Sustainability-Report-2021-2022.pdf</t>
        </is>
      </c>
      <c r="R490" t="inlineStr">
        <is>
          <t>outdated</t>
        </is>
      </c>
      <c r="S490" t="inlineStr">
        <is>
          <t>N</t>
        </is>
      </c>
      <c r="T490" t="inlineStr">
        <is>
          <t>needs-review</t>
        </is>
      </c>
      <c r="U490" t="inlineStr">
        <is>
          <t>2026-10-04</t>
        </is>
      </c>
      <c r="V490" t="inlineStr">
        <is>
          <t>ambiguous match [35]</t>
        </is>
      </c>
    </row>
    <row r="491">
      <c r="A491" t="n">
        <v>35</v>
      </c>
      <c r="B491" t="inlineStr">
        <is>
          <t>Heritance Aarah</t>
        </is>
      </c>
      <c r="C491" t="inlineStr">
        <is>
          <t>dining_menu</t>
        </is>
      </c>
      <c r="D491" t="inlineStr">
        <is>
          <t>2026_Sky-Bar-Nibbles-Menu-Russian.pdf</t>
        </is>
      </c>
      <c r="E491" t="n">
        <v>2026</v>
      </c>
      <c r="H491" t="n">
        <v>1</v>
      </c>
      <c r="I491" t="n">
        <v>354</v>
      </c>
      <c r="J491" t="inlineStr">
        <is>
          <t>Y</t>
        </is>
      </c>
      <c r="K491" t="inlineStr">
        <is>
          <t>heritancehotels.com</t>
        </is>
      </c>
      <c r="L491" t="inlineStr">
        <is>
          <t>official</t>
        </is>
      </c>
      <c r="M491" t="inlineStr">
        <is>
          <t>https://heritancehotels.eme-devops.com/2026/10/Sky-Bar-Nibbles-Menu-Russian.pdf</t>
        </is>
      </c>
      <c r="N491" t="inlineStr">
        <is>
          <t>https://heritancehotels.eme-devops.com/2026/10/Sky-Bar-Nibbles-Menu-Russian.pdf</t>
        </is>
      </c>
      <c r="O491" t="inlineStr">
        <is>
          <t>04bd705ef68fcecb07d1d4e0be61dc0baab358ca28360e440a3500a2b481b69d</t>
        </is>
      </c>
      <c r="P491" t="inlineStr">
        <is>
          <t>library/035_heritance-aarah/dining_menu/2026_Sky-Bar-Nibbles-Menu-Russian.pdf</t>
        </is>
      </c>
      <c r="R491" t="inlineStr">
        <is>
          <t>current</t>
        </is>
      </c>
      <c r="S491" t="inlineStr">
        <is>
          <t>N</t>
        </is>
      </c>
      <c r="T491" t="inlineStr">
        <is>
          <t>needs-review</t>
        </is>
      </c>
      <c r="U491" t="inlineStr">
        <is>
          <t>2026-10-04</t>
        </is>
      </c>
      <c r="V491" t="inlineStr">
        <is>
          <t>ambiguous match [35]</t>
        </is>
      </c>
    </row>
    <row r="492">
      <c r="A492" t="n">
        <v>35</v>
      </c>
      <c r="B492" t="inlineStr">
        <is>
          <t>Heritance Aarah</t>
        </is>
      </c>
      <c r="C492" t="inlineStr">
        <is>
          <t>dining_menu</t>
        </is>
      </c>
      <c r="D492" t="inlineStr">
        <is>
          <t>2026_Sky-Bar-Nibbles-Menu-Simplified-Chinese.pdf</t>
        </is>
      </c>
      <c r="E492" t="n">
        <v>2026</v>
      </c>
      <c r="H492" t="n">
        <v>1</v>
      </c>
      <c r="I492" t="n">
        <v>364</v>
      </c>
      <c r="J492" t="inlineStr">
        <is>
          <t>Y</t>
        </is>
      </c>
      <c r="K492" t="inlineStr">
        <is>
          <t>heritancehotels.com</t>
        </is>
      </c>
      <c r="L492" t="inlineStr">
        <is>
          <t>official</t>
        </is>
      </c>
      <c r="M492" t="inlineStr">
        <is>
          <t>https://heritancehotels.eme-devops.com/2026/10/Sky-Bar-Nibbles-Menu-Simplified-Chinese.pdf</t>
        </is>
      </c>
      <c r="N492" t="inlineStr">
        <is>
          <t>https://heritancehotels.eme-devops.com/2026/10/Sky-Bar-Nibbles-Menu-Simplified-Chinese.pdf</t>
        </is>
      </c>
      <c r="O492" t="inlineStr">
        <is>
          <t>3c941bddbce6b5f34ea454920c283a8a54c97ddb17b7f55e12dde827a570f1c0</t>
        </is>
      </c>
      <c r="P492" t="inlineStr">
        <is>
          <t>library/035_heritance-aarah/dining_menu/2026_Sky-Bar-Nibbles-Menu-Simplified-Chinese.pdf</t>
        </is>
      </c>
      <c r="R492" t="inlineStr">
        <is>
          <t>current</t>
        </is>
      </c>
      <c r="S492" t="inlineStr">
        <is>
          <t>N</t>
        </is>
      </c>
      <c r="T492" t="inlineStr">
        <is>
          <t>needs-review</t>
        </is>
      </c>
      <c r="U492" t="inlineStr">
        <is>
          <t>2026-10-04</t>
        </is>
      </c>
      <c r="V492" t="inlineStr">
        <is>
          <t>ambiguous match [35]</t>
        </is>
      </c>
    </row>
    <row r="493">
      <c r="A493" t="n">
        <v>35</v>
      </c>
      <c r="B493" t="inlineStr">
        <is>
          <t>Heritance Aarah</t>
        </is>
      </c>
      <c r="C493" t="inlineStr">
        <is>
          <t>dining_menu</t>
        </is>
      </c>
      <c r="D493" t="inlineStr">
        <is>
          <t>2026_Ralu-Afternoon-Menu-Russian-1.pdf</t>
        </is>
      </c>
      <c r="E493" t="n">
        <v>2026</v>
      </c>
      <c r="H493" t="n">
        <v>1</v>
      </c>
      <c r="I493" t="n">
        <v>399</v>
      </c>
      <c r="J493" t="inlineStr">
        <is>
          <t>Y</t>
        </is>
      </c>
      <c r="K493" t="inlineStr">
        <is>
          <t>heritancehotels.com</t>
        </is>
      </c>
      <c r="L493" t="inlineStr">
        <is>
          <t>official</t>
        </is>
      </c>
      <c r="M493" t="inlineStr">
        <is>
          <t>https://heritancehotels.eme-devops.com/2026/10/Ralu-Afternoon-Menu-Russian-1.pdf</t>
        </is>
      </c>
      <c r="N493" t="inlineStr">
        <is>
          <t>https://heritancehotels.eme-devops.com/2026/10/Ralu-Afternoon-Menu-Russian-1.pdf | https://heritancehotels.eme-devops.com/2026/10/Ralu-Afternoon-Menu-Russian.pdf</t>
        </is>
      </c>
      <c r="O493" t="inlineStr">
        <is>
          <t>cd0641823c9c5524153620a231e4117ef6669cfbd671620c8ea6134a842e3d03</t>
        </is>
      </c>
      <c r="P493" t="inlineStr">
        <is>
          <t>library/035_heritance-aarah/dining_menu/2026_Ralu-Afternoon-Menu-Russian-1.pdf</t>
        </is>
      </c>
      <c r="R493" t="inlineStr">
        <is>
          <t>current</t>
        </is>
      </c>
      <c r="S493" t="inlineStr">
        <is>
          <t>N</t>
        </is>
      </c>
      <c r="T493" t="inlineStr">
        <is>
          <t>needs-review</t>
        </is>
      </c>
      <c r="U493" t="inlineStr">
        <is>
          <t>2026-10-04</t>
        </is>
      </c>
      <c r="V493" t="inlineStr">
        <is>
          <t>ambiguous match [35]</t>
        </is>
      </c>
    </row>
    <row r="494">
      <c r="A494" t="n">
        <v>35</v>
      </c>
      <c r="B494" t="inlineStr">
        <is>
          <t>Heritance Aarah</t>
        </is>
      </c>
      <c r="C494" t="inlineStr">
        <is>
          <t>dining_menu</t>
        </is>
      </c>
      <c r="D494" t="inlineStr">
        <is>
          <t>2026_Ralu-Ala-Carte-Russian-1.pdf</t>
        </is>
      </c>
      <c r="E494" t="n">
        <v>2026</v>
      </c>
      <c r="H494" t="n">
        <v>2</v>
      </c>
      <c r="I494" t="n">
        <v>353</v>
      </c>
      <c r="J494" t="inlineStr">
        <is>
          <t>Y</t>
        </is>
      </c>
      <c r="K494" t="inlineStr">
        <is>
          <t>heritancehotels.com</t>
        </is>
      </c>
      <c r="L494" t="inlineStr">
        <is>
          <t>official</t>
        </is>
      </c>
      <c r="M494" t="inlineStr">
        <is>
          <t>https://heritancehotels.eme-devops.com/2026/10/Ralu-Ala-Carte-Russian-1.pdf</t>
        </is>
      </c>
      <c r="N494" t="inlineStr">
        <is>
          <t>https://heritancehotels.eme-devops.com/2026/10/Ralu-Ala-Carte-Russian-1.pdf | https://heritancehotels.eme-devops.com/2026/10/Ralu-Ala-Carte-Russian.pdf</t>
        </is>
      </c>
      <c r="O494" t="inlineStr">
        <is>
          <t>6054e7de3d31a00cdc1f1249f0204522393b4bde30bc19b80ffef2f62d78eba2</t>
        </is>
      </c>
      <c r="P494" t="inlineStr">
        <is>
          <t>library/035_heritance-aarah/dining_menu/2026_Ralu-Ala-Carte-Russian-1.pdf</t>
        </is>
      </c>
      <c r="R494" t="inlineStr">
        <is>
          <t>current</t>
        </is>
      </c>
      <c r="S494" t="inlineStr">
        <is>
          <t>N</t>
        </is>
      </c>
      <c r="T494" t="inlineStr">
        <is>
          <t>needs-review</t>
        </is>
      </c>
      <c r="U494" t="inlineStr">
        <is>
          <t>2026-10-04</t>
        </is>
      </c>
      <c r="V494" t="inlineStr">
        <is>
          <t>ambiguous match [35]</t>
        </is>
      </c>
    </row>
    <row r="495">
      <c r="A495" t="n">
        <v>35</v>
      </c>
      <c r="B495" t="inlineStr">
        <is>
          <t>Heritance Aarah</t>
        </is>
      </c>
      <c r="C495" t="inlineStr">
        <is>
          <t>dining_menu</t>
        </is>
      </c>
      <c r="D495" t="inlineStr">
        <is>
          <t>2026_Ralu-Vegetarian-Menu-Russian-1.pdf</t>
        </is>
      </c>
      <c r="E495" t="n">
        <v>2026</v>
      </c>
      <c r="H495" t="n">
        <v>1</v>
      </c>
      <c r="I495" t="n">
        <v>432</v>
      </c>
      <c r="J495" t="inlineStr">
        <is>
          <t>Y</t>
        </is>
      </c>
      <c r="K495" t="inlineStr">
        <is>
          <t>heritancehotels.com</t>
        </is>
      </c>
      <c r="L495" t="inlineStr">
        <is>
          <t>official</t>
        </is>
      </c>
      <c r="M495" t="inlineStr">
        <is>
          <t>https://heritancehotels.eme-devops.com/2026/10/Ralu-Vegetarian-Menu-Russian-1.pdf</t>
        </is>
      </c>
      <c r="N495" t="inlineStr">
        <is>
          <t>https://heritancehotels.eme-devops.com/2026/10/Ralu-Vegetarian-Menu-Russian-1.pdf | https://heritancehotels.eme-devops.com/2026/10/Ralu-Vegetarian-Menu-Russian.pdf</t>
        </is>
      </c>
      <c r="O495" t="inlineStr">
        <is>
          <t>92af16f5b4202a0c4bd2aad6cd1f58f10dd23087d9f52de848481e09c3f7ff18</t>
        </is>
      </c>
      <c r="P495" t="inlineStr">
        <is>
          <t>library/035_heritance-aarah/dining_menu/2026_Ralu-Vegetarian-Menu-Russian-1.pdf</t>
        </is>
      </c>
      <c r="R495" t="inlineStr">
        <is>
          <t>current</t>
        </is>
      </c>
      <c r="S495" t="inlineStr">
        <is>
          <t>N</t>
        </is>
      </c>
      <c r="T495" t="inlineStr">
        <is>
          <t>needs-review</t>
        </is>
      </c>
      <c r="U495" t="inlineStr">
        <is>
          <t>2026-10-04</t>
        </is>
      </c>
      <c r="V495" t="inlineStr">
        <is>
          <t>ambiguous match [35]</t>
        </is>
      </c>
    </row>
    <row r="496">
      <c r="A496" t="n">
        <v>35</v>
      </c>
      <c r="B496" t="inlineStr">
        <is>
          <t>Heritance Aarah</t>
        </is>
      </c>
      <c r="C496" t="inlineStr">
        <is>
          <t>dining_menu</t>
        </is>
      </c>
      <c r="D496" t="inlineStr">
        <is>
          <t>2026_Ralu-A-la-carte-Editable-Simplified-Chinese-1.pdf</t>
        </is>
      </c>
      <c r="E496" t="n">
        <v>2026</v>
      </c>
      <c r="H496" t="n">
        <v>2</v>
      </c>
      <c r="I496" t="n">
        <v>905</v>
      </c>
      <c r="J496" t="inlineStr">
        <is>
          <t>Y</t>
        </is>
      </c>
      <c r="K496" t="inlineStr">
        <is>
          <t>heritancehotels.com</t>
        </is>
      </c>
      <c r="L496" t="inlineStr">
        <is>
          <t>official</t>
        </is>
      </c>
      <c r="M496" t="inlineStr">
        <is>
          <t>https://heritancehotels.eme-devops.com/2026/10/Ralu-A-la-carte-Editable-Simplified-Chinese-1.pdf</t>
        </is>
      </c>
      <c r="N496" t="inlineStr">
        <is>
          <t>https://heritancehotels.eme-devops.com/2026/10/Ralu-A-la-carte-Editable-Simplified-Chinese-1.pdf | https://heritancehotels.eme-devops.com/2026/10/Ralu-A-la-carte-Editable-Simplified-Chinese.pdf</t>
        </is>
      </c>
      <c r="O496" t="inlineStr">
        <is>
          <t>42972821995e605f732d9f7d24483c67b170a5ecf605e9c36c81ff8b341e2209</t>
        </is>
      </c>
      <c r="P496" t="inlineStr">
        <is>
          <t>library/035_heritance-aarah/dining_menu/2026_Ralu-A-la-carte-Editable-Simplified-Chinese-1.pdf</t>
        </is>
      </c>
      <c r="R496" t="inlineStr">
        <is>
          <t>current</t>
        </is>
      </c>
      <c r="S496" t="inlineStr">
        <is>
          <t>N</t>
        </is>
      </c>
      <c r="T496" t="inlineStr">
        <is>
          <t>matched</t>
        </is>
      </c>
      <c r="U496" t="inlineStr">
        <is>
          <t>2026-10-04</t>
        </is>
      </c>
      <c r="V496" t="inlineStr"/>
    </row>
    <row r="497">
      <c r="A497" t="n">
        <v>35</v>
      </c>
      <c r="B497" t="inlineStr">
        <is>
          <t>Heritance Aarah</t>
        </is>
      </c>
      <c r="C497" t="inlineStr">
        <is>
          <t>dining_menu</t>
        </is>
      </c>
      <c r="D497" t="inlineStr">
        <is>
          <t>2026_Ralu-A-la-carte-Vegetarian-Menu-Simplified-Chinese-1.pdf</t>
        </is>
      </c>
      <c r="E497" t="n">
        <v>2026</v>
      </c>
      <c r="H497" t="n">
        <v>1</v>
      </c>
      <c r="I497" t="n">
        <v>523</v>
      </c>
      <c r="J497" t="inlineStr">
        <is>
          <t>Y</t>
        </is>
      </c>
      <c r="K497" t="inlineStr">
        <is>
          <t>heritancehotels.com</t>
        </is>
      </c>
      <c r="L497" t="inlineStr">
        <is>
          <t>official</t>
        </is>
      </c>
      <c r="M497" t="inlineStr">
        <is>
          <t>https://heritancehotels.eme-devops.com/2026/10/Ralu-A-la-carte-Vegetarian-Menu-Simplified-Chinese-1.pdf</t>
        </is>
      </c>
      <c r="N497" t="inlineStr">
        <is>
          <t>https://heritancehotels.eme-devops.com/2026/10/Ralu-A-la-carte-Vegetarian-Menu-Simplified-Chinese-1.pdf | https://heritancehotels.eme-devops.com/2026/10/Ralu-A-la-carte-Vegetarian-Menu-Simplified-Chinese.pdf</t>
        </is>
      </c>
      <c r="O497" t="inlineStr">
        <is>
          <t>ee076a75faeab25decbcf30a39969b9cbde4c05efc1d6c45fcf96a68f4159db5</t>
        </is>
      </c>
      <c r="P497" t="inlineStr">
        <is>
          <t>library/035_heritance-aarah/dining_menu/2026_Ralu-A-la-carte-Vegetarian-Menu-Simplified-Chinese-1.pdf</t>
        </is>
      </c>
      <c r="R497" t="inlineStr">
        <is>
          <t>current</t>
        </is>
      </c>
      <c r="S497" t="inlineStr">
        <is>
          <t>N</t>
        </is>
      </c>
      <c r="T497" t="inlineStr">
        <is>
          <t>needs-review</t>
        </is>
      </c>
      <c r="U497" t="inlineStr">
        <is>
          <t>2026-10-04</t>
        </is>
      </c>
      <c r="V497" t="inlineStr">
        <is>
          <t>ambiguous match [35]</t>
        </is>
      </c>
    </row>
    <row r="498">
      <c r="A498" t="n">
        <v>35</v>
      </c>
      <c r="B498" t="inlineStr">
        <is>
          <t>Heritance Aarah</t>
        </is>
      </c>
      <c r="C498" t="inlineStr">
        <is>
          <t>dining_menu</t>
        </is>
      </c>
      <c r="D498" t="inlineStr">
        <is>
          <t>2026_Ralu-Afternoon-Menu-Simplified-Chinese-1.pdf</t>
        </is>
      </c>
      <c r="E498" t="n">
        <v>2026</v>
      </c>
      <c r="H498" t="n">
        <v>1</v>
      </c>
      <c r="I498" t="n">
        <v>489</v>
      </c>
      <c r="J498" t="inlineStr">
        <is>
          <t>Y</t>
        </is>
      </c>
      <c r="K498" t="inlineStr">
        <is>
          <t>heritancehotels.com</t>
        </is>
      </c>
      <c r="L498" t="inlineStr">
        <is>
          <t>official</t>
        </is>
      </c>
      <c r="M498" t="inlineStr">
        <is>
          <t>https://heritancehotels.eme-devops.com/2026/10/Ralu-Afternoon-Menu-Simplified-Chinese-1.pdf</t>
        </is>
      </c>
      <c r="N498" t="inlineStr">
        <is>
          <t>https://heritancehotels.eme-devops.com/2026/10/Ralu-Afternoon-Menu-Simplified-Chinese-1.pdf | https://heritancehotels.eme-devops.com/2026/10/Ralu-Afternoon-Menu-Simplified-Chinese.pdf</t>
        </is>
      </c>
      <c r="O498" t="inlineStr">
        <is>
          <t>2d3b224ee3f11981570d2fbf5f14acdfbcb79a75888e46efbcdf1d3cf689b198</t>
        </is>
      </c>
      <c r="P498" t="inlineStr">
        <is>
          <t>library/035_heritance-aarah/dining_menu/2026_Ralu-Afternoon-Menu-Simplified-Chinese-1.pdf</t>
        </is>
      </c>
      <c r="R498" t="inlineStr">
        <is>
          <t>current</t>
        </is>
      </c>
      <c r="S498" t="inlineStr">
        <is>
          <t>N</t>
        </is>
      </c>
      <c r="T498" t="inlineStr">
        <is>
          <t>needs-review</t>
        </is>
      </c>
      <c r="U498" t="inlineStr">
        <is>
          <t>2026-10-04</t>
        </is>
      </c>
      <c r="V498" t="inlineStr">
        <is>
          <t>ambiguous match [35]</t>
        </is>
      </c>
    </row>
    <row r="499">
      <c r="A499" t="n">
        <v>35</v>
      </c>
      <c r="B499" t="inlineStr">
        <is>
          <t>Heritance Aarah</t>
        </is>
      </c>
      <c r="C499" t="inlineStr">
        <is>
          <t>dining_menu</t>
        </is>
      </c>
      <c r="D499" t="inlineStr">
        <is>
          <t>2026_Bandhi-Pizza-Snack-Menu-Simplified-Chinese.pdf</t>
        </is>
      </c>
      <c r="E499" t="n">
        <v>2026</v>
      </c>
      <c r="H499" t="n">
        <v>1</v>
      </c>
      <c r="I499" t="n">
        <v>208</v>
      </c>
      <c r="J499" t="inlineStr">
        <is>
          <t>Y</t>
        </is>
      </c>
      <c r="K499" t="inlineStr">
        <is>
          <t>heritancehotels.com</t>
        </is>
      </c>
      <c r="L499" t="inlineStr">
        <is>
          <t>official</t>
        </is>
      </c>
      <c r="M499" t="inlineStr">
        <is>
          <t>https://heritancehotels.eme-devops.com/2026/10/Bandhi-Pizza-Snack-Menu-Simplified-Chinese.pdf</t>
        </is>
      </c>
      <c r="N499" t="inlineStr">
        <is>
          <t>https://heritancehotels.eme-devops.com/2026/10/Bandhi-Pizza-Snack-Menu-Simplified-Chinese.pdf | https://heritancehotels.eme-devops.com/2026/09/Bandhi-Pizza-Snack-Menu-Simplified-Chinese.pdf</t>
        </is>
      </c>
      <c r="O499" t="inlineStr">
        <is>
          <t>0aba6a789d984e0f1024e6bd531f60eb9005c0f9977a62df0960cb5b4d271e98</t>
        </is>
      </c>
      <c r="P499" t="inlineStr">
        <is>
          <t>library/035_heritance-aarah/dining_menu/2026_Bandhi-Pizza-Snack-Menu-Simplified-Chinese.pdf</t>
        </is>
      </c>
      <c r="R499" t="inlineStr">
        <is>
          <t>current</t>
        </is>
      </c>
      <c r="S499" t="inlineStr">
        <is>
          <t>N</t>
        </is>
      </c>
      <c r="T499" t="inlineStr">
        <is>
          <t>needs-review</t>
        </is>
      </c>
      <c r="U499" t="inlineStr">
        <is>
          <t>2026-10-04</t>
        </is>
      </c>
      <c r="V499" t="inlineStr">
        <is>
          <t>ambiguous match [35]</t>
        </is>
      </c>
    </row>
    <row r="500">
      <c r="A500" t="n">
        <v>35</v>
      </c>
      <c r="B500" t="inlineStr">
        <is>
          <t>Heritance Aarah</t>
        </is>
      </c>
      <c r="C500" t="inlineStr">
        <is>
          <t>dining_menu</t>
        </is>
      </c>
      <c r="D500" t="inlineStr">
        <is>
          <t>2026_Ranba-Vegetarian-Menu-Russian.pdf</t>
        </is>
      </c>
      <c r="E500" t="n">
        <v>2026</v>
      </c>
      <c r="H500" t="n">
        <v>4</v>
      </c>
      <c r="I500" t="n">
        <v>178</v>
      </c>
      <c r="J500" t="inlineStr">
        <is>
          <t>Y</t>
        </is>
      </c>
      <c r="K500" t="inlineStr">
        <is>
          <t>heritancehotels.com</t>
        </is>
      </c>
      <c r="L500" t="inlineStr">
        <is>
          <t>official</t>
        </is>
      </c>
      <c r="M500" t="inlineStr">
        <is>
          <t>https://heritancehotels.eme-devops.com/2026/10/Ranba-Vegetarian-Menu-Russian.pdf</t>
        </is>
      </c>
      <c r="N500" t="inlineStr">
        <is>
          <t>https://heritancehotels.eme-devops.com/2026/10/Ranba-Vegetarian-Menu-Russian.pdf</t>
        </is>
      </c>
      <c r="O500" t="inlineStr">
        <is>
          <t>6028c9c13a8de4f0b9a8b2f74a87220c5095f195744b4569b7d3957e66842544</t>
        </is>
      </c>
      <c r="P500" t="inlineStr">
        <is>
          <t>library/035_heritance-aarah/dining_menu/2026_Ranba-Vegetarian-Menu-Russian.pdf</t>
        </is>
      </c>
      <c r="R500" t="inlineStr">
        <is>
          <t>current</t>
        </is>
      </c>
      <c r="S500" t="inlineStr">
        <is>
          <t>N</t>
        </is>
      </c>
      <c r="T500" t="inlineStr">
        <is>
          <t>needs-review</t>
        </is>
      </c>
      <c r="U500" t="inlineStr">
        <is>
          <t>2026-10-04</t>
        </is>
      </c>
      <c r="V500" t="inlineStr">
        <is>
          <t>ambiguous match [35]</t>
        </is>
      </c>
    </row>
    <row r="501">
      <c r="A501" t="n">
        <v>35</v>
      </c>
      <c r="B501" t="inlineStr">
        <is>
          <t>Heritance Aarah</t>
        </is>
      </c>
      <c r="C501" t="inlineStr">
        <is>
          <t>dining_menu</t>
        </is>
      </c>
      <c r="D501" t="inlineStr">
        <is>
          <t>2026_Ranba-A-la-carte-Lunch-Dinner-Simplified-Chinese.pdf</t>
        </is>
      </c>
      <c r="E501" t="n">
        <v>2026</v>
      </c>
      <c r="H501" t="n">
        <v>4</v>
      </c>
      <c r="I501" t="n">
        <v>270</v>
      </c>
      <c r="J501" t="inlineStr">
        <is>
          <t>Y</t>
        </is>
      </c>
      <c r="K501" t="inlineStr">
        <is>
          <t>heritancehotels.com</t>
        </is>
      </c>
      <c r="L501" t="inlineStr">
        <is>
          <t>official</t>
        </is>
      </c>
      <c r="M501" t="inlineStr">
        <is>
          <t>https://heritancehotels.eme-devops.com/2026/10/Ranba-A-la-carte-Lunch-Dinner-Simplified-Chinese.pdf</t>
        </is>
      </c>
      <c r="N501" t="inlineStr">
        <is>
          <t>https://heritancehotels.eme-devops.com/2026/10/Ranba-A-la-carte-Lunch-Dinner-Simplified-Chinese.pdf</t>
        </is>
      </c>
      <c r="O501" t="inlineStr">
        <is>
          <t>37c401e472f64ef800ceffbe6d26cb1ffcbaede4fd95c8bb91dc15e48c774080</t>
        </is>
      </c>
      <c r="P501" t="inlineStr">
        <is>
          <t>library/035_heritance-aarah/dining_menu/2026_Ranba-A-la-carte-Lunch-Dinner-Simplified-Chinese.pdf</t>
        </is>
      </c>
      <c r="R501" t="inlineStr">
        <is>
          <t>current</t>
        </is>
      </c>
      <c r="S501" t="inlineStr">
        <is>
          <t>N</t>
        </is>
      </c>
      <c r="T501" t="inlineStr">
        <is>
          <t>needs-review</t>
        </is>
      </c>
      <c r="U501" t="inlineStr">
        <is>
          <t>2026-10-04</t>
        </is>
      </c>
      <c r="V501" t="inlineStr">
        <is>
          <t>ambiguous match [35]</t>
        </is>
      </c>
    </row>
    <row r="502">
      <c r="A502" t="n">
        <v>35</v>
      </c>
      <c r="B502" t="inlineStr">
        <is>
          <t>Heritance Aarah</t>
        </is>
      </c>
      <c r="C502" t="inlineStr">
        <is>
          <t>dining_menu</t>
        </is>
      </c>
      <c r="D502" t="inlineStr">
        <is>
          <t>2026_Ambula-Set-Menu-Non-VegetarianRussian.pdf</t>
        </is>
      </c>
      <c r="E502" t="n">
        <v>2026</v>
      </c>
      <c r="H502" t="n">
        <v>1</v>
      </c>
      <c r="I502" t="n">
        <v>195</v>
      </c>
      <c r="J502" t="inlineStr">
        <is>
          <t>Y</t>
        </is>
      </c>
      <c r="K502" t="inlineStr">
        <is>
          <t>heritancehotels.com</t>
        </is>
      </c>
      <c r="L502" t="inlineStr">
        <is>
          <t>official</t>
        </is>
      </c>
      <c r="M502" t="inlineStr">
        <is>
          <t>https://heritancehotels.eme-devops.com/2026/10/Ambula-Set-Menu-Non-VegetarianRussian.pdf</t>
        </is>
      </c>
      <c r="N502" t="inlineStr">
        <is>
          <t>https://heritancehotels.eme-devops.com/2026/10/Ambula-Set-Menu-Non-VegetarianRussian.pdf</t>
        </is>
      </c>
      <c r="O502" t="inlineStr">
        <is>
          <t>49e0e5bdc74685152b99b98519f73cb416266de4c5c94966803b08ed61de4fc2</t>
        </is>
      </c>
      <c r="P502" t="inlineStr">
        <is>
          <t>library/035_heritance-aarah/dining_menu/2026_Ambula-Set-Menu-Non-VegetarianRussian.pdf</t>
        </is>
      </c>
      <c r="R502" t="inlineStr">
        <is>
          <t>current</t>
        </is>
      </c>
      <c r="S502" t="inlineStr">
        <is>
          <t>N</t>
        </is>
      </c>
      <c r="T502" t="inlineStr">
        <is>
          <t>needs-review</t>
        </is>
      </c>
      <c r="U502" t="inlineStr">
        <is>
          <t>2026-10-04</t>
        </is>
      </c>
      <c r="V502" t="inlineStr">
        <is>
          <t>ambiguous match [35]</t>
        </is>
      </c>
    </row>
    <row r="503">
      <c r="A503" t="n">
        <v>35</v>
      </c>
      <c r="B503" t="inlineStr">
        <is>
          <t>Heritance Aarah</t>
        </is>
      </c>
      <c r="C503" t="inlineStr">
        <is>
          <t>dining_menu</t>
        </is>
      </c>
      <c r="D503" t="inlineStr">
        <is>
          <t>2026_Ambula-Set-Menu-Vegetarian-Russian.pdf</t>
        </is>
      </c>
      <c r="E503" t="n">
        <v>2026</v>
      </c>
      <c r="H503" t="n">
        <v>1</v>
      </c>
      <c r="I503" t="n">
        <v>196</v>
      </c>
      <c r="J503" t="inlineStr">
        <is>
          <t>Y</t>
        </is>
      </c>
      <c r="K503" t="inlineStr">
        <is>
          <t>heritancehotels.com</t>
        </is>
      </c>
      <c r="L503" t="inlineStr">
        <is>
          <t>official</t>
        </is>
      </c>
      <c r="M503" t="inlineStr">
        <is>
          <t>https://heritancehotels.eme-devops.com/2026/10/Ambula-Set-Menu-Vegetarian-Russian.pdf</t>
        </is>
      </c>
      <c r="N503" t="inlineStr">
        <is>
          <t>https://heritancehotels.eme-devops.com/2026/10/Ambula-Set-Menu-Vegetarian-Russian.pdf</t>
        </is>
      </c>
      <c r="O503" t="inlineStr">
        <is>
          <t>e7f1f178d6c75ced3bcd20d702c7b251e97483b57a7bb6543dd401f39026d483</t>
        </is>
      </c>
      <c r="P503" t="inlineStr">
        <is>
          <t>library/035_heritance-aarah/dining_menu/2026_Ambula-Set-Menu-Vegetarian-Russian.pdf</t>
        </is>
      </c>
      <c r="R503" t="inlineStr">
        <is>
          <t>current</t>
        </is>
      </c>
      <c r="S503" t="inlineStr">
        <is>
          <t>N</t>
        </is>
      </c>
      <c r="T503" t="inlineStr">
        <is>
          <t>needs-review</t>
        </is>
      </c>
      <c r="U503" t="inlineStr">
        <is>
          <t>2026-10-04</t>
        </is>
      </c>
      <c r="V503" t="inlineStr">
        <is>
          <t>ambiguous match [35]</t>
        </is>
      </c>
    </row>
    <row r="504">
      <c r="A504" t="n">
        <v>35</v>
      </c>
      <c r="B504" t="inlineStr">
        <is>
          <t>Heritance Aarah</t>
        </is>
      </c>
      <c r="C504" t="inlineStr">
        <is>
          <t>dining_menu</t>
        </is>
      </c>
      <c r="D504" t="inlineStr">
        <is>
          <t>2026_Ambula-Vegetarian-Menu-Simplified-Chinese.pdf</t>
        </is>
      </c>
      <c r="E504" t="n">
        <v>2026</v>
      </c>
      <c r="H504" t="n">
        <v>1</v>
      </c>
      <c r="I504" t="n">
        <v>362</v>
      </c>
      <c r="J504" t="inlineStr">
        <is>
          <t>Y</t>
        </is>
      </c>
      <c r="K504" t="inlineStr">
        <is>
          <t>heritancehotels.com</t>
        </is>
      </c>
      <c r="L504" t="inlineStr">
        <is>
          <t>official</t>
        </is>
      </c>
      <c r="M504" t="inlineStr">
        <is>
          <t>https://heritancehotels.eme-devops.com/2026/10/Ambula-Vegetarian-Menu-Simplified-Chinese.pdf</t>
        </is>
      </c>
      <c r="N504" t="inlineStr">
        <is>
          <t>https://heritancehotels.eme-devops.com/2026/10/Ambula-Vegetarian-Menu-Simplified-Chinese.pdf</t>
        </is>
      </c>
      <c r="O504" t="inlineStr">
        <is>
          <t>3b5a4f7808df6f3a0657e01a38974673228902394410f604667d8ee471e89b61</t>
        </is>
      </c>
      <c r="P504" t="inlineStr">
        <is>
          <t>library/035_heritance-aarah/dining_menu/2026_Ambula-Vegetarian-Menu-Simplified-Chinese.pdf</t>
        </is>
      </c>
      <c r="R504" t="inlineStr">
        <is>
          <t>current</t>
        </is>
      </c>
      <c r="S504" t="inlineStr">
        <is>
          <t>N</t>
        </is>
      </c>
      <c r="T504" t="inlineStr">
        <is>
          <t>needs-review</t>
        </is>
      </c>
      <c r="U504" t="inlineStr">
        <is>
          <t>2026-10-04</t>
        </is>
      </c>
      <c r="V504" t="inlineStr">
        <is>
          <t>ambiguous match [35]</t>
        </is>
      </c>
    </row>
    <row r="505">
      <c r="A505" t="n">
        <v>35</v>
      </c>
      <c r="B505" t="inlineStr">
        <is>
          <t>Heritance Aarah</t>
        </is>
      </c>
      <c r="C505" t="inlineStr">
        <is>
          <t>dining_menu</t>
        </is>
      </c>
      <c r="D505" t="inlineStr">
        <is>
          <t>2026_Baani-Ala-Carte-Lunch-Russian.pdf</t>
        </is>
      </c>
      <c r="E505" t="n">
        <v>2026</v>
      </c>
      <c r="H505" t="n">
        <v>6</v>
      </c>
      <c r="I505" t="n">
        <v>2069</v>
      </c>
      <c r="J505" t="inlineStr">
        <is>
          <t>Y</t>
        </is>
      </c>
      <c r="K505" t="inlineStr">
        <is>
          <t>heritancehotels.com</t>
        </is>
      </c>
      <c r="L505" t="inlineStr">
        <is>
          <t>official</t>
        </is>
      </c>
      <c r="M505" t="inlineStr">
        <is>
          <t>https://heritancehotels.eme-devops.com/2026/10/Baani-Ala-Carte-Lunch-Russian.pdf</t>
        </is>
      </c>
      <c r="N505" t="inlineStr">
        <is>
          <t>https://heritancehotels.eme-devops.com/2026/10/Baani-Ala-Carte-Lunch-Russian.pdf</t>
        </is>
      </c>
      <c r="O505" t="inlineStr">
        <is>
          <t>397694ba5d846861ddc90ea3f49159b75970144bb3cf86e1f08053767f7aaaa8</t>
        </is>
      </c>
      <c r="P505" t="inlineStr">
        <is>
          <t>library/035_heritance-aarah/dining_menu/2026_Baani-Ala-Carte-Lunch-Russian.pdf</t>
        </is>
      </c>
      <c r="R505" t="inlineStr">
        <is>
          <t>current</t>
        </is>
      </c>
      <c r="S505" t="inlineStr">
        <is>
          <t>N</t>
        </is>
      </c>
      <c r="T505" t="inlineStr">
        <is>
          <t>needs-review</t>
        </is>
      </c>
      <c r="U505" t="inlineStr">
        <is>
          <t>2026-10-04</t>
        </is>
      </c>
      <c r="V505" t="inlineStr">
        <is>
          <t>ambiguous match [35]</t>
        </is>
      </c>
    </row>
    <row r="506">
      <c r="A506" t="n">
        <v>35</v>
      </c>
      <c r="B506" t="inlineStr">
        <is>
          <t>Heritance Aarah</t>
        </is>
      </c>
      <c r="C506" t="inlineStr">
        <is>
          <t>dining_menu</t>
        </is>
      </c>
      <c r="D506" t="inlineStr">
        <is>
          <t>2026_Baani-Veg-Ala-Carte-Russian.pdf</t>
        </is>
      </c>
      <c r="E506" t="n">
        <v>2026</v>
      </c>
      <c r="H506" t="n">
        <v>4</v>
      </c>
      <c r="I506" t="n">
        <v>715</v>
      </c>
      <c r="J506" t="inlineStr">
        <is>
          <t>Y</t>
        </is>
      </c>
      <c r="K506" t="inlineStr">
        <is>
          <t>heritancehotels.com</t>
        </is>
      </c>
      <c r="L506" t="inlineStr">
        <is>
          <t>official</t>
        </is>
      </c>
      <c r="M506" t="inlineStr">
        <is>
          <t>https://heritancehotels.eme-devops.com/2026/10/Baani-Veg-Ala-Carte-Russian.pdf</t>
        </is>
      </c>
      <c r="N506" t="inlineStr">
        <is>
          <t>https://heritancehotels.eme-devops.com/2026/10/Baani-Veg-Ala-Carte-Russian.pdf</t>
        </is>
      </c>
      <c r="O506" t="inlineStr">
        <is>
          <t>49d02e320f6a893d3789fb60b88f6e60ceaae2962cb5c05b99931aa2f665d6c7</t>
        </is>
      </c>
      <c r="P506" t="inlineStr">
        <is>
          <t>library/035_heritance-aarah/dining_menu/2026_Baani-Veg-Ala-Carte-Russian.pdf</t>
        </is>
      </c>
      <c r="R506" t="inlineStr">
        <is>
          <t>current</t>
        </is>
      </c>
      <c r="S506" t="inlineStr">
        <is>
          <t>N</t>
        </is>
      </c>
      <c r="T506" t="inlineStr">
        <is>
          <t>needs-review</t>
        </is>
      </c>
      <c r="U506" t="inlineStr">
        <is>
          <t>2026-10-04</t>
        </is>
      </c>
      <c r="V506" t="inlineStr">
        <is>
          <t>ambiguous match [35]</t>
        </is>
      </c>
    </row>
    <row r="507">
      <c r="A507" t="n">
        <v>35</v>
      </c>
      <c r="B507" t="inlineStr">
        <is>
          <t>Heritance Aarah</t>
        </is>
      </c>
      <c r="C507" t="inlineStr">
        <is>
          <t>dining_menu</t>
        </is>
      </c>
      <c r="D507" t="inlineStr">
        <is>
          <t>2026_Baani-Lunch-A-la-carte-Menu-Simplified-Chinese.pdf</t>
        </is>
      </c>
      <c r="E507" t="n">
        <v>2026</v>
      </c>
      <c r="H507" t="n">
        <v>6</v>
      </c>
      <c r="I507" t="n">
        <v>2281</v>
      </c>
      <c r="J507" t="inlineStr">
        <is>
          <t>Y</t>
        </is>
      </c>
      <c r="K507" t="inlineStr">
        <is>
          <t>heritancehotels.com</t>
        </is>
      </c>
      <c r="L507" t="inlineStr">
        <is>
          <t>official</t>
        </is>
      </c>
      <c r="M507" t="inlineStr">
        <is>
          <t>https://heritancehotels.eme-devops.com/2026/10/Baani-Lunch-A-la-carte-Menu-Simplified-Chinese.pdf</t>
        </is>
      </c>
      <c r="N507" t="inlineStr">
        <is>
          <t>https://heritancehotels.eme-devops.com/2026/10/Baani-Lunch-A-la-carte-Menu-Simplified-Chinese.pdf</t>
        </is>
      </c>
      <c r="O507" t="inlineStr">
        <is>
          <t>139fa03e4a0a2f4339775f2897ec33451226ab6bb6a55e2e2a687e49b79dbbe0</t>
        </is>
      </c>
      <c r="P507" t="inlineStr">
        <is>
          <t>library/035_heritance-aarah/dining_menu/2026_Baani-Lunch-A-la-carte-Menu-Simplified-Chinese.pdf</t>
        </is>
      </c>
      <c r="R507" t="inlineStr">
        <is>
          <t>current</t>
        </is>
      </c>
      <c r="S507" t="inlineStr">
        <is>
          <t>N</t>
        </is>
      </c>
      <c r="T507" t="inlineStr">
        <is>
          <t>needs-review</t>
        </is>
      </c>
      <c r="U507" t="inlineStr">
        <is>
          <t>2026-10-04</t>
        </is>
      </c>
      <c r="V507" t="inlineStr">
        <is>
          <t>ambiguous match [35]</t>
        </is>
      </c>
    </row>
    <row r="508">
      <c r="A508" t="n">
        <v>35</v>
      </c>
      <c r="B508" t="inlineStr">
        <is>
          <t>Heritance Aarah</t>
        </is>
      </c>
      <c r="C508" t="inlineStr">
        <is>
          <t>dining_menu</t>
        </is>
      </c>
      <c r="D508" t="inlineStr">
        <is>
          <t>2026_Baani-Veg-A-la-carte-Simplified-Chinese.pdf</t>
        </is>
      </c>
      <c r="E508" t="n">
        <v>2026</v>
      </c>
      <c r="H508" t="n">
        <v>4</v>
      </c>
      <c r="I508" t="n">
        <v>2972</v>
      </c>
      <c r="J508" t="inlineStr">
        <is>
          <t>Y</t>
        </is>
      </c>
      <c r="K508" t="inlineStr">
        <is>
          <t>heritancehotels.com</t>
        </is>
      </c>
      <c r="L508" t="inlineStr">
        <is>
          <t>official</t>
        </is>
      </c>
      <c r="M508" t="inlineStr">
        <is>
          <t>https://heritancehotels.eme-devops.com/2026/10/Baani-Veg-A-la-carte-Simplified-Chinese.pdf</t>
        </is>
      </c>
      <c r="N508" t="inlineStr">
        <is>
          <t>https://heritancehotels.eme-devops.com/2026/10/Baani-Veg-A-la-carte-Simplified-Chinese.pdf</t>
        </is>
      </c>
      <c r="O508" t="inlineStr">
        <is>
          <t>a8b28df6fdb2ca5180c4bf617655d5f090d71808c5967641cfde3737076e2b1b</t>
        </is>
      </c>
      <c r="P508" t="inlineStr">
        <is>
          <t>library/035_heritance-aarah/dining_menu/2026_Baani-Veg-A-la-carte-Simplified-Chinese.pdf</t>
        </is>
      </c>
      <c r="R508" t="inlineStr">
        <is>
          <t>current</t>
        </is>
      </c>
      <c r="S508" t="inlineStr">
        <is>
          <t>N</t>
        </is>
      </c>
      <c r="T508" t="inlineStr">
        <is>
          <t>needs-review</t>
        </is>
      </c>
      <c r="U508" t="inlineStr">
        <is>
          <t>2026-10-04</t>
        </is>
      </c>
      <c r="V508" t="inlineStr">
        <is>
          <t>ambiguous match [35]</t>
        </is>
      </c>
    </row>
    <row r="509">
      <c r="A509" t="n">
        <v>35</v>
      </c>
      <c r="B509" t="inlineStr">
        <is>
          <t>Heritance Aarah</t>
        </is>
      </c>
      <c r="C509" t="inlineStr">
        <is>
          <t>dining_menu</t>
        </is>
      </c>
      <c r="D509" t="inlineStr">
        <is>
          <t>2026_Kids-Menu-Simplified-Chinese.pdf</t>
        </is>
      </c>
      <c r="E509" t="n">
        <v>2026</v>
      </c>
      <c r="H509" t="n">
        <v>1</v>
      </c>
      <c r="I509" t="n">
        <v>230</v>
      </c>
      <c r="J509" t="inlineStr">
        <is>
          <t>Y</t>
        </is>
      </c>
      <c r="K509" t="inlineStr">
        <is>
          <t>heritancehotels.com</t>
        </is>
      </c>
      <c r="L509" t="inlineStr">
        <is>
          <t>official</t>
        </is>
      </c>
      <c r="M509" t="inlineStr">
        <is>
          <t>https://heritancehotels.eme-devops.com/2026/10/Kids-Menu-Simplified-Chinese.pdf</t>
        </is>
      </c>
      <c r="N509" t="inlineStr">
        <is>
          <t>https://heritancehotels.eme-devops.com/2026/10/Kids-Menu-Simplified-Chinese.pdf</t>
        </is>
      </c>
      <c r="O509" t="inlineStr">
        <is>
          <t>79f407ccedeb57805df2fa2d25d2827f17a7db8925106a1ab2060ba482e030c5</t>
        </is>
      </c>
      <c r="P509" t="inlineStr">
        <is>
          <t>library/035_heritance-aarah/dining_menu/2026_Kids-Menu-Simplified-Chinese.pdf</t>
        </is>
      </c>
      <c r="R509" t="inlineStr">
        <is>
          <t>current</t>
        </is>
      </c>
      <c r="S509" t="inlineStr">
        <is>
          <t>N</t>
        </is>
      </c>
      <c r="T509" t="inlineStr">
        <is>
          <t>needs-review</t>
        </is>
      </c>
      <c r="U509" t="inlineStr">
        <is>
          <t>2026-10-04</t>
        </is>
      </c>
      <c r="V509" t="inlineStr">
        <is>
          <t>ambiguous match [35]</t>
        </is>
      </c>
    </row>
    <row r="510">
      <c r="A510" t="n">
        <v>35</v>
      </c>
      <c r="B510" t="inlineStr">
        <is>
          <t>Heritance Aarah</t>
        </is>
      </c>
      <c r="C510" t="inlineStr">
        <is>
          <t>dining_menu</t>
        </is>
      </c>
      <c r="D510" t="inlineStr">
        <is>
          <t>2026_Kids-Menu-Russian.pdf</t>
        </is>
      </c>
      <c r="E510" t="n">
        <v>2026</v>
      </c>
      <c r="H510" t="n">
        <v>1</v>
      </c>
      <c r="I510" t="n">
        <v>187</v>
      </c>
      <c r="J510" t="inlineStr">
        <is>
          <t>Y</t>
        </is>
      </c>
      <c r="K510" t="inlineStr">
        <is>
          <t>heritancehotels.com</t>
        </is>
      </c>
      <c r="L510" t="inlineStr">
        <is>
          <t>official</t>
        </is>
      </c>
      <c r="M510" t="inlineStr">
        <is>
          <t>https://heritancehotels.eme-devops.com/2026/10/Kids-Menu-Russian.pdf</t>
        </is>
      </c>
      <c r="N510" t="inlineStr">
        <is>
          <t>https://heritancehotels.eme-devops.com/2026/10/Kids-Menu-Russian.pdf</t>
        </is>
      </c>
      <c r="O510" t="inlineStr">
        <is>
          <t>1c87cc434632e846a543600f5dba85503a2777fd114be5803409dccd649e1a7c</t>
        </is>
      </c>
      <c r="P510" t="inlineStr">
        <is>
          <t>library/035_heritance-aarah/dining_menu/2026_Kids-Menu-Russian.pdf</t>
        </is>
      </c>
      <c r="R510" t="inlineStr">
        <is>
          <t>current</t>
        </is>
      </c>
      <c r="S510" t="inlineStr">
        <is>
          <t>N</t>
        </is>
      </c>
      <c r="T510" t="inlineStr">
        <is>
          <t>needs-review</t>
        </is>
      </c>
      <c r="U510" t="inlineStr">
        <is>
          <t>2026-10-04</t>
        </is>
      </c>
      <c r="V510" t="inlineStr">
        <is>
          <t>ambiguous match [35]</t>
        </is>
      </c>
    </row>
    <row r="511">
      <c r="A511" t="n">
        <v>35</v>
      </c>
      <c r="B511" t="inlineStr">
        <is>
          <t>Heritance Aarah</t>
        </is>
      </c>
      <c r="C511" t="inlineStr">
        <is>
          <t>dining_menu</t>
        </is>
      </c>
      <c r="D511" t="inlineStr">
        <is>
          <t>2026_Ginifati-Menu-Option-1-Russian.pdf</t>
        </is>
      </c>
      <c r="E511" t="n">
        <v>2026</v>
      </c>
      <c r="H511" t="n">
        <v>2</v>
      </c>
      <c r="I511" t="n">
        <v>259</v>
      </c>
      <c r="J511" t="inlineStr">
        <is>
          <t>Y</t>
        </is>
      </c>
      <c r="K511" t="inlineStr">
        <is>
          <t>heritancehotels.com</t>
        </is>
      </c>
      <c r="L511" t="inlineStr">
        <is>
          <t>official</t>
        </is>
      </c>
      <c r="M511" t="inlineStr">
        <is>
          <t>https://heritancehotels.eme-devops.com/2026/09/Ginifati-Menu-Option-1-Russian.pdf</t>
        </is>
      </c>
      <c r="N511" t="inlineStr">
        <is>
          <t>https://heritancehotels.eme-devops.com/2026/09/Ginifati-Menu-Option-1-Russian.pdf</t>
        </is>
      </c>
      <c r="O511" t="inlineStr">
        <is>
          <t>f0da91e6518ffd2f54f2c2952aeda4f50734c587ea62df146e87e7b1634cb461</t>
        </is>
      </c>
      <c r="P511" t="inlineStr">
        <is>
          <t>library/035_heritance-aarah/dining_menu/2026_Ginifati-Menu-Option-1-Russian.pdf</t>
        </is>
      </c>
      <c r="R511" t="inlineStr">
        <is>
          <t>current</t>
        </is>
      </c>
      <c r="S511" t="inlineStr">
        <is>
          <t>N</t>
        </is>
      </c>
      <c r="T511" t="inlineStr">
        <is>
          <t>needs-review</t>
        </is>
      </c>
      <c r="U511" t="inlineStr">
        <is>
          <t>2026-10-04</t>
        </is>
      </c>
      <c r="V511" t="inlineStr">
        <is>
          <t>ambiguous match [35]</t>
        </is>
      </c>
    </row>
    <row r="512">
      <c r="A512" t="n">
        <v>35</v>
      </c>
      <c r="B512" t="inlineStr">
        <is>
          <t>Heritance Aarah</t>
        </is>
      </c>
      <c r="C512" t="inlineStr">
        <is>
          <t>dining_menu</t>
        </is>
      </c>
      <c r="D512" t="inlineStr">
        <is>
          <t>2026_Ginifati-Vegan-Menu-Russian.pdf</t>
        </is>
      </c>
      <c r="E512" t="n">
        <v>2026</v>
      </c>
      <c r="H512" t="n">
        <v>1</v>
      </c>
      <c r="I512" t="n">
        <v>140</v>
      </c>
      <c r="J512" t="inlineStr">
        <is>
          <t>Y</t>
        </is>
      </c>
      <c r="K512" t="inlineStr">
        <is>
          <t>heritancehotels.com</t>
        </is>
      </c>
      <c r="L512" t="inlineStr">
        <is>
          <t>official</t>
        </is>
      </c>
      <c r="M512" t="inlineStr">
        <is>
          <t>https://heritancehotels.eme-devops.com/2026/09/Ginifati-Vegan-Menu-Russian.pdf</t>
        </is>
      </c>
      <c r="N512" t="inlineStr">
        <is>
          <t>https://heritancehotels.eme-devops.com/2026/09/Ginifati-Vegan-Menu-Russian.pdf</t>
        </is>
      </c>
      <c r="O512" t="inlineStr">
        <is>
          <t>2fa5e395a753fd0397f20d2e7bf921a9c2e8ddc6b72fbe39859f2166e5ee0e13</t>
        </is>
      </c>
      <c r="P512" t="inlineStr">
        <is>
          <t>library/035_heritance-aarah/dining_menu/2026_Ginifati-Vegan-Menu-Russian.pdf</t>
        </is>
      </c>
      <c r="R512" t="inlineStr">
        <is>
          <t>current</t>
        </is>
      </c>
      <c r="S512" t="inlineStr">
        <is>
          <t>N</t>
        </is>
      </c>
      <c r="T512" t="inlineStr">
        <is>
          <t>needs-review</t>
        </is>
      </c>
      <c r="U512" t="inlineStr">
        <is>
          <t>2026-10-04</t>
        </is>
      </c>
      <c r="V512" t="inlineStr">
        <is>
          <t>ambiguous match [35]</t>
        </is>
      </c>
    </row>
    <row r="513">
      <c r="A513" t="n">
        <v>35</v>
      </c>
      <c r="B513" t="inlineStr">
        <is>
          <t>Heritance Aarah</t>
        </is>
      </c>
      <c r="C513" t="inlineStr">
        <is>
          <t>dining_menu</t>
        </is>
      </c>
      <c r="D513" t="inlineStr">
        <is>
          <t>2026_Ginifati-Menu-Option-2-Russian.pdf</t>
        </is>
      </c>
      <c r="E513" t="n">
        <v>2026</v>
      </c>
      <c r="H513" t="n">
        <v>2</v>
      </c>
      <c r="I513" t="n">
        <v>209</v>
      </c>
      <c r="J513" t="inlineStr">
        <is>
          <t>Y</t>
        </is>
      </c>
      <c r="K513" t="inlineStr">
        <is>
          <t>heritancehotels.com</t>
        </is>
      </c>
      <c r="L513" t="inlineStr">
        <is>
          <t>official</t>
        </is>
      </c>
      <c r="M513" t="inlineStr">
        <is>
          <t>https://heritancehotels.eme-devops.com/2026/09/Ginifati-Menu-Option-2-Russian.pdf</t>
        </is>
      </c>
      <c r="N513" t="inlineStr">
        <is>
          <t>https://heritancehotels.eme-devops.com/2026/09/Ginifati-Menu-Option-2-Russian.pdf</t>
        </is>
      </c>
      <c r="O513" t="inlineStr">
        <is>
          <t>a0912088e2767d4210adf6feba28cd448811d528c121beedd7b611807c1b3349</t>
        </is>
      </c>
      <c r="P513" t="inlineStr">
        <is>
          <t>library/035_heritance-aarah/dining_menu/2026_Ginifati-Menu-Option-2-Russian.pdf</t>
        </is>
      </c>
      <c r="R513" t="inlineStr">
        <is>
          <t>current</t>
        </is>
      </c>
      <c r="S513" t="inlineStr">
        <is>
          <t>N</t>
        </is>
      </c>
      <c r="T513" t="inlineStr">
        <is>
          <t>needs-review</t>
        </is>
      </c>
      <c r="U513" t="inlineStr">
        <is>
          <t>2026-10-04</t>
        </is>
      </c>
      <c r="V513" t="inlineStr">
        <is>
          <t>ambiguous match [35]</t>
        </is>
      </c>
    </row>
    <row r="514">
      <c r="A514" t="n">
        <v>35</v>
      </c>
      <c r="B514" t="inlineStr">
        <is>
          <t>Heritance Aarah</t>
        </is>
      </c>
      <c r="C514" t="inlineStr">
        <is>
          <t>dining_menu</t>
        </is>
      </c>
      <c r="D514" t="inlineStr">
        <is>
          <t>2026_Ginifati-Menu-Option-2-Simplified-Chinese.pdf</t>
        </is>
      </c>
      <c r="E514" t="n">
        <v>2026</v>
      </c>
      <c r="H514" t="n">
        <v>2</v>
      </c>
      <c r="I514" t="n">
        <v>306</v>
      </c>
      <c r="J514" t="inlineStr">
        <is>
          <t>Y</t>
        </is>
      </c>
      <c r="K514" t="inlineStr">
        <is>
          <t>heritancehotels.com</t>
        </is>
      </c>
      <c r="L514" t="inlineStr">
        <is>
          <t>official</t>
        </is>
      </c>
      <c r="M514" t="inlineStr">
        <is>
          <t>https://heritancehotels.eme-devops.com/2026/09/Ginifati-Menu-Option-2-Simplified-Chinese.pdf</t>
        </is>
      </c>
      <c r="N514" t="inlineStr">
        <is>
          <t>https://heritancehotels.eme-devops.com/2026/09/Ginifati-Menu-Option-2-Simplified-Chinese.pdf</t>
        </is>
      </c>
      <c r="O514" t="inlineStr">
        <is>
          <t>145d3765d5ce367a68fd6c3530bf798b312d7c509ad6f78ab73dbe3f3776ed6a</t>
        </is>
      </c>
      <c r="P514" t="inlineStr">
        <is>
          <t>library/035_heritance-aarah/dining_menu/2026_Ginifati-Menu-Option-2-Simplified-Chinese.pdf</t>
        </is>
      </c>
      <c r="R514" t="inlineStr">
        <is>
          <t>current</t>
        </is>
      </c>
      <c r="S514" t="inlineStr">
        <is>
          <t>N</t>
        </is>
      </c>
      <c r="T514" t="inlineStr">
        <is>
          <t>needs-review</t>
        </is>
      </c>
      <c r="U514" t="inlineStr">
        <is>
          <t>2026-10-04</t>
        </is>
      </c>
      <c r="V514" t="inlineStr">
        <is>
          <t>ambiguous match [35]</t>
        </is>
      </c>
    </row>
    <row r="515">
      <c r="A515" t="n">
        <v>35</v>
      </c>
      <c r="B515" t="inlineStr">
        <is>
          <t>Heritance Aarah</t>
        </is>
      </c>
      <c r="C515" t="inlineStr">
        <is>
          <t>dining_menu</t>
        </is>
      </c>
      <c r="D515" t="inlineStr">
        <is>
          <t>2026_Ginifati-Menu-Option-1-Simplified-Chinese.pdf</t>
        </is>
      </c>
      <c r="E515" t="n">
        <v>2026</v>
      </c>
      <c r="H515" t="n">
        <v>2</v>
      </c>
      <c r="I515" t="n">
        <v>336</v>
      </c>
      <c r="J515" t="inlineStr">
        <is>
          <t>Y</t>
        </is>
      </c>
      <c r="K515" t="inlineStr">
        <is>
          <t>heritancehotels.com</t>
        </is>
      </c>
      <c r="L515" t="inlineStr">
        <is>
          <t>official</t>
        </is>
      </c>
      <c r="M515" t="inlineStr">
        <is>
          <t>https://heritancehotels.eme-devops.com/2026/09/Ginifati-Menu-Option-1-Simplified-Chinese.pdf</t>
        </is>
      </c>
      <c r="N515" t="inlineStr">
        <is>
          <t>https://heritancehotels.eme-devops.com/2026/09/Ginifati-Menu-Option-1-Simplified-Chinese.pdf</t>
        </is>
      </c>
      <c r="O515" t="inlineStr">
        <is>
          <t>2d9ee720f7ce2c383af8aef5395e35b53e902a16918b9915a09b71c4f70f2c55</t>
        </is>
      </c>
      <c r="P515" t="inlineStr">
        <is>
          <t>library/035_heritance-aarah/dining_menu/2026_Ginifati-Menu-Option-1-Simplified-Chinese.pdf</t>
        </is>
      </c>
      <c r="R515" t="inlineStr">
        <is>
          <t>current</t>
        </is>
      </c>
      <c r="S515" t="inlineStr">
        <is>
          <t>N</t>
        </is>
      </c>
      <c r="T515" t="inlineStr">
        <is>
          <t>needs-review</t>
        </is>
      </c>
      <c r="U515" t="inlineStr">
        <is>
          <t>2026-10-04</t>
        </is>
      </c>
      <c r="V515" t="inlineStr">
        <is>
          <t>ambiguous match [35]</t>
        </is>
      </c>
    </row>
    <row r="516">
      <c r="A516" t="n">
        <v>35</v>
      </c>
      <c r="B516" t="inlineStr">
        <is>
          <t>Heritance Aarah</t>
        </is>
      </c>
      <c r="C516" t="inlineStr">
        <is>
          <t>dining_menu</t>
        </is>
      </c>
      <c r="D516" t="inlineStr">
        <is>
          <t>2026_Ginifati-Vegan-Menu-Simplified-Chinese.pdf</t>
        </is>
      </c>
      <c r="E516" t="n">
        <v>2026</v>
      </c>
      <c r="H516" t="n">
        <v>1</v>
      </c>
      <c r="I516" t="n">
        <v>194</v>
      </c>
      <c r="J516" t="inlineStr">
        <is>
          <t>Y</t>
        </is>
      </c>
      <c r="K516" t="inlineStr">
        <is>
          <t>heritancehotels.com</t>
        </is>
      </c>
      <c r="L516" t="inlineStr">
        <is>
          <t>official</t>
        </is>
      </c>
      <c r="M516" t="inlineStr">
        <is>
          <t>https://heritancehotels.eme-devops.com/2026/09/Ginifati-Vegan-Menu-Simplified-Chinese.pdf</t>
        </is>
      </c>
      <c r="N516" t="inlineStr">
        <is>
          <t>https://heritancehotels.eme-devops.com/2026/09/Ginifati-Vegan-Menu-Simplified-Chinese.pdf</t>
        </is>
      </c>
      <c r="O516" t="inlineStr">
        <is>
          <t>4fea6de0426f1c1682a07c95a2e56130b830cde83852f74b341a8bb72f3044fc</t>
        </is>
      </c>
      <c r="P516" t="inlineStr">
        <is>
          <t>library/035_heritance-aarah/dining_menu/2026_Ginifati-Vegan-Menu-Simplified-Chinese.pdf</t>
        </is>
      </c>
      <c r="R516" t="inlineStr">
        <is>
          <t>current</t>
        </is>
      </c>
      <c r="S516" t="inlineStr">
        <is>
          <t>N</t>
        </is>
      </c>
      <c r="T516" t="inlineStr">
        <is>
          <t>needs-review</t>
        </is>
      </c>
      <c r="U516" t="inlineStr">
        <is>
          <t>2026-10-04</t>
        </is>
      </c>
      <c r="V516" t="inlineStr">
        <is>
          <t>ambiguous match [35]</t>
        </is>
      </c>
    </row>
    <row r="517">
      <c r="A517" t="n">
        <v>35</v>
      </c>
      <c r="B517" t="inlineStr">
        <is>
          <t>Heritance Aarah</t>
        </is>
      </c>
      <c r="C517" t="inlineStr">
        <is>
          <t>dining_menu</t>
        </is>
      </c>
      <c r="D517" t="inlineStr">
        <is>
          <t>2026_Ginifati-Vegan-Menu-1.1.pdf</t>
        </is>
      </c>
      <c r="E517" t="n">
        <v>2026</v>
      </c>
      <c r="H517" t="n">
        <v>1</v>
      </c>
      <c r="I517" t="n">
        <v>86</v>
      </c>
      <c r="J517" t="inlineStr">
        <is>
          <t>Y</t>
        </is>
      </c>
      <c r="K517" t="inlineStr">
        <is>
          <t>heritancehotels.com</t>
        </is>
      </c>
      <c r="L517" t="inlineStr">
        <is>
          <t>official</t>
        </is>
      </c>
      <c r="M517" t="inlineStr">
        <is>
          <t>https://heritancehotels.eme-devops.com/2026/09/Ginifati-Vegan-Menu-1.1.pdf</t>
        </is>
      </c>
      <c r="N517" t="inlineStr">
        <is>
          <t>https://heritancehotels.eme-devops.com/2026/09/Ginifati-Vegan-Menu-1.1.pdf</t>
        </is>
      </c>
      <c r="O517" t="inlineStr">
        <is>
          <t>9251c93d3044a0df4d22407e5838971ea60244bb51a29bd4116fe47ce9405c97</t>
        </is>
      </c>
      <c r="P517" t="inlineStr">
        <is>
          <t>library/035_heritance-aarah/dining_menu/2026_Ginifati-Vegan-Menu-1.1.pdf</t>
        </is>
      </c>
      <c r="R517" t="inlineStr">
        <is>
          <t>current</t>
        </is>
      </c>
      <c r="S517" t="inlineStr">
        <is>
          <t>N</t>
        </is>
      </c>
      <c r="T517" t="inlineStr">
        <is>
          <t>needs-review</t>
        </is>
      </c>
      <c r="U517" t="inlineStr">
        <is>
          <t>2026-10-04</t>
        </is>
      </c>
      <c r="V517" t="inlineStr">
        <is>
          <t>ambiguous match [35]</t>
        </is>
      </c>
    </row>
    <row r="518">
      <c r="A518" t="n">
        <v>35</v>
      </c>
      <c r="B518" t="inlineStr">
        <is>
          <t>Heritance Aarah</t>
        </is>
      </c>
      <c r="C518" t="inlineStr">
        <is>
          <t>dining_menu</t>
        </is>
      </c>
      <c r="D518" t="inlineStr">
        <is>
          <t>2026_Ginifati-Menu-Option-2.1.pdf</t>
        </is>
      </c>
      <c r="E518" t="n">
        <v>2026</v>
      </c>
      <c r="H518" t="n">
        <v>2</v>
      </c>
      <c r="I518" t="n">
        <v>154</v>
      </c>
      <c r="J518" t="inlineStr">
        <is>
          <t>Y</t>
        </is>
      </c>
      <c r="K518" t="inlineStr">
        <is>
          <t>heritancehotels.com</t>
        </is>
      </c>
      <c r="L518" t="inlineStr">
        <is>
          <t>official</t>
        </is>
      </c>
      <c r="M518" t="inlineStr">
        <is>
          <t>https://heritancehotels.eme-devops.com/2026/09/Ginifati-Menu-Option-2.1.pdf</t>
        </is>
      </c>
      <c r="N518" t="inlineStr">
        <is>
          <t>https://heritancehotels.eme-devops.com/2026/09/Ginifati-Menu-Option-2.1.pdf</t>
        </is>
      </c>
      <c r="O518" t="inlineStr">
        <is>
          <t>c531e9e988565c9d3daf89d8ab2e766fe3f0dae72da01aae234c9bfbdc086894</t>
        </is>
      </c>
      <c r="P518" t="inlineStr">
        <is>
          <t>library/035_heritance-aarah/dining_menu/2026_Ginifati-Menu-Option-2.1.pdf</t>
        </is>
      </c>
      <c r="R518" t="inlineStr">
        <is>
          <t>current</t>
        </is>
      </c>
      <c r="S518" t="inlineStr">
        <is>
          <t>N</t>
        </is>
      </c>
      <c r="T518" t="inlineStr">
        <is>
          <t>needs-review</t>
        </is>
      </c>
      <c r="U518" t="inlineStr">
        <is>
          <t>2026-10-04</t>
        </is>
      </c>
      <c r="V518" t="inlineStr">
        <is>
          <t>ambiguous match [35]</t>
        </is>
      </c>
    </row>
    <row r="519">
      <c r="A519" t="n">
        <v>35</v>
      </c>
      <c r="B519" t="inlineStr">
        <is>
          <t>Heritance Aarah</t>
        </is>
      </c>
      <c r="C519" t="inlineStr">
        <is>
          <t>dining_menu</t>
        </is>
      </c>
      <c r="D519" t="inlineStr">
        <is>
          <t>2026_GInifati-Menu-Option-1.1.pdf</t>
        </is>
      </c>
      <c r="E519" t="n">
        <v>2026</v>
      </c>
      <c r="H519" t="n">
        <v>2</v>
      </c>
      <c r="I519" t="n">
        <v>189</v>
      </c>
      <c r="J519" t="inlineStr">
        <is>
          <t>Y</t>
        </is>
      </c>
      <c r="K519" t="inlineStr">
        <is>
          <t>heritancehotels.com</t>
        </is>
      </c>
      <c r="L519" t="inlineStr">
        <is>
          <t>official</t>
        </is>
      </c>
      <c r="M519" t="inlineStr">
        <is>
          <t>https://heritancehotels.eme-devops.com/2026/09/GInifati-Menu-Option-1.1.pdf</t>
        </is>
      </c>
      <c r="N519" t="inlineStr">
        <is>
          <t>https://heritancehotels.eme-devops.com/2026/09/GInifati-Menu-Option-1.1.pdf</t>
        </is>
      </c>
      <c r="O519" t="inlineStr">
        <is>
          <t>9172f385ac95627309f13f7a651b1e8b26d4c386c45491dbd8000e3f3b628cbe</t>
        </is>
      </c>
      <c r="P519" t="inlineStr">
        <is>
          <t>library/035_heritance-aarah/dining_menu/2026_GInifati-Menu-Option-1.1.pdf</t>
        </is>
      </c>
      <c r="R519" t="inlineStr">
        <is>
          <t>current</t>
        </is>
      </c>
      <c r="S519" t="inlineStr">
        <is>
          <t>N</t>
        </is>
      </c>
      <c r="T519" t="inlineStr">
        <is>
          <t>needs-review</t>
        </is>
      </c>
      <c r="U519" t="inlineStr">
        <is>
          <t>2026-10-04</t>
        </is>
      </c>
      <c r="V519" t="inlineStr">
        <is>
          <t>ambiguous match [35]</t>
        </is>
      </c>
    </row>
    <row r="520">
      <c r="A520" t="n">
        <v>35</v>
      </c>
      <c r="B520" t="inlineStr">
        <is>
          <t>Heritance Aarah</t>
        </is>
      </c>
      <c r="C520" t="inlineStr">
        <is>
          <t>dining_menu</t>
        </is>
      </c>
      <c r="D520" t="inlineStr">
        <is>
          <t>2026_Premium-All-Inclusive-Wine-Beverage-List-25.08.2026.pdf</t>
        </is>
      </c>
      <c r="E520" t="n">
        <v>2026</v>
      </c>
      <c r="H520" t="n">
        <v>16</v>
      </c>
      <c r="I520" t="n">
        <v>424</v>
      </c>
      <c r="J520" t="inlineStr">
        <is>
          <t>Y</t>
        </is>
      </c>
      <c r="K520" t="inlineStr">
        <is>
          <t>heritancehotels.com</t>
        </is>
      </c>
      <c r="L520" t="inlineStr">
        <is>
          <t>official</t>
        </is>
      </c>
      <c r="M520" t="inlineStr">
        <is>
          <t>https://heritancehotels.eme-devops.com/2026/08/Premium-All-Inclusive-Wine-Beverage-List-25.08.2026.pdf</t>
        </is>
      </c>
      <c r="N520" t="inlineStr">
        <is>
          <t>https://heritancehotels.eme-devops.com/2026/08/Premium-All-Inclusive-Wine-Beverage-List-25.08.2026.pdf</t>
        </is>
      </c>
      <c r="O520" t="inlineStr">
        <is>
          <t>2e09143005ab8e36efb65f640af2e8949448c1f41e90e27cb29fabbcfe8005a1</t>
        </is>
      </c>
      <c r="P520" t="inlineStr">
        <is>
          <t>library/035_heritance-aarah/dining_menu/2026_Premium-All-Inclusive-Wine-Beverage-List-25.08.2026.pdf</t>
        </is>
      </c>
      <c r="R520" t="inlineStr">
        <is>
          <t>current</t>
        </is>
      </c>
      <c r="S520" t="inlineStr">
        <is>
          <t>Y</t>
        </is>
      </c>
      <c r="T520" t="inlineStr">
        <is>
          <t>needs-review</t>
        </is>
      </c>
      <c r="U520" t="inlineStr">
        <is>
          <t>2026-10-04</t>
        </is>
      </c>
      <c r="V520" t="inlineStr">
        <is>
          <t>ambiguous match [35]</t>
        </is>
      </c>
    </row>
    <row r="521">
      <c r="A521" t="n">
        <v>35</v>
      </c>
      <c r="B521" t="inlineStr">
        <is>
          <t>Heritance Aarah</t>
        </is>
      </c>
      <c r="C521" t="inlineStr">
        <is>
          <t>dining_menu</t>
        </is>
      </c>
      <c r="D521" t="inlineStr">
        <is>
          <t>2026_Baani-Ala-carte-Lunch-1.pdf</t>
        </is>
      </c>
      <c r="E521" t="n">
        <v>2026</v>
      </c>
      <c r="H521" t="n">
        <v>6</v>
      </c>
      <c r="I521" t="n">
        <v>1759</v>
      </c>
      <c r="J521" t="inlineStr">
        <is>
          <t>Y</t>
        </is>
      </c>
      <c r="K521" t="inlineStr">
        <is>
          <t>heritancehotels.com</t>
        </is>
      </c>
      <c r="L521" t="inlineStr">
        <is>
          <t>official</t>
        </is>
      </c>
      <c r="M521" t="inlineStr">
        <is>
          <t>https://heritancehotels.eme-devops.com/2026/08/Baani-Ala-carte-Lunch-1.pdf</t>
        </is>
      </c>
      <c r="N521" t="inlineStr">
        <is>
          <t>https://heritancehotels.eme-devops.com/2026/08/Baani-Ala-carte-Lunch-1.pdf</t>
        </is>
      </c>
      <c r="O521" t="inlineStr">
        <is>
          <t>42a43e76025cae76328e158b56f700ce1260c8268a0b4c4e0fb751b5fbe5ba99</t>
        </is>
      </c>
      <c r="P521" t="inlineStr">
        <is>
          <t>library/035_heritance-aarah/dining_menu/2026_Baani-Ala-carte-Lunch-1.pdf</t>
        </is>
      </c>
      <c r="R521" t="inlineStr">
        <is>
          <t>current</t>
        </is>
      </c>
      <c r="S521" t="inlineStr">
        <is>
          <t>N</t>
        </is>
      </c>
      <c r="T521" t="inlineStr">
        <is>
          <t>needs-review</t>
        </is>
      </c>
      <c r="U521" t="inlineStr">
        <is>
          <t>2026-10-04</t>
        </is>
      </c>
      <c r="V521" t="inlineStr">
        <is>
          <t>ambiguous match [35]</t>
        </is>
      </c>
    </row>
    <row r="522">
      <c r="A522" t="n">
        <v>35</v>
      </c>
      <c r="B522" t="inlineStr">
        <is>
          <t>Heritance Aarah</t>
        </is>
      </c>
      <c r="C522" t="inlineStr">
        <is>
          <t>dining_menu</t>
        </is>
      </c>
      <c r="D522" t="inlineStr">
        <is>
          <t>2026_Ambula-Vegetarian-Set-Menu-Vegetarian.pdf</t>
        </is>
      </c>
      <c r="E522" t="n">
        <v>2026</v>
      </c>
      <c r="H522" t="n">
        <v>1</v>
      </c>
      <c r="I522" t="n">
        <v>313</v>
      </c>
      <c r="J522" t="inlineStr">
        <is>
          <t>Y</t>
        </is>
      </c>
      <c r="K522" t="inlineStr">
        <is>
          <t>heritancehotels.com</t>
        </is>
      </c>
      <c r="L522" t="inlineStr">
        <is>
          <t>official</t>
        </is>
      </c>
      <c r="M522" t="inlineStr">
        <is>
          <t>https://heritancehotels.eme-devops.com/2026/08/Ambula-Vegetarian-Set-Menu-Vegetarian.pdf</t>
        </is>
      </c>
      <c r="N522" t="inlineStr">
        <is>
          <t>https://heritancehotels.eme-devops.com/2026/08/Ambula-Vegetarian-Set-Menu-Vegetarian.pdf</t>
        </is>
      </c>
      <c r="O522" t="inlineStr">
        <is>
          <t>e08fa208a9187718416f8cf9a31ed35244820f53858e3dde98d00dd44fff1307</t>
        </is>
      </c>
      <c r="P522" t="inlineStr">
        <is>
          <t>library/035_heritance-aarah/dining_menu/2026_Ambula-Vegetarian-Set-Menu-Vegetarian.pdf</t>
        </is>
      </c>
      <c r="R522" t="inlineStr">
        <is>
          <t>current</t>
        </is>
      </c>
      <c r="S522" t="inlineStr">
        <is>
          <t>N</t>
        </is>
      </c>
      <c r="T522" t="inlineStr">
        <is>
          <t>needs-review</t>
        </is>
      </c>
      <c r="U522" t="inlineStr">
        <is>
          <t>2026-10-04</t>
        </is>
      </c>
      <c r="V522" t="inlineStr">
        <is>
          <t>ambiguous match [35]</t>
        </is>
      </c>
    </row>
    <row r="523">
      <c r="A523" t="n">
        <v>35</v>
      </c>
      <c r="B523" t="inlineStr">
        <is>
          <t>Heritance Aarah</t>
        </is>
      </c>
      <c r="C523" t="inlineStr">
        <is>
          <t>dining_menu</t>
        </is>
      </c>
      <c r="D523" t="inlineStr">
        <is>
          <t>2026_Ambula-Set-Menu-Non-Vegetarian.pdf</t>
        </is>
      </c>
      <c r="E523" t="n">
        <v>2026</v>
      </c>
      <c r="H523" t="n">
        <v>1</v>
      </c>
      <c r="I523" t="n">
        <v>330</v>
      </c>
      <c r="J523" t="inlineStr">
        <is>
          <t>Y</t>
        </is>
      </c>
      <c r="K523" t="inlineStr">
        <is>
          <t>heritancehotels.com</t>
        </is>
      </c>
      <c r="L523" t="inlineStr">
        <is>
          <t>official</t>
        </is>
      </c>
      <c r="M523" t="inlineStr">
        <is>
          <t>https://heritancehotels.eme-devops.com/2026/08/Ambula-Set-Menu-Non-Vegetarian.pdf</t>
        </is>
      </c>
      <c r="N523" t="inlineStr">
        <is>
          <t>https://heritancehotels.eme-devops.com/2026/08/Ambula-Set-Menu-Non-Vegetarian.pdf</t>
        </is>
      </c>
      <c r="O523" t="inlineStr">
        <is>
          <t>1b400c3132e7dbece19ddb6959a84e690d0b2b53e215e6f742211c115ccc6536</t>
        </is>
      </c>
      <c r="P523" t="inlineStr">
        <is>
          <t>library/035_heritance-aarah/dining_menu/2026_Ambula-Set-Menu-Non-Vegetarian.pdf</t>
        </is>
      </c>
      <c r="R523" t="inlineStr">
        <is>
          <t>current</t>
        </is>
      </c>
      <c r="S523" t="inlineStr">
        <is>
          <t>N</t>
        </is>
      </c>
      <c r="T523" t="inlineStr">
        <is>
          <t>needs-review</t>
        </is>
      </c>
      <c r="U523" t="inlineStr">
        <is>
          <t>2026-10-04</t>
        </is>
      </c>
      <c r="V523" t="inlineStr">
        <is>
          <t>ambiguous match [35]</t>
        </is>
      </c>
    </row>
    <row r="524">
      <c r="A524" t="n">
        <v>35</v>
      </c>
      <c r="B524" t="inlineStr">
        <is>
          <t>Heritance Aarah</t>
        </is>
      </c>
      <c r="C524" t="inlineStr">
        <is>
          <t>dining_menu</t>
        </is>
      </c>
      <c r="D524" t="inlineStr">
        <is>
          <t>2026_Sky-Bar-Nibbles-Menu.pdf</t>
        </is>
      </c>
      <c r="E524" t="n">
        <v>2026</v>
      </c>
      <c r="H524" t="n">
        <v>1</v>
      </c>
      <c r="I524" t="n">
        <v>262</v>
      </c>
      <c r="J524" t="inlineStr">
        <is>
          <t>Y</t>
        </is>
      </c>
      <c r="K524" t="inlineStr">
        <is>
          <t>heritancehotels.com</t>
        </is>
      </c>
      <c r="L524" t="inlineStr">
        <is>
          <t>official</t>
        </is>
      </c>
      <c r="M524" t="inlineStr">
        <is>
          <t>https://heritancehotels.eme-devops.com/2026/08/Sky-Bar-Nibbles-Menu.pdf</t>
        </is>
      </c>
      <c r="N524" t="inlineStr">
        <is>
          <t>https://heritancehotels.eme-devops.com/2026/08/Sky-Bar-Nibbles-Menu.pdf</t>
        </is>
      </c>
      <c r="O524" t="inlineStr">
        <is>
          <t>2a1f4334cf77a221354d7ab8890a27c4e6281a944f470b0ecf83751882e4e8aa</t>
        </is>
      </c>
      <c r="P524" t="inlineStr">
        <is>
          <t>library/035_heritance-aarah/dining_menu/2026_Sky-Bar-Nibbles-Menu.pdf</t>
        </is>
      </c>
      <c r="R524" t="inlineStr">
        <is>
          <t>current</t>
        </is>
      </c>
      <c r="S524" t="inlineStr">
        <is>
          <t>N</t>
        </is>
      </c>
      <c r="T524" t="inlineStr">
        <is>
          <t>needs-review</t>
        </is>
      </c>
      <c r="U524" t="inlineStr">
        <is>
          <t>2026-10-04</t>
        </is>
      </c>
      <c r="V524" t="inlineStr">
        <is>
          <t>ambiguous match [35]</t>
        </is>
      </c>
    </row>
    <row r="525">
      <c r="A525" t="n">
        <v>35</v>
      </c>
      <c r="B525" t="inlineStr">
        <is>
          <t>Heritance Aarah</t>
        </is>
      </c>
      <c r="C525" t="inlineStr">
        <is>
          <t>dining_menu</t>
        </is>
      </c>
      <c r="D525" t="inlineStr">
        <is>
          <t>2026_Ralu-A-la-carte-Vegetarian-Menu.pdf</t>
        </is>
      </c>
      <c r="E525" t="n">
        <v>2026</v>
      </c>
      <c r="H525" t="n">
        <v>1</v>
      </c>
      <c r="I525" t="n">
        <v>482</v>
      </c>
      <c r="J525" t="inlineStr">
        <is>
          <t>Y</t>
        </is>
      </c>
      <c r="K525" t="inlineStr">
        <is>
          <t>heritancehotels.com</t>
        </is>
      </c>
      <c r="L525" t="inlineStr">
        <is>
          <t>official</t>
        </is>
      </c>
      <c r="M525" t="inlineStr">
        <is>
          <t>https://heritancehotels.eme-devops.com/2026/08/Ralu-A-la-carte-Vegetarian-Menu.pdf</t>
        </is>
      </c>
      <c r="N525" t="inlineStr">
        <is>
          <t>https://heritancehotels.eme-devops.com/2026/08/Ralu-A-la-carte-Vegetarian-Menu.pdf</t>
        </is>
      </c>
      <c r="O525" t="inlineStr">
        <is>
          <t>0bd4031e2caaf26c5d912215afa844dfe05f2a93d622f0e6aa26cb94c941d730</t>
        </is>
      </c>
      <c r="P525" t="inlineStr">
        <is>
          <t>library/035_heritance-aarah/dining_menu/2026_Ralu-A-la-carte-Vegetarian-Menu.pdf</t>
        </is>
      </c>
      <c r="R525" t="inlineStr">
        <is>
          <t>current</t>
        </is>
      </c>
      <c r="S525" t="inlineStr">
        <is>
          <t>N</t>
        </is>
      </c>
      <c r="T525" t="inlineStr">
        <is>
          <t>needs-review</t>
        </is>
      </c>
      <c r="U525" t="inlineStr">
        <is>
          <t>2026-10-04</t>
        </is>
      </c>
      <c r="V525" t="inlineStr">
        <is>
          <t>ambiguous match [35]</t>
        </is>
      </c>
    </row>
    <row r="526">
      <c r="A526" t="n">
        <v>35</v>
      </c>
      <c r="B526" t="inlineStr">
        <is>
          <t>Heritance Aarah</t>
        </is>
      </c>
      <c r="C526" t="inlineStr">
        <is>
          <t>dining_menu</t>
        </is>
      </c>
      <c r="D526" t="inlineStr">
        <is>
          <t>2026_Ralu-A-la-carte-Editable.pdf</t>
        </is>
      </c>
      <c r="E526" t="n">
        <v>2026</v>
      </c>
      <c r="H526" t="n">
        <v>2</v>
      </c>
      <c r="I526" t="n">
        <v>961</v>
      </c>
      <c r="J526" t="inlineStr">
        <is>
          <t>Y</t>
        </is>
      </c>
      <c r="K526" t="inlineStr">
        <is>
          <t>heritancehotels.com</t>
        </is>
      </c>
      <c r="L526" t="inlineStr">
        <is>
          <t>official</t>
        </is>
      </c>
      <c r="M526" t="inlineStr">
        <is>
          <t>https://heritancehotels.eme-devops.com/2026/08/Ralu-A-la-carte-Editable.pdf</t>
        </is>
      </c>
      <c r="N526" t="inlineStr">
        <is>
          <t>https://heritancehotels.eme-devops.com/2026/08/Ralu-A-la-carte-Editable.pdf</t>
        </is>
      </c>
      <c r="O526" t="inlineStr">
        <is>
          <t>0697933cf2b341ce3809c0e33860ecd5c7f58dbd51de0fb06bd48a347c40a011</t>
        </is>
      </c>
      <c r="P526" t="inlineStr">
        <is>
          <t>library/035_heritance-aarah/dining_menu/2026_Ralu-A-la-carte-Editable.pdf</t>
        </is>
      </c>
      <c r="R526" t="inlineStr">
        <is>
          <t>current</t>
        </is>
      </c>
      <c r="S526" t="inlineStr">
        <is>
          <t>N</t>
        </is>
      </c>
      <c r="T526" t="inlineStr">
        <is>
          <t>needs-review</t>
        </is>
      </c>
      <c r="U526" t="inlineStr">
        <is>
          <t>2026-10-04</t>
        </is>
      </c>
      <c r="V526" t="inlineStr">
        <is>
          <t>ambiguous match [35]</t>
        </is>
      </c>
    </row>
    <row r="527">
      <c r="A527" t="n">
        <v>35</v>
      </c>
      <c r="B527" t="inlineStr">
        <is>
          <t>Heritance Aarah</t>
        </is>
      </c>
      <c r="C527" t="inlineStr">
        <is>
          <t>dining_menu</t>
        </is>
      </c>
      <c r="D527" t="inlineStr">
        <is>
          <t>2026_Ralu-A-la-carte-Afernoon-menu.pdf</t>
        </is>
      </c>
      <c r="E527" t="n">
        <v>2026</v>
      </c>
      <c r="H527" t="n">
        <v>1</v>
      </c>
      <c r="I527" t="n">
        <v>422</v>
      </c>
      <c r="J527" t="inlineStr">
        <is>
          <t>Y</t>
        </is>
      </c>
      <c r="K527" t="inlineStr">
        <is>
          <t>heritancehotels.com</t>
        </is>
      </c>
      <c r="L527" t="inlineStr">
        <is>
          <t>official</t>
        </is>
      </c>
      <c r="M527" t="inlineStr">
        <is>
          <t>https://heritancehotels.eme-devops.com/2026/08/Ralu-A-la-carte-Afernoon-menu.pdf</t>
        </is>
      </c>
      <c r="N527" t="inlineStr">
        <is>
          <t>https://heritancehotels.eme-devops.com/2026/08/Ralu-A-la-carte-Afernoon-menu.pdf</t>
        </is>
      </c>
      <c r="O527" t="inlineStr">
        <is>
          <t>6be9c847c00f23b3b27e9e4d7bf58d96b8db9a7b90b89faafd57cc280e382b1f</t>
        </is>
      </c>
      <c r="P527" t="inlineStr">
        <is>
          <t>library/035_heritance-aarah/dining_menu/2026_Ralu-A-la-carte-Afernoon-menu.pdf</t>
        </is>
      </c>
      <c r="R527" t="inlineStr">
        <is>
          <t>current</t>
        </is>
      </c>
      <c r="S527" t="inlineStr">
        <is>
          <t>N</t>
        </is>
      </c>
      <c r="T527" t="inlineStr">
        <is>
          <t>needs-review</t>
        </is>
      </c>
      <c r="U527" t="inlineStr">
        <is>
          <t>2026-10-04</t>
        </is>
      </c>
      <c r="V527" t="inlineStr">
        <is>
          <t>ambiguous match [35]</t>
        </is>
      </c>
    </row>
    <row r="528">
      <c r="A528" t="n">
        <v>35</v>
      </c>
      <c r="B528" t="inlineStr">
        <is>
          <t>Heritance Aarah</t>
        </is>
      </c>
      <c r="C528" t="inlineStr">
        <is>
          <t>dining_menu</t>
        </is>
      </c>
      <c r="D528" t="inlineStr">
        <is>
          <t>2026_KIDS-Menu-New.pdf</t>
        </is>
      </c>
      <c r="E528" t="n">
        <v>2026</v>
      </c>
      <c r="H528" t="n">
        <v>1</v>
      </c>
      <c r="I528" t="n">
        <v>149</v>
      </c>
      <c r="J528" t="inlineStr">
        <is>
          <t>Y</t>
        </is>
      </c>
      <c r="K528" t="inlineStr">
        <is>
          <t>heritancehotels.com</t>
        </is>
      </c>
      <c r="L528" t="inlineStr">
        <is>
          <t>official</t>
        </is>
      </c>
      <c r="M528" t="inlineStr">
        <is>
          <t>https://heritancehotels.eme-devops.com/2026/08/KIDS-Menu-New.pdf</t>
        </is>
      </c>
      <c r="N528" t="inlineStr">
        <is>
          <t>https://heritancehotels.eme-devops.com/2026/08/KIDS-Menu-New.pdf</t>
        </is>
      </c>
      <c r="O528" t="inlineStr">
        <is>
          <t>6ed9ec2e8060d0a65e6a837e208e55a8f97538f2a483d7c472663113d049a42c</t>
        </is>
      </c>
      <c r="P528" t="inlineStr">
        <is>
          <t>library/035_heritance-aarah/dining_menu/2026_KIDS-Menu-New.pdf</t>
        </is>
      </c>
      <c r="R528" t="inlineStr">
        <is>
          <t>current</t>
        </is>
      </c>
      <c r="S528" t="inlineStr">
        <is>
          <t>N</t>
        </is>
      </c>
      <c r="T528" t="inlineStr">
        <is>
          <t>needs-review</t>
        </is>
      </c>
      <c r="U528" t="inlineStr">
        <is>
          <t>2026-10-04</t>
        </is>
      </c>
      <c r="V528" t="inlineStr">
        <is>
          <t>ambiguous match [35]</t>
        </is>
      </c>
    </row>
    <row r="529">
      <c r="A529" t="n">
        <v>35</v>
      </c>
      <c r="B529" t="inlineStr">
        <is>
          <t>Heritance Aarah</t>
        </is>
      </c>
      <c r="C529" t="inlineStr">
        <is>
          <t>dining_menu</t>
        </is>
      </c>
      <c r="D529" t="inlineStr">
        <is>
          <t>2026_Ginifati-Vegan-Menu.pdf</t>
        </is>
      </c>
      <c r="E529" t="n">
        <v>2026</v>
      </c>
      <c r="H529" t="n">
        <v>1</v>
      </c>
      <c r="I529" t="n">
        <v>83</v>
      </c>
      <c r="J529" t="inlineStr">
        <is>
          <t>Y</t>
        </is>
      </c>
      <c r="K529" t="inlineStr">
        <is>
          <t>heritancehotels.com</t>
        </is>
      </c>
      <c r="L529" t="inlineStr">
        <is>
          <t>official</t>
        </is>
      </c>
      <c r="M529" t="inlineStr">
        <is>
          <t>https://heritancehotels.eme-devops.com/2026/08/Ginifati-Vegan-Menu.pdf</t>
        </is>
      </c>
      <c r="N529" t="inlineStr">
        <is>
          <t>https://heritancehotels.eme-devops.com/2026/08/Ginifati-Vegan-Menu.pdf</t>
        </is>
      </c>
      <c r="O529" t="inlineStr">
        <is>
          <t>5a9e28d931af6da2a76dabe48df1fd17769cf277912a693a65129645d6b8ea70</t>
        </is>
      </c>
      <c r="P529" t="inlineStr">
        <is>
          <t>library/035_heritance-aarah/dining_menu/2026_Ginifati-Vegan-Menu.pdf</t>
        </is>
      </c>
      <c r="R529" t="inlineStr">
        <is>
          <t>current</t>
        </is>
      </c>
      <c r="S529" t="inlineStr">
        <is>
          <t>N</t>
        </is>
      </c>
      <c r="T529" t="inlineStr">
        <is>
          <t>needs-review</t>
        </is>
      </c>
      <c r="U529" t="inlineStr">
        <is>
          <t>2026-10-04</t>
        </is>
      </c>
      <c r="V529" t="inlineStr">
        <is>
          <t>ambiguous match [35]</t>
        </is>
      </c>
    </row>
    <row r="530">
      <c r="A530" t="n">
        <v>35</v>
      </c>
      <c r="B530" t="inlineStr">
        <is>
          <t>Heritance Aarah</t>
        </is>
      </c>
      <c r="C530" t="inlineStr">
        <is>
          <t>dining_menu</t>
        </is>
      </c>
      <c r="D530" t="inlineStr">
        <is>
          <t>2026_Ginifati-Menu-Option-2.pdf</t>
        </is>
      </c>
      <c r="E530" t="n">
        <v>2026</v>
      </c>
      <c r="H530" t="n">
        <v>2</v>
      </c>
      <c r="I530" t="n">
        <v>374</v>
      </c>
      <c r="J530" t="inlineStr">
        <is>
          <t>Y</t>
        </is>
      </c>
      <c r="K530" t="inlineStr">
        <is>
          <t>heritancehotels.com</t>
        </is>
      </c>
      <c r="L530" t="inlineStr">
        <is>
          <t>official</t>
        </is>
      </c>
      <c r="M530" t="inlineStr">
        <is>
          <t>https://heritancehotels.eme-devops.com/2026/08/Ginifati-Menu-Option-2.pdf</t>
        </is>
      </c>
      <c r="N530" t="inlineStr">
        <is>
          <t>https://heritancehotels.eme-devops.com/2026/08/Ginifati-Menu-Option-2.pdf</t>
        </is>
      </c>
      <c r="O530" t="inlineStr">
        <is>
          <t>507dc303cfdb3ff8c2ba240d20d285cbc4e21dce2ca9dc54807ff61e63e6844c</t>
        </is>
      </c>
      <c r="P530" t="inlineStr">
        <is>
          <t>library/035_heritance-aarah/dining_menu/2026_Ginifati-Menu-Option-2.pdf</t>
        </is>
      </c>
      <c r="R530" t="inlineStr">
        <is>
          <t>current</t>
        </is>
      </c>
      <c r="S530" t="inlineStr">
        <is>
          <t>N</t>
        </is>
      </c>
      <c r="T530" t="inlineStr">
        <is>
          <t>needs-review</t>
        </is>
      </c>
      <c r="U530" t="inlineStr">
        <is>
          <t>2026-10-04</t>
        </is>
      </c>
      <c r="V530" t="inlineStr">
        <is>
          <t>ambiguous match [35]</t>
        </is>
      </c>
    </row>
    <row r="531">
      <c r="A531" t="n">
        <v>35</v>
      </c>
      <c r="B531" t="inlineStr">
        <is>
          <t>Heritance Aarah</t>
        </is>
      </c>
      <c r="C531" t="inlineStr">
        <is>
          <t>dining_menu</t>
        </is>
      </c>
      <c r="D531" t="inlineStr">
        <is>
          <t>2026_GInifati-Menu-Option-1.pdf</t>
        </is>
      </c>
      <c r="E531" t="n">
        <v>2026</v>
      </c>
      <c r="H531" t="n">
        <v>2</v>
      </c>
      <c r="I531" t="n">
        <v>228</v>
      </c>
      <c r="J531" t="inlineStr">
        <is>
          <t>Y</t>
        </is>
      </c>
      <c r="K531" t="inlineStr">
        <is>
          <t>heritancehotels.com</t>
        </is>
      </c>
      <c r="L531" t="inlineStr">
        <is>
          <t>official</t>
        </is>
      </c>
      <c r="M531" t="inlineStr">
        <is>
          <t>https://heritancehotels.eme-devops.com/2026/08/GInifati-Menu-Option-1.pdf</t>
        </is>
      </c>
      <c r="N531" t="inlineStr">
        <is>
          <t>https://heritancehotels.eme-devops.com/2026/08/GInifati-Menu-Option-1.pdf</t>
        </is>
      </c>
      <c r="O531" t="inlineStr">
        <is>
          <t>5c117042aec566a97b70eb7d5f4799403e2b1778150fd7624227323841451aee</t>
        </is>
      </c>
      <c r="P531" t="inlineStr">
        <is>
          <t>library/035_heritance-aarah/dining_menu/2026_GInifati-Menu-Option-1.pdf</t>
        </is>
      </c>
      <c r="R531" t="inlineStr">
        <is>
          <t>current</t>
        </is>
      </c>
      <c r="S531" t="inlineStr">
        <is>
          <t>N</t>
        </is>
      </c>
      <c r="T531" t="inlineStr">
        <is>
          <t>needs-review</t>
        </is>
      </c>
      <c r="U531" t="inlineStr">
        <is>
          <t>2026-10-04</t>
        </is>
      </c>
      <c r="V531" t="inlineStr">
        <is>
          <t>ambiguous match [35]</t>
        </is>
      </c>
    </row>
    <row r="532">
      <c r="A532" t="n">
        <v>35</v>
      </c>
      <c r="B532" t="inlineStr">
        <is>
          <t>Heritance Aarah</t>
        </is>
      </c>
      <c r="C532" t="inlineStr">
        <is>
          <t>dining_menu</t>
        </is>
      </c>
      <c r="D532" t="inlineStr">
        <is>
          <t>2026_Bandhi-Pizza-Snack-Menu.pdf</t>
        </is>
      </c>
      <c r="E532" t="n">
        <v>2026</v>
      </c>
      <c r="H532" t="n">
        <v>1</v>
      </c>
      <c r="I532" t="n">
        <v>158</v>
      </c>
      <c r="J532" t="inlineStr">
        <is>
          <t>Y</t>
        </is>
      </c>
      <c r="K532" t="inlineStr">
        <is>
          <t>heritancehotels.com</t>
        </is>
      </c>
      <c r="L532" t="inlineStr">
        <is>
          <t>official</t>
        </is>
      </c>
      <c r="M532" t="inlineStr">
        <is>
          <t>https://heritancehotels.eme-devops.com/2026/08/Bandhi-Pizza-Snack-Menu.pdf</t>
        </is>
      </c>
      <c r="N532" t="inlineStr">
        <is>
          <t>https://heritancehotels.eme-devops.com/2026/08/Bandhi-Pizza-Snack-Menu.pdf</t>
        </is>
      </c>
      <c r="O532" t="inlineStr">
        <is>
          <t>702092b0257067d248748c2bcce851909075ff64a3edd931a82ff1c0bf5ad7d0</t>
        </is>
      </c>
      <c r="P532" t="inlineStr">
        <is>
          <t>library/035_heritance-aarah/dining_menu/2026_Bandhi-Pizza-Snack-Menu.pdf</t>
        </is>
      </c>
      <c r="R532" t="inlineStr">
        <is>
          <t>current</t>
        </is>
      </c>
      <c r="S532" t="inlineStr">
        <is>
          <t>N</t>
        </is>
      </c>
      <c r="T532" t="inlineStr">
        <is>
          <t>needs-review</t>
        </is>
      </c>
      <c r="U532" t="inlineStr">
        <is>
          <t>2026-10-04</t>
        </is>
      </c>
      <c r="V532" t="inlineStr">
        <is>
          <t>ambiguous match [35]</t>
        </is>
      </c>
    </row>
    <row r="533">
      <c r="A533" t="n">
        <v>35</v>
      </c>
      <c r="B533" t="inlineStr">
        <is>
          <t>Heritance Aarah</t>
        </is>
      </c>
      <c r="C533" t="inlineStr">
        <is>
          <t>dining_menu</t>
        </is>
      </c>
      <c r="D533" t="inlineStr">
        <is>
          <t>2026_Baani-Veg-Ala-carte.pdf</t>
        </is>
      </c>
      <c r="E533" t="n">
        <v>2026</v>
      </c>
      <c r="H533" t="n">
        <v>4</v>
      </c>
      <c r="I533" t="n">
        <v>1591</v>
      </c>
      <c r="J533" t="inlineStr">
        <is>
          <t>Y</t>
        </is>
      </c>
      <c r="K533" t="inlineStr">
        <is>
          <t>heritancehotels.com</t>
        </is>
      </c>
      <c r="L533" t="inlineStr">
        <is>
          <t>official</t>
        </is>
      </c>
      <c r="M533" t="inlineStr">
        <is>
          <t>https://heritancehotels.eme-devops.com/2026/08/Baani-Veg-Ala-carte.pdf</t>
        </is>
      </c>
      <c r="N533" t="inlineStr">
        <is>
          <t>https://heritancehotels.eme-devops.com/2026/08/Baani-Veg-Ala-carte.pdf</t>
        </is>
      </c>
      <c r="O533" t="inlineStr">
        <is>
          <t>7f75e3602b3d219d327da9c336a05f7bd9e6f00220123301c1e4f2d71aef9f80</t>
        </is>
      </c>
      <c r="P533" t="inlineStr">
        <is>
          <t>library/035_heritance-aarah/dining_menu/2026_Baani-Veg-Ala-carte.pdf</t>
        </is>
      </c>
      <c r="R533" t="inlineStr">
        <is>
          <t>current</t>
        </is>
      </c>
      <c r="S533" t="inlineStr">
        <is>
          <t>N</t>
        </is>
      </c>
      <c r="T533" t="inlineStr">
        <is>
          <t>needs-review</t>
        </is>
      </c>
      <c r="U533" t="inlineStr">
        <is>
          <t>2026-10-04</t>
        </is>
      </c>
      <c r="V533" t="inlineStr">
        <is>
          <t>ambiguous match [35]</t>
        </is>
      </c>
    </row>
    <row r="534">
      <c r="A534" t="n">
        <v>35</v>
      </c>
      <c r="B534" t="inlineStr">
        <is>
          <t>Heritance Aarah</t>
        </is>
      </c>
      <c r="C534" t="inlineStr">
        <is>
          <t>dining_menu</t>
        </is>
      </c>
      <c r="D534" t="inlineStr">
        <is>
          <t>2026_HTF-Snack-Menu-26-27.pdf.pdf</t>
        </is>
      </c>
      <c r="E534" t="n">
        <v>2026</v>
      </c>
      <c r="H534" t="n">
        <v>3</v>
      </c>
      <c r="I534" t="n">
        <v>3567</v>
      </c>
      <c r="J534" t="inlineStr">
        <is>
          <t>Y</t>
        </is>
      </c>
      <c r="K534" t="inlineStr">
        <is>
          <t>heritancehotels.com</t>
        </is>
      </c>
      <c r="L534" t="inlineStr">
        <is>
          <t>official</t>
        </is>
      </c>
      <c r="M534" t="inlineStr">
        <is>
          <t>https://heritancehotels.eme-devops.com/2026/07/HTF-Snack-Menu-26-27.pdf.pdf</t>
        </is>
      </c>
      <c r="N534" t="inlineStr">
        <is>
          <t>https://heritancehotels.eme-devops.com/2026/07/HTF-Snack-Menu-26-27.pdf.pdf</t>
        </is>
      </c>
      <c r="O534" t="inlineStr">
        <is>
          <t>bc007eae411c46047c9ae6e29037690ad4115dde39a650cdd15d41526e9b6bc9</t>
        </is>
      </c>
      <c r="P534" t="inlineStr">
        <is>
          <t>library/035_heritance-aarah/dining_menu/2026_HTF-Snack-Menu-26-27.pdf.pdf</t>
        </is>
      </c>
      <c r="R534" t="inlineStr">
        <is>
          <t>current</t>
        </is>
      </c>
      <c r="S534" t="inlineStr">
        <is>
          <t>N</t>
        </is>
      </c>
      <c r="T534" t="inlineStr">
        <is>
          <t>needs-review</t>
        </is>
      </c>
      <c r="U534" t="inlineStr">
        <is>
          <t>2026-10-04</t>
        </is>
      </c>
      <c r="V534" t="inlineStr">
        <is>
          <t>ambiguous match [35]</t>
        </is>
      </c>
    </row>
    <row r="535">
      <c r="A535" t="n">
        <v>35</v>
      </c>
      <c r="B535" t="inlineStr">
        <is>
          <t>Heritance Aarah</t>
        </is>
      </c>
      <c r="C535" t="inlineStr">
        <is>
          <t>dining_menu</t>
        </is>
      </c>
      <c r="D535" t="inlineStr">
        <is>
          <t>2026_HTF-Premium-Wines-26-27.pdf.pdf</t>
        </is>
      </c>
      <c r="E535" t="n">
        <v>2026</v>
      </c>
      <c r="H535" t="n">
        <v>4</v>
      </c>
      <c r="I535" t="n">
        <v>229</v>
      </c>
      <c r="J535" t="inlineStr">
        <is>
          <t>Y</t>
        </is>
      </c>
      <c r="K535" t="inlineStr">
        <is>
          <t>heritancehotels.com</t>
        </is>
      </c>
      <c r="L535" t="inlineStr">
        <is>
          <t>official</t>
        </is>
      </c>
      <c r="M535" t="inlineStr">
        <is>
          <t>https://heritancehotels.eme-devops.com/2026/07/HTF-Premium-Wines-26-27.pdf.pdf</t>
        </is>
      </c>
      <c r="N535" t="inlineStr">
        <is>
          <t>https://heritancehotels.eme-devops.com/2026/07/HTF-Premium-Wines-26-27.pdf.pdf</t>
        </is>
      </c>
      <c r="O535" t="inlineStr">
        <is>
          <t>8592831fe7a0cf21137b8a33d87c3d7636661239db3898c01620c22adb980291</t>
        </is>
      </c>
      <c r="P535" t="inlineStr">
        <is>
          <t>library/035_heritance-aarah/dining_menu/2026_HTF-Premium-Wines-26-27.pdf.pdf</t>
        </is>
      </c>
      <c r="R535" t="inlineStr">
        <is>
          <t>current</t>
        </is>
      </c>
      <c r="S535" t="inlineStr">
        <is>
          <t>N</t>
        </is>
      </c>
      <c r="T535" t="inlineStr">
        <is>
          <t>needs-review</t>
        </is>
      </c>
      <c r="U535" t="inlineStr">
        <is>
          <t>2026-10-04</t>
        </is>
      </c>
      <c r="V535" t="inlineStr">
        <is>
          <t>ambiguous match [35]</t>
        </is>
      </c>
    </row>
    <row r="536">
      <c r="A536" t="n">
        <v>35</v>
      </c>
      <c r="B536" t="inlineStr">
        <is>
          <t>Heritance Aarah</t>
        </is>
      </c>
      <c r="C536" t="inlineStr">
        <is>
          <t>dining_menu</t>
        </is>
      </c>
      <c r="D536" t="inlineStr">
        <is>
          <t>2026_HTF-Beverage-Portfolio-26.27.pdf.pdf</t>
        </is>
      </c>
      <c r="E536" t="n">
        <v>2026</v>
      </c>
      <c r="H536" t="n">
        <v>6</v>
      </c>
      <c r="I536" t="n">
        <v>285</v>
      </c>
      <c r="J536" t="inlineStr">
        <is>
          <t>Y</t>
        </is>
      </c>
      <c r="K536" t="inlineStr">
        <is>
          <t>heritancehotels.com</t>
        </is>
      </c>
      <c r="L536" t="inlineStr">
        <is>
          <t>official</t>
        </is>
      </c>
      <c r="M536" t="inlineStr">
        <is>
          <t>https://heritancehotels.eme-devops.com/2026/07/HTF-Beverage-Portfolio-26.27.pdf.pdf</t>
        </is>
      </c>
      <c r="N536" t="inlineStr">
        <is>
          <t>https://heritancehotels.eme-devops.com/2026/07/HTF-Beverage-Portfolio-26.27.pdf.pdf</t>
        </is>
      </c>
      <c r="O536" t="inlineStr">
        <is>
          <t>63139658dcf982f2dd67e89d69cd7f7be3b04e93c1cb9a58e8533823d1222348</t>
        </is>
      </c>
      <c r="P536" t="inlineStr">
        <is>
          <t>library/035_heritance-aarah/dining_menu/2026_HTF-Beverage-Portfolio-26.27.pdf.pdf</t>
        </is>
      </c>
      <c r="R536" t="inlineStr">
        <is>
          <t>current</t>
        </is>
      </c>
      <c r="S536" t="inlineStr">
        <is>
          <t>N</t>
        </is>
      </c>
      <c r="T536" t="inlineStr">
        <is>
          <t>needs-review</t>
        </is>
      </c>
      <c r="U536" t="inlineStr">
        <is>
          <t>2026-10-04</t>
        </is>
      </c>
      <c r="V536" t="inlineStr">
        <is>
          <t>ambiguous match [35]</t>
        </is>
      </c>
    </row>
    <row r="537">
      <c r="A537" t="n">
        <v>35</v>
      </c>
      <c r="B537" t="inlineStr">
        <is>
          <t>Heritance Aarah</t>
        </is>
      </c>
      <c r="C537" t="inlineStr">
        <is>
          <t>dining_menu</t>
        </is>
      </c>
      <c r="D537" t="inlineStr">
        <is>
          <t>2026_HTF-Ala-Cart-Menu-26-27.pdf.pdf</t>
        </is>
      </c>
      <c r="E537" t="n">
        <v>2026</v>
      </c>
      <c r="H537" t="n">
        <v>4</v>
      </c>
      <c r="I537" t="n">
        <v>5965</v>
      </c>
      <c r="J537" t="inlineStr">
        <is>
          <t>Y</t>
        </is>
      </c>
      <c r="K537" t="inlineStr">
        <is>
          <t>heritancehotels.com</t>
        </is>
      </c>
      <c r="L537" t="inlineStr">
        <is>
          <t>official</t>
        </is>
      </c>
      <c r="M537" t="inlineStr">
        <is>
          <t>https://heritancehotels.eme-devops.com/2026/07/HTF-Ala-Cart-Menu-26-27.pdf.pdf</t>
        </is>
      </c>
      <c r="N537" t="inlineStr">
        <is>
          <t>https://heritancehotels.eme-devops.com/2026/07/HTF-Ala-Cart-Menu-26-27.pdf.pdf</t>
        </is>
      </c>
      <c r="O537" t="inlineStr">
        <is>
          <t>8a7ed7caa28e0b2b5b868ac0c90b23eaa25cf811d6dda09916781bcd8d508bfb</t>
        </is>
      </c>
      <c r="P537" t="inlineStr">
        <is>
          <t>library/035_heritance-aarah/dining_menu/2026_HTF-Ala-Cart-Menu-26-27.pdf.pdf</t>
        </is>
      </c>
      <c r="R537" t="inlineStr">
        <is>
          <t>current</t>
        </is>
      </c>
      <c r="S537" t="inlineStr">
        <is>
          <t>N</t>
        </is>
      </c>
      <c r="T537" t="inlineStr">
        <is>
          <t>needs-review</t>
        </is>
      </c>
      <c r="U537" t="inlineStr">
        <is>
          <t>2026-10-04</t>
        </is>
      </c>
      <c r="V537" t="inlineStr">
        <is>
          <t>ambiguous match [35]</t>
        </is>
      </c>
    </row>
    <row r="538">
      <c r="A538" t="n">
        <v>35</v>
      </c>
      <c r="B538" t="inlineStr">
        <is>
          <t>Heritance Aarah</t>
        </is>
      </c>
      <c r="C538" t="inlineStr">
        <is>
          <t>dining_menu</t>
        </is>
      </c>
      <c r="D538" t="inlineStr">
        <is>
          <t>2026_HTF-Pekoe-Trail-Picnic-Breakfast.pdf</t>
        </is>
      </c>
      <c r="E538" t="n">
        <v>2026</v>
      </c>
      <c r="H538" t="n">
        <v>4</v>
      </c>
      <c r="I538" t="n">
        <v>2496</v>
      </c>
      <c r="J538" t="inlineStr">
        <is>
          <t>Y</t>
        </is>
      </c>
      <c r="K538" t="inlineStr">
        <is>
          <t>heritancehotels.com</t>
        </is>
      </c>
      <c r="L538" t="inlineStr">
        <is>
          <t>official</t>
        </is>
      </c>
      <c r="M538" t="inlineStr">
        <is>
          <t>https://heritancehotels.eme-devops.com/2026/07/HTF-Pekoe-Trail-Picnic-Breakfast.pdf</t>
        </is>
      </c>
      <c r="N538" t="inlineStr">
        <is>
          <t>https://heritancehotels.eme-devops.com/2026/07/HTF-Pekoe-Trail-Picnic-Breakfast.pdf</t>
        </is>
      </c>
      <c r="O538" t="inlineStr">
        <is>
          <t>5ce6841e2b4d9a85d866c45ea1c4cd5d2ae39c667db6c6bca74917a304b47999</t>
        </is>
      </c>
      <c r="P538" t="inlineStr">
        <is>
          <t>library/035_heritance-aarah/dining_menu/2026_HTF-Pekoe-Trail-Picnic-Breakfast.pdf</t>
        </is>
      </c>
      <c r="R538" t="inlineStr">
        <is>
          <t>current</t>
        </is>
      </c>
      <c r="S538" t="inlineStr">
        <is>
          <t>N</t>
        </is>
      </c>
      <c r="T538" t="inlineStr">
        <is>
          <t>needs-review</t>
        </is>
      </c>
      <c r="U538" t="inlineStr">
        <is>
          <t>2026-10-04</t>
        </is>
      </c>
      <c r="V538" t="inlineStr">
        <is>
          <t>ambiguous match [35]</t>
        </is>
      </c>
    </row>
    <row r="539">
      <c r="A539" t="n">
        <v>35</v>
      </c>
      <c r="B539" t="inlineStr">
        <is>
          <t>Heritance Aarah</t>
        </is>
      </c>
      <c r="C539" t="inlineStr">
        <is>
          <t>dining_menu</t>
        </is>
      </c>
      <c r="D539" t="inlineStr">
        <is>
          <t>2026_Ceylon-Tea-Expereince-Menu.pdf</t>
        </is>
      </c>
      <c r="E539" t="n">
        <v>2026</v>
      </c>
      <c r="H539" t="n">
        <v>1</v>
      </c>
      <c r="I539" t="n">
        <v>1195</v>
      </c>
      <c r="J539" t="inlineStr">
        <is>
          <t>Y</t>
        </is>
      </c>
      <c r="K539" t="inlineStr">
        <is>
          <t>heritancehotels.com</t>
        </is>
      </c>
      <c r="L539" t="inlineStr">
        <is>
          <t>official</t>
        </is>
      </c>
      <c r="M539" t="inlineStr">
        <is>
          <t>https://heritancehotels.eme-devops.com/2026/07/Ceylon-Tea-Expereince-Menu.pdf</t>
        </is>
      </c>
      <c r="N539" t="inlineStr">
        <is>
          <t>https://heritancehotels.eme-devops.com/2026/07/Ceylon-Tea-Expereince-Menu.pdf</t>
        </is>
      </c>
      <c r="O539" t="inlineStr">
        <is>
          <t>398b0872401435e6627a68c7a8ded213a2eb0781ad7732668a8241cc3d0bae59</t>
        </is>
      </c>
      <c r="P539" t="inlineStr">
        <is>
          <t>library/035_heritance-aarah/dining_menu/2026_Ceylon-Tea-Expereince-Menu.pdf</t>
        </is>
      </c>
      <c r="R539" t="inlineStr">
        <is>
          <t>current</t>
        </is>
      </c>
      <c r="S539" t="inlineStr">
        <is>
          <t>N</t>
        </is>
      </c>
      <c r="T539" t="inlineStr">
        <is>
          <t>needs-review</t>
        </is>
      </c>
      <c r="U539" t="inlineStr">
        <is>
          <t>2026-10-04</t>
        </is>
      </c>
      <c r="V539" t="inlineStr">
        <is>
          <t>ambiguous match [35]</t>
        </is>
      </c>
    </row>
    <row r="540">
      <c r="A540" t="n">
        <v>35</v>
      </c>
      <c r="B540" t="inlineStr">
        <is>
          <t>Heritance Aarah</t>
        </is>
      </c>
      <c r="C540" t="inlineStr">
        <is>
          <t>dining_menu</t>
        </is>
      </c>
      <c r="D540" t="inlineStr">
        <is>
          <t>2026_Bon-Fire.pdf</t>
        </is>
      </c>
      <c r="E540" t="n">
        <v>2026</v>
      </c>
      <c r="H540" t="n">
        <v>1</v>
      </c>
      <c r="I540" t="n">
        <v>947</v>
      </c>
      <c r="J540" t="inlineStr">
        <is>
          <t>Y</t>
        </is>
      </c>
      <c r="K540" t="inlineStr">
        <is>
          <t>heritancehotels.com</t>
        </is>
      </c>
      <c r="L540" t="inlineStr">
        <is>
          <t>official</t>
        </is>
      </c>
      <c r="M540" t="inlineStr">
        <is>
          <t>https://heritancehotels.eme-devops.com/2026/07/Bon-Fire.pdf</t>
        </is>
      </c>
      <c r="N540" t="inlineStr">
        <is>
          <t>https://heritancehotels.eme-devops.com/2026/07/Bon-Fire.pdf</t>
        </is>
      </c>
      <c r="O540" t="inlineStr">
        <is>
          <t>7d3e8aec42b9fdbab4e2efcb69b5b5bcd6bc9cad307cd1acc7c3d9149f6c2ede</t>
        </is>
      </c>
      <c r="P540" t="inlineStr">
        <is>
          <t>library/035_heritance-aarah/dining_menu/2026_Bon-Fire.pdf</t>
        </is>
      </c>
      <c r="R540" t="inlineStr">
        <is>
          <t>current</t>
        </is>
      </c>
      <c r="S540" t="inlineStr">
        <is>
          <t>N</t>
        </is>
      </c>
      <c r="T540" t="inlineStr">
        <is>
          <t>needs-review</t>
        </is>
      </c>
      <c r="U540" t="inlineStr">
        <is>
          <t>2026-10-04</t>
        </is>
      </c>
      <c r="V540" t="inlineStr">
        <is>
          <t>ambiguous match [35]</t>
        </is>
      </c>
    </row>
    <row r="541">
      <c r="A541" t="n">
        <v>35</v>
      </c>
      <c r="B541" t="inlineStr">
        <is>
          <t>Heritance Aarah</t>
        </is>
      </c>
      <c r="C541" t="inlineStr">
        <is>
          <t>dining_menu</t>
        </is>
      </c>
      <c r="D541" t="inlineStr">
        <is>
          <t>2026_KIDS-MENU-RGB.pdf</t>
        </is>
      </c>
      <c r="E541" t="n">
        <v>2026</v>
      </c>
      <c r="H541" t="n">
        <v>1</v>
      </c>
      <c r="I541" t="n">
        <v>5078</v>
      </c>
      <c r="J541" t="inlineStr">
        <is>
          <t>Y</t>
        </is>
      </c>
      <c r="K541" t="inlineStr">
        <is>
          <t>heritancehotels.com</t>
        </is>
      </c>
      <c r="L541" t="inlineStr">
        <is>
          <t>official</t>
        </is>
      </c>
      <c r="M541" t="inlineStr">
        <is>
          <t>https://heritancehotels.eme-devops.com/2026/07/KIDS-MENU-RGB.pdf</t>
        </is>
      </c>
      <c r="N541" t="inlineStr">
        <is>
          <t>https://heritancehotels.eme-devops.com/2026/07/KIDS-MENU-RGB.pdf</t>
        </is>
      </c>
      <c r="O541" t="inlineStr">
        <is>
          <t>e501b0e7cf815da58965e19acd1caeee7bd8cec5c81a3dd8dc98ed8dfca87ad9</t>
        </is>
      </c>
      <c r="P541" t="inlineStr">
        <is>
          <t>library/035_heritance-aarah/dining_menu/2026_KIDS-MENU-RGB.pdf</t>
        </is>
      </c>
      <c r="R541" t="inlineStr">
        <is>
          <t>current</t>
        </is>
      </c>
      <c r="S541" t="inlineStr">
        <is>
          <t>N</t>
        </is>
      </c>
      <c r="T541" t="inlineStr">
        <is>
          <t>needs-review</t>
        </is>
      </c>
      <c r="U541" t="inlineStr">
        <is>
          <t>2026-10-04</t>
        </is>
      </c>
      <c r="V541" t="inlineStr">
        <is>
          <t>ambiguous match [35]</t>
        </is>
      </c>
    </row>
    <row r="542">
      <c r="A542" t="n">
        <v>35</v>
      </c>
      <c r="B542" t="inlineStr">
        <is>
          <t>Heritance Aarah</t>
        </is>
      </c>
      <c r="C542" t="inlineStr">
        <is>
          <t>dining_menu</t>
        </is>
      </c>
      <c r="D542" t="inlineStr">
        <is>
          <t>2026_EATING-INN-ALA-CARTE-May-2026-for-qr-code.pdf</t>
        </is>
      </c>
      <c r="E542" t="n">
        <v>2026</v>
      </c>
      <c r="H542" t="n">
        <v>8</v>
      </c>
      <c r="I542" t="n">
        <v>1235</v>
      </c>
      <c r="J542" t="inlineStr">
        <is>
          <t>Y</t>
        </is>
      </c>
      <c r="K542" t="inlineStr">
        <is>
          <t>heritancehotels.com</t>
        </is>
      </c>
      <c r="L542" t="inlineStr">
        <is>
          <t>official</t>
        </is>
      </c>
      <c r="M542" t="inlineStr">
        <is>
          <t>https://heritancehotels.eme-devops.com/2026/07/EATING-INN-ALA-CARTE-May-2026-for-qr-code.pdf</t>
        </is>
      </c>
      <c r="N542" t="inlineStr">
        <is>
          <t>https://heritancehotels.eme-devops.com/2026/07/EATING-INN-ALA-CARTE-May-2026-for-qr-code.pdf</t>
        </is>
      </c>
      <c r="O542" t="inlineStr">
        <is>
          <t>043a954554359ace0685f1eb3b05a4cdfd90a87f34c915e9459b53bc2171eecc</t>
        </is>
      </c>
      <c r="P542" t="inlineStr">
        <is>
          <t>library/035_heritance-aarah/dining_menu/2026_EATING-INN-ALA-CARTE-May-2026-for-qr-code.pdf</t>
        </is>
      </c>
      <c r="R542" t="inlineStr">
        <is>
          <t>current</t>
        </is>
      </c>
      <c r="S542" t="inlineStr">
        <is>
          <t>N</t>
        </is>
      </c>
      <c r="T542" t="inlineStr">
        <is>
          <t>needs-review</t>
        </is>
      </c>
      <c r="U542" t="inlineStr">
        <is>
          <t>2026-10-04</t>
        </is>
      </c>
      <c r="V542" t="inlineStr">
        <is>
          <t>ambiguous match [35]</t>
        </is>
      </c>
    </row>
    <row r="543">
      <c r="A543" t="n">
        <v>35</v>
      </c>
      <c r="B543" t="inlineStr">
        <is>
          <t>Heritance Aarah</t>
        </is>
      </c>
      <c r="C543" t="inlineStr">
        <is>
          <t>dining_menu</t>
        </is>
      </c>
      <c r="D543" t="inlineStr">
        <is>
          <t>2026_Premium-All-Inclusive-Wine-Beverage-List-10.06.2026.pdf</t>
        </is>
      </c>
      <c r="E543" t="n">
        <v>2026</v>
      </c>
      <c r="H543" t="n">
        <v>16</v>
      </c>
      <c r="I543" t="n">
        <v>1640</v>
      </c>
      <c r="J543" t="inlineStr">
        <is>
          <t>Y</t>
        </is>
      </c>
      <c r="K543" t="inlineStr">
        <is>
          <t>heritancehotels.com</t>
        </is>
      </c>
      <c r="L543" t="inlineStr">
        <is>
          <t>official</t>
        </is>
      </c>
      <c r="M543" t="inlineStr">
        <is>
          <t>https://heritancehotels.eme-devops.com/2026/06/Premium-All-Inclusive-Wine-Beverage-List-10.06.2026.pdf</t>
        </is>
      </c>
      <c r="N543" t="inlineStr">
        <is>
          <t>https://heritancehotels.eme-devops.com/2026/06/Premium-All-Inclusive-Wine-Beverage-List-10.06.2026.pdf</t>
        </is>
      </c>
      <c r="O543" t="inlineStr">
        <is>
          <t>c634b88597ebc67d86d0839043e8dcacd75027e089a39aff0ae61c6f4c97fd16</t>
        </is>
      </c>
      <c r="P543" t="inlineStr">
        <is>
          <t>library/035_heritance-aarah/dining_menu/2026_Premium-All-Inclusive-Wine-Beverage-List-10.06.2026.pdf</t>
        </is>
      </c>
      <c r="R543" t="inlineStr">
        <is>
          <t>current</t>
        </is>
      </c>
      <c r="S543" t="inlineStr">
        <is>
          <t>N</t>
        </is>
      </c>
      <c r="T543" t="inlineStr">
        <is>
          <t>needs-review</t>
        </is>
      </c>
      <c r="U543" t="inlineStr">
        <is>
          <t>2026-10-04</t>
        </is>
      </c>
      <c r="V543" t="inlineStr">
        <is>
          <t>ambiguous match [35]</t>
        </is>
      </c>
    </row>
    <row r="544">
      <c r="A544" t="n">
        <v>35</v>
      </c>
      <c r="B544" t="inlineStr">
        <is>
          <t>Heritance Aarah</t>
        </is>
      </c>
      <c r="C544" t="inlineStr">
        <is>
          <t>dining_menu</t>
        </is>
      </c>
      <c r="D544" t="inlineStr">
        <is>
          <t>2026_HK-Beverage-Menu.pdf</t>
        </is>
      </c>
      <c r="E544" t="n">
        <v>2026</v>
      </c>
      <c r="H544" t="n">
        <v>6</v>
      </c>
      <c r="I544" t="n">
        <v>104</v>
      </c>
      <c r="J544" t="inlineStr">
        <is>
          <t>Y</t>
        </is>
      </c>
      <c r="K544" t="inlineStr">
        <is>
          <t>heritancehotels.com</t>
        </is>
      </c>
      <c r="L544" t="inlineStr">
        <is>
          <t>official</t>
        </is>
      </c>
      <c r="M544" t="inlineStr">
        <is>
          <t>https://heritancehotels.eme-devops.com/2026/04/HK-Beverage-Menu.pdf</t>
        </is>
      </c>
      <c r="N544" t="inlineStr">
        <is>
          <t>https://heritancehotels.eme-devops.com/2026/04/HK-Beverage-Menu.pdf</t>
        </is>
      </c>
      <c r="O544" t="inlineStr">
        <is>
          <t>df973a1a05ea33aef4be9fba34458bfee2aa660c90eca44ecb22ff9bb5044d51</t>
        </is>
      </c>
      <c r="P544" t="inlineStr">
        <is>
          <t>library/035_heritance-aarah/dining_menu/2026_HK-Beverage-Menu.pdf</t>
        </is>
      </c>
      <c r="R544" t="inlineStr">
        <is>
          <t>current</t>
        </is>
      </c>
      <c r="S544" t="inlineStr">
        <is>
          <t>N</t>
        </is>
      </c>
      <c r="T544" t="inlineStr">
        <is>
          <t>needs-review</t>
        </is>
      </c>
      <c r="U544" t="inlineStr">
        <is>
          <t>2026-10-04</t>
        </is>
      </c>
      <c r="V544" t="inlineStr">
        <is>
          <t>ambiguous match [35]</t>
        </is>
      </c>
    </row>
    <row r="545">
      <c r="A545" t="n">
        <v>35</v>
      </c>
      <c r="B545" t="inlineStr">
        <is>
          <t>Heritance Aarah</t>
        </is>
      </c>
      <c r="C545" t="inlineStr">
        <is>
          <t>dining_menu</t>
        </is>
      </c>
      <c r="D545" t="inlineStr">
        <is>
          <t>2026_HK-A-La-Carte-kanchana.pdf</t>
        </is>
      </c>
      <c r="E545" t="n">
        <v>2026</v>
      </c>
      <c r="H545" t="n">
        <v>5</v>
      </c>
      <c r="I545" t="n">
        <v>12246</v>
      </c>
      <c r="J545" t="inlineStr">
        <is>
          <t>Y</t>
        </is>
      </c>
      <c r="K545" t="inlineStr">
        <is>
          <t>heritancehotels.com</t>
        </is>
      </c>
      <c r="L545" t="inlineStr">
        <is>
          <t>official</t>
        </is>
      </c>
      <c r="M545" t="inlineStr">
        <is>
          <t>https://heritancehotels.eme-devops.com/2026/04/HK-A-La-Carte-kanchana.pdf</t>
        </is>
      </c>
      <c r="N545" t="inlineStr">
        <is>
          <t>https://heritancehotels.eme-devops.com/2026/04/HK-A-La-Carte-kanchana.pdf</t>
        </is>
      </c>
      <c r="O545" t="inlineStr">
        <is>
          <t>087f1734ed7b0b4706e7724d315922a558034e1de7bb13cdd820638e3e77142f</t>
        </is>
      </c>
      <c r="P545" t="inlineStr">
        <is>
          <t>library/035_heritance-aarah/dining_menu/2026_HK-A-La-Carte-kanchana.pdf</t>
        </is>
      </c>
      <c r="R545" t="inlineStr">
        <is>
          <t>current</t>
        </is>
      </c>
      <c r="S545" t="inlineStr">
        <is>
          <t>N</t>
        </is>
      </c>
      <c r="T545" t="inlineStr">
        <is>
          <t>needs-review</t>
        </is>
      </c>
      <c r="U545" t="inlineStr">
        <is>
          <t>2026-10-04</t>
        </is>
      </c>
      <c r="V545" t="inlineStr">
        <is>
          <t>ambiguous match [35]</t>
        </is>
      </c>
    </row>
    <row r="546">
      <c r="A546" t="n">
        <v>35</v>
      </c>
      <c r="B546" t="inlineStr">
        <is>
          <t>Heritance Aarah</t>
        </is>
      </c>
      <c r="C546" t="inlineStr">
        <is>
          <t>dining_menu</t>
        </is>
      </c>
      <c r="D546" t="inlineStr">
        <is>
          <t>2026_HK-A-La-Carte-cafe.pdf</t>
        </is>
      </c>
      <c r="E546" t="n">
        <v>2026</v>
      </c>
      <c r="H546" t="n">
        <v>5</v>
      </c>
      <c r="I546" t="n">
        <v>12244</v>
      </c>
      <c r="J546" t="inlineStr">
        <is>
          <t>Y</t>
        </is>
      </c>
      <c r="K546" t="inlineStr">
        <is>
          <t>heritancehotels.com</t>
        </is>
      </c>
      <c r="L546" t="inlineStr">
        <is>
          <t>official</t>
        </is>
      </c>
      <c r="M546" t="inlineStr">
        <is>
          <t>https://heritancehotels.eme-devops.com/2026/04/HK-A-La-Carte-cafe.pdf</t>
        </is>
      </c>
      <c r="N546" t="inlineStr">
        <is>
          <t>https://heritancehotels.eme-devops.com/2026/04/HK-A-La-Carte-cafe.pdf</t>
        </is>
      </c>
      <c r="O546" t="inlineStr">
        <is>
          <t>2590c1f3dc5ab71dc2577675e0f56e071ab8f1bbd61d20d52b9a227d85bb5cd0</t>
        </is>
      </c>
      <c r="P546" t="inlineStr">
        <is>
          <t>library/035_heritance-aarah/dining_menu/2026_HK-A-La-Carte-cafe.pdf</t>
        </is>
      </c>
      <c r="R546" t="inlineStr">
        <is>
          <t>current</t>
        </is>
      </c>
      <c r="S546" t="inlineStr">
        <is>
          <t>N</t>
        </is>
      </c>
      <c r="T546" t="inlineStr">
        <is>
          <t>needs-review</t>
        </is>
      </c>
      <c r="U546" t="inlineStr">
        <is>
          <t>2026-10-04</t>
        </is>
      </c>
      <c r="V546" t="inlineStr">
        <is>
          <t>ambiguous match [35]</t>
        </is>
      </c>
    </row>
    <row r="547">
      <c r="A547" t="n">
        <v>35</v>
      </c>
      <c r="B547" t="inlineStr">
        <is>
          <t>Heritance Aarah</t>
        </is>
      </c>
      <c r="C547" t="inlineStr">
        <is>
          <t>dining_menu</t>
        </is>
      </c>
      <c r="D547" t="inlineStr">
        <is>
          <t>2026_Kaludiya-new-menu.pdf</t>
        </is>
      </c>
      <c r="E547" t="n">
        <v>2026</v>
      </c>
      <c r="H547" t="n">
        <v>5</v>
      </c>
      <c r="I547" t="n">
        <v>3249</v>
      </c>
      <c r="J547" t="inlineStr">
        <is>
          <t>Y</t>
        </is>
      </c>
      <c r="K547" t="inlineStr">
        <is>
          <t>heritancehotels.com</t>
        </is>
      </c>
      <c r="L547" t="inlineStr">
        <is>
          <t>official</t>
        </is>
      </c>
      <c r="M547" t="inlineStr">
        <is>
          <t>https://heritancehotels.eme-devops.com/2026/04/Kaludiya-new-menu.pdf</t>
        </is>
      </c>
      <c r="N547" t="inlineStr">
        <is>
          <t>https://heritancehotels.eme-devops.com/2026/04/Kaludiya-new-menu.pdf</t>
        </is>
      </c>
      <c r="O547" t="inlineStr">
        <is>
          <t>6db4aaf3e80c66160bf43513fc9ce2f1a4767549fcf108351df2e3d26d2673de</t>
        </is>
      </c>
      <c r="P547" t="inlineStr">
        <is>
          <t>library/035_heritance-aarah/dining_menu/2026_Kaludiya-new-menu.pdf</t>
        </is>
      </c>
      <c r="R547" t="inlineStr">
        <is>
          <t>current</t>
        </is>
      </c>
      <c r="S547" t="inlineStr">
        <is>
          <t>N</t>
        </is>
      </c>
      <c r="T547" t="inlineStr">
        <is>
          <t>needs-review</t>
        </is>
      </c>
      <c r="U547" t="inlineStr">
        <is>
          <t>2026-10-04</t>
        </is>
      </c>
      <c r="V547" t="inlineStr">
        <is>
          <t>ambiguous match [35]</t>
        </is>
      </c>
    </row>
    <row r="548">
      <c r="A548" t="n">
        <v>35</v>
      </c>
      <c r="B548" t="inlineStr">
        <is>
          <t>Heritance Aarah</t>
        </is>
      </c>
      <c r="C548" t="inlineStr">
        <is>
          <t>dining_menu</t>
        </is>
      </c>
      <c r="D548" t="inlineStr">
        <is>
          <t>2026_HK-Wine-List.pdf</t>
        </is>
      </c>
      <c r="E548" t="n">
        <v>2026</v>
      </c>
      <c r="H548" t="n">
        <v>8</v>
      </c>
      <c r="I548" t="n">
        <v>273</v>
      </c>
      <c r="J548" t="inlineStr">
        <is>
          <t>Y</t>
        </is>
      </c>
      <c r="K548" t="inlineStr">
        <is>
          <t>heritancehotels.com</t>
        </is>
      </c>
      <c r="L548" t="inlineStr">
        <is>
          <t>official</t>
        </is>
      </c>
      <c r="M548" t="inlineStr">
        <is>
          <t>https://heritancehotels.eme-devops.com/2026/04/HK-Wine-List.pdf</t>
        </is>
      </c>
      <c r="N548" t="inlineStr">
        <is>
          <t>https://heritancehotels.eme-devops.com/2026/04/HK-Wine-List.pdf</t>
        </is>
      </c>
      <c r="O548" t="inlineStr">
        <is>
          <t>5c6be286c529d7dc2ff429f53fde02870df14f2b1a087ae5a694377cc185657a</t>
        </is>
      </c>
      <c r="P548" t="inlineStr">
        <is>
          <t>library/035_heritance-aarah/dining_menu/2026_HK-Wine-List.pdf</t>
        </is>
      </c>
      <c r="R548" t="inlineStr">
        <is>
          <t>current</t>
        </is>
      </c>
      <c r="S548" t="inlineStr">
        <is>
          <t>N</t>
        </is>
      </c>
      <c r="T548" t="inlineStr">
        <is>
          <t>needs-review</t>
        </is>
      </c>
      <c r="U548" t="inlineStr">
        <is>
          <t>2026-10-04</t>
        </is>
      </c>
      <c r="V548" t="inlineStr">
        <is>
          <t>ambiguous match [35]</t>
        </is>
      </c>
    </row>
    <row r="549">
      <c r="A549" t="n">
        <v>35</v>
      </c>
      <c r="B549" t="inlineStr">
        <is>
          <t>Heritance Aarah</t>
        </is>
      </c>
      <c r="C549" t="inlineStr">
        <is>
          <t>dining_menu</t>
        </is>
      </c>
      <c r="D549" t="inlineStr">
        <is>
          <t>2026_HK-IRD-Menu.pdf</t>
        </is>
      </c>
      <c r="E549" t="n">
        <v>2026</v>
      </c>
      <c r="H549" t="n">
        <v>2</v>
      </c>
      <c r="I549" t="n">
        <v>186</v>
      </c>
      <c r="J549" t="inlineStr">
        <is>
          <t>Y</t>
        </is>
      </c>
      <c r="K549" t="inlineStr">
        <is>
          <t>heritancehotels.com</t>
        </is>
      </c>
      <c r="L549" t="inlineStr">
        <is>
          <t>official</t>
        </is>
      </c>
      <c r="M549" t="inlineStr">
        <is>
          <t>https://heritancehotels.eme-devops.com/2026/04/HK-IRD-Menu.pdf</t>
        </is>
      </c>
      <c r="N549" t="inlineStr">
        <is>
          <t>https://heritancehotels.eme-devops.com/2026/04/HK-IRD-Menu.pdf</t>
        </is>
      </c>
      <c r="O549" t="inlineStr">
        <is>
          <t>095bb756289cea3f2cad60a33aba3547346eeffa781ade73a1b44d042b4245a7</t>
        </is>
      </c>
      <c r="P549" t="inlineStr">
        <is>
          <t>library/035_heritance-aarah/dining_menu/2026_HK-IRD-Menu.pdf</t>
        </is>
      </c>
      <c r="R549" t="inlineStr">
        <is>
          <t>current</t>
        </is>
      </c>
      <c r="S549" t="inlineStr">
        <is>
          <t>N</t>
        </is>
      </c>
      <c r="T549" t="inlineStr">
        <is>
          <t>needs-review</t>
        </is>
      </c>
      <c r="U549" t="inlineStr">
        <is>
          <t>2026-10-04</t>
        </is>
      </c>
      <c r="V549" t="inlineStr">
        <is>
          <t>ambiguous match [35]</t>
        </is>
      </c>
    </row>
    <row r="550">
      <c r="A550" t="n">
        <v>35</v>
      </c>
      <c r="B550" t="inlineStr">
        <is>
          <t>Heritance Aarah</t>
        </is>
      </c>
      <c r="C550" t="inlineStr">
        <is>
          <t>dining_menu</t>
        </is>
      </c>
      <c r="D550" t="inlineStr">
        <is>
          <t>2026_HK-Cocktail-Menu-2026.pdf</t>
        </is>
      </c>
      <c r="E550" t="n">
        <v>2026</v>
      </c>
      <c r="H550" t="n">
        <v>5</v>
      </c>
      <c r="I550" t="n">
        <v>181</v>
      </c>
      <c r="J550" t="inlineStr">
        <is>
          <t>Y</t>
        </is>
      </c>
      <c r="K550" t="inlineStr">
        <is>
          <t>heritancehotels.com</t>
        </is>
      </c>
      <c r="L550" t="inlineStr">
        <is>
          <t>official</t>
        </is>
      </c>
      <c r="M550" t="inlineStr">
        <is>
          <t>https://heritancehotels.eme-devops.com/2026/04/HK-Cocktail-Menu-2026.pdf</t>
        </is>
      </c>
      <c r="N550" t="inlineStr">
        <is>
          <t>https://heritancehotels.eme-devops.com/2026/04/HK-Cocktail-Menu-2026.pdf</t>
        </is>
      </c>
      <c r="O550" t="inlineStr">
        <is>
          <t>06ac7b851e9dcf00d5796c08be8ea97979a8517cf7d3e93e754d5c26c0bb1004</t>
        </is>
      </c>
      <c r="P550" t="inlineStr">
        <is>
          <t>library/035_heritance-aarah/dining_menu/2026_HK-Cocktail-Menu-2026.pdf</t>
        </is>
      </c>
      <c r="R550" t="inlineStr">
        <is>
          <t>current</t>
        </is>
      </c>
      <c r="S550" t="inlineStr">
        <is>
          <t>N</t>
        </is>
      </c>
      <c r="T550" t="inlineStr">
        <is>
          <t>needs-review</t>
        </is>
      </c>
      <c r="U550" t="inlineStr">
        <is>
          <t>2026-10-04</t>
        </is>
      </c>
      <c r="V550" t="inlineStr">
        <is>
          <t>ambiguous match [35]</t>
        </is>
      </c>
    </row>
    <row r="551">
      <c r="A551" t="n">
        <v>35</v>
      </c>
      <c r="B551" t="inlineStr">
        <is>
          <t>Heritance Aarah</t>
        </is>
      </c>
      <c r="C551" t="inlineStr">
        <is>
          <t>dining_menu</t>
        </is>
      </c>
      <c r="D551" t="inlineStr">
        <is>
          <t>2026_4eb74b23_Ambula-Vegetarian-Set-Menu-Vegetarian.pdf</t>
        </is>
      </c>
      <c r="E551" t="n">
        <v>2026</v>
      </c>
      <c r="H551" t="n">
        <v>1</v>
      </c>
      <c r="I551" t="n">
        <v>329</v>
      </c>
      <c r="J551" t="inlineStr">
        <is>
          <t>Y</t>
        </is>
      </c>
      <c r="K551" t="inlineStr">
        <is>
          <t>heritancehotels.com</t>
        </is>
      </c>
      <c r="L551" t="inlineStr">
        <is>
          <t>official</t>
        </is>
      </c>
      <c r="M551" t="inlineStr">
        <is>
          <t>https://heritancehotels.eme-devops.com/2026/02/Ambula-Vegetarian-Set-Menu-Vegetarian.pdf</t>
        </is>
      </c>
      <c r="N551" t="inlineStr">
        <is>
          <t>https://heritancehotels.eme-devops.com/2026/02/Ambula-Vegetarian-Set-Menu-Vegetarian.pdf</t>
        </is>
      </c>
      <c r="O551" t="inlineStr">
        <is>
          <t>4eb74b23db2060610274078fc0ddaf980606df2b28e70416407ca02c41e44369</t>
        </is>
      </c>
      <c r="P551" t="inlineStr">
        <is>
          <t>library/035_heritance-aarah/dining_menu/2026_4eb74b23_Ambula-Vegetarian-Set-Menu-Vegetarian.pdf</t>
        </is>
      </c>
      <c r="R551" t="inlineStr">
        <is>
          <t>current</t>
        </is>
      </c>
      <c r="S551" t="inlineStr">
        <is>
          <t>N</t>
        </is>
      </c>
      <c r="T551" t="inlineStr">
        <is>
          <t>needs-review</t>
        </is>
      </c>
      <c r="U551" t="inlineStr">
        <is>
          <t>2026-10-04</t>
        </is>
      </c>
      <c r="V551" t="inlineStr">
        <is>
          <t>ambiguous match [35]</t>
        </is>
      </c>
    </row>
    <row r="552">
      <c r="A552" t="n">
        <v>35</v>
      </c>
      <c r="B552" t="inlineStr">
        <is>
          <t>Heritance Aarah</t>
        </is>
      </c>
      <c r="C552" t="inlineStr">
        <is>
          <t>dining_menu</t>
        </is>
      </c>
      <c r="D552" t="inlineStr">
        <is>
          <t>2026_4745cc39_Ambula-Set-Menu-Non-Vegetarian.pdf</t>
        </is>
      </c>
      <c r="E552" t="n">
        <v>2026</v>
      </c>
      <c r="H552" t="n">
        <v>1</v>
      </c>
      <c r="I552" t="n">
        <v>340</v>
      </c>
      <c r="J552" t="inlineStr">
        <is>
          <t>Y</t>
        </is>
      </c>
      <c r="K552" t="inlineStr">
        <is>
          <t>heritancehotels.com</t>
        </is>
      </c>
      <c r="L552" t="inlineStr">
        <is>
          <t>official</t>
        </is>
      </c>
      <c r="M552" t="inlineStr">
        <is>
          <t>https://heritancehotels.eme-devops.com/2026/02/Ambula-Set-Menu-Non-Vegetarian.pdf</t>
        </is>
      </c>
      <c r="N552" t="inlineStr">
        <is>
          <t>https://heritancehotels.eme-devops.com/2026/02/Ambula-Set-Menu-Non-Vegetarian.pdf</t>
        </is>
      </c>
      <c r="O552" t="inlineStr">
        <is>
          <t>4745cc39250def60460df55d21ca643e4bf8ac575a531cacdafbe457add4cd02</t>
        </is>
      </c>
      <c r="P552" t="inlineStr">
        <is>
          <t>library/035_heritance-aarah/dining_menu/2026_4745cc39_Ambula-Set-Menu-Non-Vegetarian.pdf</t>
        </is>
      </c>
      <c r="R552" t="inlineStr">
        <is>
          <t>current</t>
        </is>
      </c>
      <c r="S552" t="inlineStr">
        <is>
          <t>N</t>
        </is>
      </c>
      <c r="T552" t="inlineStr">
        <is>
          <t>needs-review</t>
        </is>
      </c>
      <c r="U552" t="inlineStr">
        <is>
          <t>2026-10-04</t>
        </is>
      </c>
      <c r="V552" t="inlineStr">
        <is>
          <t>ambiguous match [35]</t>
        </is>
      </c>
    </row>
    <row r="553">
      <c r="A553" t="n">
        <v>35</v>
      </c>
      <c r="B553" t="inlineStr">
        <is>
          <t>Heritance Aarah</t>
        </is>
      </c>
      <c r="C553" t="inlineStr">
        <is>
          <t>dining_menu</t>
        </is>
      </c>
      <c r="D553" t="inlineStr">
        <is>
          <t>2026_Ambula-Menu-Reserve-Options.pdf</t>
        </is>
      </c>
      <c r="E553" t="n">
        <v>2026</v>
      </c>
      <c r="H553" t="n">
        <v>1</v>
      </c>
      <c r="I553" t="n">
        <v>202</v>
      </c>
      <c r="J553" t="inlineStr">
        <is>
          <t>Y</t>
        </is>
      </c>
      <c r="K553" t="inlineStr">
        <is>
          <t>heritancehotels.com</t>
        </is>
      </c>
      <c r="L553" t="inlineStr">
        <is>
          <t>official</t>
        </is>
      </c>
      <c r="M553" t="inlineStr">
        <is>
          <t>https://heritancehotels.eme-devops.com/2026/02/Ambula-Menu-Reserve-Options.pdf</t>
        </is>
      </c>
      <c r="N553" t="inlineStr">
        <is>
          <t>https://heritancehotels.eme-devops.com/2026/02/Ambula-Menu-Reserve-Options.pdf</t>
        </is>
      </c>
      <c r="O553" t="inlineStr">
        <is>
          <t>17fe7868bb4104c3a7777ee2d4d2e36d2746ed34fb85535eb168653e7c97d6fd</t>
        </is>
      </c>
      <c r="P553" t="inlineStr">
        <is>
          <t>library/035_heritance-aarah/dining_menu/2026_Ambula-Menu-Reserve-Options.pdf</t>
        </is>
      </c>
      <c r="R553" t="inlineStr">
        <is>
          <t>current</t>
        </is>
      </c>
      <c r="S553" t="inlineStr">
        <is>
          <t>N</t>
        </is>
      </c>
      <c r="T553" t="inlineStr">
        <is>
          <t>needs-review</t>
        </is>
      </c>
      <c r="U553" t="inlineStr">
        <is>
          <t>2026-10-04</t>
        </is>
      </c>
      <c r="V553" t="inlineStr">
        <is>
          <t>ambiguous match [35]</t>
        </is>
      </c>
    </row>
    <row r="554">
      <c r="A554" t="n">
        <v>35</v>
      </c>
      <c r="B554" t="inlineStr">
        <is>
          <t>Heritance Aarah</t>
        </is>
      </c>
      <c r="C554" t="inlineStr">
        <is>
          <t>dining_menu</t>
        </is>
      </c>
      <c r="D554" t="inlineStr">
        <is>
          <t>2026_Aarah-Baani-Master-Wine-List-2026.pdf</t>
        </is>
      </c>
      <c r="E554" t="n">
        <v>2026</v>
      </c>
      <c r="H554" t="n">
        <v>13</v>
      </c>
      <c r="I554" t="n">
        <v>4680</v>
      </c>
      <c r="J554" t="inlineStr">
        <is>
          <t>Y</t>
        </is>
      </c>
      <c r="K554" t="inlineStr">
        <is>
          <t>heritancehotels.com</t>
        </is>
      </c>
      <c r="L554" t="inlineStr">
        <is>
          <t>official</t>
        </is>
      </c>
      <c r="M554" t="inlineStr">
        <is>
          <t>https://heritancehotels.eme-devops.com/2026/02/Aarah-Baani-Master-Wine-List-2026.pdf</t>
        </is>
      </c>
      <c r="N554" t="inlineStr">
        <is>
          <t>https://heritancehotels.eme-devops.com/2026/02/Aarah-Baani-Master-Wine-List-2026.pdf</t>
        </is>
      </c>
      <c r="O554" t="inlineStr">
        <is>
          <t>73799d4444483acf53578817dfeb558e3d8925570635a5dc4de93ba0d3035ccc</t>
        </is>
      </c>
      <c r="P554" t="inlineStr">
        <is>
          <t>library/035_heritance-aarah/dining_menu/2026_Aarah-Baani-Master-Wine-List-2026.pdf</t>
        </is>
      </c>
      <c r="R554" t="inlineStr">
        <is>
          <t>current</t>
        </is>
      </c>
      <c r="S554" t="inlineStr">
        <is>
          <t>N</t>
        </is>
      </c>
      <c r="T554" t="inlineStr">
        <is>
          <t>matched</t>
        </is>
      </c>
      <c r="U554" t="inlineStr">
        <is>
          <t>2026-10-04</t>
        </is>
      </c>
      <c r="V554" t="inlineStr"/>
    </row>
    <row r="555">
      <c r="A555" t="n">
        <v>35</v>
      </c>
      <c r="B555" t="inlineStr">
        <is>
          <t>Heritance Aarah</t>
        </is>
      </c>
      <c r="C555" t="inlineStr">
        <is>
          <t>dining_menu</t>
        </is>
      </c>
      <c r="D555" t="inlineStr">
        <is>
          <t>2026_Aarah-Ralu-Master-Wine-List-2026.pdf</t>
        </is>
      </c>
      <c r="E555" t="n">
        <v>2026</v>
      </c>
      <c r="H555" t="n">
        <v>13</v>
      </c>
      <c r="I555" t="n">
        <v>3895</v>
      </c>
      <c r="J555" t="inlineStr">
        <is>
          <t>Y</t>
        </is>
      </c>
      <c r="K555" t="inlineStr">
        <is>
          <t>heritancehotels.com</t>
        </is>
      </c>
      <c r="L555" t="inlineStr">
        <is>
          <t>official</t>
        </is>
      </c>
      <c r="M555" t="inlineStr">
        <is>
          <t>https://heritancehotels.eme-devops.com/2026/02/Aarah-Ralu-Master-Wine-List-2026.pdf</t>
        </is>
      </c>
      <c r="N555" t="inlineStr">
        <is>
          <t>https://heritancehotels.eme-devops.com/2026/02/Aarah-Ralu-Master-Wine-List-2026.pdf</t>
        </is>
      </c>
      <c r="O555" t="inlineStr">
        <is>
          <t>2c544cdd1558dc37c41e193dfb9342d8c778a4c38e2785cb0854e643221129d6</t>
        </is>
      </c>
      <c r="P555" t="inlineStr">
        <is>
          <t>library/035_heritance-aarah/dining_menu/2026_Aarah-Ralu-Master-Wine-List-2026.pdf</t>
        </is>
      </c>
      <c r="R555" t="inlineStr">
        <is>
          <t>current</t>
        </is>
      </c>
      <c r="S555" t="inlineStr">
        <is>
          <t>N</t>
        </is>
      </c>
      <c r="T555" t="inlineStr">
        <is>
          <t>matched</t>
        </is>
      </c>
      <c r="U555" t="inlineStr">
        <is>
          <t>2026-10-04</t>
        </is>
      </c>
      <c r="V555" t="inlineStr"/>
    </row>
    <row r="556">
      <c r="A556" t="n">
        <v>35</v>
      </c>
      <c r="B556" t="inlineStr">
        <is>
          <t>Heritance Aarah</t>
        </is>
      </c>
      <c r="C556" t="inlineStr">
        <is>
          <t>dining_menu</t>
        </is>
      </c>
      <c r="D556" t="inlineStr">
        <is>
          <t>2026_Aarah-Ginifati-Set-Menu-No-01-02.02.2026.pdf</t>
        </is>
      </c>
      <c r="E556" t="n">
        <v>2026</v>
      </c>
      <c r="H556" t="n">
        <v>2</v>
      </c>
      <c r="I556" t="n">
        <v>226</v>
      </c>
      <c r="J556" t="inlineStr">
        <is>
          <t>Y</t>
        </is>
      </c>
      <c r="K556" t="inlineStr">
        <is>
          <t>heritancehotels.com</t>
        </is>
      </c>
      <c r="L556" t="inlineStr">
        <is>
          <t>official</t>
        </is>
      </c>
      <c r="M556" t="inlineStr">
        <is>
          <t>https://heritancehotels.eme-devops.com/2026/02/Aarah-Ginifati-Set-Menu-No-01-02.02.2026.pdf</t>
        </is>
      </c>
      <c r="N556" t="inlineStr">
        <is>
          <t>https://heritancehotels.eme-devops.com/2026/02/Aarah-Ginifati-Set-Menu-No-01-02.02.2026.pdf</t>
        </is>
      </c>
      <c r="O556" t="inlineStr">
        <is>
          <t>c19e9191baf056ef895eb432c187328bb8457ad10e52cb3de6d82d2e11bea678</t>
        </is>
      </c>
      <c r="P556" t="inlineStr">
        <is>
          <t>library/035_heritance-aarah/dining_menu/2026_Aarah-Ginifati-Set-Menu-No-01-02.02.2026.pdf</t>
        </is>
      </c>
      <c r="R556" t="inlineStr">
        <is>
          <t>current</t>
        </is>
      </c>
      <c r="S556" t="inlineStr">
        <is>
          <t>N</t>
        </is>
      </c>
      <c r="T556" t="inlineStr">
        <is>
          <t>matched</t>
        </is>
      </c>
      <c r="U556" t="inlineStr">
        <is>
          <t>2026-10-04</t>
        </is>
      </c>
      <c r="V556" t="inlineStr"/>
    </row>
    <row r="557">
      <c r="A557" t="n">
        <v>35</v>
      </c>
      <c r="B557" t="inlineStr">
        <is>
          <t>Heritance Aarah</t>
        </is>
      </c>
      <c r="C557" t="inlineStr">
        <is>
          <t>dining_menu</t>
        </is>
      </c>
      <c r="D557" t="inlineStr">
        <is>
          <t>2026_Heritance-Tea-Factory-Wine-List-26.27.pdf</t>
        </is>
      </c>
      <c r="E557" t="n">
        <v>2026</v>
      </c>
      <c r="H557" t="n">
        <v>4</v>
      </c>
      <c r="I557" t="n">
        <v>289</v>
      </c>
      <c r="J557" t="inlineStr">
        <is>
          <t>Y</t>
        </is>
      </c>
      <c r="K557" t="inlineStr">
        <is>
          <t>heritancehotels.com</t>
        </is>
      </c>
      <c r="L557" t="inlineStr">
        <is>
          <t>official</t>
        </is>
      </c>
      <c r="M557" t="inlineStr">
        <is>
          <t>https://heritancehotels.eme-devops.com/2026/01/Heritance-Tea-Factory-Wine-List-26.27.pdf</t>
        </is>
      </c>
      <c r="N557" t="inlineStr">
        <is>
          <t>https://heritancehotels.eme-devops.com/2026/01/Heritance-Tea-Factory-Wine-List-26.27.pdf</t>
        </is>
      </c>
      <c r="O557" t="inlineStr">
        <is>
          <t>d816f2d02351f72fd09a24e47b88180a38f5c03738b6e18e6a51adeeeea58baf</t>
        </is>
      </c>
      <c r="P557" t="inlineStr">
        <is>
          <t>library/035_heritance-aarah/dining_menu/2026_Heritance-Tea-Factory-Wine-List-26.27.pdf</t>
        </is>
      </c>
      <c r="R557" t="inlineStr">
        <is>
          <t>current</t>
        </is>
      </c>
      <c r="S557" t="inlineStr">
        <is>
          <t>N</t>
        </is>
      </c>
      <c r="T557" t="inlineStr">
        <is>
          <t>needs-review</t>
        </is>
      </c>
      <c r="U557" t="inlineStr">
        <is>
          <t>2026-10-04</t>
        </is>
      </c>
      <c r="V557" t="inlineStr">
        <is>
          <t>ambiguous match [35]</t>
        </is>
      </c>
    </row>
    <row r="558">
      <c r="A558" t="n">
        <v>35</v>
      </c>
      <c r="B558" t="inlineStr">
        <is>
          <t>Heritance Aarah</t>
        </is>
      </c>
      <c r="C558" t="inlineStr">
        <is>
          <t>dining_menu</t>
        </is>
      </c>
      <c r="D558" t="inlineStr">
        <is>
          <t>2026_Heritance-Tea-Factory-Beverage-Menu-26.27.pdf</t>
        </is>
      </c>
      <c r="E558" t="n">
        <v>2026</v>
      </c>
      <c r="H558" t="n">
        <v>6</v>
      </c>
      <c r="I558" t="n">
        <v>300</v>
      </c>
      <c r="J558" t="inlineStr">
        <is>
          <t>Y</t>
        </is>
      </c>
      <c r="K558" t="inlineStr">
        <is>
          <t>heritancehotels.com</t>
        </is>
      </c>
      <c r="L558" t="inlineStr">
        <is>
          <t>official</t>
        </is>
      </c>
      <c r="M558" t="inlineStr">
        <is>
          <t>https://heritancehotels.eme-devops.com/2026/01/Heritance-Tea-Factory-Beverage-Menu-26.27.pdf</t>
        </is>
      </c>
      <c r="N558" t="inlineStr">
        <is>
          <t>https://heritancehotels.eme-devops.com/2026/01/Heritance-Tea-Factory-Beverage-Menu-26.27.pdf</t>
        </is>
      </c>
      <c r="O558" t="inlineStr">
        <is>
          <t>55a9c45a22244710b1b359bd40ec9839271be4df447ac5048d76dba8a9ceb776</t>
        </is>
      </c>
      <c r="P558" t="inlineStr">
        <is>
          <t>library/035_heritance-aarah/dining_menu/2026_Heritance-Tea-Factory-Beverage-Menu-26.27.pdf</t>
        </is>
      </c>
      <c r="R558" t="inlineStr">
        <is>
          <t>current</t>
        </is>
      </c>
      <c r="S558" t="inlineStr">
        <is>
          <t>N</t>
        </is>
      </c>
      <c r="T558" t="inlineStr">
        <is>
          <t>needs-review</t>
        </is>
      </c>
      <c r="U558" t="inlineStr">
        <is>
          <t>2026-10-04</t>
        </is>
      </c>
      <c r="V558" t="inlineStr">
        <is>
          <t>ambiguous match [35]</t>
        </is>
      </c>
    </row>
    <row r="559">
      <c r="A559" t="n">
        <v>35</v>
      </c>
      <c r="B559" t="inlineStr">
        <is>
          <t>Heritance Aarah</t>
        </is>
      </c>
      <c r="C559" t="inlineStr">
        <is>
          <t>dining_menu</t>
        </is>
      </c>
      <c r="D559" t="inlineStr">
        <is>
          <t>2026_HK-A-La-Carte-kanchana-1.pdf</t>
        </is>
      </c>
      <c r="E559" t="n">
        <v>2026</v>
      </c>
      <c r="H559" t="n">
        <v>5</v>
      </c>
      <c r="I559" t="n">
        <v>639</v>
      </c>
      <c r="J559" t="inlineStr">
        <is>
          <t>Y</t>
        </is>
      </c>
      <c r="K559" t="inlineStr">
        <is>
          <t>heritancehotels.com</t>
        </is>
      </c>
      <c r="L559" t="inlineStr">
        <is>
          <t>official</t>
        </is>
      </c>
      <c r="M559" t="inlineStr">
        <is>
          <t>https://heritancehotels.eme-devops.com/2026/01/HK-A-La-Carte-kanchana-1.pdf</t>
        </is>
      </c>
      <c r="N559" t="inlineStr">
        <is>
          <t>https://heritancehotels.eme-devops.com/2026/01/HK-A-La-Carte-kanchana-1.pdf</t>
        </is>
      </c>
      <c r="O559" t="inlineStr">
        <is>
          <t>11a0fce7efeaa59a82d4bf8802717b8efb62b7a26d7b29837869573cf39062ed</t>
        </is>
      </c>
      <c r="P559" t="inlineStr">
        <is>
          <t>library/035_heritance-aarah/dining_menu/2026_HK-A-La-Carte-kanchana-1.pdf</t>
        </is>
      </c>
      <c r="R559" t="inlineStr">
        <is>
          <t>current</t>
        </is>
      </c>
      <c r="S559" t="inlineStr">
        <is>
          <t>N</t>
        </is>
      </c>
      <c r="T559" t="inlineStr">
        <is>
          <t>needs-review</t>
        </is>
      </c>
      <c r="U559" t="inlineStr">
        <is>
          <t>2026-10-04</t>
        </is>
      </c>
      <c r="V559" t="inlineStr">
        <is>
          <t>ambiguous match [35]</t>
        </is>
      </c>
    </row>
    <row r="560">
      <c r="A560" t="n">
        <v>35</v>
      </c>
      <c r="B560" t="inlineStr">
        <is>
          <t>Heritance Aarah</t>
        </is>
      </c>
      <c r="C560" t="inlineStr">
        <is>
          <t>dining_menu</t>
        </is>
      </c>
      <c r="D560" t="inlineStr">
        <is>
          <t>2026_THE-TEA-INFUSED-SET-MENU-BY-JAMES-TAYLOR-2025-2026.pdf</t>
        </is>
      </c>
      <c r="E560" t="n">
        <v>2026</v>
      </c>
      <c r="H560" t="n">
        <v>1</v>
      </c>
      <c r="I560" t="n">
        <v>593</v>
      </c>
      <c r="J560" t="inlineStr">
        <is>
          <t>N</t>
        </is>
      </c>
      <c r="K560" t="inlineStr">
        <is>
          <t>heritancehotels.com</t>
        </is>
      </c>
      <c r="L560" t="inlineStr">
        <is>
          <t>official</t>
        </is>
      </c>
      <c r="M560" t="inlineStr">
        <is>
          <t>https://heritancehotels.eme-devops.com/2025/11/THE-TEA-INFUSED-SET-MENU-BY-JAMES-TAYLOR-2025-2026.pdf</t>
        </is>
      </c>
      <c r="N560" t="inlineStr">
        <is>
          <t>https://heritancehotels.eme-devops.com/2025/11/THE-TEA-INFUSED-SET-MENU-BY-JAMES-TAYLOR-2025-2026.pdf</t>
        </is>
      </c>
      <c r="O560" t="inlineStr">
        <is>
          <t>dfb7981065834ed720238589f4c6c85d45b9b921caf8d5cf85c261497268f474</t>
        </is>
      </c>
      <c r="P560" t="inlineStr">
        <is>
          <t>library/035_heritance-aarah/dining_menu/2026_THE-TEA-INFUSED-SET-MENU-BY-JAMES-TAYLOR-2025-2026.pdf</t>
        </is>
      </c>
      <c r="R560" t="inlineStr">
        <is>
          <t>current</t>
        </is>
      </c>
      <c r="S560" t="inlineStr">
        <is>
          <t>N</t>
        </is>
      </c>
      <c r="T560" t="inlineStr">
        <is>
          <t>needs-review</t>
        </is>
      </c>
      <c r="U560" t="inlineStr">
        <is>
          <t>2026-10-04</t>
        </is>
      </c>
      <c r="V560" t="inlineStr">
        <is>
          <t>ambiguous match [35]</t>
        </is>
      </c>
    </row>
    <row r="561">
      <c r="A561" t="n">
        <v>35</v>
      </c>
      <c r="B561" t="inlineStr">
        <is>
          <t>Heritance Aarah</t>
        </is>
      </c>
      <c r="C561" t="inlineStr">
        <is>
          <t>dining_menu</t>
        </is>
      </c>
      <c r="D561" t="inlineStr">
        <is>
          <t>2026_Hethersett-Snack-Menu-2025-2026-1.pdf</t>
        </is>
      </c>
      <c r="E561" t="n">
        <v>2026</v>
      </c>
      <c r="H561" t="n">
        <v>3</v>
      </c>
      <c r="I561" t="n">
        <v>1536</v>
      </c>
      <c r="J561" t="inlineStr">
        <is>
          <t>N</t>
        </is>
      </c>
      <c r="K561" t="inlineStr">
        <is>
          <t>heritancehotels.com</t>
        </is>
      </c>
      <c r="L561" t="inlineStr">
        <is>
          <t>official</t>
        </is>
      </c>
      <c r="M561" t="inlineStr">
        <is>
          <t>https://heritancehotels.eme-devops.com/2025/11/Hethersett-Snack-Menu-2025-2026-1.pdf</t>
        </is>
      </c>
      <c r="N561" t="inlineStr">
        <is>
          <t>https://heritancehotels.eme-devops.com/2025/11/Hethersett-Snack-Menu-2025-2026-1.pdf</t>
        </is>
      </c>
      <c r="O561" t="inlineStr">
        <is>
          <t>f3de15f521b05950cab055b2924cda49d0e926bc80b4e56675f0a65c3510e103</t>
        </is>
      </c>
      <c r="P561" t="inlineStr">
        <is>
          <t>library/035_heritance-aarah/dining_menu/2026_Hethersett-Snack-Menu-2025-2026-1.pdf</t>
        </is>
      </c>
      <c r="R561" t="inlineStr">
        <is>
          <t>current</t>
        </is>
      </c>
      <c r="S561" t="inlineStr">
        <is>
          <t>N</t>
        </is>
      </c>
      <c r="T561" t="inlineStr">
        <is>
          <t>needs-review</t>
        </is>
      </c>
      <c r="U561" t="inlineStr">
        <is>
          <t>2026-10-04</t>
        </is>
      </c>
      <c r="V561" t="inlineStr">
        <is>
          <t>ambiguous match [35]</t>
        </is>
      </c>
    </row>
    <row r="562">
      <c r="A562" t="n">
        <v>35</v>
      </c>
      <c r="B562" t="inlineStr">
        <is>
          <t>Heritance Aarah</t>
        </is>
      </c>
      <c r="C562" t="inlineStr">
        <is>
          <t>dining_menu</t>
        </is>
      </c>
      <c r="D562" t="inlineStr">
        <is>
          <t>2026_HETHERSETT-SNACK-MENU-2025-2026.pdf</t>
        </is>
      </c>
      <c r="E562" t="n">
        <v>2026</v>
      </c>
      <c r="H562" t="n">
        <v>3</v>
      </c>
      <c r="I562" t="n">
        <v>268</v>
      </c>
      <c r="J562" t="inlineStr">
        <is>
          <t>Y</t>
        </is>
      </c>
      <c r="K562" t="inlineStr">
        <is>
          <t>heritancehotels.com</t>
        </is>
      </c>
      <c r="L562" t="inlineStr">
        <is>
          <t>official</t>
        </is>
      </c>
      <c r="M562" t="inlineStr">
        <is>
          <t>https://heritancehotels.eme-devops.com/2025/09/HETHERSETT-SNACK-MENU-2025-2026.pdf</t>
        </is>
      </c>
      <c r="N562" t="inlineStr">
        <is>
          <t>https://heritancehotels.eme-devops.com/2025/09/HETHERSETT-SNACK-MENU-2025-2026.pdf</t>
        </is>
      </c>
      <c r="O562" t="inlineStr">
        <is>
          <t>eaa13d3bec2b5aaa07522e44f5854a0251422048b323227123ffcba0928ba9b6</t>
        </is>
      </c>
      <c r="P562" t="inlineStr">
        <is>
          <t>library/035_heritance-aarah/dining_menu/2026_HETHERSETT-SNACK-MENU-2025-2026.pdf</t>
        </is>
      </c>
      <c r="R562" t="inlineStr">
        <is>
          <t>current</t>
        </is>
      </c>
      <c r="S562" t="inlineStr">
        <is>
          <t>N</t>
        </is>
      </c>
      <c r="T562" t="inlineStr">
        <is>
          <t>needs-review</t>
        </is>
      </c>
      <c r="U562" t="inlineStr">
        <is>
          <t>2026-10-04</t>
        </is>
      </c>
      <c r="V562" t="inlineStr">
        <is>
          <t>ambiguous match [35]</t>
        </is>
      </c>
    </row>
    <row r="563">
      <c r="A563" t="n">
        <v>35</v>
      </c>
      <c r="B563" t="inlineStr">
        <is>
          <t>Heritance Aarah</t>
        </is>
      </c>
      <c r="C563" t="inlineStr">
        <is>
          <t>dining_menu</t>
        </is>
      </c>
      <c r="D563" t="inlineStr">
        <is>
          <t>2026_HETHERSETT-BONFIRE-MENU-2025-2026.pdf</t>
        </is>
      </c>
      <c r="E563" t="n">
        <v>2026</v>
      </c>
      <c r="H563" t="n">
        <v>1</v>
      </c>
      <c r="I563" t="n">
        <v>107</v>
      </c>
      <c r="J563" t="inlineStr">
        <is>
          <t>Y</t>
        </is>
      </c>
      <c r="K563" t="inlineStr">
        <is>
          <t>heritancehotels.com</t>
        </is>
      </c>
      <c r="L563" t="inlineStr">
        <is>
          <t>official</t>
        </is>
      </c>
      <c r="M563" t="inlineStr">
        <is>
          <t>https://heritancehotels.eme-devops.com/2025/09/HETHERSETT-BONFIRE-MENU-2025-2026.pdf</t>
        </is>
      </c>
      <c r="N563" t="inlineStr">
        <is>
          <t>https://heritancehotels.eme-devops.com/2025/09/HETHERSETT-BONFIRE-MENU-2025-2026.pdf</t>
        </is>
      </c>
      <c r="O563" t="inlineStr">
        <is>
          <t>5f7587e063872d8d519792b5268c654f4b8c2382d49f964ca810f8292db11687</t>
        </is>
      </c>
      <c r="P563" t="inlineStr">
        <is>
          <t>library/035_heritance-aarah/dining_menu/2026_HETHERSETT-BONFIRE-MENU-2025-2026.pdf</t>
        </is>
      </c>
      <c r="R563" t="inlineStr">
        <is>
          <t>current</t>
        </is>
      </c>
      <c r="S563" t="inlineStr">
        <is>
          <t>N</t>
        </is>
      </c>
      <c r="T563" t="inlineStr">
        <is>
          <t>needs-review</t>
        </is>
      </c>
      <c r="U563" t="inlineStr">
        <is>
          <t>2026-10-04</t>
        </is>
      </c>
      <c r="V563" t="inlineStr">
        <is>
          <t>ambiguous match [35]</t>
        </is>
      </c>
    </row>
    <row r="564">
      <c r="A564" t="n">
        <v>35</v>
      </c>
      <c r="B564" t="inlineStr">
        <is>
          <t>Heritance Aarah</t>
        </is>
      </c>
      <c r="C564" t="inlineStr">
        <is>
          <t>dining_menu</t>
        </is>
      </c>
      <c r="D564" t="inlineStr">
        <is>
          <t>2026_KENMARE-ALA-CART-MENU-2025-2026.pdf</t>
        </is>
      </c>
      <c r="E564" t="n">
        <v>2026</v>
      </c>
      <c r="H564" t="n">
        <v>3</v>
      </c>
      <c r="I564" t="n">
        <v>322</v>
      </c>
      <c r="J564" t="inlineStr">
        <is>
          <t>Y</t>
        </is>
      </c>
      <c r="K564" t="inlineStr">
        <is>
          <t>heritancehotels.com</t>
        </is>
      </c>
      <c r="L564" t="inlineStr">
        <is>
          <t>official</t>
        </is>
      </c>
      <c r="M564" t="inlineStr">
        <is>
          <t>https://heritancehotels.eme-devops.com/2025/09/KENMARE-ALA-CART-MENU-2025-2026.pdf</t>
        </is>
      </c>
      <c r="N564" t="inlineStr">
        <is>
          <t>https://heritancehotels.eme-devops.com/2025/09/KENMARE-ALA-CART-MENU-2025-2026.pdf</t>
        </is>
      </c>
      <c r="O564" t="inlineStr">
        <is>
          <t>2bb429c66383e7213664c4b7a0399e6c6c12e59d6b2491dcc855cb786825ddbc</t>
        </is>
      </c>
      <c r="P564" t="inlineStr">
        <is>
          <t>library/035_heritance-aarah/dining_menu/2026_KENMARE-ALA-CART-MENU-2025-2026.pdf</t>
        </is>
      </c>
      <c r="R564" t="inlineStr">
        <is>
          <t>current</t>
        </is>
      </c>
      <c r="S564" t="inlineStr">
        <is>
          <t>N</t>
        </is>
      </c>
      <c r="T564" t="inlineStr">
        <is>
          <t>needs-review</t>
        </is>
      </c>
      <c r="U564" t="inlineStr">
        <is>
          <t>2026-10-04</t>
        </is>
      </c>
      <c r="V564" t="inlineStr">
        <is>
          <t>ambiguous match [35]</t>
        </is>
      </c>
    </row>
    <row r="565">
      <c r="A565" t="n">
        <v>35</v>
      </c>
      <c r="B565" t="inlineStr">
        <is>
          <t>Heritance Aarah</t>
        </is>
      </c>
      <c r="C565" t="inlineStr">
        <is>
          <t>dining_menu</t>
        </is>
      </c>
      <c r="D565" t="inlineStr">
        <is>
          <t>2026_HTF-Beverage-Menu-2025-2026.pdf</t>
        </is>
      </c>
      <c r="E565" t="n">
        <v>2026</v>
      </c>
      <c r="H565" t="n">
        <v>5</v>
      </c>
      <c r="I565" t="n">
        <v>281</v>
      </c>
      <c r="J565" t="inlineStr">
        <is>
          <t>Y</t>
        </is>
      </c>
      <c r="K565" t="inlineStr">
        <is>
          <t>heritancehotels.com</t>
        </is>
      </c>
      <c r="L565" t="inlineStr">
        <is>
          <t>official</t>
        </is>
      </c>
      <c r="M565" t="inlineStr">
        <is>
          <t>https://heritancehotels.eme-devops.com/2025/09/HTF-Beverage-Menu-2025-2026.pdf</t>
        </is>
      </c>
      <c r="N565" t="inlineStr">
        <is>
          <t>https://heritancehotels.eme-devops.com/2025/09/HTF-Beverage-Menu-2025-2026.pdf</t>
        </is>
      </c>
      <c r="O565" t="inlineStr">
        <is>
          <t>84f99498254811a47e08a514115212af55f99a67219ec9924e2015b0674276aa</t>
        </is>
      </c>
      <c r="P565" t="inlineStr">
        <is>
          <t>library/035_heritance-aarah/dining_menu/2026_HTF-Beverage-Menu-2025-2026.pdf</t>
        </is>
      </c>
      <c r="R565" t="inlineStr">
        <is>
          <t>current</t>
        </is>
      </c>
      <c r="S565" t="inlineStr">
        <is>
          <t>N</t>
        </is>
      </c>
      <c r="T565" t="inlineStr">
        <is>
          <t>needs-review</t>
        </is>
      </c>
      <c r="U565" t="inlineStr">
        <is>
          <t>2026-10-04</t>
        </is>
      </c>
      <c r="V565" t="inlineStr">
        <is>
          <t>ambiguous match [35]</t>
        </is>
      </c>
    </row>
    <row r="566">
      <c r="A566" t="n">
        <v>35</v>
      </c>
      <c r="B566" t="inlineStr">
        <is>
          <t>Heritance Aarah</t>
        </is>
      </c>
      <c r="C566" t="inlineStr">
        <is>
          <t>dining_menu</t>
        </is>
      </c>
      <c r="D566" t="inlineStr">
        <is>
          <t>2025_Aarah-Ginifati-Set-Menu-No-02-01.12.2025.pdf</t>
        </is>
      </c>
      <c r="E566" t="n">
        <v>2025</v>
      </c>
      <c r="H566" t="n">
        <v>2</v>
      </c>
      <c r="I566" t="n">
        <v>350</v>
      </c>
      <c r="J566" t="inlineStr">
        <is>
          <t>Y</t>
        </is>
      </c>
      <c r="K566" t="inlineStr">
        <is>
          <t>heritancehotels.com</t>
        </is>
      </c>
      <c r="L566" t="inlineStr">
        <is>
          <t>official</t>
        </is>
      </c>
      <c r="M566" t="inlineStr">
        <is>
          <t>https://heritancehotels.eme-devops.com/2026/01/Aarah-Ginifati-Set-Menu-No-02-01.12.2025.pdf</t>
        </is>
      </c>
      <c r="N566" t="inlineStr">
        <is>
          <t>https://heritancehotels.eme-devops.com/2026/01/Aarah-Ginifati-Set-Menu-No-02-01.12.2025.pdf</t>
        </is>
      </c>
      <c r="O566" t="inlineStr">
        <is>
          <t>f4cb8333cdc41176ec12102d074167a37aa321e36e271b221f05b928717b5c1f</t>
        </is>
      </c>
      <c r="P566" t="inlineStr">
        <is>
          <t>library/035_heritance-aarah/dining_menu/2025_Aarah-Ginifati-Set-Menu-No-02-01.12.2025.pdf</t>
        </is>
      </c>
      <c r="R566" t="inlineStr">
        <is>
          <t>current</t>
        </is>
      </c>
      <c r="S566" t="inlineStr">
        <is>
          <t>N</t>
        </is>
      </c>
      <c r="T566" t="inlineStr">
        <is>
          <t>matched</t>
        </is>
      </c>
      <c r="U566" t="inlineStr">
        <is>
          <t>2026-10-04</t>
        </is>
      </c>
      <c r="V566" t="inlineStr"/>
    </row>
    <row r="567">
      <c r="A567" t="n">
        <v>35</v>
      </c>
      <c r="B567" t="inlineStr">
        <is>
          <t>Heritance Aarah</t>
        </is>
      </c>
      <c r="C567" t="inlineStr">
        <is>
          <t>dining_menu</t>
        </is>
      </c>
      <c r="D567" t="inlineStr">
        <is>
          <t>2025_HK-Bites-Menu.pdf</t>
        </is>
      </c>
      <c r="E567" t="n">
        <v>2025</v>
      </c>
      <c r="H567" t="n">
        <v>2</v>
      </c>
      <c r="I567" t="n">
        <v>211</v>
      </c>
      <c r="J567" t="inlineStr">
        <is>
          <t>Y</t>
        </is>
      </c>
      <c r="K567" t="inlineStr">
        <is>
          <t>heritancehotels.com</t>
        </is>
      </c>
      <c r="L567" t="inlineStr">
        <is>
          <t>official</t>
        </is>
      </c>
      <c r="M567" t="inlineStr">
        <is>
          <t>https://heritancehotels.eme-devops.com/2025/11/HK-Bites-Menu.pdf</t>
        </is>
      </c>
      <c r="N567" t="inlineStr">
        <is>
          <t>https://heritancehotels.eme-devops.com/2025/11/HK-Bites-Menu.pdf</t>
        </is>
      </c>
      <c r="O567" t="inlineStr">
        <is>
          <t>20975dae6f5fafe1722b97d56c75b183a7add505f382b8313a1464894ee164e7</t>
        </is>
      </c>
      <c r="P567" t="inlineStr">
        <is>
          <t>library/035_heritance-aarah/dining_menu/2025_HK-Bites-Menu.pdf</t>
        </is>
      </c>
      <c r="R567" t="inlineStr">
        <is>
          <t>current</t>
        </is>
      </c>
      <c r="S567" t="inlineStr">
        <is>
          <t>N</t>
        </is>
      </c>
      <c r="T567" t="inlineStr">
        <is>
          <t>needs-review</t>
        </is>
      </c>
      <c r="U567" t="inlineStr">
        <is>
          <t>2026-10-04</t>
        </is>
      </c>
      <c r="V567" t="inlineStr">
        <is>
          <t>ambiguous match [35]</t>
        </is>
      </c>
    </row>
    <row r="568">
      <c r="A568" t="n">
        <v>35</v>
      </c>
      <c r="B568" t="inlineStr">
        <is>
          <t>Heritance Aarah</t>
        </is>
      </c>
      <c r="C568" t="inlineStr">
        <is>
          <t>dining_menu</t>
        </is>
      </c>
      <c r="D568" t="inlineStr">
        <is>
          <t>2025_HK-A-La-Carte-1.pdf</t>
        </is>
      </c>
      <c r="E568" t="n">
        <v>2025</v>
      </c>
      <c r="H568" t="n">
        <v>5</v>
      </c>
      <c r="I568" t="n">
        <v>12097</v>
      </c>
      <c r="J568" t="inlineStr">
        <is>
          <t>Y</t>
        </is>
      </c>
      <c r="K568" t="inlineStr">
        <is>
          <t>heritancehotels.com</t>
        </is>
      </c>
      <c r="L568" t="inlineStr">
        <is>
          <t>official</t>
        </is>
      </c>
      <c r="M568" t="inlineStr">
        <is>
          <t>https://heritancehotels.eme-devops.com/2025/11/HK-A-La-Carte-1.pdf</t>
        </is>
      </c>
      <c r="N568" t="inlineStr">
        <is>
          <t>https://heritancehotels.eme-devops.com/2025/11/HK-A-La-Carte-1.pdf</t>
        </is>
      </c>
      <c r="O568" t="inlineStr">
        <is>
          <t>3ae1f643d0a3cc60f1492a11113e36b5831e7e361947cd7d191f2d456ccaeb7e</t>
        </is>
      </c>
      <c r="P568" t="inlineStr">
        <is>
          <t>library/035_heritance-aarah/dining_menu/2025_HK-A-La-Carte-1.pdf</t>
        </is>
      </c>
      <c r="R568" t="inlineStr">
        <is>
          <t>current</t>
        </is>
      </c>
      <c r="S568" t="inlineStr">
        <is>
          <t>N</t>
        </is>
      </c>
      <c r="T568" t="inlineStr">
        <is>
          <t>needs-review</t>
        </is>
      </c>
      <c r="U568" t="inlineStr">
        <is>
          <t>2026-10-04</t>
        </is>
      </c>
      <c r="V568" t="inlineStr">
        <is>
          <t>ambiguous match [35]</t>
        </is>
      </c>
    </row>
    <row r="569">
      <c r="A569" t="n">
        <v>35</v>
      </c>
      <c r="B569" t="inlineStr">
        <is>
          <t>Heritance Aarah</t>
        </is>
      </c>
      <c r="C569" t="inlineStr">
        <is>
          <t>dining_menu</t>
        </is>
      </c>
      <c r="D569" t="inlineStr">
        <is>
          <t>2025_Aarah-PAI-Wine-Beverage-List-18.09.2025.pdf</t>
        </is>
      </c>
      <c r="E569" t="n">
        <v>2025</v>
      </c>
      <c r="H569" t="n">
        <v>16</v>
      </c>
      <c r="I569" t="n">
        <v>487</v>
      </c>
      <c r="J569" t="inlineStr">
        <is>
          <t>Y</t>
        </is>
      </c>
      <c r="K569" t="inlineStr">
        <is>
          <t>heritancehotels.com</t>
        </is>
      </c>
      <c r="L569" t="inlineStr">
        <is>
          <t>official</t>
        </is>
      </c>
      <c r="M569" t="inlineStr">
        <is>
          <t>https://heritancehotels.eme-devops.com/2025/09/Aarah-PAI-Wine-Beverage-List-18.09.2025.pdf</t>
        </is>
      </c>
      <c r="N569" t="inlineStr">
        <is>
          <t>https://heritancehotels.eme-devops.com/2025/09/Aarah-PAI-Wine-Beverage-List-18.09.2025.pdf</t>
        </is>
      </c>
      <c r="O569" t="inlineStr">
        <is>
          <t>6869a8390c3964442b94f81a97657de7ce46ebaea2a25a5a4e3cff00a98a9ac9</t>
        </is>
      </c>
      <c r="P569" t="inlineStr">
        <is>
          <t>library/035_heritance-aarah/dining_menu/2025_Aarah-PAI-Wine-Beverage-List-18.09.2025.pdf</t>
        </is>
      </c>
      <c r="R569" t="inlineStr">
        <is>
          <t>current</t>
        </is>
      </c>
      <c r="S569" t="inlineStr">
        <is>
          <t>N</t>
        </is>
      </c>
      <c r="T569" t="inlineStr">
        <is>
          <t>matched</t>
        </is>
      </c>
      <c r="U569" t="inlineStr">
        <is>
          <t>2026-10-04</t>
        </is>
      </c>
      <c r="V569" t="inlineStr"/>
    </row>
    <row r="570">
      <c r="A570" t="n">
        <v>35</v>
      </c>
      <c r="B570" t="inlineStr">
        <is>
          <t>Heritance Aarah</t>
        </is>
      </c>
      <c r="C570" t="inlineStr">
        <is>
          <t>dining_menu</t>
        </is>
      </c>
      <c r="D570" t="inlineStr">
        <is>
          <t>2025_Aarah-Reserve-Beverage-List-20.09.2025.pdf</t>
        </is>
      </c>
      <c r="E570" t="n">
        <v>2025</v>
      </c>
      <c r="H570" t="n">
        <v>9</v>
      </c>
      <c r="I570" t="n">
        <v>304</v>
      </c>
      <c r="J570" t="inlineStr">
        <is>
          <t>Y</t>
        </is>
      </c>
      <c r="K570" t="inlineStr">
        <is>
          <t>heritancehotels.com</t>
        </is>
      </c>
      <c r="L570" t="inlineStr">
        <is>
          <t>official</t>
        </is>
      </c>
      <c r="M570" t="inlineStr">
        <is>
          <t>https://heritancehotels.eme-devops.com/2025/09/Aarah-Reserve-Beverage-List-20.09.2025.pdf</t>
        </is>
      </c>
      <c r="N570" t="inlineStr">
        <is>
          <t>https://heritancehotels.eme-devops.com/2025/09/Aarah-Reserve-Beverage-List-20.09.2025.pdf</t>
        </is>
      </c>
      <c r="O570" t="inlineStr">
        <is>
          <t>ea4d94f8a6e60dee7a76f151159644248cbab2a3a434f2bbf5d027bd8235bd03</t>
        </is>
      </c>
      <c r="P570" t="inlineStr">
        <is>
          <t>library/035_heritance-aarah/dining_menu/2025_Aarah-Reserve-Beverage-List-20.09.2025.pdf</t>
        </is>
      </c>
      <c r="R570" t="inlineStr">
        <is>
          <t>current</t>
        </is>
      </c>
      <c r="S570" t="inlineStr">
        <is>
          <t>N</t>
        </is>
      </c>
      <c r="T570" t="inlineStr">
        <is>
          <t>matched</t>
        </is>
      </c>
      <c r="U570" t="inlineStr">
        <is>
          <t>2026-10-04</t>
        </is>
      </c>
      <c r="V570" t="inlineStr"/>
    </row>
    <row r="571">
      <c r="A571" t="n">
        <v>35</v>
      </c>
      <c r="B571" t="inlineStr">
        <is>
          <t>Heritance Aarah</t>
        </is>
      </c>
      <c r="C571" t="inlineStr">
        <is>
          <t>dining_menu</t>
        </is>
      </c>
      <c r="D571" t="inlineStr">
        <is>
          <t>2025_IVD-Ala-carte-Menu-Snack-Menu-3.00-pm-to-6.00-pm.pdf</t>
        </is>
      </c>
      <c r="E571" t="n">
        <v>2025</v>
      </c>
      <c r="H571" t="n">
        <v>3</v>
      </c>
      <c r="I571" t="n">
        <v>124</v>
      </c>
      <c r="J571" t="inlineStr">
        <is>
          <t>Y</t>
        </is>
      </c>
      <c r="K571" t="inlineStr">
        <is>
          <t>heritancehotels.com</t>
        </is>
      </c>
      <c r="L571" t="inlineStr">
        <is>
          <t>official</t>
        </is>
      </c>
      <c r="M571" t="inlineStr">
        <is>
          <t>https://heritancehotels.eme-devops.com/2025/09/IVD-Ala-carte-Menu-Snack-Menu-3.00-pm-to-6.00-pm.pdf</t>
        </is>
      </c>
      <c r="N571" t="inlineStr">
        <is>
          <t>https://heritancehotels.eme-devops.com/2025/09/IVD-Ala-carte-Menu-Snack-Menu-3.00-pm-to-6.00-pm.pdf</t>
        </is>
      </c>
      <c r="O571" t="inlineStr">
        <is>
          <t>fa887fccfdd74adcf49fd065c808392b7607563d77702a25fe99ba5d654d8be1</t>
        </is>
      </c>
      <c r="P571" t="inlineStr">
        <is>
          <t>library/035_heritance-aarah/dining_menu/2025_IVD-Ala-carte-Menu-Snack-Menu-3.00-pm-to-6.00-pm.pdf</t>
        </is>
      </c>
      <c r="R571" t="inlineStr">
        <is>
          <t>current</t>
        </is>
      </c>
      <c r="S571" t="inlineStr">
        <is>
          <t>N</t>
        </is>
      </c>
      <c r="T571" t="inlineStr">
        <is>
          <t>needs-review</t>
        </is>
      </c>
      <c r="U571" t="inlineStr">
        <is>
          <t>2026-10-04</t>
        </is>
      </c>
      <c r="V571" t="inlineStr">
        <is>
          <t>ambiguous match [35]</t>
        </is>
      </c>
    </row>
    <row r="572">
      <c r="A572" t="n">
        <v>35</v>
      </c>
      <c r="B572" t="inlineStr">
        <is>
          <t>Heritance Aarah</t>
        </is>
      </c>
      <c r="C572" t="inlineStr">
        <is>
          <t>dining_menu</t>
        </is>
      </c>
      <c r="D572" t="inlineStr">
        <is>
          <t>2025_IVD-Ala-carte-Menu-A-la-carte-12.00-pm-to-3.00-pm-7.00-pm-to-11.00-pm.pdf</t>
        </is>
      </c>
      <c r="E572" t="n">
        <v>2025</v>
      </c>
      <c r="H572" t="n">
        <v>4</v>
      </c>
      <c r="I572" t="n">
        <v>146</v>
      </c>
      <c r="J572" t="inlineStr">
        <is>
          <t>Y</t>
        </is>
      </c>
      <c r="K572" t="inlineStr">
        <is>
          <t>heritancehotels.com</t>
        </is>
      </c>
      <c r="L572" t="inlineStr">
        <is>
          <t>official</t>
        </is>
      </c>
      <c r="M572" t="inlineStr">
        <is>
          <t>https://heritancehotels.eme-devops.com/2025/09/IVD-Ala-carte-Menu-A-la-carte-12.00-pm-to-3.00-pm-7.00-pm-to-11.00-pm.pdf</t>
        </is>
      </c>
      <c r="N572" t="inlineStr">
        <is>
          <t>https://heritancehotels.eme-devops.com/2025/09/IVD-Ala-carte-Menu-A-la-carte-12.00-pm-to-3.00-pm-7.00-pm-to-11.00-pm.pdf</t>
        </is>
      </c>
      <c r="O572" t="inlineStr">
        <is>
          <t>07dd49d5882a8ac74bc77b05d52e6fae3f2dab7e27aec2212904d7895609086b</t>
        </is>
      </c>
      <c r="P572" t="inlineStr">
        <is>
          <t>library/035_heritance-aarah/dining_menu/2025_IVD-Ala-carte-Menu-A-la-carte-12.00-pm-to-3.00-pm-7.00-pm-to-11.00-pm.pdf</t>
        </is>
      </c>
      <c r="R572" t="inlineStr">
        <is>
          <t>current</t>
        </is>
      </c>
      <c r="S572" t="inlineStr">
        <is>
          <t>N</t>
        </is>
      </c>
      <c r="T572" t="inlineStr">
        <is>
          <t>needs-review</t>
        </is>
      </c>
      <c r="U572" t="inlineStr">
        <is>
          <t>2026-10-04</t>
        </is>
      </c>
      <c r="V572" t="inlineStr">
        <is>
          <t>ambiguous match [35]</t>
        </is>
      </c>
    </row>
    <row r="573">
      <c r="A573" t="n">
        <v>35</v>
      </c>
      <c r="B573" t="inlineStr">
        <is>
          <t>Heritance Aarah</t>
        </is>
      </c>
      <c r="C573" t="inlineStr">
        <is>
          <t>dining_menu</t>
        </is>
      </c>
      <c r="D573" t="inlineStr">
        <is>
          <t>2025_IVD-Ala-carte-Menu-Breakfast-7.00-am-to-11.00-am.pdf</t>
        </is>
      </c>
      <c r="E573" t="n">
        <v>2025</v>
      </c>
      <c r="H573" t="n">
        <v>3</v>
      </c>
      <c r="I573" t="n">
        <v>140</v>
      </c>
      <c r="J573" t="inlineStr">
        <is>
          <t>Y</t>
        </is>
      </c>
      <c r="K573" t="inlineStr">
        <is>
          <t>heritancehotels.com</t>
        </is>
      </c>
      <c r="L573" t="inlineStr">
        <is>
          <t>official</t>
        </is>
      </c>
      <c r="M573" t="inlineStr">
        <is>
          <t>https://heritancehotels.eme-devops.com/2025/09/IVD-Ala-carte-Menu-Breakfast-7.00-am-to-11.00-am.pdf</t>
        </is>
      </c>
      <c r="N573" t="inlineStr">
        <is>
          <t>https://heritancehotels.eme-devops.com/2025/09/IVD-Ala-carte-Menu-Breakfast-7.00-am-to-11.00-am.pdf</t>
        </is>
      </c>
      <c r="O573" t="inlineStr">
        <is>
          <t>e7d5b9fce409f98fe5fdc8c37606dcfc783439b0cdcc2d47b52222bcd70a97ca</t>
        </is>
      </c>
      <c r="P573" t="inlineStr">
        <is>
          <t>library/035_heritance-aarah/dining_menu/2025_IVD-Ala-carte-Menu-Breakfast-7.00-am-to-11.00-am.pdf</t>
        </is>
      </c>
      <c r="R573" t="inlineStr">
        <is>
          <t>current</t>
        </is>
      </c>
      <c r="S573" t="inlineStr">
        <is>
          <t>N</t>
        </is>
      </c>
      <c r="T573" t="inlineStr">
        <is>
          <t>needs-review</t>
        </is>
      </c>
      <c r="U573" t="inlineStr">
        <is>
          <t>2026-10-04</t>
        </is>
      </c>
      <c r="V573" t="inlineStr">
        <is>
          <t>ambiguous match [35]</t>
        </is>
      </c>
    </row>
    <row r="574">
      <c r="A574" t="n">
        <v>35</v>
      </c>
      <c r="B574" t="inlineStr">
        <is>
          <t>Heritance Aarah</t>
        </is>
      </c>
      <c r="C574" t="inlineStr">
        <is>
          <t>dining_menu</t>
        </is>
      </c>
      <c r="D574" t="inlineStr">
        <is>
          <t>2025_Bandhi-Pizza-Snack-Menu.pdf</t>
        </is>
      </c>
      <c r="E574" t="n">
        <v>2025</v>
      </c>
      <c r="H574" t="n">
        <v>1</v>
      </c>
      <c r="I574" t="n">
        <v>115</v>
      </c>
      <c r="J574" t="inlineStr">
        <is>
          <t>Y</t>
        </is>
      </c>
      <c r="K574" t="inlineStr">
        <is>
          <t>heritancehotels.com</t>
        </is>
      </c>
      <c r="L574" t="inlineStr">
        <is>
          <t>official</t>
        </is>
      </c>
      <c r="M574" t="inlineStr">
        <is>
          <t>https://heritancehotels.eme-devops.com/2025/09/Bandhi-Pizza-Snack-Menu.pdf</t>
        </is>
      </c>
      <c r="N574" t="inlineStr">
        <is>
          <t>https://heritancehotels.eme-devops.com/2025/09/Bandhi-Pizza-Snack-Menu.pdf</t>
        </is>
      </c>
      <c r="O574" t="inlineStr">
        <is>
          <t>7698ff247dc4a34fd408c54ed85ae1147e65162a9da2339c5fe3ae9faa4557ff</t>
        </is>
      </c>
      <c r="P574" t="inlineStr">
        <is>
          <t>library/035_heritance-aarah/dining_menu/2025_Bandhi-Pizza-Snack-Menu.pdf</t>
        </is>
      </c>
      <c r="R574" t="inlineStr">
        <is>
          <t>current</t>
        </is>
      </c>
      <c r="S574" t="inlineStr">
        <is>
          <t>N</t>
        </is>
      </c>
      <c r="T574" t="inlineStr">
        <is>
          <t>needs-review</t>
        </is>
      </c>
      <c r="U574" t="inlineStr">
        <is>
          <t>2026-10-04</t>
        </is>
      </c>
      <c r="V574" t="inlineStr">
        <is>
          <t>ambiguous match [35]</t>
        </is>
      </c>
    </row>
    <row r="575">
      <c r="A575" t="n">
        <v>35</v>
      </c>
      <c r="B575" t="inlineStr">
        <is>
          <t>Heritance Aarah</t>
        </is>
      </c>
      <c r="C575" t="inlineStr">
        <is>
          <t>dining_menu</t>
        </is>
      </c>
      <c r="D575" t="inlineStr">
        <is>
          <t>2025_Ranba-Ala-carte-Lunch-Dinner-Veg.pdf</t>
        </is>
      </c>
      <c r="E575" t="n">
        <v>2025</v>
      </c>
      <c r="H575" t="n">
        <v>4</v>
      </c>
      <c r="I575" t="n">
        <v>127</v>
      </c>
      <c r="J575" t="inlineStr">
        <is>
          <t>Y</t>
        </is>
      </c>
      <c r="K575" t="inlineStr">
        <is>
          <t>heritancehotels.com</t>
        </is>
      </c>
      <c r="L575" t="inlineStr">
        <is>
          <t>official</t>
        </is>
      </c>
      <c r="M575" t="inlineStr">
        <is>
          <t>https://heritancehotels.eme-devops.com/2025/09/Ranba-Ala-carte-Lunch-Dinner-Veg.pdf</t>
        </is>
      </c>
      <c r="N575" t="inlineStr">
        <is>
          <t>https://heritancehotels.eme-devops.com/2025/09/Ranba-Ala-carte-Lunch-Dinner-Veg.pdf</t>
        </is>
      </c>
      <c r="O575" t="inlineStr">
        <is>
          <t>7456a3197c8b4a2d8b369cc87cbd3742c6f5ebb5dbd8cd5b6d70cb2ab28ae779</t>
        </is>
      </c>
      <c r="P575" t="inlineStr">
        <is>
          <t>library/035_heritance-aarah/dining_menu/2025_Ranba-Ala-carte-Lunch-Dinner-Veg.pdf</t>
        </is>
      </c>
      <c r="R575" t="inlineStr">
        <is>
          <t>current</t>
        </is>
      </c>
      <c r="S575" t="inlineStr">
        <is>
          <t>N</t>
        </is>
      </c>
      <c r="T575" t="inlineStr">
        <is>
          <t>needs-review</t>
        </is>
      </c>
      <c r="U575" t="inlineStr">
        <is>
          <t>2026-10-04</t>
        </is>
      </c>
      <c r="V575" t="inlineStr">
        <is>
          <t>ambiguous match [35]</t>
        </is>
      </c>
    </row>
    <row r="576">
      <c r="A576" t="n">
        <v>35</v>
      </c>
      <c r="B576" t="inlineStr">
        <is>
          <t>Heritance Aarah</t>
        </is>
      </c>
      <c r="C576" t="inlineStr">
        <is>
          <t>dining_menu</t>
        </is>
      </c>
      <c r="D576" t="inlineStr">
        <is>
          <t>2025_Ambula-Vegetarian-Set-Menu-Vegetarian.pdf</t>
        </is>
      </c>
      <c r="E576" t="n">
        <v>2025</v>
      </c>
      <c r="H576" t="n">
        <v>1</v>
      </c>
      <c r="I576" t="n">
        <v>177</v>
      </c>
      <c r="J576" t="inlineStr">
        <is>
          <t>Y</t>
        </is>
      </c>
      <c r="K576" t="inlineStr">
        <is>
          <t>heritancehotels.com</t>
        </is>
      </c>
      <c r="L576" t="inlineStr">
        <is>
          <t>official</t>
        </is>
      </c>
      <c r="M576" t="inlineStr">
        <is>
          <t>https://heritancehotels.eme-devops.com/2025/09/Ambula-Vegetarian-Set-Menu-Vegetarian.pdf</t>
        </is>
      </c>
      <c r="N576" t="inlineStr">
        <is>
          <t>https://heritancehotels.eme-devops.com/2025/09/Ambula-Vegetarian-Set-Menu-Vegetarian.pdf</t>
        </is>
      </c>
      <c r="O576" t="inlineStr">
        <is>
          <t>3f3e207e73338b70eda4e6e191c8d017262bd5d2aadb8bab96d07227577ce3b7</t>
        </is>
      </c>
      <c r="P576" t="inlineStr">
        <is>
          <t>library/035_heritance-aarah/dining_menu/2025_Ambula-Vegetarian-Set-Menu-Vegetarian.pdf</t>
        </is>
      </c>
      <c r="R576" t="inlineStr">
        <is>
          <t>current</t>
        </is>
      </c>
      <c r="S576" t="inlineStr">
        <is>
          <t>N</t>
        </is>
      </c>
      <c r="T576" t="inlineStr">
        <is>
          <t>needs-review</t>
        </is>
      </c>
      <c r="U576" t="inlineStr">
        <is>
          <t>2026-10-04</t>
        </is>
      </c>
      <c r="V576" t="inlineStr">
        <is>
          <t>ambiguous match [35]</t>
        </is>
      </c>
    </row>
    <row r="577">
      <c r="A577" t="n">
        <v>35</v>
      </c>
      <c r="B577" t="inlineStr">
        <is>
          <t>Heritance Aarah</t>
        </is>
      </c>
      <c r="C577" t="inlineStr">
        <is>
          <t>dining_menu</t>
        </is>
      </c>
      <c r="D577" t="inlineStr">
        <is>
          <t>2025_KIDS-Menu-Ginifati.pdf</t>
        </is>
      </c>
      <c r="E577" t="n">
        <v>2025</v>
      </c>
      <c r="H577" t="n">
        <v>1</v>
      </c>
      <c r="I577" t="n">
        <v>101</v>
      </c>
      <c r="J577" t="inlineStr">
        <is>
          <t>Y</t>
        </is>
      </c>
      <c r="K577" t="inlineStr">
        <is>
          <t>heritancehotels.com</t>
        </is>
      </c>
      <c r="L577" t="inlineStr">
        <is>
          <t>official</t>
        </is>
      </c>
      <c r="M577" t="inlineStr">
        <is>
          <t>https://heritancehotels.eme-devops.com/2025/09/KIDS-Menu-Ginifati.pdf</t>
        </is>
      </c>
      <c r="N577" t="inlineStr">
        <is>
          <t>https://heritancehotels.eme-devops.com/2025/09/KIDS-Menu-Ginifati.pdf</t>
        </is>
      </c>
      <c r="O577" t="inlineStr">
        <is>
          <t>04435b41fd0416c7665086671f8aa521c9c092906f8232fb5161e34743235fa1</t>
        </is>
      </c>
      <c r="P577" t="inlineStr">
        <is>
          <t>library/035_heritance-aarah/dining_menu/2025_KIDS-Menu-Ginifati.pdf</t>
        </is>
      </c>
      <c r="R577" t="inlineStr">
        <is>
          <t>current</t>
        </is>
      </c>
      <c r="S577" t="inlineStr">
        <is>
          <t>N</t>
        </is>
      </c>
      <c r="T577" t="inlineStr">
        <is>
          <t>needs-review</t>
        </is>
      </c>
      <c r="U577" t="inlineStr">
        <is>
          <t>2026-10-04</t>
        </is>
      </c>
      <c r="V577" t="inlineStr">
        <is>
          <t>ambiguous match [35]</t>
        </is>
      </c>
    </row>
    <row r="578">
      <c r="A578" t="n">
        <v>35</v>
      </c>
      <c r="B578" t="inlineStr">
        <is>
          <t>Heritance Aarah</t>
        </is>
      </c>
      <c r="C578" t="inlineStr">
        <is>
          <t>dining_menu</t>
        </is>
      </c>
      <c r="D578" t="inlineStr">
        <is>
          <t>2025_GInifati-Editable-OP1-1.pdf</t>
        </is>
      </c>
      <c r="E578" t="n">
        <v>2025</v>
      </c>
      <c r="H578" t="n">
        <v>2</v>
      </c>
      <c r="I578" t="n">
        <v>194</v>
      </c>
      <c r="J578" t="inlineStr">
        <is>
          <t>Y</t>
        </is>
      </c>
      <c r="K578" t="inlineStr">
        <is>
          <t>heritancehotels.com</t>
        </is>
      </c>
      <c r="L578" t="inlineStr">
        <is>
          <t>official</t>
        </is>
      </c>
      <c r="M578" t="inlineStr">
        <is>
          <t>https://heritancehotels.eme-devops.com/2025/09/GInifati-Editable-OP1-1.pdf</t>
        </is>
      </c>
      <c r="N578" t="inlineStr">
        <is>
          <t>https://heritancehotels.eme-devops.com/2025/09/GInifati-Editable-OP1-1.pdf</t>
        </is>
      </c>
      <c r="O578" t="inlineStr">
        <is>
          <t>b4b341850a8639b3a14921e8cec4a49ef9ad38951b0b78c85f9452061a20782f</t>
        </is>
      </c>
      <c r="P578" t="inlineStr">
        <is>
          <t>library/035_heritance-aarah/dining_menu/2025_GInifati-Editable-OP1-1.pdf</t>
        </is>
      </c>
      <c r="R578" t="inlineStr">
        <is>
          <t>current</t>
        </is>
      </c>
      <c r="S578" t="inlineStr">
        <is>
          <t>N</t>
        </is>
      </c>
      <c r="T578" t="inlineStr">
        <is>
          <t>needs-review</t>
        </is>
      </c>
      <c r="U578" t="inlineStr">
        <is>
          <t>2026-10-04</t>
        </is>
      </c>
      <c r="V578" t="inlineStr">
        <is>
          <t>ambiguous match [35]</t>
        </is>
      </c>
    </row>
    <row r="579">
      <c r="A579" t="n">
        <v>35</v>
      </c>
      <c r="B579" t="inlineStr">
        <is>
          <t>Heritance Aarah</t>
        </is>
      </c>
      <c r="C579" t="inlineStr">
        <is>
          <t>dining_menu</t>
        </is>
      </c>
      <c r="D579" t="inlineStr">
        <is>
          <t>2025_GInifati-Editable-OP2-2.pdf</t>
        </is>
      </c>
      <c r="E579" t="n">
        <v>2025</v>
      </c>
      <c r="H579" t="n">
        <v>2</v>
      </c>
      <c r="I579" t="n">
        <v>201</v>
      </c>
      <c r="J579" t="inlineStr">
        <is>
          <t>Y</t>
        </is>
      </c>
      <c r="K579" t="inlineStr">
        <is>
          <t>heritancehotels.com</t>
        </is>
      </c>
      <c r="L579" t="inlineStr">
        <is>
          <t>official</t>
        </is>
      </c>
      <c r="M579" t="inlineStr">
        <is>
          <t>https://heritancehotels.eme-devops.com/2025/09/GInifati-Editable-OP2-2.pdf</t>
        </is>
      </c>
      <c r="N579" t="inlineStr">
        <is>
          <t>https://heritancehotels.eme-devops.com/2025/09/GInifati-Editable-OP2-2.pdf</t>
        </is>
      </c>
      <c r="O579" t="inlineStr">
        <is>
          <t>a33ea97dab62e22d1a346d72a1826c30291f0db6ec25ec6d08a99f06108ad40c</t>
        </is>
      </c>
      <c r="P579" t="inlineStr">
        <is>
          <t>library/035_heritance-aarah/dining_menu/2025_GInifati-Editable-OP2-2.pdf</t>
        </is>
      </c>
      <c r="R579" t="inlineStr">
        <is>
          <t>current</t>
        </is>
      </c>
      <c r="S579" t="inlineStr">
        <is>
          <t>N</t>
        </is>
      </c>
      <c r="T579" t="inlineStr">
        <is>
          <t>needs-review</t>
        </is>
      </c>
      <c r="U579" t="inlineStr">
        <is>
          <t>2026-10-04</t>
        </is>
      </c>
      <c r="V579" t="inlineStr">
        <is>
          <t>ambiguous match [35]</t>
        </is>
      </c>
    </row>
    <row r="580">
      <c r="A580" t="n">
        <v>35</v>
      </c>
      <c r="B580" t="inlineStr">
        <is>
          <t>Heritance Aarah</t>
        </is>
      </c>
      <c r="C580" t="inlineStr">
        <is>
          <t>dining_menu</t>
        </is>
      </c>
      <c r="D580" t="inlineStr">
        <is>
          <t>2025_Baani-Ala-carte-Lunch.pdf</t>
        </is>
      </c>
      <c r="E580" t="n">
        <v>2025</v>
      </c>
      <c r="H580" t="n">
        <v>6</v>
      </c>
      <c r="I580" t="n">
        <v>1470</v>
      </c>
      <c r="J580" t="inlineStr">
        <is>
          <t>Y</t>
        </is>
      </c>
      <c r="K580" t="inlineStr">
        <is>
          <t>heritancehotels.com</t>
        </is>
      </c>
      <c r="L580" t="inlineStr">
        <is>
          <t>official</t>
        </is>
      </c>
      <c r="M580" t="inlineStr">
        <is>
          <t>https://heritancehotels.eme-devops.com/2025/09/Baani-Ala-carte-Lunch.pdf</t>
        </is>
      </c>
      <c r="N580" t="inlineStr">
        <is>
          <t>https://heritancehotels.eme-devops.com/2025/09/Baani-Ala-carte-Lunch.pdf</t>
        </is>
      </c>
      <c r="O580" t="inlineStr">
        <is>
          <t>605f2b0b5288876e7c1ac7678c41380ccb1df83ed3faa9d9bc71d5cf0de2ac6d</t>
        </is>
      </c>
      <c r="P580" t="inlineStr">
        <is>
          <t>library/035_heritance-aarah/dining_menu/2025_Baani-Ala-carte-Lunch.pdf</t>
        </is>
      </c>
      <c r="R580" t="inlineStr">
        <is>
          <t>current</t>
        </is>
      </c>
      <c r="S580" t="inlineStr">
        <is>
          <t>N</t>
        </is>
      </c>
      <c r="T580" t="inlineStr">
        <is>
          <t>needs-review</t>
        </is>
      </c>
      <c r="U580" t="inlineStr">
        <is>
          <t>2026-10-04</t>
        </is>
      </c>
      <c r="V580" t="inlineStr">
        <is>
          <t>ambiguous match [35]</t>
        </is>
      </c>
    </row>
    <row r="581">
      <c r="A581" t="n">
        <v>35</v>
      </c>
      <c r="B581" t="inlineStr">
        <is>
          <t>Heritance Aarah</t>
        </is>
      </c>
      <c r="C581" t="inlineStr">
        <is>
          <t>dining_menu</t>
        </is>
      </c>
      <c r="D581" t="inlineStr">
        <is>
          <t>2025_Ralu-A-la-carte-Editable-002-1-1.pdf</t>
        </is>
      </c>
      <c r="E581" t="n">
        <v>2025</v>
      </c>
      <c r="H581" t="n">
        <v>2</v>
      </c>
      <c r="I581" t="n">
        <v>583</v>
      </c>
      <c r="J581" t="inlineStr">
        <is>
          <t>Y</t>
        </is>
      </c>
      <c r="K581" t="inlineStr">
        <is>
          <t>heritancehotels.com</t>
        </is>
      </c>
      <c r="L581" t="inlineStr">
        <is>
          <t>official</t>
        </is>
      </c>
      <c r="M581" t="inlineStr">
        <is>
          <t>https://heritancehotels.eme-devops.com/2025/09/Ralu-A-la-carte-Editable-002-1-1.pdf</t>
        </is>
      </c>
      <c r="N581" t="inlineStr">
        <is>
          <t>https://heritancehotels.eme-devops.com/2025/09/Ralu-A-la-carte-Editable-002-1-1.pdf | https://heritancehotels.eme-devops.com/2025/09/Ralu-A-la-carte-Editable-002-1.pdf</t>
        </is>
      </c>
      <c r="O581" t="inlineStr">
        <is>
          <t>6f321d5daa342dfe05c60949cb39ea2662d47c2c965a2b664fc62250318be72c</t>
        </is>
      </c>
      <c r="P581" t="inlineStr">
        <is>
          <t>library/035_heritance-aarah/dining_menu/2025_Ralu-A-la-carte-Editable-002-1-1.pdf</t>
        </is>
      </c>
      <c r="R581" t="inlineStr">
        <is>
          <t>current</t>
        </is>
      </c>
      <c r="S581" t="inlineStr">
        <is>
          <t>N</t>
        </is>
      </c>
      <c r="T581" t="inlineStr">
        <is>
          <t>matched</t>
        </is>
      </c>
      <c r="U581" t="inlineStr">
        <is>
          <t>2026-10-04</t>
        </is>
      </c>
      <c r="V581" t="inlineStr"/>
    </row>
    <row r="582">
      <c r="A582" t="n">
        <v>35</v>
      </c>
      <c r="B582" t="inlineStr">
        <is>
          <t>Heritance Aarah</t>
        </is>
      </c>
      <c r="C582" t="inlineStr">
        <is>
          <t>dining_menu</t>
        </is>
      </c>
      <c r="D582" t="inlineStr">
        <is>
          <t>2025_Premium-All-Inclusive-Wine-Beverage-List-01.09.2025.pdf</t>
        </is>
      </c>
      <c r="E582" t="n">
        <v>2025</v>
      </c>
      <c r="H582" t="n">
        <v>16</v>
      </c>
      <c r="I582" t="n">
        <v>344</v>
      </c>
      <c r="J582" t="inlineStr">
        <is>
          <t>Y</t>
        </is>
      </c>
      <c r="K582" t="inlineStr">
        <is>
          <t>heritancehotels.com</t>
        </is>
      </c>
      <c r="L582" t="inlineStr">
        <is>
          <t>official</t>
        </is>
      </c>
      <c r="M582" t="inlineStr">
        <is>
          <t>https://heritancehotels.eme-devops.com/2025/09/Premium-All-Inclusive-Wine-Beverage-List-01.09.2025.pdf</t>
        </is>
      </c>
      <c r="N582" t="inlineStr">
        <is>
          <t>https://heritancehotels.eme-devops.com/2025/09/Premium-All-Inclusive-Wine-Beverage-List-01.09.2025.pdf</t>
        </is>
      </c>
      <c r="O582" t="inlineStr">
        <is>
          <t>a7d847bda7d696733433ca25c46520c5e0a39bda53a3ae9a29c67d312be6f087</t>
        </is>
      </c>
      <c r="P582" t="inlineStr">
        <is>
          <t>library/035_heritance-aarah/dining_menu/2025_Premium-All-Inclusive-Wine-Beverage-List-01.09.2025.pdf</t>
        </is>
      </c>
      <c r="R582" t="inlineStr">
        <is>
          <t>current</t>
        </is>
      </c>
      <c r="S582" t="inlineStr">
        <is>
          <t>N</t>
        </is>
      </c>
      <c r="T582" t="inlineStr">
        <is>
          <t>needs-review</t>
        </is>
      </c>
      <c r="U582" t="inlineStr">
        <is>
          <t>2026-10-04</t>
        </is>
      </c>
      <c r="V582" t="inlineStr">
        <is>
          <t>ambiguous match [35]</t>
        </is>
      </c>
    </row>
    <row r="583">
      <c r="A583" t="n">
        <v>35</v>
      </c>
      <c r="B583" t="inlineStr">
        <is>
          <t>Heritance Aarah</t>
        </is>
      </c>
      <c r="C583" t="inlineStr">
        <is>
          <t>dining_menu</t>
        </is>
      </c>
      <c r="D583" t="inlineStr">
        <is>
          <t>2025_KIDS-Menu.pdf</t>
        </is>
      </c>
      <c r="E583" t="n">
        <v>2025</v>
      </c>
      <c r="H583" t="n">
        <v>1</v>
      </c>
      <c r="I583" t="n">
        <v>104</v>
      </c>
      <c r="J583" t="inlineStr">
        <is>
          <t>Y</t>
        </is>
      </c>
      <c r="K583" t="inlineStr">
        <is>
          <t>heritancehotels.com</t>
        </is>
      </c>
      <c r="L583" t="inlineStr">
        <is>
          <t>official</t>
        </is>
      </c>
      <c r="M583" t="inlineStr">
        <is>
          <t>https://heritancehotels.eme-devops.com/2025/09/KIDS-Menu.pdf</t>
        </is>
      </c>
      <c r="N583" t="inlineStr">
        <is>
          <t>https://heritancehotels.eme-devops.com/2025/09/KIDS-Menu.pdf</t>
        </is>
      </c>
      <c r="O583" t="inlineStr">
        <is>
          <t>c51420bbd0ac85f668f4cee4763920d195daf89d695774c1560ae8bf97a47886</t>
        </is>
      </c>
      <c r="P583" t="inlineStr">
        <is>
          <t>library/035_heritance-aarah/dining_menu/2025_KIDS-Menu.pdf</t>
        </is>
      </c>
      <c r="R583" t="inlineStr">
        <is>
          <t>current</t>
        </is>
      </c>
      <c r="S583" t="inlineStr">
        <is>
          <t>N</t>
        </is>
      </c>
      <c r="T583" t="inlineStr">
        <is>
          <t>needs-review</t>
        </is>
      </c>
      <c r="U583" t="inlineStr">
        <is>
          <t>2026-10-04</t>
        </is>
      </c>
      <c r="V583" t="inlineStr">
        <is>
          <t>ambiguous match [35]</t>
        </is>
      </c>
    </row>
    <row r="584">
      <c r="A584" t="n">
        <v>35</v>
      </c>
      <c r="B584" t="inlineStr">
        <is>
          <t>Heritance Aarah</t>
        </is>
      </c>
      <c r="C584" t="inlineStr">
        <is>
          <t>dining_menu</t>
        </is>
      </c>
      <c r="D584" t="inlineStr">
        <is>
          <t>2025_Ralu-A-la-carte-Vegetarian-Menu.pdf</t>
        </is>
      </c>
      <c r="E584" t="n">
        <v>2025</v>
      </c>
      <c r="H584" t="n">
        <v>1</v>
      </c>
      <c r="I584" t="n">
        <v>317</v>
      </c>
      <c r="J584" t="inlineStr">
        <is>
          <t>Y</t>
        </is>
      </c>
      <c r="K584" t="inlineStr">
        <is>
          <t>heritancehotels.com</t>
        </is>
      </c>
      <c r="L584" t="inlineStr">
        <is>
          <t>official</t>
        </is>
      </c>
      <c r="M584" t="inlineStr">
        <is>
          <t>https://heritancehotels.eme-devops.com/2025/09/Ralu-A-la-carte-Vegetarian-Menu.pdf</t>
        </is>
      </c>
      <c r="N584" t="inlineStr">
        <is>
          <t>https://heritancehotels.eme-devops.com/2025/09/Ralu-A-la-carte-Vegetarian-Menu.pdf</t>
        </is>
      </c>
      <c r="O584" t="inlineStr">
        <is>
          <t>1ef3d60057bf0e8f5eac0173db37c8238eb72b9d111872382148173498ccb5a5</t>
        </is>
      </c>
      <c r="P584" t="inlineStr">
        <is>
          <t>library/035_heritance-aarah/dining_menu/2025_Ralu-A-la-carte-Vegetarian-Menu.pdf</t>
        </is>
      </c>
      <c r="R584" t="inlineStr">
        <is>
          <t>current</t>
        </is>
      </c>
      <c r="S584" t="inlineStr">
        <is>
          <t>N</t>
        </is>
      </c>
      <c r="T584" t="inlineStr">
        <is>
          <t>needs-review</t>
        </is>
      </c>
      <c r="U584" t="inlineStr">
        <is>
          <t>2026-10-04</t>
        </is>
      </c>
      <c r="V584" t="inlineStr">
        <is>
          <t>ambiguous match [35]</t>
        </is>
      </c>
    </row>
    <row r="585">
      <c r="A585" t="n">
        <v>35</v>
      </c>
      <c r="B585" t="inlineStr">
        <is>
          <t>Heritance Aarah</t>
        </is>
      </c>
      <c r="C585" t="inlineStr">
        <is>
          <t>dining_menu</t>
        </is>
      </c>
      <c r="D585" t="inlineStr">
        <is>
          <t>2025_Aarah-Ralu-A-la-carte-Menu-05.08.2025.pdf</t>
        </is>
      </c>
      <c r="E585" t="n">
        <v>2025</v>
      </c>
      <c r="H585" t="n">
        <v>2</v>
      </c>
      <c r="I585" t="n">
        <v>577</v>
      </c>
      <c r="J585" t="inlineStr">
        <is>
          <t>Y</t>
        </is>
      </c>
      <c r="K585" t="inlineStr">
        <is>
          <t>heritancehotels.com</t>
        </is>
      </c>
      <c r="L585" t="inlineStr">
        <is>
          <t>official</t>
        </is>
      </c>
      <c r="M585" t="inlineStr">
        <is>
          <t>https://heritancehotels.eme-devops.com/2025/08/Aarah-Ralu-A-la-carte-Menu-05.08.2025.pdf</t>
        </is>
      </c>
      <c r="N585" t="inlineStr">
        <is>
          <t>https://heritancehotels.eme-devops.com/2025/08/Aarah-Ralu-A-la-carte-Menu-05.08.2025.pdf | https://heritancehotels.eme-devops.com/2025/08/Aarah-Ralu-A-la-carte-Menu-05.08.2025-1.pdf</t>
        </is>
      </c>
      <c r="O585" t="inlineStr">
        <is>
          <t>60514103506359ea0d64d1a0e11ab501dc13e830a07f522aed90b5cad32a9fdf</t>
        </is>
      </c>
      <c r="P585" t="inlineStr">
        <is>
          <t>library/035_heritance-aarah/dining_menu/2025_Aarah-Ralu-A-la-carte-Menu-05.08.2025.pdf</t>
        </is>
      </c>
      <c r="R585" t="inlineStr">
        <is>
          <t>current</t>
        </is>
      </c>
      <c r="S585" t="inlineStr">
        <is>
          <t>N</t>
        </is>
      </c>
      <c r="T585" t="inlineStr">
        <is>
          <t>matched</t>
        </is>
      </c>
      <c r="U585" t="inlineStr">
        <is>
          <t>2026-10-04</t>
        </is>
      </c>
      <c r="V585" t="inlineStr"/>
    </row>
    <row r="586">
      <c r="A586" t="n">
        <v>35</v>
      </c>
      <c r="B586" t="inlineStr">
        <is>
          <t>Heritance Aarah</t>
        </is>
      </c>
      <c r="C586" t="inlineStr">
        <is>
          <t>dining_menu</t>
        </is>
      </c>
      <c r="D586" t="inlineStr">
        <is>
          <t>2025_Aarah-Ambula-Set-Menu-Vegetarian-05.08.2025.pdf</t>
        </is>
      </c>
      <c r="E586" t="n">
        <v>2025</v>
      </c>
      <c r="H586" t="n">
        <v>1</v>
      </c>
      <c r="I586" t="n">
        <v>176</v>
      </c>
      <c r="J586" t="inlineStr">
        <is>
          <t>Y</t>
        </is>
      </c>
      <c r="K586" t="inlineStr">
        <is>
          <t>heritancehotels.com</t>
        </is>
      </c>
      <c r="L586" t="inlineStr">
        <is>
          <t>official</t>
        </is>
      </c>
      <c r="M586" t="inlineStr">
        <is>
          <t>https://heritancehotels.eme-devops.com/2025/08/Aarah-Ambula-Set-Menu-Vegetarian-05.08.2025.pdf</t>
        </is>
      </c>
      <c r="N586" t="inlineStr">
        <is>
          <t>https://heritancehotels.eme-devops.com/2025/08/Aarah-Ambula-Set-Menu-Vegetarian-05.08.2025.pdf | https://heritancehotels.eme-devops.com/2025/08/aarh-ambula-set-menu-non-veg.pdf</t>
        </is>
      </c>
      <c r="O586" t="inlineStr">
        <is>
          <t>ddddef422d0490f6deca7ab5004215076cca678f416b868b2999c5ded6de737d</t>
        </is>
      </c>
      <c r="P586" t="inlineStr">
        <is>
          <t>library/035_heritance-aarah/dining_menu/2025_Aarah-Ambula-Set-Menu-Vegetarian-05.08.2025.pdf</t>
        </is>
      </c>
      <c r="R586" t="inlineStr">
        <is>
          <t>current</t>
        </is>
      </c>
      <c r="S586" t="inlineStr">
        <is>
          <t>N</t>
        </is>
      </c>
      <c r="T586" t="inlineStr">
        <is>
          <t>matched</t>
        </is>
      </c>
      <c r="U586" t="inlineStr">
        <is>
          <t>2026-10-04</t>
        </is>
      </c>
      <c r="V586" t="inlineStr"/>
    </row>
    <row r="587">
      <c r="A587" t="n">
        <v>35</v>
      </c>
      <c r="B587" t="inlineStr">
        <is>
          <t>Heritance Aarah</t>
        </is>
      </c>
      <c r="C587" t="inlineStr">
        <is>
          <t>dining_menu</t>
        </is>
      </c>
      <c r="D587" t="inlineStr">
        <is>
          <t>2025_Aarah-Ambula-Set-Menu-Non-Vegetarian-05.08.2025.pdf</t>
        </is>
      </c>
      <c r="E587" t="n">
        <v>2025</v>
      </c>
      <c r="H587" t="n">
        <v>1</v>
      </c>
      <c r="I587" t="n">
        <v>184</v>
      </c>
      <c r="J587" t="inlineStr">
        <is>
          <t>Y</t>
        </is>
      </c>
      <c r="K587" t="inlineStr">
        <is>
          <t>heritancehotels.com</t>
        </is>
      </c>
      <c r="L587" t="inlineStr">
        <is>
          <t>official</t>
        </is>
      </c>
      <c r="M587" t="inlineStr">
        <is>
          <t>https://heritancehotels.eme-devops.com/2025/08/Aarah-Ambula-Set-Menu-Non-Vegetarian-05.08.2025.pdf</t>
        </is>
      </c>
      <c r="N587" t="inlineStr">
        <is>
          <t>https://heritancehotels.eme-devops.com/2025/08/Aarah-Ambula-Set-Menu-Non-Vegetarian-05.08.2025.pdf</t>
        </is>
      </c>
      <c r="O587" t="inlineStr">
        <is>
          <t>5c2b61b799dab8f29f1940ceb9d74f5bc1c1874d9383e2f6cbbf489acd206462</t>
        </is>
      </c>
      <c r="P587" t="inlineStr">
        <is>
          <t>library/035_heritance-aarah/dining_menu/2025_Aarah-Ambula-Set-Menu-Non-Vegetarian-05.08.2025.pdf</t>
        </is>
      </c>
      <c r="R587" t="inlineStr">
        <is>
          <t>current</t>
        </is>
      </c>
      <c r="S587" t="inlineStr">
        <is>
          <t>N</t>
        </is>
      </c>
      <c r="T587" t="inlineStr">
        <is>
          <t>matched</t>
        </is>
      </c>
      <c r="U587" t="inlineStr">
        <is>
          <t>2026-10-04</t>
        </is>
      </c>
      <c r="V587" t="inlineStr"/>
    </row>
    <row r="588">
      <c r="A588" t="n">
        <v>35</v>
      </c>
      <c r="B588" t="inlineStr">
        <is>
          <t>Heritance Aarah</t>
        </is>
      </c>
      <c r="C588" t="inlineStr">
        <is>
          <t>dining_menu</t>
        </is>
      </c>
      <c r="D588" t="inlineStr">
        <is>
          <t>2025_Aarah-IVD-A-la-carte-Menu-Snack-Menu-OS-OR-01.07.2025.pdf</t>
        </is>
      </c>
      <c r="E588" t="n">
        <v>2025</v>
      </c>
      <c r="H588" t="n">
        <v>3</v>
      </c>
      <c r="I588" t="n">
        <v>108</v>
      </c>
      <c r="J588" t="inlineStr">
        <is>
          <t>Y</t>
        </is>
      </c>
      <c r="K588" t="inlineStr">
        <is>
          <t>heritancehotels.com</t>
        </is>
      </c>
      <c r="L588" t="inlineStr">
        <is>
          <t>official</t>
        </is>
      </c>
      <c r="M588" t="inlineStr">
        <is>
          <t>https://heritancehotels.eme-devops.com/2025/07/Aarah-IVD-A-la-carte-Menu-Snack-Menu-OS-OR-01.07.2025.pdf</t>
        </is>
      </c>
      <c r="N588" t="inlineStr">
        <is>
          <t>https://heritancehotels.eme-devops.com/2025/07/Aarah-IVD-A-la-carte-Menu-Snack-Menu-OS-OR-01.07.2025.pdf</t>
        </is>
      </c>
      <c r="O588" t="inlineStr">
        <is>
          <t>f6592968d5541b8c303f2da35708598b4841460fd35ff177a85e1a71f88fd027</t>
        </is>
      </c>
      <c r="P588" t="inlineStr">
        <is>
          <t>library/035_heritance-aarah/dining_menu/2025_Aarah-IVD-A-la-carte-Menu-Snack-Menu-OS-OR-01.07.2025.pdf</t>
        </is>
      </c>
      <c r="R588" t="inlineStr">
        <is>
          <t>current</t>
        </is>
      </c>
      <c r="S588" t="inlineStr">
        <is>
          <t>N</t>
        </is>
      </c>
      <c r="T588" t="inlineStr">
        <is>
          <t>matched</t>
        </is>
      </c>
      <c r="U588" t="inlineStr">
        <is>
          <t>2026-10-04</t>
        </is>
      </c>
      <c r="V588" t="inlineStr"/>
    </row>
    <row r="589">
      <c r="A589" t="n">
        <v>35</v>
      </c>
      <c r="B589" t="inlineStr">
        <is>
          <t>Heritance Aarah</t>
        </is>
      </c>
      <c r="C589" t="inlineStr">
        <is>
          <t>dining_menu</t>
        </is>
      </c>
      <c r="D589" t="inlineStr">
        <is>
          <t>2025_Aarah-IVD-A-la-carte-Menu-OV-BV-01.07.2025.pdf</t>
        </is>
      </c>
      <c r="E589" t="n">
        <v>2025</v>
      </c>
      <c r="H589" t="n">
        <v>5</v>
      </c>
      <c r="I589" t="n">
        <v>163</v>
      </c>
      <c r="J589" t="inlineStr">
        <is>
          <t>Y</t>
        </is>
      </c>
      <c r="K589" t="inlineStr">
        <is>
          <t>heritancehotels.com</t>
        </is>
      </c>
      <c r="L589" t="inlineStr">
        <is>
          <t>official</t>
        </is>
      </c>
      <c r="M589" t="inlineStr">
        <is>
          <t>https://heritancehotels.eme-devops.com/2025/07/Aarah-IVD-A-la-carte-Menu-OV-BV-01.07.2025.pdf</t>
        </is>
      </c>
      <c r="N589" t="inlineStr">
        <is>
          <t>https://heritancehotels.eme-devops.com/2025/07/Aarah-IVD-A-la-carte-Menu-OV-BV-01.07.2025.pdf</t>
        </is>
      </c>
      <c r="O589" t="inlineStr">
        <is>
          <t>7547ee1d97cd603215d7301fbc7fd0b73a223966a41f1b506dc9cf4f73c1c1e4</t>
        </is>
      </c>
      <c r="P589" t="inlineStr">
        <is>
          <t>library/035_heritance-aarah/dining_menu/2025_Aarah-IVD-A-la-carte-Menu-OV-BV-01.07.2025.pdf</t>
        </is>
      </c>
      <c r="R589" t="inlineStr">
        <is>
          <t>current</t>
        </is>
      </c>
      <c r="S589" t="inlineStr">
        <is>
          <t>N</t>
        </is>
      </c>
      <c r="T589" t="inlineStr">
        <is>
          <t>matched</t>
        </is>
      </c>
      <c r="U589" t="inlineStr">
        <is>
          <t>2026-10-04</t>
        </is>
      </c>
      <c r="V589" t="inlineStr"/>
    </row>
    <row r="590">
      <c r="A590" t="n">
        <v>35</v>
      </c>
      <c r="B590" t="inlineStr">
        <is>
          <t>Heritance Aarah</t>
        </is>
      </c>
      <c r="C590" t="inlineStr">
        <is>
          <t>dining_menu</t>
        </is>
      </c>
      <c r="D590" t="inlineStr">
        <is>
          <t>2025_Aarah-IVD-A-la-carte-Menu-Lunch-Dinner-OS-OR-01.07.2025.pdf</t>
        </is>
      </c>
      <c r="E590" t="n">
        <v>2025</v>
      </c>
      <c r="H590" t="n">
        <v>4</v>
      </c>
      <c r="I590" t="n">
        <v>131</v>
      </c>
      <c r="J590" t="inlineStr">
        <is>
          <t>Y</t>
        </is>
      </c>
      <c r="K590" t="inlineStr">
        <is>
          <t>heritancehotels.com</t>
        </is>
      </c>
      <c r="L590" t="inlineStr">
        <is>
          <t>official</t>
        </is>
      </c>
      <c r="M590" t="inlineStr">
        <is>
          <t>https://heritancehotels.eme-devops.com/2025/07/Aarah-IVD-A-la-carte-Menu-Lunch-Dinner-OS-OR-01.07.2025.pdf</t>
        </is>
      </c>
      <c r="N590" t="inlineStr">
        <is>
          <t>https://heritancehotels.eme-devops.com/2025/07/Aarah-IVD-A-la-carte-Menu-Lunch-Dinner-OS-OR-01.07.2025.pdf</t>
        </is>
      </c>
      <c r="O590" t="inlineStr">
        <is>
          <t>aa37d492304f14903024369cfdf47cb64bd62dbf9803e9706678cb760a09b11b</t>
        </is>
      </c>
      <c r="P590" t="inlineStr">
        <is>
          <t>library/035_heritance-aarah/dining_menu/2025_Aarah-IVD-A-la-carte-Menu-Lunch-Dinner-OS-OR-01.07.2025.pdf</t>
        </is>
      </c>
      <c r="R590" t="inlineStr">
        <is>
          <t>current</t>
        </is>
      </c>
      <c r="S590" t="inlineStr">
        <is>
          <t>N</t>
        </is>
      </c>
      <c r="T590" t="inlineStr">
        <is>
          <t>matched</t>
        </is>
      </c>
      <c r="U590" t="inlineStr">
        <is>
          <t>2026-10-04</t>
        </is>
      </c>
      <c r="V590" t="inlineStr"/>
    </row>
    <row r="591">
      <c r="A591" t="n">
        <v>35</v>
      </c>
      <c r="B591" t="inlineStr">
        <is>
          <t>Heritance Aarah</t>
        </is>
      </c>
      <c r="C591" t="inlineStr">
        <is>
          <t>dining_menu</t>
        </is>
      </c>
      <c r="D591" t="inlineStr">
        <is>
          <t>2025_Aarah-IVD-A-la-carte-Menu-Breakfast-OS-OR-01.07.2025.pdf</t>
        </is>
      </c>
      <c r="E591" t="n">
        <v>2025</v>
      </c>
      <c r="H591" t="n">
        <v>3</v>
      </c>
      <c r="I591" t="n">
        <v>124</v>
      </c>
      <c r="J591" t="inlineStr">
        <is>
          <t>Y</t>
        </is>
      </c>
      <c r="K591" t="inlineStr">
        <is>
          <t>heritancehotels.com</t>
        </is>
      </c>
      <c r="L591" t="inlineStr">
        <is>
          <t>official</t>
        </is>
      </c>
      <c r="M591" t="inlineStr">
        <is>
          <t>https://heritancehotels.eme-devops.com/2025/07/Aarah-IVD-A-la-carte-Menu-Breakfast-OS-OR-01.07.2025.pdf</t>
        </is>
      </c>
      <c r="N591" t="inlineStr">
        <is>
          <t>https://heritancehotels.eme-devops.com/2025/07/Aarah-IVD-A-la-carte-Menu-Breakfast-OS-OR-01.07.2025.pdf</t>
        </is>
      </c>
      <c r="O591" t="inlineStr">
        <is>
          <t>757f547b7e91de18d20c08453d6999bb4edf5f2fa93199da88f99a7abe49fbec</t>
        </is>
      </c>
      <c r="P591" t="inlineStr">
        <is>
          <t>library/035_heritance-aarah/dining_menu/2025_Aarah-IVD-A-la-carte-Menu-Breakfast-OS-OR-01.07.2025.pdf</t>
        </is>
      </c>
      <c r="R591" t="inlineStr">
        <is>
          <t>current</t>
        </is>
      </c>
      <c r="S591" t="inlineStr">
        <is>
          <t>N</t>
        </is>
      </c>
      <c r="T591" t="inlineStr">
        <is>
          <t>matched</t>
        </is>
      </c>
      <c r="U591" t="inlineStr">
        <is>
          <t>2026-10-04</t>
        </is>
      </c>
      <c r="V591" t="inlineStr"/>
    </row>
    <row r="592">
      <c r="A592" t="n">
        <v>35</v>
      </c>
      <c r="B592" t="inlineStr">
        <is>
          <t>Heritance Aarah</t>
        </is>
      </c>
      <c r="C592" t="inlineStr">
        <is>
          <t>dining_menu</t>
        </is>
      </c>
      <c r="D592" t="inlineStr">
        <is>
          <t>2025_Aarah-Reserve-Beverage-List-01.07.2025.pdf</t>
        </is>
      </c>
      <c r="E592" t="n">
        <v>2025</v>
      </c>
      <c r="H592" t="n">
        <v>9</v>
      </c>
      <c r="I592" t="n">
        <v>304</v>
      </c>
      <c r="J592" t="inlineStr">
        <is>
          <t>Y</t>
        </is>
      </c>
      <c r="K592" t="inlineStr">
        <is>
          <t>heritancehotels.com</t>
        </is>
      </c>
      <c r="L592" t="inlineStr">
        <is>
          <t>official</t>
        </is>
      </c>
      <c r="M592" t="inlineStr">
        <is>
          <t>https://heritancehotels.eme-devops.com/2025/07/Aarah-Reserve-Beverage-List-01.07.2025.pdf</t>
        </is>
      </c>
      <c r="N592" t="inlineStr">
        <is>
          <t>https://heritancehotels.eme-devops.com/2025/07/Aarah-Reserve-Beverage-List-01.07.2025.pdf</t>
        </is>
      </c>
      <c r="O592" t="inlineStr">
        <is>
          <t>d767d1748854f29fde0409ac3aeff071583a05c74c8891bd150c67e9a43bc20a</t>
        </is>
      </c>
      <c r="P592" t="inlineStr">
        <is>
          <t>library/035_heritance-aarah/dining_menu/2025_Aarah-Reserve-Beverage-List-01.07.2025.pdf</t>
        </is>
      </c>
      <c r="R592" t="inlineStr">
        <is>
          <t>current</t>
        </is>
      </c>
      <c r="S592" t="inlineStr">
        <is>
          <t>N</t>
        </is>
      </c>
      <c r="T592" t="inlineStr">
        <is>
          <t>matched</t>
        </is>
      </c>
      <c r="U592" t="inlineStr">
        <is>
          <t>2026-10-04</t>
        </is>
      </c>
      <c r="V592" t="inlineStr"/>
    </row>
    <row r="593">
      <c r="A593" t="n">
        <v>35</v>
      </c>
      <c r="B593" t="inlineStr">
        <is>
          <t>Heritance Aarah</t>
        </is>
      </c>
      <c r="C593" t="inlineStr">
        <is>
          <t>dining_menu</t>
        </is>
      </c>
      <c r="D593" t="inlineStr">
        <is>
          <t>2025_Aarah-Baani-A-la-carte-Menu-Lunch-01.07.2025.pdf</t>
        </is>
      </c>
      <c r="E593" t="n">
        <v>2025</v>
      </c>
      <c r="H593" t="n">
        <v>6</v>
      </c>
      <c r="I593" t="n">
        <v>1464</v>
      </c>
      <c r="J593" t="inlineStr">
        <is>
          <t>Y</t>
        </is>
      </c>
      <c r="K593" t="inlineStr">
        <is>
          <t>heritancehotels.com</t>
        </is>
      </c>
      <c r="L593" t="inlineStr">
        <is>
          <t>official</t>
        </is>
      </c>
      <c r="M593" t="inlineStr">
        <is>
          <t>https://heritancehotels.eme-devops.com/2025/07/Aarah-Baani-A-la-carte-Menu-Lunch-01.07.2025.pdf</t>
        </is>
      </c>
      <c r="N593" t="inlineStr">
        <is>
          <t>https://heritancehotels.eme-devops.com/2025/07/Aarah-Baani-A-la-carte-Menu-Lunch-01.07.2025.pdf</t>
        </is>
      </c>
      <c r="O593" t="inlineStr">
        <is>
          <t>ebf30e0f30a469eaf3606d5d7fa6513df6db168489af8fb227ffa1aed09e23ae</t>
        </is>
      </c>
      <c r="P593" t="inlineStr">
        <is>
          <t>library/035_heritance-aarah/dining_menu/2025_Aarah-Baani-A-la-carte-Menu-Lunch-01.07.2025.pdf</t>
        </is>
      </c>
      <c r="R593" t="inlineStr">
        <is>
          <t>current</t>
        </is>
      </c>
      <c r="S593" t="inlineStr">
        <is>
          <t>N</t>
        </is>
      </c>
      <c r="T593" t="inlineStr">
        <is>
          <t>matched</t>
        </is>
      </c>
      <c r="U593" t="inlineStr">
        <is>
          <t>2026-10-04</t>
        </is>
      </c>
      <c r="V593" t="inlineStr"/>
    </row>
    <row r="594">
      <c r="A594" t="n">
        <v>35</v>
      </c>
      <c r="B594" t="inlineStr">
        <is>
          <t>Heritance Aarah</t>
        </is>
      </c>
      <c r="C594" t="inlineStr">
        <is>
          <t>dining_menu</t>
        </is>
      </c>
      <c r="D594" t="inlineStr">
        <is>
          <t>2025_Aarah-PAI-Wine-Beverage-List-25.06.2025.pdf</t>
        </is>
      </c>
      <c r="E594" t="n">
        <v>2025</v>
      </c>
      <c r="H594" t="n">
        <v>16</v>
      </c>
      <c r="I594" t="n">
        <v>300</v>
      </c>
      <c r="J594" t="inlineStr">
        <is>
          <t>Y</t>
        </is>
      </c>
      <c r="K594" t="inlineStr">
        <is>
          <t>heritancehotels.com</t>
        </is>
      </c>
      <c r="L594" t="inlineStr">
        <is>
          <t>official</t>
        </is>
      </c>
      <c r="M594" t="inlineStr">
        <is>
          <t>https://heritancehotels.eme-devops.com/2025/06/Aarah-PAI-Wine-Beverage-List-25.06.2025.pdf</t>
        </is>
      </c>
      <c r="N594" t="inlineStr">
        <is>
          <t>https://heritancehotels.eme-devops.com/2025/06/Aarah-PAI-Wine-Beverage-List-25.06.2025.pdf</t>
        </is>
      </c>
      <c r="O594" t="inlineStr">
        <is>
          <t>48349bd2f6e410bbb3367bc1d8e1b4423f515d62ce6a2bc75c20d3d89448a028</t>
        </is>
      </c>
      <c r="P594" t="inlineStr">
        <is>
          <t>library/035_heritance-aarah/dining_menu/2025_Aarah-PAI-Wine-Beverage-List-25.06.2025.pdf</t>
        </is>
      </c>
      <c r="R594" t="inlineStr">
        <is>
          <t>current</t>
        </is>
      </c>
      <c r="S594" t="inlineStr">
        <is>
          <t>N</t>
        </is>
      </c>
      <c r="T594" t="inlineStr">
        <is>
          <t>matched</t>
        </is>
      </c>
      <c r="U594" t="inlineStr">
        <is>
          <t>2026-10-04</t>
        </is>
      </c>
      <c r="V594" t="inlineStr"/>
    </row>
    <row r="595">
      <c r="A595" t="n">
        <v>35</v>
      </c>
      <c r="B595" t="inlineStr">
        <is>
          <t>Heritance Aarah</t>
        </is>
      </c>
      <c r="C595" t="inlineStr">
        <is>
          <t>dining_menu</t>
        </is>
      </c>
      <c r="D595" t="inlineStr">
        <is>
          <t>2025_HTF-Snack-Menu-2024-2025.pdf</t>
        </is>
      </c>
      <c r="E595" t="n">
        <v>2025</v>
      </c>
      <c r="H595" t="n">
        <v>1</v>
      </c>
      <c r="I595" t="n">
        <v>148</v>
      </c>
      <c r="J595" t="inlineStr">
        <is>
          <t>Y</t>
        </is>
      </c>
      <c r="K595" t="inlineStr">
        <is>
          <t>heritancehotels.com</t>
        </is>
      </c>
      <c r="L595" t="inlineStr">
        <is>
          <t>official</t>
        </is>
      </c>
      <c r="M595" t="inlineStr">
        <is>
          <t>https://heritancehotels.eme-devops.com/2025/06/HTF-Snack-Menu-2024-2025.pdf</t>
        </is>
      </c>
      <c r="N595" t="inlineStr">
        <is>
          <t>https://heritancehotels.eme-devops.com/2025/06/HTF-Snack-Menu-2024-2025.pdf | https://heritancehotels.eme-devops.com/2025/02/HTF-Snack-Menu-2024-2025.pdf</t>
        </is>
      </c>
      <c r="O595" t="inlineStr">
        <is>
          <t>d4c456c32daf20f4efa057f82e0326aeab046396124de830e159c4b6931a25e6</t>
        </is>
      </c>
      <c r="P595" t="inlineStr">
        <is>
          <t>library/035_heritance-aarah/dining_menu/2025_HTF-Snack-Menu-2024-2025.pdf</t>
        </is>
      </c>
      <c r="R595" t="inlineStr">
        <is>
          <t>current</t>
        </is>
      </c>
      <c r="S595" t="inlineStr">
        <is>
          <t>N</t>
        </is>
      </c>
      <c r="T595" t="inlineStr">
        <is>
          <t>needs-review</t>
        </is>
      </c>
      <c r="U595" t="inlineStr">
        <is>
          <t>2026-10-04</t>
        </is>
      </c>
      <c r="V595" t="inlineStr">
        <is>
          <t>ambiguous match [35]</t>
        </is>
      </c>
    </row>
    <row r="596">
      <c r="A596" t="n">
        <v>35</v>
      </c>
      <c r="B596" t="inlineStr">
        <is>
          <t>Heritance Aarah</t>
        </is>
      </c>
      <c r="C596" t="inlineStr">
        <is>
          <t>dining_menu</t>
        </is>
      </c>
      <c r="D596" t="inlineStr">
        <is>
          <t>2025_HTF-High-Tea-Menu-2024-2025.pdf</t>
        </is>
      </c>
      <c r="E596" t="n">
        <v>2025</v>
      </c>
      <c r="H596" t="n">
        <v>1</v>
      </c>
      <c r="I596" t="n">
        <v>154</v>
      </c>
      <c r="J596" t="inlineStr">
        <is>
          <t>Y</t>
        </is>
      </c>
      <c r="K596" t="inlineStr">
        <is>
          <t>heritancehotels.com</t>
        </is>
      </c>
      <c r="L596" t="inlineStr">
        <is>
          <t>official</t>
        </is>
      </c>
      <c r="M596" t="inlineStr">
        <is>
          <t>https://heritancehotels.eme-devops.com/2025/06/HTF-High-Tea-Menu-2024-2025.pdf</t>
        </is>
      </c>
      <c r="N596" t="inlineStr">
        <is>
          <t>https://heritancehotels.eme-devops.com/2025/06/HTF-High-Tea-Menu-2024-2025.pdf | https://heritancehotels.eme-devops.com/2025/02/HTF-High-Tea-Menu-2024-2025-1.pdf</t>
        </is>
      </c>
      <c r="O596" t="inlineStr">
        <is>
          <t>a8f26ea491d8e512ed934baee17248f9d357a5dd9bce74f5990a7d3a4c60d100</t>
        </is>
      </c>
      <c r="P596" t="inlineStr">
        <is>
          <t>library/035_heritance-aarah/dining_menu/2025_HTF-High-Tea-Menu-2024-2025.pdf</t>
        </is>
      </c>
      <c r="R596" t="inlineStr">
        <is>
          <t>current</t>
        </is>
      </c>
      <c r="S596" t="inlineStr">
        <is>
          <t>N</t>
        </is>
      </c>
      <c r="T596" t="inlineStr">
        <is>
          <t>needs-review</t>
        </is>
      </c>
      <c r="U596" t="inlineStr">
        <is>
          <t>2026-10-04</t>
        </is>
      </c>
      <c r="V596" t="inlineStr">
        <is>
          <t>ambiguous match [35]</t>
        </is>
      </c>
    </row>
    <row r="597">
      <c r="A597" t="n">
        <v>35</v>
      </c>
      <c r="B597" t="inlineStr">
        <is>
          <t>Heritance Aarah</t>
        </is>
      </c>
      <c r="C597" t="inlineStr">
        <is>
          <t>dining_menu</t>
        </is>
      </c>
      <c r="D597" t="inlineStr">
        <is>
          <t>2025_HTF-GOURMET-MOMENTS-BESIDE-A-LEGACY.pdf</t>
        </is>
      </c>
      <c r="E597" t="n">
        <v>2025</v>
      </c>
      <c r="H597" t="n">
        <v>1</v>
      </c>
      <c r="I597" t="n">
        <v>136</v>
      </c>
      <c r="J597" t="inlineStr">
        <is>
          <t>Y</t>
        </is>
      </c>
      <c r="K597" t="inlineStr">
        <is>
          <t>heritancehotels.com</t>
        </is>
      </c>
      <c r="L597" t="inlineStr">
        <is>
          <t>official</t>
        </is>
      </c>
      <c r="M597" t="inlineStr">
        <is>
          <t>https://heritancehotels.eme-devops.com/2025/06/HTF-GOURMET-MOMENTS-BESIDE-A-LEGACY.pdf</t>
        </is>
      </c>
      <c r="N597" t="inlineStr">
        <is>
          <t>https://heritancehotels.eme-devops.com/2025/06/HTF-GOURMET-MOMENTS-BESIDE-A-LEGACY.pdf</t>
        </is>
      </c>
      <c r="O597" t="inlineStr">
        <is>
          <t>1f5be01d625ca4c14baca26added642d2bc12e0c421cde5dc1f0aa6df7eba98c</t>
        </is>
      </c>
      <c r="P597" t="inlineStr">
        <is>
          <t>library/035_heritance-aarah/dining_menu/2025_HTF-GOURMET-MOMENTS-BESIDE-A-LEGACY.pdf</t>
        </is>
      </c>
      <c r="R597" t="inlineStr">
        <is>
          <t>current</t>
        </is>
      </c>
      <c r="S597" t="inlineStr">
        <is>
          <t>N</t>
        </is>
      </c>
      <c r="T597" t="inlineStr">
        <is>
          <t>needs-review</t>
        </is>
      </c>
      <c r="U597" t="inlineStr">
        <is>
          <t>2026-10-04</t>
        </is>
      </c>
      <c r="V597" t="inlineStr">
        <is>
          <t>ambiguous match [35]</t>
        </is>
      </c>
    </row>
    <row r="598">
      <c r="A598" t="n">
        <v>35</v>
      </c>
      <c r="B598" t="inlineStr">
        <is>
          <t>Heritance Aarah</t>
        </is>
      </c>
      <c r="C598" t="inlineStr">
        <is>
          <t>dining_menu</t>
        </is>
      </c>
      <c r="D598" t="inlineStr">
        <is>
          <t>2025_HTF-bon-fire-Menu-2024-2025.pdf</t>
        </is>
      </c>
      <c r="E598" t="n">
        <v>2025</v>
      </c>
      <c r="H598" t="n">
        <v>1</v>
      </c>
      <c r="I598" t="n">
        <v>139</v>
      </c>
      <c r="J598" t="inlineStr">
        <is>
          <t>Y</t>
        </is>
      </c>
      <c r="K598" t="inlineStr">
        <is>
          <t>heritancehotels.com</t>
        </is>
      </c>
      <c r="L598" t="inlineStr">
        <is>
          <t>official</t>
        </is>
      </c>
      <c r="M598" t="inlineStr">
        <is>
          <t>https://heritancehotels.eme-devops.com/2025/06/HTF-bon-fire-Menu-2024-2025.pdf</t>
        </is>
      </c>
      <c r="N598" t="inlineStr">
        <is>
          <t>https://heritancehotels.eme-devops.com/2025/06/HTF-bon-fire-Menu-2024-2025.pdf | https://heritancehotels.eme-devops.com/2025/02/HTF-bon-fire-Menu-2024-2025.pdf</t>
        </is>
      </c>
      <c r="O598" t="inlineStr">
        <is>
          <t>27170f70659a6f05ddcf713acb19429adf7757299a02a664cc2d051949908ec7</t>
        </is>
      </c>
      <c r="P598" t="inlineStr">
        <is>
          <t>library/035_heritance-aarah/dining_menu/2025_HTF-bon-fire-Menu-2024-2025.pdf</t>
        </is>
      </c>
      <c r="R598" t="inlineStr">
        <is>
          <t>current</t>
        </is>
      </c>
      <c r="S598" t="inlineStr">
        <is>
          <t>N</t>
        </is>
      </c>
      <c r="T598" t="inlineStr">
        <is>
          <t>needs-review</t>
        </is>
      </c>
      <c r="U598" t="inlineStr">
        <is>
          <t>2026-10-04</t>
        </is>
      </c>
      <c r="V598" t="inlineStr">
        <is>
          <t>ambiguous match [35]</t>
        </is>
      </c>
    </row>
    <row r="599">
      <c r="A599" t="n">
        <v>35</v>
      </c>
      <c r="B599" t="inlineStr">
        <is>
          <t>Heritance Aarah</t>
        </is>
      </c>
      <c r="C599" t="inlineStr">
        <is>
          <t>dining_menu</t>
        </is>
      </c>
      <c r="D599" t="inlineStr">
        <is>
          <t>2025_HTF-Pekoe-Trail-Picnic-Breakfast.pdf</t>
        </is>
      </c>
      <c r="E599" t="n">
        <v>2025</v>
      </c>
      <c r="H599" t="n">
        <v>4</v>
      </c>
      <c r="I599" t="n">
        <v>1687</v>
      </c>
      <c r="J599" t="inlineStr">
        <is>
          <t>N</t>
        </is>
      </c>
      <c r="K599" t="inlineStr">
        <is>
          <t>heritancehotels.com</t>
        </is>
      </c>
      <c r="L599" t="inlineStr">
        <is>
          <t>official</t>
        </is>
      </c>
      <c r="M599" t="inlineStr">
        <is>
          <t>https://heritancehotels.eme-devops.com/2025/06/HTF-Pekoe-Trail-Picnic-Breakfast.pdf</t>
        </is>
      </c>
      <c r="N599" t="inlineStr">
        <is>
          <t>https://heritancehotels.eme-devops.com/2025/06/HTF-Pekoe-Trail-Picnic-Breakfast.pdf</t>
        </is>
      </c>
      <c r="O599" t="inlineStr">
        <is>
          <t>4a54a5d394c914ee59898f4790ddf2fc93f1e60805d89a21f764f8dcbefd769f</t>
        </is>
      </c>
      <c r="P599" t="inlineStr">
        <is>
          <t>library/035_heritance-aarah/dining_menu/2025_HTF-Pekoe-Trail-Picnic-Breakfast.pdf</t>
        </is>
      </c>
      <c r="R599" t="inlineStr">
        <is>
          <t>current</t>
        </is>
      </c>
      <c r="S599" t="inlineStr">
        <is>
          <t>N</t>
        </is>
      </c>
      <c r="T599" t="inlineStr">
        <is>
          <t>needs-review</t>
        </is>
      </c>
      <c r="U599" t="inlineStr">
        <is>
          <t>2026-10-04</t>
        </is>
      </c>
      <c r="V599" t="inlineStr">
        <is>
          <t>ambiguous match [35]</t>
        </is>
      </c>
    </row>
    <row r="600">
      <c r="A600" t="n">
        <v>35</v>
      </c>
      <c r="B600" t="inlineStr">
        <is>
          <t>Heritance Aarah</t>
        </is>
      </c>
      <c r="C600" t="inlineStr">
        <is>
          <t>dining_menu</t>
        </is>
      </c>
      <c r="D600" t="inlineStr">
        <is>
          <t>2025_Aarah-Ginifati-Set-Menu-No-02-12.06.2025.pdf</t>
        </is>
      </c>
      <c r="E600" t="n">
        <v>2025</v>
      </c>
      <c r="H600" t="n">
        <v>2</v>
      </c>
      <c r="I600" t="n">
        <v>4814</v>
      </c>
      <c r="J600" t="inlineStr">
        <is>
          <t>Y</t>
        </is>
      </c>
      <c r="K600" t="inlineStr">
        <is>
          <t>heritancehotels.com</t>
        </is>
      </c>
      <c r="L600" t="inlineStr">
        <is>
          <t>official</t>
        </is>
      </c>
      <c r="M600" t="inlineStr">
        <is>
          <t>https://heritancehotels.eme-devops.com/2025/06/Aarah-Ginifati-Set-Menu-No-02-12.06.2025.pdf</t>
        </is>
      </c>
      <c r="N600" t="inlineStr">
        <is>
          <t>https://heritancehotels.eme-devops.com/2025/06/Aarah-Ginifati-Set-Menu-No-02-12.06.2025.pdf</t>
        </is>
      </c>
      <c r="O600" t="inlineStr">
        <is>
          <t>1873fb6e0e7362cbbdb1806ea1f698388df5807408f6c1837c6ba21956ff3e15</t>
        </is>
      </c>
      <c r="P600" t="inlineStr">
        <is>
          <t>library/035_heritance-aarah/dining_menu/2025_Aarah-Ginifati-Set-Menu-No-02-12.06.2025.pdf</t>
        </is>
      </c>
      <c r="R600" t="inlineStr">
        <is>
          <t>current</t>
        </is>
      </c>
      <c r="S600" t="inlineStr">
        <is>
          <t>N</t>
        </is>
      </c>
      <c r="T600" t="inlineStr">
        <is>
          <t>matched</t>
        </is>
      </c>
      <c r="U600" t="inlineStr">
        <is>
          <t>2026-10-04</t>
        </is>
      </c>
      <c r="V600" t="inlineStr"/>
    </row>
    <row r="601">
      <c r="A601" t="n">
        <v>35</v>
      </c>
      <c r="B601" t="inlineStr">
        <is>
          <t>Heritance Aarah</t>
        </is>
      </c>
      <c r="C601" t="inlineStr">
        <is>
          <t>dining_menu</t>
        </is>
      </c>
      <c r="D601" t="inlineStr">
        <is>
          <t>2025_Aarah-PAI-Wine-Beverage-List-27.05.2025.pdf</t>
        </is>
      </c>
      <c r="E601" t="n">
        <v>2025</v>
      </c>
      <c r="H601" t="n">
        <v>16</v>
      </c>
      <c r="I601" t="n">
        <v>340</v>
      </c>
      <c r="J601" t="inlineStr">
        <is>
          <t>Y</t>
        </is>
      </c>
      <c r="K601" t="inlineStr">
        <is>
          <t>heritancehotels.com</t>
        </is>
      </c>
      <c r="L601" t="inlineStr">
        <is>
          <t>official</t>
        </is>
      </c>
      <c r="M601" t="inlineStr">
        <is>
          <t>https://heritancehotels.eme-devops.com/2025/05/Aarah-PAI-Wine-Beverage-List-27.05.2025.pdf</t>
        </is>
      </c>
      <c r="N601" t="inlineStr">
        <is>
          <t>https://heritancehotels.eme-devops.com/2025/05/Aarah-PAI-Wine-Beverage-List-27.05.2025.pdf</t>
        </is>
      </c>
      <c r="O601" t="inlineStr">
        <is>
          <t>f037be09ae4c043bf6b0400dd5a305a3a82c7fb3b48f8ae0bc633cb4d9a478df</t>
        </is>
      </c>
      <c r="P601" t="inlineStr">
        <is>
          <t>library/035_heritance-aarah/dining_menu/2025_Aarah-PAI-Wine-Beverage-List-27.05.2025.pdf</t>
        </is>
      </c>
      <c r="R601" t="inlineStr">
        <is>
          <t>current</t>
        </is>
      </c>
      <c r="S601" t="inlineStr">
        <is>
          <t>N</t>
        </is>
      </c>
      <c r="T601" t="inlineStr">
        <is>
          <t>matched</t>
        </is>
      </c>
      <c r="U601" t="inlineStr">
        <is>
          <t>2026-10-04</t>
        </is>
      </c>
      <c r="V601" t="inlineStr"/>
    </row>
    <row r="602">
      <c r="A602" t="n">
        <v>35</v>
      </c>
      <c r="B602" t="inlineStr">
        <is>
          <t>Heritance Aarah</t>
        </is>
      </c>
      <c r="C602" t="inlineStr">
        <is>
          <t>dining_menu</t>
        </is>
      </c>
      <c r="D602" t="inlineStr">
        <is>
          <t>2025_Aarah-IVD-A-la-carte-Menu-OV-BV-03.04.2025.pdf</t>
        </is>
      </c>
      <c r="E602" t="n">
        <v>2025</v>
      </c>
      <c r="H602" t="n">
        <v>5</v>
      </c>
      <c r="I602" t="n">
        <v>165</v>
      </c>
      <c r="J602" t="inlineStr">
        <is>
          <t>Y</t>
        </is>
      </c>
      <c r="K602" t="inlineStr">
        <is>
          <t>heritancehotels.com</t>
        </is>
      </c>
      <c r="L602" t="inlineStr">
        <is>
          <t>official</t>
        </is>
      </c>
      <c r="M602" t="inlineStr">
        <is>
          <t>https://heritancehotels.eme-devops.com/2025/04/Aarah-IVD-A-la-carte-Menu-OV-BV-03.04.2025.pdf</t>
        </is>
      </c>
      <c r="N602" t="inlineStr">
        <is>
          <t>https://heritancehotels.eme-devops.com/2025/04/Aarah-IVD-A-la-carte-Menu-OV-BV-03.04.2025.pdf</t>
        </is>
      </c>
      <c r="O602" t="inlineStr">
        <is>
          <t>0465c2044cceb9f9ae45b0ac5ecf49d4c1089e34c0db9e3a23a5007f565adff6</t>
        </is>
      </c>
      <c r="P602" t="inlineStr">
        <is>
          <t>library/035_heritance-aarah/dining_menu/2025_Aarah-IVD-A-la-carte-Menu-OV-BV-03.04.2025.pdf</t>
        </is>
      </c>
      <c r="R602" t="inlineStr">
        <is>
          <t>current</t>
        </is>
      </c>
      <c r="S602" t="inlineStr">
        <is>
          <t>N</t>
        </is>
      </c>
      <c r="T602" t="inlineStr">
        <is>
          <t>matched</t>
        </is>
      </c>
      <c r="U602" t="inlineStr">
        <is>
          <t>2026-10-04</t>
        </is>
      </c>
      <c r="V602" t="inlineStr"/>
    </row>
    <row r="603">
      <c r="A603" t="n">
        <v>35</v>
      </c>
      <c r="B603" t="inlineStr">
        <is>
          <t>Heritance Aarah</t>
        </is>
      </c>
      <c r="C603" t="inlineStr">
        <is>
          <t>dining_menu</t>
        </is>
      </c>
      <c r="D603" t="inlineStr">
        <is>
          <t>2025_Aarah-Ralu-A-la-carte-Menu-Vegetarian-20.03.2025.pdf</t>
        </is>
      </c>
      <c r="E603" t="n">
        <v>2025</v>
      </c>
      <c r="H603" t="n">
        <v>1</v>
      </c>
      <c r="I603" t="n">
        <v>300</v>
      </c>
      <c r="J603" t="inlineStr">
        <is>
          <t>Y</t>
        </is>
      </c>
      <c r="K603" t="inlineStr">
        <is>
          <t>heritancehotels.com</t>
        </is>
      </c>
      <c r="L603" t="inlineStr">
        <is>
          <t>official</t>
        </is>
      </c>
      <c r="M603" t="inlineStr">
        <is>
          <t>https://heritancehotels.eme-devops.com/2025/03/Aarah-Ralu-A-la-carte-Menu-Vegetarian-20.03.2025.pdf</t>
        </is>
      </c>
      <c r="N603" t="inlineStr">
        <is>
          <t>https://heritancehotels.eme-devops.com/2025/03/Aarah-Ralu-A-la-carte-Menu-Vegetarian-20.03.2025.pdf</t>
        </is>
      </c>
      <c r="O603" t="inlineStr">
        <is>
          <t>6a17057d07cf59a97dd578014cfed33a1ba421306e6efef24ff3000556a44625</t>
        </is>
      </c>
      <c r="P603" t="inlineStr">
        <is>
          <t>library/035_heritance-aarah/dining_menu/2025_Aarah-Ralu-A-la-carte-Menu-Vegetarian-20.03.2025.pdf</t>
        </is>
      </c>
      <c r="R603" t="inlineStr">
        <is>
          <t>current</t>
        </is>
      </c>
      <c r="S603" t="inlineStr">
        <is>
          <t>N</t>
        </is>
      </c>
      <c r="T603" t="inlineStr">
        <is>
          <t>matched</t>
        </is>
      </c>
      <c r="U603" t="inlineStr">
        <is>
          <t>2026-10-04</t>
        </is>
      </c>
      <c r="V603" t="inlineStr"/>
    </row>
    <row r="604">
      <c r="A604" t="n">
        <v>35</v>
      </c>
      <c r="B604" t="inlineStr">
        <is>
          <t>Heritance Aarah</t>
        </is>
      </c>
      <c r="C604" t="inlineStr">
        <is>
          <t>dining_menu</t>
        </is>
      </c>
      <c r="D604" t="inlineStr">
        <is>
          <t>2025_Aarah-Baani-A-la-carte-Menu-Veg-15.03.2025.pdf</t>
        </is>
      </c>
      <c r="E604" t="n">
        <v>2025</v>
      </c>
      <c r="H604" t="n">
        <v>4</v>
      </c>
      <c r="I604" t="n">
        <v>1448</v>
      </c>
      <c r="J604" t="inlineStr">
        <is>
          <t>Y</t>
        </is>
      </c>
      <c r="K604" t="inlineStr">
        <is>
          <t>heritancehotels.com</t>
        </is>
      </c>
      <c r="L604" t="inlineStr">
        <is>
          <t>official</t>
        </is>
      </c>
      <c r="M604" t="inlineStr">
        <is>
          <t>https://heritancehotels.eme-devops.com/2025/03/Aarah-Baani-A-la-carte-Menu-Veg-15.03.2025.pdf</t>
        </is>
      </c>
      <c r="N604" t="inlineStr">
        <is>
          <t>https://heritancehotels.eme-devops.com/2025/03/Aarah-Baani-A-la-carte-Menu-Veg-15.03.2025.pdf</t>
        </is>
      </c>
      <c r="O604" t="inlineStr">
        <is>
          <t>67f26ee40b2eee286739c5cbd84a33fea36c7e8a99dadfd15f8c0f2c466c4b43</t>
        </is>
      </c>
      <c r="P604" t="inlineStr">
        <is>
          <t>library/035_heritance-aarah/dining_menu/2025_Aarah-Baani-A-la-carte-Menu-Veg-15.03.2025.pdf</t>
        </is>
      </c>
      <c r="R604" t="inlineStr">
        <is>
          <t>current</t>
        </is>
      </c>
      <c r="S604" t="inlineStr">
        <is>
          <t>N</t>
        </is>
      </c>
      <c r="T604" t="inlineStr">
        <is>
          <t>matched</t>
        </is>
      </c>
      <c r="U604" t="inlineStr">
        <is>
          <t>2026-10-04</t>
        </is>
      </c>
      <c r="V604" t="inlineStr"/>
    </row>
    <row r="605">
      <c r="A605" t="n">
        <v>35</v>
      </c>
      <c r="B605" t="inlineStr">
        <is>
          <t>Heritance Aarah</t>
        </is>
      </c>
      <c r="C605" t="inlineStr">
        <is>
          <t>dining_menu</t>
        </is>
      </c>
      <c r="D605" t="inlineStr">
        <is>
          <t>2025_Kaludiya-Menu.pdf</t>
        </is>
      </c>
      <c r="E605" t="n">
        <v>2025</v>
      </c>
      <c r="H605" t="n">
        <v>4</v>
      </c>
      <c r="I605" t="n">
        <v>9293</v>
      </c>
      <c r="J605" t="inlineStr">
        <is>
          <t>Y</t>
        </is>
      </c>
      <c r="K605" t="inlineStr">
        <is>
          <t>heritancehotels.com</t>
        </is>
      </c>
      <c r="L605" t="inlineStr">
        <is>
          <t>official</t>
        </is>
      </c>
      <c r="M605" t="inlineStr">
        <is>
          <t>https://heritancehotels.eme-devops.com/2025/02/Kaludiya-Menu.pdf</t>
        </is>
      </c>
      <c r="N605" t="inlineStr">
        <is>
          <t>https://heritancehotels.eme-devops.com/2025/02/Kaludiya-Menu.pdf</t>
        </is>
      </c>
      <c r="O605" t="inlineStr">
        <is>
          <t>993c36f6e8c778275fd626163d48338d42f33b45b47f9b3705b50f7baa63cf81</t>
        </is>
      </c>
      <c r="P605" t="inlineStr">
        <is>
          <t>library/035_heritance-aarah/dining_menu/2025_Kaludiya-Menu.pdf</t>
        </is>
      </c>
      <c r="R605" t="inlineStr">
        <is>
          <t>current</t>
        </is>
      </c>
      <c r="S605" t="inlineStr">
        <is>
          <t>N</t>
        </is>
      </c>
      <c r="T605" t="inlineStr">
        <is>
          <t>needs-review</t>
        </is>
      </c>
      <c r="U605" t="inlineStr">
        <is>
          <t>2026-10-04</t>
        </is>
      </c>
      <c r="V605" t="inlineStr">
        <is>
          <t>ambiguous match [35]</t>
        </is>
      </c>
    </row>
    <row r="606">
      <c r="A606" t="n">
        <v>35</v>
      </c>
      <c r="B606" t="inlineStr">
        <is>
          <t>Heritance Aarah</t>
        </is>
      </c>
      <c r="C606" t="inlineStr">
        <is>
          <t>dining_menu</t>
        </is>
      </c>
      <c r="D606" t="inlineStr">
        <is>
          <t>2025_HK-Wine-Menu-1.pdf</t>
        </is>
      </c>
      <c r="E606" t="n">
        <v>2025</v>
      </c>
      <c r="H606" t="n">
        <v>9</v>
      </c>
      <c r="I606" t="n">
        <v>583</v>
      </c>
      <c r="J606" t="inlineStr">
        <is>
          <t>Y</t>
        </is>
      </c>
      <c r="K606" t="inlineStr">
        <is>
          <t>heritancehotels.com</t>
        </is>
      </c>
      <c r="L606" t="inlineStr">
        <is>
          <t>official</t>
        </is>
      </c>
      <c r="M606" t="inlineStr">
        <is>
          <t>https://heritancehotels.eme-devops.com/2025/02/HK-Wine-Menu-1.pdf</t>
        </is>
      </c>
      <c r="N606" t="inlineStr">
        <is>
          <t>https://heritancehotels.eme-devops.com/2025/02/HK-Wine-Menu-1.pdf</t>
        </is>
      </c>
      <c r="O606" t="inlineStr">
        <is>
          <t>ce26c36b6a5696c315e5d4cf1575b6064ff0cb9bd0c66596d0983f4e6da4ac75</t>
        </is>
      </c>
      <c r="P606" t="inlineStr">
        <is>
          <t>library/035_heritance-aarah/dining_menu/2025_HK-Wine-Menu-1.pdf</t>
        </is>
      </c>
      <c r="R606" t="inlineStr">
        <is>
          <t>current</t>
        </is>
      </c>
      <c r="S606" t="inlineStr">
        <is>
          <t>N</t>
        </is>
      </c>
      <c r="T606" t="inlineStr">
        <is>
          <t>needs-review</t>
        </is>
      </c>
      <c r="U606" t="inlineStr">
        <is>
          <t>2026-10-04</t>
        </is>
      </c>
      <c r="V606" t="inlineStr">
        <is>
          <t>ambiguous match [35]</t>
        </is>
      </c>
    </row>
    <row r="607">
      <c r="A607" t="n">
        <v>35</v>
      </c>
      <c r="B607" t="inlineStr">
        <is>
          <t>Heritance Aarah</t>
        </is>
      </c>
      <c r="C607" t="inlineStr">
        <is>
          <t>dining_menu</t>
        </is>
      </c>
      <c r="D607" t="inlineStr">
        <is>
          <t>2025_Aarah-PAI-21.08.2025.pdf</t>
        </is>
      </c>
      <c r="E607" t="n">
        <v>2025</v>
      </c>
      <c r="H607" t="n">
        <v>17</v>
      </c>
      <c r="I607" t="n">
        <v>4584</v>
      </c>
      <c r="J607" t="inlineStr">
        <is>
          <t>Y</t>
        </is>
      </c>
      <c r="K607" t="inlineStr">
        <is>
          <t>heritancehotels.com</t>
        </is>
      </c>
      <c r="L607" t="inlineStr">
        <is>
          <t>official</t>
        </is>
      </c>
      <c r="M607" t="inlineStr">
        <is>
          <t>https://heritancehotels.eme-devops.com/sites/2/2025/08/Aarah-PAI-21.08.2025.pdf</t>
        </is>
      </c>
      <c r="N607" t="inlineStr">
        <is>
          <t>https://heritancehotels.eme-devops.com/sites/2/2025/08/Aarah-PAI-21.08.2025.pdf</t>
        </is>
      </c>
      <c r="O607" t="inlineStr">
        <is>
          <t>d291663426e07172a8cf38a8efaf4b9a13373537c3cd9bbdd770e2ea3ad52e48</t>
        </is>
      </c>
      <c r="P607" t="inlineStr">
        <is>
          <t>library/035_heritance-aarah/dining_menu/2025_Aarah-PAI-21.08.2025.pdf</t>
        </is>
      </c>
      <c r="R607" t="inlineStr">
        <is>
          <t>current</t>
        </is>
      </c>
      <c r="S607" t="inlineStr">
        <is>
          <t>N</t>
        </is>
      </c>
      <c r="T607" t="inlineStr">
        <is>
          <t>matched</t>
        </is>
      </c>
      <c r="U607" t="inlineStr">
        <is>
          <t>2026-10-04</t>
        </is>
      </c>
      <c r="V607" t="inlineStr"/>
    </row>
    <row r="608">
      <c r="A608" t="n">
        <v>35</v>
      </c>
      <c r="B608" t="inlineStr">
        <is>
          <t>Heritance Aarah</t>
        </is>
      </c>
      <c r="C608" t="inlineStr">
        <is>
          <t>dining_menu</t>
        </is>
      </c>
      <c r="D608" t="inlineStr">
        <is>
          <t>2024_Ranba-Ala-carte-Lunch-Dinner-08.12.2024.pdf</t>
        </is>
      </c>
      <c r="E608" t="n">
        <v>2024</v>
      </c>
      <c r="H608" t="n">
        <v>4</v>
      </c>
      <c r="I608" t="n">
        <v>264</v>
      </c>
      <c r="J608" t="inlineStr">
        <is>
          <t>Y</t>
        </is>
      </c>
      <c r="K608" t="inlineStr">
        <is>
          <t>heritancehotels.com</t>
        </is>
      </c>
      <c r="L608" t="inlineStr">
        <is>
          <t>official</t>
        </is>
      </c>
      <c r="M608" t="inlineStr">
        <is>
          <t>https://heritancehotels.eme-devops.com/2026/08/Ranba-Ala-carte-Lunch-Dinner-08.12.2024.pdf</t>
        </is>
      </c>
      <c r="N608" t="inlineStr">
        <is>
          <t>https://heritancehotels.eme-devops.com/2026/08/Ranba-Ala-carte-Lunch-Dinner-08.12.2024.pdf</t>
        </is>
      </c>
      <c r="O608" t="inlineStr">
        <is>
          <t>00c125c1f2d8684ab62ecb8c72d74402c2ed9b915fa6fde586bbb55749de6f70</t>
        </is>
      </c>
      <c r="P608" t="inlineStr">
        <is>
          <t>library/035_heritance-aarah/dining_menu/2024_Ranba-Ala-carte-Lunch-Dinner-08.12.2024.pdf</t>
        </is>
      </c>
      <c r="R608" t="inlineStr">
        <is>
          <t>outdated</t>
        </is>
      </c>
      <c r="S608" t="inlineStr">
        <is>
          <t>N</t>
        </is>
      </c>
      <c r="T608" t="inlineStr">
        <is>
          <t>needs-review</t>
        </is>
      </c>
      <c r="U608" t="inlineStr">
        <is>
          <t>2026-10-04</t>
        </is>
      </c>
      <c r="V608" t="inlineStr">
        <is>
          <t>ambiguous match [35]</t>
        </is>
      </c>
    </row>
    <row r="609">
      <c r="A609" t="n">
        <v>35</v>
      </c>
      <c r="B609" t="inlineStr">
        <is>
          <t>Heritance Aarah</t>
        </is>
      </c>
      <c r="C609" t="inlineStr">
        <is>
          <t>dining_menu</t>
        </is>
      </c>
      <c r="D609" t="inlineStr">
        <is>
          <t>2024_Beverage-Menu-HTF-1-1.pdf</t>
        </is>
      </c>
      <c r="E609" t="n">
        <v>2024</v>
      </c>
      <c r="H609" t="n">
        <v>8</v>
      </c>
      <c r="I609" t="n">
        <v>615</v>
      </c>
      <c r="J609" t="inlineStr">
        <is>
          <t>N</t>
        </is>
      </c>
      <c r="K609" t="inlineStr">
        <is>
          <t>heritancehotels.com</t>
        </is>
      </c>
      <c r="L609" t="inlineStr">
        <is>
          <t>official</t>
        </is>
      </c>
      <c r="M609" t="inlineStr">
        <is>
          <t>https://heritancehotels.eme-devops.com/2025/02/Beverage-Menu-HTF-1-1.pdf</t>
        </is>
      </c>
      <c r="N609" t="inlineStr">
        <is>
          <t>https://heritancehotels.eme-devops.com/2025/02/Beverage-Menu-HTF-1-1.pdf</t>
        </is>
      </c>
      <c r="O609" t="inlineStr">
        <is>
          <t>d493022832b86317b4697ad7636e2c220f2a54fa08029af496a892fd5bd40976</t>
        </is>
      </c>
      <c r="P609" t="inlineStr">
        <is>
          <t>library/035_heritance-aarah/dining_menu/2024_Beverage-Menu-HTF-1-1.pdf</t>
        </is>
      </c>
      <c r="R609" t="inlineStr">
        <is>
          <t>outdated</t>
        </is>
      </c>
      <c r="S609" t="inlineStr">
        <is>
          <t>N</t>
        </is>
      </c>
      <c r="T609" t="inlineStr">
        <is>
          <t>needs-review</t>
        </is>
      </c>
      <c r="U609" t="inlineStr">
        <is>
          <t>2026-10-04</t>
        </is>
      </c>
      <c r="V609" t="inlineStr">
        <is>
          <t>ambiguous match [35]</t>
        </is>
      </c>
    </row>
    <row r="610">
      <c r="A610" t="n">
        <v>35</v>
      </c>
      <c r="B610" t="inlineStr">
        <is>
          <t>Heritance Aarah</t>
        </is>
      </c>
      <c r="C610" t="inlineStr">
        <is>
          <t>dining_menu</t>
        </is>
      </c>
      <c r="D610" t="inlineStr">
        <is>
          <t>2024_Wine-Menu-HTF-1-1-1.pdf</t>
        </is>
      </c>
      <c r="E610" t="n">
        <v>2024</v>
      </c>
      <c r="H610" t="n">
        <v>4</v>
      </c>
      <c r="I610" t="n">
        <v>814</v>
      </c>
      <c r="J610" t="inlineStr">
        <is>
          <t>Y</t>
        </is>
      </c>
      <c r="K610" t="inlineStr">
        <is>
          <t>heritancehotels.com</t>
        </is>
      </c>
      <c r="L610" t="inlineStr">
        <is>
          <t>official</t>
        </is>
      </c>
      <c r="M610" t="inlineStr">
        <is>
          <t>https://heritancehotels.eme-devops.com/2025/02/Wine-Menu-HTF-1-1-1.pdf</t>
        </is>
      </c>
      <c r="N610" t="inlineStr">
        <is>
          <t>https://heritancehotels.eme-devops.com/2025/02/Wine-Menu-HTF-1-1-1.pdf</t>
        </is>
      </c>
      <c r="O610" t="inlineStr">
        <is>
          <t>cf8fe617636f5257c6f1663475b081325b5a08fe89ab86f217e39274d2c86fe3</t>
        </is>
      </c>
      <c r="P610" t="inlineStr">
        <is>
          <t>library/035_heritance-aarah/dining_menu/2024_Wine-Menu-HTF-1-1-1.pdf</t>
        </is>
      </c>
      <c r="R610" t="inlineStr">
        <is>
          <t>outdated</t>
        </is>
      </c>
      <c r="S610" t="inlineStr">
        <is>
          <t>N</t>
        </is>
      </c>
      <c r="T610" t="inlineStr">
        <is>
          <t>needs-review</t>
        </is>
      </c>
      <c r="U610" t="inlineStr">
        <is>
          <t>2026-10-04</t>
        </is>
      </c>
      <c r="V610" t="inlineStr">
        <is>
          <t>ambiguous match [35]</t>
        </is>
      </c>
    </row>
    <row r="611">
      <c r="A611" t="n">
        <v>35</v>
      </c>
      <c r="B611" t="inlineStr">
        <is>
          <t>Heritance Aarah</t>
        </is>
      </c>
      <c r="C611" t="inlineStr">
        <is>
          <t>dining_menu</t>
        </is>
      </c>
      <c r="D611" t="inlineStr">
        <is>
          <t>2024_HK-Snack-Menu.pdf</t>
        </is>
      </c>
      <c r="E611" t="n">
        <v>2024</v>
      </c>
      <c r="H611" t="n">
        <v>4</v>
      </c>
      <c r="I611" t="n">
        <v>381</v>
      </c>
      <c r="J611" t="inlineStr">
        <is>
          <t>Y</t>
        </is>
      </c>
      <c r="K611" t="inlineStr">
        <is>
          <t>heritancehotels.com</t>
        </is>
      </c>
      <c r="L611" t="inlineStr">
        <is>
          <t>official</t>
        </is>
      </c>
      <c r="M611" t="inlineStr">
        <is>
          <t>https://heritancehotels.eme-devops.com/2025/02/HK-Snack-Menu.pdf</t>
        </is>
      </c>
      <c r="N611" t="inlineStr">
        <is>
          <t>https://heritancehotels.eme-devops.com/2025/02/HK-Snack-Menu.pdf</t>
        </is>
      </c>
      <c r="O611" t="inlineStr">
        <is>
          <t>eb227e6af17060ac94230a562af261349b0224218e3bb8646b8abb87be38c63e</t>
        </is>
      </c>
      <c r="P611" t="inlineStr">
        <is>
          <t>library/035_heritance-aarah/dining_menu/2024_HK-Snack-Menu.pdf</t>
        </is>
      </c>
      <c r="R611" t="inlineStr">
        <is>
          <t>outdated</t>
        </is>
      </c>
      <c r="S611" t="inlineStr">
        <is>
          <t>N</t>
        </is>
      </c>
      <c r="T611" t="inlineStr">
        <is>
          <t>needs-review</t>
        </is>
      </c>
      <c r="U611" t="inlineStr">
        <is>
          <t>2026-10-04</t>
        </is>
      </c>
      <c r="V611" t="inlineStr">
        <is>
          <t>ambiguous match [35]</t>
        </is>
      </c>
    </row>
    <row r="612">
      <c r="A612" t="n">
        <v>35</v>
      </c>
      <c r="B612" t="inlineStr">
        <is>
          <t>Heritance Aarah</t>
        </is>
      </c>
      <c r="C612" t="inlineStr">
        <is>
          <t>dining_menu</t>
        </is>
      </c>
      <c r="D612" t="inlineStr">
        <is>
          <t>2024_HK-Cocktail-List.pdf</t>
        </is>
      </c>
      <c r="E612" t="n">
        <v>2024</v>
      </c>
      <c r="H612" t="n">
        <v>5</v>
      </c>
      <c r="I612" t="n">
        <v>312</v>
      </c>
      <c r="J612" t="inlineStr">
        <is>
          <t>Y</t>
        </is>
      </c>
      <c r="K612" t="inlineStr">
        <is>
          <t>heritancehotels.com</t>
        </is>
      </c>
      <c r="L612" t="inlineStr">
        <is>
          <t>official</t>
        </is>
      </c>
      <c r="M612" t="inlineStr">
        <is>
          <t>https://heritancehotels.eme-devops.com/2025/02/HK-Cocktail-List.pdf</t>
        </is>
      </c>
      <c r="N612" t="inlineStr">
        <is>
          <t>https://heritancehotels.eme-devops.com/2025/02/HK-Cocktail-List.pdf</t>
        </is>
      </c>
      <c r="O612" t="inlineStr">
        <is>
          <t>77caa13bde63dc6006e70732170f990d62cc62544bd393d5e21c37a82fee8173</t>
        </is>
      </c>
      <c r="P612" t="inlineStr">
        <is>
          <t>library/035_heritance-aarah/dining_menu/2024_HK-Cocktail-List.pdf</t>
        </is>
      </c>
      <c r="R612" t="inlineStr">
        <is>
          <t>outdated</t>
        </is>
      </c>
      <c r="S612" t="inlineStr">
        <is>
          <t>N</t>
        </is>
      </c>
      <c r="T612" t="inlineStr">
        <is>
          <t>needs-review</t>
        </is>
      </c>
      <c r="U612" t="inlineStr">
        <is>
          <t>2026-10-04</t>
        </is>
      </c>
      <c r="V612" t="inlineStr">
        <is>
          <t>ambiguous match [35]</t>
        </is>
      </c>
    </row>
    <row r="613">
      <c r="A613" t="n">
        <v>35</v>
      </c>
      <c r="B613" t="inlineStr">
        <is>
          <t>Heritance Aarah</t>
        </is>
      </c>
      <c r="C613" t="inlineStr">
        <is>
          <t>dining_menu</t>
        </is>
      </c>
      <c r="D613" t="inlineStr">
        <is>
          <t>2024_HK-Vegetarian-Food-Menu.pdf</t>
        </is>
      </c>
      <c r="E613" t="n">
        <v>2024</v>
      </c>
      <c r="H613" t="n">
        <v>1</v>
      </c>
      <c r="I613" t="n">
        <v>2194</v>
      </c>
      <c r="J613" t="inlineStr">
        <is>
          <t>Y</t>
        </is>
      </c>
      <c r="K613" t="inlineStr">
        <is>
          <t>heritancehotels.com</t>
        </is>
      </c>
      <c r="L613" t="inlineStr">
        <is>
          <t>official</t>
        </is>
      </c>
      <c r="M613" t="inlineStr">
        <is>
          <t>https://heritancehotels.eme-devops.com/2025/02/HK-Vegetarian-Food-Menu.pdf</t>
        </is>
      </c>
      <c r="N613" t="inlineStr">
        <is>
          <t>https://heritancehotels.eme-devops.com/2025/02/HK-Vegetarian-Food-Menu.pdf</t>
        </is>
      </c>
      <c r="O613" t="inlineStr">
        <is>
          <t>04e879988ff897a8a1c0407603005fad18983aa47172f77cf7fd94a9c7e7ac35</t>
        </is>
      </c>
      <c r="P613" t="inlineStr">
        <is>
          <t>library/035_heritance-aarah/dining_menu/2024_HK-Vegetarian-Food-Menu.pdf</t>
        </is>
      </c>
      <c r="R613" t="inlineStr">
        <is>
          <t>outdated</t>
        </is>
      </c>
      <c r="S613" t="inlineStr">
        <is>
          <t>N</t>
        </is>
      </c>
      <c r="T613" t="inlineStr">
        <is>
          <t>needs-review</t>
        </is>
      </c>
      <c r="U613" t="inlineStr">
        <is>
          <t>2026-10-04</t>
        </is>
      </c>
      <c r="V613" t="inlineStr">
        <is>
          <t>ambiguous match [35]</t>
        </is>
      </c>
    </row>
    <row r="614">
      <c r="A614" t="n">
        <v>35</v>
      </c>
      <c r="B614" t="inlineStr">
        <is>
          <t>Heritance Aarah</t>
        </is>
      </c>
      <c r="C614" t="inlineStr">
        <is>
          <t>dining_menu</t>
        </is>
      </c>
      <c r="D614" t="inlineStr">
        <is>
          <t>2024_HK-Pan-Asian-Menu.pdf</t>
        </is>
      </c>
      <c r="E614" t="n">
        <v>2024</v>
      </c>
      <c r="H614" t="n">
        <v>4</v>
      </c>
      <c r="I614" t="n">
        <v>4996</v>
      </c>
      <c r="J614" t="inlineStr">
        <is>
          <t>Y</t>
        </is>
      </c>
      <c r="K614" t="inlineStr">
        <is>
          <t>heritancehotels.com</t>
        </is>
      </c>
      <c r="L614" t="inlineStr">
        <is>
          <t>official</t>
        </is>
      </c>
      <c r="M614" t="inlineStr">
        <is>
          <t>https://heritancehotels.eme-devops.com/2025/02/HK-Pan-Asian-Menu.pdf</t>
        </is>
      </c>
      <c r="N614" t="inlineStr">
        <is>
          <t>https://heritancehotels.eme-devops.com/2025/02/HK-Pan-Asian-Menu.pdf</t>
        </is>
      </c>
      <c r="O614" t="inlineStr">
        <is>
          <t>b938392d3877b368c4f6e877520f27ffba83652574447fa2d56d7e702c99fd51</t>
        </is>
      </c>
      <c r="P614" t="inlineStr">
        <is>
          <t>library/035_heritance-aarah/dining_menu/2024_HK-Pan-Asian-Menu.pdf</t>
        </is>
      </c>
      <c r="R614" t="inlineStr">
        <is>
          <t>outdated</t>
        </is>
      </c>
      <c r="S614" t="inlineStr">
        <is>
          <t>N</t>
        </is>
      </c>
      <c r="T614" t="inlineStr">
        <is>
          <t>needs-review</t>
        </is>
      </c>
      <c r="U614" t="inlineStr">
        <is>
          <t>2026-10-04</t>
        </is>
      </c>
      <c r="V614" t="inlineStr">
        <is>
          <t>ambiguous match [35]</t>
        </is>
      </c>
    </row>
    <row r="615">
      <c r="A615" t="n">
        <v>35</v>
      </c>
      <c r="B615" t="inlineStr">
        <is>
          <t>Heritance Aarah</t>
        </is>
      </c>
      <c r="C615" t="inlineStr">
        <is>
          <t>dining_menu</t>
        </is>
      </c>
      <c r="D615" t="inlineStr">
        <is>
          <t>2024_HK-A-La-Carte.pdf</t>
        </is>
      </c>
      <c r="E615" t="n">
        <v>2024</v>
      </c>
      <c r="H615" t="n">
        <v>4</v>
      </c>
      <c r="I615" t="n">
        <v>9667</v>
      </c>
      <c r="J615" t="inlineStr">
        <is>
          <t>Y</t>
        </is>
      </c>
      <c r="K615" t="inlineStr">
        <is>
          <t>heritancehotels.com</t>
        </is>
      </c>
      <c r="L615" t="inlineStr">
        <is>
          <t>official</t>
        </is>
      </c>
      <c r="M615" t="inlineStr">
        <is>
          <t>https://heritancehotels.eme-devops.com/2025/02/HK-A-La-Carte.pdf</t>
        </is>
      </c>
      <c r="N615" t="inlineStr">
        <is>
          <t>https://heritancehotels.eme-devops.com/2025/02/HK-A-La-Carte.pdf</t>
        </is>
      </c>
      <c r="O615" t="inlineStr">
        <is>
          <t>bff319206f5a72dc99a114f3cb471933acd6391f5e553872c649e552d07b0238</t>
        </is>
      </c>
      <c r="P615" t="inlineStr">
        <is>
          <t>library/035_heritance-aarah/dining_menu/2024_HK-A-La-Carte.pdf</t>
        </is>
      </c>
      <c r="R615" t="inlineStr">
        <is>
          <t>outdated</t>
        </is>
      </c>
      <c r="S615" t="inlineStr">
        <is>
          <t>N</t>
        </is>
      </c>
      <c r="T615" t="inlineStr">
        <is>
          <t>needs-review</t>
        </is>
      </c>
      <c r="U615" t="inlineStr">
        <is>
          <t>2026-10-04</t>
        </is>
      </c>
      <c r="V615" t="inlineStr">
        <is>
          <t>ambiguous match [35]</t>
        </is>
      </c>
    </row>
    <row r="616">
      <c r="A616" t="n">
        <v>35</v>
      </c>
      <c r="B616" t="inlineStr">
        <is>
          <t>Heritance Aarah</t>
        </is>
      </c>
      <c r="C616" t="inlineStr">
        <is>
          <t>dining_menu</t>
        </is>
      </c>
      <c r="D616" t="inlineStr">
        <is>
          <t>2024_Aarah-Ginifati-Kids-Menu-25.11.2024.pdf</t>
        </is>
      </c>
      <c r="E616" t="n">
        <v>2024</v>
      </c>
      <c r="H616" t="n">
        <v>1</v>
      </c>
      <c r="I616" t="n">
        <v>65</v>
      </c>
      <c r="J616" t="inlineStr">
        <is>
          <t>Y</t>
        </is>
      </c>
      <c r="K616" t="inlineStr">
        <is>
          <t>heritancehotels.com</t>
        </is>
      </c>
      <c r="L616" t="inlineStr">
        <is>
          <t>official</t>
        </is>
      </c>
      <c r="M616" t="inlineStr">
        <is>
          <t>https://heritancehotels.eme-devops.com/2025/02/Aarah-Ginifati-Kids-Menu-25.11.2024.pdf</t>
        </is>
      </c>
      <c r="N616" t="inlineStr">
        <is>
          <t>https://heritancehotels.eme-devops.com/2025/02/Aarah-Ginifati-Kids-Menu-25.11.2024.pdf</t>
        </is>
      </c>
      <c r="O616" t="inlineStr">
        <is>
          <t>ae5bdfa477861a70711d2959c65e6bb747b3d4d162ff802b9be66a06a5117707</t>
        </is>
      </c>
      <c r="P616" t="inlineStr">
        <is>
          <t>library/035_heritance-aarah/dining_menu/2024_Aarah-Ginifati-Kids-Menu-25.11.2024.pdf</t>
        </is>
      </c>
      <c r="R616" t="inlineStr">
        <is>
          <t>outdated</t>
        </is>
      </c>
      <c r="S616" t="inlineStr">
        <is>
          <t>N</t>
        </is>
      </c>
      <c r="T616" t="inlineStr">
        <is>
          <t>matched</t>
        </is>
      </c>
      <c r="U616" t="inlineStr">
        <is>
          <t>2026-10-04</t>
        </is>
      </c>
      <c r="V616" t="inlineStr"/>
    </row>
    <row r="617">
      <c r="A617" t="n">
        <v>35</v>
      </c>
      <c r="B617" t="inlineStr">
        <is>
          <t>Heritance Aarah</t>
        </is>
      </c>
      <c r="C617" t="inlineStr">
        <is>
          <t>dining_menu</t>
        </is>
      </c>
      <c r="D617" t="inlineStr">
        <is>
          <t>2024_Aarah-Kids-Menu-25.11.2024.pdf</t>
        </is>
      </c>
      <c r="E617" t="n">
        <v>2024</v>
      </c>
      <c r="H617" t="n">
        <v>1</v>
      </c>
      <c r="I617" t="n">
        <v>67</v>
      </c>
      <c r="J617" t="inlineStr">
        <is>
          <t>Y</t>
        </is>
      </c>
      <c r="K617" t="inlineStr">
        <is>
          <t>heritancehotels.com</t>
        </is>
      </c>
      <c r="L617" t="inlineStr">
        <is>
          <t>official</t>
        </is>
      </c>
      <c r="M617" t="inlineStr">
        <is>
          <t>https://heritancehotels.eme-devops.com/2025/02/Aarah-Kids-Menu-25.11.2024.pdf</t>
        </is>
      </c>
      <c r="N617" t="inlineStr">
        <is>
          <t>https://heritancehotels.eme-devops.com/2025/02/Aarah-Kids-Menu-25.11.2024.pdf</t>
        </is>
      </c>
      <c r="O617" t="inlineStr">
        <is>
          <t>aff3c496e233372d659ab169569cb0babc18f9789a9f69438a27e1802db2a84a</t>
        </is>
      </c>
      <c r="P617" t="inlineStr">
        <is>
          <t>library/035_heritance-aarah/dining_menu/2024_Aarah-Kids-Menu-25.11.2024.pdf</t>
        </is>
      </c>
      <c r="R617" t="inlineStr">
        <is>
          <t>outdated</t>
        </is>
      </c>
      <c r="S617" t="inlineStr">
        <is>
          <t>N</t>
        </is>
      </c>
      <c r="T617" t="inlineStr">
        <is>
          <t>matched</t>
        </is>
      </c>
      <c r="U617" t="inlineStr">
        <is>
          <t>2026-10-04</t>
        </is>
      </c>
      <c r="V617" t="inlineStr"/>
    </row>
    <row r="618">
      <c r="A618" t="n">
        <v>35</v>
      </c>
      <c r="B618" t="inlineStr">
        <is>
          <t>Heritance Aarah</t>
        </is>
      </c>
      <c r="C618" t="inlineStr">
        <is>
          <t>dining_menu</t>
        </is>
      </c>
      <c r="D618" t="inlineStr">
        <is>
          <t>2023_WINE-MENU-UPDATED-Feb.-2023.pdf</t>
        </is>
      </c>
      <c r="E618" t="n">
        <v>2023</v>
      </c>
      <c r="H618" t="n">
        <v>2</v>
      </c>
      <c r="I618" t="n">
        <v>101</v>
      </c>
      <c r="J618" t="inlineStr">
        <is>
          <t>Y</t>
        </is>
      </c>
      <c r="K618" t="inlineStr">
        <is>
          <t>heritancehotels.com</t>
        </is>
      </c>
      <c r="L618" t="inlineStr">
        <is>
          <t>official</t>
        </is>
      </c>
      <c r="M618" t="inlineStr">
        <is>
          <t>https://heritancehotels.eme-devops.com/2025/02/WINE-MENU-UPDATED-Feb.-2023.pdf</t>
        </is>
      </c>
      <c r="N618" t="inlineStr">
        <is>
          <t>https://heritancehotels.eme-devops.com/2025/02/WINE-MENU-UPDATED-Feb.-2023.pdf</t>
        </is>
      </c>
      <c r="O618" t="inlineStr">
        <is>
          <t>09efba928a1332e477ea542ce7927a2a1c6f7d08e981774dec5bcfe636355c03</t>
        </is>
      </c>
      <c r="P618" t="inlineStr">
        <is>
          <t>library/035_heritance-aarah/dining_menu/2023_WINE-MENU-UPDATED-Feb.-2023.pdf</t>
        </is>
      </c>
      <c r="R618" t="inlineStr">
        <is>
          <t>outdated</t>
        </is>
      </c>
      <c r="S618" t="inlineStr">
        <is>
          <t>N</t>
        </is>
      </c>
      <c r="T618" t="inlineStr">
        <is>
          <t>needs-review</t>
        </is>
      </c>
      <c r="U618" t="inlineStr">
        <is>
          <t>2026-10-04</t>
        </is>
      </c>
      <c r="V618" t="inlineStr">
        <is>
          <t>ambiguous match [35]</t>
        </is>
      </c>
    </row>
    <row r="619">
      <c r="A619" t="n">
        <v>35</v>
      </c>
      <c r="B619" t="inlineStr">
        <is>
          <t>Heritance Aarah</t>
        </is>
      </c>
      <c r="C619" t="inlineStr">
        <is>
          <t>dining_menu</t>
        </is>
      </c>
      <c r="D619" t="inlineStr">
        <is>
          <t>2023_In-Room-Dining-Menu-updated-Feb.-2023.pdf</t>
        </is>
      </c>
      <c r="E619" t="n">
        <v>2023</v>
      </c>
      <c r="H619" t="n">
        <v>2</v>
      </c>
      <c r="I619" t="n">
        <v>239</v>
      </c>
      <c r="J619" t="inlineStr">
        <is>
          <t>Y</t>
        </is>
      </c>
      <c r="K619" t="inlineStr">
        <is>
          <t>heritancehotels.com</t>
        </is>
      </c>
      <c r="L619" t="inlineStr">
        <is>
          <t>official</t>
        </is>
      </c>
      <c r="M619" t="inlineStr">
        <is>
          <t>https://heritancehotels.eme-devops.com/2025/02/In-Room-Dining-Menu-updated-Feb.-2023.pdf</t>
        </is>
      </c>
      <c r="N619" t="inlineStr">
        <is>
          <t>https://heritancehotels.eme-devops.com/2025/02/In-Room-Dining-Menu-updated-Feb.-2023.pdf</t>
        </is>
      </c>
      <c r="O619" t="inlineStr">
        <is>
          <t>69c1999f7e66d2b38f657224732ea04fed9302dc7f29c38c649f6096957ed95d</t>
        </is>
      </c>
      <c r="P619" t="inlineStr">
        <is>
          <t>library/035_heritance-aarah/dining_menu/2023_In-Room-Dining-Menu-updated-Feb.-2023.pdf</t>
        </is>
      </c>
      <c r="R619" t="inlineStr">
        <is>
          <t>outdated</t>
        </is>
      </c>
      <c r="S619" t="inlineStr">
        <is>
          <t>N</t>
        </is>
      </c>
      <c r="T619" t="inlineStr">
        <is>
          <t>needs-review</t>
        </is>
      </c>
      <c r="U619" t="inlineStr">
        <is>
          <t>2026-10-04</t>
        </is>
      </c>
      <c r="V619" t="inlineStr">
        <is>
          <t>ambiguous match [35]</t>
        </is>
      </c>
    </row>
    <row r="620">
      <c r="A620" t="n">
        <v>35</v>
      </c>
      <c r="B620" t="inlineStr">
        <is>
          <t>Heritance Aarah</t>
        </is>
      </c>
      <c r="C620" t="inlineStr">
        <is>
          <t>dining_menu</t>
        </is>
      </c>
      <c r="D620" t="inlineStr">
        <is>
          <t>2023_ALA-CARTE-updated-Feb-2023.pdf</t>
        </is>
      </c>
      <c r="E620" t="n">
        <v>2023</v>
      </c>
      <c r="H620" t="n">
        <v>4</v>
      </c>
      <c r="I620" t="n">
        <v>470</v>
      </c>
      <c r="J620" t="inlineStr">
        <is>
          <t>Y</t>
        </is>
      </c>
      <c r="K620" t="inlineStr">
        <is>
          <t>heritancehotels.com</t>
        </is>
      </c>
      <c r="L620" t="inlineStr">
        <is>
          <t>official</t>
        </is>
      </c>
      <c r="M620" t="inlineStr">
        <is>
          <t>https://heritancehotels.eme-devops.com/2025/02/ALA-CARTE-updated-Feb-2023.pdf</t>
        </is>
      </c>
      <c r="N620" t="inlineStr">
        <is>
          <t>https://heritancehotels.eme-devops.com/2025/02/ALA-CARTE-updated-Feb-2023.pdf</t>
        </is>
      </c>
      <c r="O620" t="inlineStr">
        <is>
          <t>71379e668cd85a93e388c8847c730cd684288275c1182ba3c35748b855b7f728</t>
        </is>
      </c>
      <c r="P620" t="inlineStr">
        <is>
          <t>library/035_heritance-aarah/dining_menu/2023_ALA-CARTE-updated-Feb-2023.pdf</t>
        </is>
      </c>
      <c r="R620" t="inlineStr">
        <is>
          <t>outdated</t>
        </is>
      </c>
      <c r="S620" t="inlineStr">
        <is>
          <t>N</t>
        </is>
      </c>
      <c r="T620" t="inlineStr">
        <is>
          <t>needs-review</t>
        </is>
      </c>
      <c r="U620" t="inlineStr">
        <is>
          <t>2026-10-04</t>
        </is>
      </c>
      <c r="V620" t="inlineStr">
        <is>
          <t>ambiguous match [35]</t>
        </is>
      </c>
    </row>
    <row r="621">
      <c r="A621" t="n">
        <v>35</v>
      </c>
      <c r="B621" t="inlineStr">
        <is>
          <t>Heritance Aarah</t>
        </is>
      </c>
      <c r="C621" t="inlineStr">
        <is>
          <t>dining_menu</t>
        </is>
      </c>
      <c r="D621" t="inlineStr">
        <is>
          <t>2023_Snack-menu-updated-Feb.-2023.pdf</t>
        </is>
      </c>
      <c r="E621" t="n">
        <v>2023</v>
      </c>
      <c r="H621" t="n">
        <v>1</v>
      </c>
      <c r="I621" t="n">
        <v>212</v>
      </c>
      <c r="J621" t="inlineStr">
        <is>
          <t>Y</t>
        </is>
      </c>
      <c r="K621" t="inlineStr">
        <is>
          <t>heritancehotels.com</t>
        </is>
      </c>
      <c r="L621" t="inlineStr">
        <is>
          <t>official</t>
        </is>
      </c>
      <c r="M621" t="inlineStr">
        <is>
          <t>https://heritancehotels.eme-devops.com/2025/02/Snack-menu-updated-Feb.-2023.pdf</t>
        </is>
      </c>
      <c r="N621" t="inlineStr">
        <is>
          <t>https://heritancehotels.eme-devops.com/2025/02/Snack-menu-updated-Feb.-2023.pdf</t>
        </is>
      </c>
      <c r="O621" t="inlineStr">
        <is>
          <t>cc5ce47c942b98443bb6c6d3aa67a5fce4ebb2a92db48577a78ebf4cfe828994</t>
        </is>
      </c>
      <c r="P621" t="inlineStr">
        <is>
          <t>library/035_heritance-aarah/dining_menu/2023_Snack-menu-updated-Feb.-2023.pdf</t>
        </is>
      </c>
      <c r="R621" t="inlineStr">
        <is>
          <t>outdated</t>
        </is>
      </c>
      <c r="S621" t="inlineStr">
        <is>
          <t>N</t>
        </is>
      </c>
      <c r="T621" t="inlineStr">
        <is>
          <t>needs-review</t>
        </is>
      </c>
      <c r="U621" t="inlineStr">
        <is>
          <t>2026-10-04</t>
        </is>
      </c>
      <c r="V621" t="inlineStr">
        <is>
          <t>ambiguous match [35]</t>
        </is>
      </c>
    </row>
    <row r="622">
      <c r="A622" t="n">
        <v>35</v>
      </c>
      <c r="B622" t="inlineStr">
        <is>
          <t>Heritance Aarah</t>
        </is>
      </c>
      <c r="C622" t="inlineStr">
        <is>
          <t>dining_menu</t>
        </is>
      </c>
      <c r="D622" t="inlineStr">
        <is>
          <t>2023_BEVERAGE-MENU-updated-Feb.-2023.pdf</t>
        </is>
      </c>
      <c r="E622" t="n">
        <v>2023</v>
      </c>
      <c r="H622" t="n">
        <v>6</v>
      </c>
      <c r="I622" t="n">
        <v>974</v>
      </c>
      <c r="J622" t="inlineStr">
        <is>
          <t>Y</t>
        </is>
      </c>
      <c r="K622" t="inlineStr">
        <is>
          <t>heritancehotels.com</t>
        </is>
      </c>
      <c r="L622" t="inlineStr">
        <is>
          <t>official</t>
        </is>
      </c>
      <c r="M622" t="inlineStr">
        <is>
          <t>https://heritancehotels.eme-devops.com/2025/02/BEVERAGE-MENU-updated-Feb.-2023.pdf</t>
        </is>
      </c>
      <c r="N622" t="inlineStr">
        <is>
          <t>https://heritancehotels.eme-devops.com/2025/02/BEVERAGE-MENU-updated-Feb.-2023.pdf</t>
        </is>
      </c>
      <c r="O622" t="inlineStr">
        <is>
          <t>c316e74a4a4b8ba21564ec71975eeb3a96fb90bb670b46d8e18e66e35eb0afda</t>
        </is>
      </c>
      <c r="P622" t="inlineStr">
        <is>
          <t>library/035_heritance-aarah/dining_menu/2023_BEVERAGE-MENU-updated-Feb.-2023.pdf</t>
        </is>
      </c>
      <c r="R622" t="inlineStr">
        <is>
          <t>outdated</t>
        </is>
      </c>
      <c r="S622" t="inlineStr">
        <is>
          <t>N</t>
        </is>
      </c>
      <c r="T622" t="inlineStr">
        <is>
          <t>needs-review</t>
        </is>
      </c>
      <c r="U622" t="inlineStr">
        <is>
          <t>2026-10-04</t>
        </is>
      </c>
      <c r="V622" t="inlineStr">
        <is>
          <t>ambiguous match [35]</t>
        </is>
      </c>
    </row>
    <row r="623">
      <c r="A623" t="n">
        <v>35</v>
      </c>
      <c r="B623" t="inlineStr">
        <is>
          <t>Heritance Aarah</t>
        </is>
      </c>
      <c r="C623" t="inlineStr">
        <is>
          <t>dining_menu</t>
        </is>
      </c>
      <c r="D623" t="inlineStr">
        <is>
          <t>2023_Aarah-Bandhi-Pool-Bar-Pizza-Snack-Menu-04.12.2023.pdf</t>
        </is>
      </c>
      <c r="E623" t="n">
        <v>2023</v>
      </c>
      <c r="H623" t="n">
        <v>1</v>
      </c>
      <c r="I623" t="n">
        <v>109</v>
      </c>
      <c r="J623" t="inlineStr">
        <is>
          <t>Y</t>
        </is>
      </c>
      <c r="K623" t="inlineStr">
        <is>
          <t>heritancehotels.com</t>
        </is>
      </c>
      <c r="L623" t="inlineStr">
        <is>
          <t>official</t>
        </is>
      </c>
      <c r="M623" t="inlineStr">
        <is>
          <t>https://heritancehotels.eme-devops.com/2025/02/Aarah-Bandhi-Pool-Bar-Pizza-Snack-Menu-04.12.2023.pdf</t>
        </is>
      </c>
      <c r="N623" t="inlineStr">
        <is>
          <t>https://heritancehotels.eme-devops.com/2025/02/Aarah-Bandhi-Pool-Bar-Pizza-Snack-Menu-04.12.2023.pdf</t>
        </is>
      </c>
      <c r="O623" t="inlineStr">
        <is>
          <t>672f092bf91bdb6eab379f13f67e307676221593fcd3485a64a493d394db2de9</t>
        </is>
      </c>
      <c r="P623" t="inlineStr">
        <is>
          <t>library/035_heritance-aarah/dining_menu/2023_Aarah-Bandhi-Pool-Bar-Pizza-Snack-Menu-04.12.2023.pdf</t>
        </is>
      </c>
      <c r="R623" t="inlineStr">
        <is>
          <t>outdated</t>
        </is>
      </c>
      <c r="S623" t="inlineStr">
        <is>
          <t>N</t>
        </is>
      </c>
      <c r="T623" t="inlineStr">
        <is>
          <t>matched</t>
        </is>
      </c>
      <c r="U623" t="inlineStr">
        <is>
          <t>2026-10-04</t>
        </is>
      </c>
      <c r="V623" t="inlineStr"/>
    </row>
    <row r="624">
      <c r="A624" t="n">
        <v>35</v>
      </c>
      <c r="B624" t="inlineStr">
        <is>
          <t>Heritance Aarah</t>
        </is>
      </c>
      <c r="C624" t="inlineStr">
        <is>
          <t>dining_menu</t>
        </is>
      </c>
      <c r="D624" t="inlineStr">
        <is>
          <t>2020_All-Inclusive-Wines.pdf</t>
        </is>
      </c>
      <c r="E624" t="n">
        <v>2020</v>
      </c>
      <c r="H624" t="n">
        <v>5</v>
      </c>
      <c r="I624" t="n">
        <v>244</v>
      </c>
      <c r="J624" t="inlineStr">
        <is>
          <t>Y</t>
        </is>
      </c>
      <c r="K624" t="inlineStr">
        <is>
          <t>heritancehotels.com</t>
        </is>
      </c>
      <c r="L624" t="inlineStr">
        <is>
          <t>official</t>
        </is>
      </c>
      <c r="M624" t="inlineStr">
        <is>
          <t>https://heritancehotels.eme-devops.com/2025/02/All-Inclusive-Wines.pdf</t>
        </is>
      </c>
      <c r="N624" t="inlineStr">
        <is>
          <t>https://heritancehotels.eme-devops.com/2025/02/All-Inclusive-Wines.pdf</t>
        </is>
      </c>
      <c r="O624" t="inlineStr">
        <is>
          <t>efcd7fcfe1d6c04c9ab4305b9663d8587d6eb0161fcd0582daf93a52d9ce7d7f</t>
        </is>
      </c>
      <c r="P624" t="inlineStr">
        <is>
          <t>library/035_heritance-aarah/dining_menu/2020_All-Inclusive-Wines.pdf</t>
        </is>
      </c>
      <c r="R624" t="inlineStr">
        <is>
          <t>outdated</t>
        </is>
      </c>
      <c r="S624" t="inlineStr">
        <is>
          <t>N</t>
        </is>
      </c>
      <c r="T624" t="inlineStr">
        <is>
          <t>matched</t>
        </is>
      </c>
      <c r="U624" t="inlineStr">
        <is>
          <t>2026-10-04</t>
        </is>
      </c>
      <c r="V624" t="inlineStr"/>
    </row>
    <row r="625">
      <c r="A625" t="n">
        <v>35</v>
      </c>
      <c r="B625" t="inlineStr">
        <is>
          <t>Heritance Aarah</t>
        </is>
      </c>
      <c r="C625" t="inlineStr">
        <is>
          <t>dining_menu</t>
        </is>
      </c>
      <c r="D625" t="inlineStr">
        <is>
          <t>2020_All-Inclusive-Easy-Drinks-.pdf</t>
        </is>
      </c>
      <c r="E625" t="n">
        <v>2020</v>
      </c>
      <c r="H625" t="n">
        <v>6</v>
      </c>
      <c r="I625" t="n">
        <v>277</v>
      </c>
      <c r="J625" t="inlineStr">
        <is>
          <t>Y</t>
        </is>
      </c>
      <c r="K625" t="inlineStr">
        <is>
          <t>heritancehotels.com</t>
        </is>
      </c>
      <c r="L625" t="inlineStr">
        <is>
          <t>official</t>
        </is>
      </c>
      <c r="M625" t="inlineStr">
        <is>
          <t>https://heritancehotels.eme-devops.com/2025/02/All-Inclusive-Easy-Drinks-.pdf</t>
        </is>
      </c>
      <c r="N625" t="inlineStr">
        <is>
          <t>https://heritancehotels.eme-devops.com/2025/02/All-Inclusive-Easy-Drinks-.pdf</t>
        </is>
      </c>
      <c r="O625" t="inlineStr">
        <is>
          <t>072ed0a21ba3da3a0018b267210c1741a56ab53bbe8017ea25afa9ad0f5c9793</t>
        </is>
      </c>
      <c r="P625" t="inlineStr">
        <is>
          <t>library/035_heritance-aarah/dining_menu/2020_All-Inclusive-Easy-Drinks-.pdf</t>
        </is>
      </c>
      <c r="R625" t="inlineStr">
        <is>
          <t>outdated</t>
        </is>
      </c>
      <c r="S625" t="inlineStr">
        <is>
          <t>N</t>
        </is>
      </c>
      <c r="T625" t="inlineStr">
        <is>
          <t>needs-review</t>
        </is>
      </c>
      <c r="U625" t="inlineStr">
        <is>
          <t>2026-10-04</t>
        </is>
      </c>
      <c r="V625" t="inlineStr">
        <is>
          <t>ambiguous match [35]</t>
        </is>
      </c>
    </row>
    <row r="626">
      <c r="A626" t="n">
        <v>35</v>
      </c>
      <c r="B626" t="inlineStr">
        <is>
          <t>Heritance Aarah</t>
        </is>
      </c>
      <c r="C626" t="inlineStr">
        <is>
          <t>dive_prices</t>
        </is>
      </c>
      <c r="D626" t="inlineStr">
        <is>
          <t>2025_Kaito-Water-Sports-Brochure_compressed.pdf</t>
        </is>
      </c>
      <c r="E626" t="n">
        <v>2025</v>
      </c>
      <c r="H626" t="n">
        <v>2</v>
      </c>
      <c r="I626" t="n">
        <v>7283</v>
      </c>
      <c r="J626" t="inlineStr">
        <is>
          <t>Y</t>
        </is>
      </c>
      <c r="K626" t="inlineStr">
        <is>
          <t>heritancehotels.com</t>
        </is>
      </c>
      <c r="L626" t="inlineStr">
        <is>
          <t>official</t>
        </is>
      </c>
      <c r="M626" t="inlineStr">
        <is>
          <t>https://heritancehotels.eme-devops.com/sites/2/2026/03/Kaito-Water-Sports-Brochure_compressed.pdf</t>
        </is>
      </c>
      <c r="N626" t="inlineStr">
        <is>
          <t>https://heritancehotels.eme-devops.com/sites/2/2026/03/Kaito-Water-Sports-Brochure_compressed.pdf | https://www.heritancehotels.com/aarah/view-menus/?id=watersport-menu</t>
        </is>
      </c>
      <c r="O626" t="inlineStr">
        <is>
          <t>40fe5c50ca6f8029cba8da052bbf36d54709e3d7be04a3753f580e5bb63f49ce</t>
        </is>
      </c>
      <c r="P626" t="inlineStr">
        <is>
          <t>library/035_heritance-aarah/dive_prices/2025_Kaito-Water-Sports-Brochure_compressed.pdf</t>
        </is>
      </c>
      <c r="R626" t="inlineStr">
        <is>
          <t>current</t>
        </is>
      </c>
      <c r="S626" t="inlineStr">
        <is>
          <t>Y</t>
        </is>
      </c>
      <c r="T626" t="inlineStr">
        <is>
          <t>needs-review</t>
        </is>
      </c>
      <c r="U626" t="inlineStr">
        <is>
          <t>2026-10-04</t>
        </is>
      </c>
      <c r="V626" t="inlineStr">
        <is>
          <t>ambiguous match [35]</t>
        </is>
      </c>
    </row>
    <row r="627">
      <c r="A627" t="n">
        <v>35</v>
      </c>
      <c r="B627" t="inlineStr">
        <is>
          <t>Heritance Aarah</t>
        </is>
      </c>
      <c r="C627" t="inlineStr">
        <is>
          <t>dive_prices</t>
        </is>
      </c>
      <c r="D627" t="inlineStr">
        <is>
          <t>2025_Kaito-Dive-Brochure_compressed.pdf</t>
        </is>
      </c>
      <c r="E627" t="n">
        <v>2025</v>
      </c>
      <c r="H627" t="n">
        <v>2</v>
      </c>
      <c r="I627" t="n">
        <v>6728</v>
      </c>
      <c r="J627" t="inlineStr">
        <is>
          <t>Y</t>
        </is>
      </c>
      <c r="K627" t="inlineStr">
        <is>
          <t>heritancehotels.com</t>
        </is>
      </c>
      <c r="L627" t="inlineStr">
        <is>
          <t>official</t>
        </is>
      </c>
      <c r="M627" t="inlineStr">
        <is>
          <t>https://heritancehotels.eme-devops.com/sites/2/2026/03/Kaito-Dive-Brochure_compressed.pdf</t>
        </is>
      </c>
      <c r="N627" t="inlineStr">
        <is>
          <t>https://heritancehotels.eme-devops.com/sites/2/2026/03/Kaito-Dive-Brochure_compressed.pdf</t>
        </is>
      </c>
      <c r="O627" t="inlineStr">
        <is>
          <t>3de72a321921ef635159e4c6c65535e30937e3bc3640de5c8074f1279baef17e</t>
        </is>
      </c>
      <c r="P627" t="inlineStr">
        <is>
          <t>library/035_heritance-aarah/dive_prices/2025_Kaito-Dive-Brochure_compressed.pdf</t>
        </is>
      </c>
      <c r="R627" t="inlineStr">
        <is>
          <t>current</t>
        </is>
      </c>
      <c r="S627" t="inlineStr">
        <is>
          <t>N</t>
        </is>
      </c>
      <c r="T627" t="inlineStr">
        <is>
          <t>matched</t>
        </is>
      </c>
      <c r="U627" t="inlineStr">
        <is>
          <t>2026-10-04</t>
        </is>
      </c>
      <c r="V627" t="inlineStr"/>
    </row>
    <row r="628">
      <c r="A628" t="n">
        <v>35</v>
      </c>
      <c r="B628" t="inlineStr">
        <is>
          <t>Heritance Aarah</t>
        </is>
      </c>
      <c r="C628" t="inlineStr">
        <is>
          <t>dive_prices</t>
        </is>
      </c>
      <c r="D628" t="inlineStr">
        <is>
          <t>2023_Heritance-Hotels-Labour_Nondiscrimination-Policy-V2.pdf</t>
        </is>
      </c>
      <c r="E628" t="n">
        <v>2023</v>
      </c>
      <c r="H628" t="n">
        <v>2</v>
      </c>
      <c r="I628" t="n">
        <v>122</v>
      </c>
      <c r="J628" t="inlineStr">
        <is>
          <t>Y</t>
        </is>
      </c>
      <c r="K628" t="inlineStr">
        <is>
          <t>heritancehotels.com</t>
        </is>
      </c>
      <c r="L628" t="inlineStr">
        <is>
          <t>official</t>
        </is>
      </c>
      <c r="M628" t="inlineStr">
        <is>
          <t>https://heritancehotels.eme-devops.com/2025/01/Heritance-Hotels-Labour_Nondiscrimination-Policy-V2.pdf</t>
        </is>
      </c>
      <c r="N628" t="inlineStr">
        <is>
          <t>https://heritancehotels.eme-devops.com/2025/01/Heritance-Hotels-Labour_Nondiscrimination-Policy-V2.pdf</t>
        </is>
      </c>
      <c r="O628" t="inlineStr">
        <is>
          <t>bfdaab863dfeefabacbd8608ad2a75800672b400dc19858875503f965aaa2295</t>
        </is>
      </c>
      <c r="P628" t="inlineStr">
        <is>
          <t>library/035_heritance-aarah/dive_prices/2023_Heritance-Hotels-Labour_Nondiscrimination-Policy-V2.pdf</t>
        </is>
      </c>
      <c r="R628" t="inlineStr">
        <is>
          <t>outdated</t>
        </is>
      </c>
      <c r="S628" t="inlineStr">
        <is>
          <t>N</t>
        </is>
      </c>
      <c r="T628" t="inlineStr">
        <is>
          <t>needs-review</t>
        </is>
      </c>
      <c r="U628" t="inlineStr">
        <is>
          <t>2026-10-04</t>
        </is>
      </c>
      <c r="V628" t="inlineStr">
        <is>
          <t>ambiguous match [35]</t>
        </is>
      </c>
    </row>
    <row r="629">
      <c r="A629" t="n">
        <v>35</v>
      </c>
      <c r="B629" t="inlineStr">
        <is>
          <t>Heritance Aarah</t>
        </is>
      </c>
      <c r="C629" t="inlineStr">
        <is>
          <t>excursions</t>
        </is>
      </c>
      <c r="D629" t="inlineStr">
        <is>
          <t>2026_Excursion-Brochure_HAR.pdf</t>
        </is>
      </c>
      <c r="E629" t="n">
        <v>2026</v>
      </c>
      <c r="H629" t="n">
        <v>11</v>
      </c>
      <c r="I629" t="n">
        <v>4244</v>
      </c>
      <c r="J629" t="inlineStr">
        <is>
          <t>Y</t>
        </is>
      </c>
      <c r="K629" t="inlineStr">
        <is>
          <t>heritancehotels.com</t>
        </is>
      </c>
      <c r="L629" t="inlineStr">
        <is>
          <t>official</t>
        </is>
      </c>
      <c r="M629" t="inlineStr">
        <is>
          <t>https://heritancehotels.eme-devops.com/sites/2/2026/04/Excursion-Brochure_HAR.pdf</t>
        </is>
      </c>
      <c r="N629" t="inlineStr">
        <is>
          <t>https://heritancehotels.eme-devops.com/sites/2/2026/04/Excursion-Brochure_HAR.pdf</t>
        </is>
      </c>
      <c r="O629" t="inlineStr">
        <is>
          <t>4902889fd662c13c08ccc356b10e3b12008c2a5157b53681c0c6ab81a6525c5d</t>
        </is>
      </c>
      <c r="P629" t="inlineStr">
        <is>
          <t>library/035_heritance-aarah/excursions/2026_Excursion-Brochure_HAR.pdf</t>
        </is>
      </c>
      <c r="R629" t="inlineStr">
        <is>
          <t>current</t>
        </is>
      </c>
      <c r="S629" t="inlineStr">
        <is>
          <t>Y</t>
        </is>
      </c>
      <c r="T629" t="inlineStr">
        <is>
          <t>matched</t>
        </is>
      </c>
      <c r="U629" t="inlineStr">
        <is>
          <t>2026-10-04</t>
        </is>
      </c>
      <c r="V629" t="inlineStr"/>
    </row>
    <row r="630">
      <c r="A630" t="n">
        <v>35</v>
      </c>
      <c r="B630" t="inlineStr">
        <is>
          <t>Heritance Aarah</t>
        </is>
      </c>
      <c r="C630" t="inlineStr">
        <is>
          <t>excursions</t>
        </is>
      </c>
      <c r="D630" t="inlineStr">
        <is>
          <t>2025_Heritance-Aarah-Zing-Swing-2025.06.25.pdf</t>
        </is>
      </c>
      <c r="E630" t="n">
        <v>2025</v>
      </c>
      <c r="H630" t="n">
        <v>1</v>
      </c>
      <c r="I630" t="n">
        <v>1512</v>
      </c>
      <c r="J630" t="inlineStr">
        <is>
          <t>Y</t>
        </is>
      </c>
      <c r="K630" t="inlineStr">
        <is>
          <t>heritancehotels.com</t>
        </is>
      </c>
      <c r="L630" t="inlineStr">
        <is>
          <t>official</t>
        </is>
      </c>
      <c r="M630" t="inlineStr">
        <is>
          <t>https://heritancehotels.eme-devops.com/sites/2/2025/06/Heritance-Aarah-Zing-Swing-2025.06.25.pdf</t>
        </is>
      </c>
      <c r="N630" t="inlineStr">
        <is>
          <t>https://heritancehotels.eme-devops.com/sites/2/2025/06/Heritance-Aarah-Zing-Swing-2025.06.25.pdf</t>
        </is>
      </c>
      <c r="O630" t="inlineStr">
        <is>
          <t>01897c3aa0cebbd144a972b5ab4886b086cb65236c3bb27795fd4bda82c8593c</t>
        </is>
      </c>
      <c r="P630" t="inlineStr">
        <is>
          <t>library/035_heritance-aarah/excursions/2025_Heritance-Aarah-Zing-Swing-2025.06.25.pdf</t>
        </is>
      </c>
      <c r="R630" t="inlineStr">
        <is>
          <t>current</t>
        </is>
      </c>
      <c r="S630" t="inlineStr">
        <is>
          <t>N</t>
        </is>
      </c>
      <c r="T630" t="inlineStr">
        <is>
          <t>matched</t>
        </is>
      </c>
      <c r="U630" t="inlineStr">
        <is>
          <t>2026-10-04</t>
        </is>
      </c>
      <c r="V630" t="inlineStr"/>
    </row>
    <row r="631">
      <c r="A631" t="n">
        <v>35</v>
      </c>
      <c r="B631" t="inlineStr">
        <is>
          <t>Heritance Aarah</t>
        </is>
      </c>
      <c r="C631" t="inlineStr">
        <is>
          <t>excursions</t>
        </is>
      </c>
      <c r="D631" t="inlineStr">
        <is>
          <t>2024_Excursion-List.pdf</t>
        </is>
      </c>
      <c r="E631" t="n">
        <v>2024</v>
      </c>
      <c r="H631" t="n">
        <v>2</v>
      </c>
      <c r="I631" t="n">
        <v>353</v>
      </c>
      <c r="J631" t="inlineStr">
        <is>
          <t>Y</t>
        </is>
      </c>
      <c r="K631" t="inlineStr">
        <is>
          <t>heritancehotels.com</t>
        </is>
      </c>
      <c r="L631" t="inlineStr">
        <is>
          <t>official</t>
        </is>
      </c>
      <c r="M631" t="inlineStr">
        <is>
          <t>https://heritancehotels.eme-devops.com/2025/02/Excursion-List.pdf</t>
        </is>
      </c>
      <c r="N631" t="inlineStr">
        <is>
          <t>https://heritancehotels.eme-devops.com/2025/02/Excursion-List.pdf</t>
        </is>
      </c>
      <c r="O631" t="inlineStr">
        <is>
          <t>826efb63dabc870db21512f45b6a35cc60e4f527719813b943d14146de876c8d</t>
        </is>
      </c>
      <c r="P631" t="inlineStr">
        <is>
          <t>library/035_heritance-aarah/excursions/2024_Excursion-List.pdf</t>
        </is>
      </c>
      <c r="R631" t="inlineStr">
        <is>
          <t>outdated</t>
        </is>
      </c>
      <c r="S631" t="inlineStr">
        <is>
          <t>N</t>
        </is>
      </c>
      <c r="T631" t="inlineStr">
        <is>
          <t>needs-review</t>
        </is>
      </c>
      <c r="U631" t="inlineStr">
        <is>
          <t>2026-10-04</t>
        </is>
      </c>
      <c r="V631" t="inlineStr">
        <is>
          <t>ambiguous match [35]</t>
        </is>
      </c>
    </row>
    <row r="632">
      <c r="A632" t="n">
        <v>35</v>
      </c>
      <c r="B632" t="inlineStr">
        <is>
          <t>Heritance Aarah</t>
        </is>
      </c>
      <c r="C632" t="inlineStr">
        <is>
          <t>excursions</t>
        </is>
      </c>
      <c r="D632" t="inlineStr">
        <is>
          <t>2024_HAR-Kokaa-Kids-Club-Weekly-Activity.pdf</t>
        </is>
      </c>
      <c r="E632" t="n">
        <v>2024</v>
      </c>
      <c r="H632" t="n">
        <v>1</v>
      </c>
      <c r="I632" t="n">
        <v>209</v>
      </c>
      <c r="J632" t="inlineStr">
        <is>
          <t>Y</t>
        </is>
      </c>
      <c r="K632" t="inlineStr">
        <is>
          <t>heritancehotels.com</t>
        </is>
      </c>
      <c r="L632" t="inlineStr">
        <is>
          <t>official</t>
        </is>
      </c>
      <c r="M632" t="inlineStr">
        <is>
          <t>https://heritancehotels.eme-devops.com/sites/2/2024/12/HAR-Kokaa-Kids-Club-Weekly-Activity.pdf</t>
        </is>
      </c>
      <c r="N632" t="inlineStr">
        <is>
          <t>https://heritancehotels.eme-devops.com/sites/2/2024/12/HAR-Kokaa-Kids-Club-Weekly-Activity.pdf</t>
        </is>
      </c>
      <c r="O632" t="inlineStr">
        <is>
          <t>56271cc19375f1da0a333bfcf9725bb61719d5ba5eece344016908cf4ddbf453</t>
        </is>
      </c>
      <c r="P632" t="inlineStr">
        <is>
          <t>library/035_heritance-aarah/excursions/2024_HAR-Kokaa-Kids-Club-Weekly-Activity.pdf</t>
        </is>
      </c>
      <c r="R632" t="inlineStr">
        <is>
          <t>outdated</t>
        </is>
      </c>
      <c r="S632" t="inlineStr">
        <is>
          <t>N</t>
        </is>
      </c>
      <c r="T632" t="inlineStr">
        <is>
          <t>needs-review</t>
        </is>
      </c>
      <c r="U632" t="inlineStr">
        <is>
          <t>2026-10-04</t>
        </is>
      </c>
      <c r="V632" t="inlineStr">
        <is>
          <t>ambiguous match [35]</t>
        </is>
      </c>
    </row>
    <row r="633">
      <c r="A633" t="n">
        <v>35</v>
      </c>
      <c r="B633" t="inlineStr">
        <is>
          <t>Heritance Aarah</t>
        </is>
      </c>
      <c r="C633" t="inlineStr">
        <is>
          <t>excursions</t>
        </is>
      </c>
      <c r="D633" t="inlineStr">
        <is>
          <t>2022_Aarah-Paradise-Unfolded-The-Heritance-Experience.pdf</t>
        </is>
      </c>
      <c r="E633" t="n">
        <v>2022</v>
      </c>
      <c r="H633" t="n">
        <v>11</v>
      </c>
      <c r="I633" t="n">
        <v>2208</v>
      </c>
      <c r="J633" t="inlineStr">
        <is>
          <t>N</t>
        </is>
      </c>
      <c r="K633" t="inlineStr">
        <is>
          <t>heritancehotels.com</t>
        </is>
      </c>
      <c r="L633" t="inlineStr">
        <is>
          <t>official</t>
        </is>
      </c>
      <c r="M633" t="inlineStr">
        <is>
          <t>https://heritancehotels.eme-devops.com/2025/03/Aarah-Paradise-Unfolded-The-Heritance-Experience.pdf</t>
        </is>
      </c>
      <c r="N633" t="inlineStr">
        <is>
          <t>https://heritancehotels.eme-devops.com/2025/03/Aarah-Paradise-Unfolded-The-Heritance-Experience.pdf</t>
        </is>
      </c>
      <c r="O633" t="inlineStr">
        <is>
          <t>fee62f08618572def9d7f7970e42570912dc3280d368f8a268e9caa24f5aad98</t>
        </is>
      </c>
      <c r="P633" t="inlineStr">
        <is>
          <t>library/035_heritance-aarah/excursions/2022_Aarah-Paradise-Unfolded-The-Heritance-Experience.pdf</t>
        </is>
      </c>
      <c r="R633" t="inlineStr">
        <is>
          <t>outdated</t>
        </is>
      </c>
      <c r="S633" t="inlineStr">
        <is>
          <t>N</t>
        </is>
      </c>
      <c r="T633" t="inlineStr">
        <is>
          <t>matched</t>
        </is>
      </c>
      <c r="U633" t="inlineStr">
        <is>
          <t>2026-10-04</t>
        </is>
      </c>
      <c r="V633" t="inlineStr"/>
    </row>
    <row r="634">
      <c r="A634" t="n">
        <v>35</v>
      </c>
      <c r="B634" t="inlineStr">
        <is>
          <t>Heritance Aarah</t>
        </is>
      </c>
      <c r="C634" t="inlineStr">
        <is>
          <t>kids</t>
        </is>
      </c>
      <c r="D634" t="inlineStr">
        <is>
          <t>2021_Aarah-Kids-Club-Baby-Sitting-Services.pdf</t>
        </is>
      </c>
      <c r="E634" t="n">
        <v>2021</v>
      </c>
      <c r="H634" t="n">
        <v>2</v>
      </c>
      <c r="I634" t="n">
        <v>256</v>
      </c>
      <c r="J634" t="inlineStr">
        <is>
          <t>Y</t>
        </is>
      </c>
      <c r="K634" t="inlineStr">
        <is>
          <t>heritancehotels.com</t>
        </is>
      </c>
      <c r="L634" t="inlineStr">
        <is>
          <t>official</t>
        </is>
      </c>
      <c r="M634" t="inlineStr">
        <is>
          <t>https://heritancehotels.eme-devops.com/2025/03/Aarah-Kids-Club-Baby-Sitting-Services.pdf</t>
        </is>
      </c>
      <c r="N634" t="inlineStr">
        <is>
          <t>https://heritancehotels.eme-devops.com/2025/03/Aarah-Kids-Club-Baby-Sitting-Services.pdf</t>
        </is>
      </c>
      <c r="O634" t="inlineStr">
        <is>
          <t>8493fe29faddf12c995ef5ac3e012ebaccd0ca515d397acdb65f2041f22935ac</t>
        </is>
      </c>
      <c r="P634" t="inlineStr">
        <is>
          <t>library/035_heritance-aarah/kids/2021_Aarah-Kids-Club-Baby-Sitting-Services.pdf</t>
        </is>
      </c>
      <c r="R634" t="inlineStr">
        <is>
          <t>outdated</t>
        </is>
      </c>
      <c r="S634" t="inlineStr">
        <is>
          <t>Y</t>
        </is>
      </c>
      <c r="T634" t="inlineStr">
        <is>
          <t>matched</t>
        </is>
      </c>
      <c r="U634" t="inlineStr">
        <is>
          <t>2026-10-04</t>
        </is>
      </c>
      <c r="V634" t="inlineStr"/>
    </row>
    <row r="635">
      <c r="A635" t="n">
        <v>35</v>
      </c>
      <c r="B635" t="inlineStr">
        <is>
          <t>Heritance Aarah</t>
        </is>
      </c>
      <c r="C635" t="inlineStr">
        <is>
          <t>kids</t>
        </is>
      </c>
      <c r="D635" t="inlineStr">
        <is>
          <t>2021_Koka-Kids-Club-Babysitting-Services-November-2021-onward.pdf</t>
        </is>
      </c>
      <c r="E635" t="n">
        <v>2021</v>
      </c>
      <c r="H635" t="n">
        <v>2</v>
      </c>
      <c r="I635" t="n">
        <v>256</v>
      </c>
      <c r="J635" t="inlineStr">
        <is>
          <t>Y</t>
        </is>
      </c>
      <c r="K635" t="inlineStr">
        <is>
          <t>heritancehotels.com</t>
        </is>
      </c>
      <c r="L635" t="inlineStr">
        <is>
          <t>official</t>
        </is>
      </c>
      <c r="M635" t="inlineStr">
        <is>
          <t>https://heritancehotels.eme-devops.com/sites/2/2024/12/Koka-Kids-Club-Babysitting-Services-November-2021-onward.pdf</t>
        </is>
      </c>
      <c r="N635" t="inlineStr">
        <is>
          <t>https://heritancehotels.eme-devops.com/sites/2/2024/12/Koka-Kids-Club-Babysitting-Services-November-2021-onward.pdf</t>
        </is>
      </c>
      <c r="O635" t="inlineStr">
        <is>
          <t>7672d317c7540056062e9dd97c6e78c29acb931b36ba22e8c5fd45a1b8fe5cfd</t>
        </is>
      </c>
      <c r="P635" t="inlineStr">
        <is>
          <t>library/035_heritance-aarah/kids/2021_Koka-Kids-Club-Babysitting-Services-November-2021-onward.pdf</t>
        </is>
      </c>
      <c r="R635" t="inlineStr">
        <is>
          <t>outdated</t>
        </is>
      </c>
      <c r="S635" t="inlineStr">
        <is>
          <t>N</t>
        </is>
      </c>
      <c r="T635" t="inlineStr">
        <is>
          <t>matched</t>
        </is>
      </c>
      <c r="U635" t="inlineStr">
        <is>
          <t>2026-10-04</t>
        </is>
      </c>
      <c r="V635" t="inlineStr"/>
    </row>
    <row r="636">
      <c r="A636" t="n">
        <v>35</v>
      </c>
      <c r="B636" t="inlineStr">
        <is>
          <t>Heritance Aarah</t>
        </is>
      </c>
      <c r="C636" t="inlineStr">
        <is>
          <t>all_inclusive</t>
        </is>
      </c>
      <c r="D636" t="inlineStr">
        <is>
          <t>2026_Heritance-Aarah-Premium-All-Inclusive.pdf</t>
        </is>
      </c>
      <c r="E636" t="n">
        <v>2026</v>
      </c>
      <c r="H636" t="n">
        <v>17</v>
      </c>
      <c r="I636" t="n">
        <v>6402</v>
      </c>
      <c r="J636" t="inlineStr">
        <is>
          <t>Y</t>
        </is>
      </c>
      <c r="K636" t="inlineStr">
        <is>
          <t>heritancehotels.com</t>
        </is>
      </c>
      <c r="L636" t="inlineStr">
        <is>
          <t>official</t>
        </is>
      </c>
      <c r="M636" t="inlineStr">
        <is>
          <t>https://heritancehotels.eme-devops.com/sites/2/2026/09/Heritance-Aarah-Premium-All-Inclusive.pdf</t>
        </is>
      </c>
      <c r="N636" t="inlineStr">
        <is>
          <t>https://heritancehotels.eme-devops.com/sites/2/2026/09/Heritance-Aarah-Premium-All-Inclusive.pdf</t>
        </is>
      </c>
      <c r="O636" t="inlineStr">
        <is>
          <t>02acdd56e1c8c4d007003480bf63ff4dc3ff68a9f78797d56d4e1ce5ccc65859</t>
        </is>
      </c>
      <c r="P636" t="inlineStr">
        <is>
          <t>library/035_heritance-aarah/all_inclusive/2026_Heritance-Aarah-Premium-All-Inclusive.pdf</t>
        </is>
      </c>
      <c r="R636" t="inlineStr">
        <is>
          <t>current</t>
        </is>
      </c>
      <c r="S636" t="inlineStr">
        <is>
          <t>Y</t>
        </is>
      </c>
      <c r="T636" t="inlineStr">
        <is>
          <t>matched</t>
        </is>
      </c>
      <c r="U636" t="inlineStr">
        <is>
          <t>2026-10-04</t>
        </is>
      </c>
      <c r="V636" t="inlineStr"/>
    </row>
    <row r="637">
      <c r="A637" t="n">
        <v>35</v>
      </c>
      <c r="B637" t="inlineStr">
        <is>
          <t>Heritance Aarah</t>
        </is>
      </c>
      <c r="C637" t="inlineStr">
        <is>
          <t>all_inclusive</t>
        </is>
      </c>
      <c r="D637" t="inlineStr">
        <is>
          <t>2025_HAH_003-FB-Promotions-Booklet.pdf</t>
        </is>
      </c>
      <c r="E637" t="n">
        <v>2025</v>
      </c>
      <c r="H637" t="n">
        <v>21</v>
      </c>
      <c r="I637" t="n">
        <v>1472</v>
      </c>
      <c r="J637" t="inlineStr">
        <is>
          <t>Y</t>
        </is>
      </c>
      <c r="K637" t="inlineStr">
        <is>
          <t>heritancehotels.com</t>
        </is>
      </c>
      <c r="L637" t="inlineStr">
        <is>
          <t>official</t>
        </is>
      </c>
      <c r="M637" t="inlineStr">
        <is>
          <t>https://heritancehotels.eme-devops.com/2026/09/HAH_003-FB-Promotions-Booklet.pdf</t>
        </is>
      </c>
      <c r="N637" t="inlineStr">
        <is>
          <t>https://heritancehotels.eme-devops.com/2026/09/HAH_003-FB-Promotions-Booklet.pdf | https://heritancehotels.eme-devops.com/sites/2/2025/07/HAR-FB-Promotions-Booklet-03.07.2025.pdf</t>
        </is>
      </c>
      <c r="O637" t="inlineStr">
        <is>
          <t>1bf469b0ffcc47777c61dcccd8182e9cac3d17a097542d68031d3a8b9407e8b9</t>
        </is>
      </c>
      <c r="P637" t="inlineStr">
        <is>
          <t>library/035_heritance-aarah/all_inclusive/2025_HAH_003-FB-Promotions-Booklet.pdf</t>
        </is>
      </c>
      <c r="R637" t="inlineStr">
        <is>
          <t>current</t>
        </is>
      </c>
      <c r="S637" t="inlineStr">
        <is>
          <t>N</t>
        </is>
      </c>
      <c r="T637" t="inlineStr">
        <is>
          <t>matched</t>
        </is>
      </c>
      <c r="U637" t="inlineStr">
        <is>
          <t>2026-10-04</t>
        </is>
      </c>
      <c r="V637" t="inlineStr"/>
    </row>
    <row r="638">
      <c r="A638" t="n">
        <v>35</v>
      </c>
      <c r="B638" t="inlineStr">
        <is>
          <t>Heritance Aarah</t>
        </is>
      </c>
      <c r="C638" t="inlineStr">
        <is>
          <t>all_inclusive</t>
        </is>
      </c>
      <c r="D638" t="inlineStr">
        <is>
          <t>2025_Heritance-Aarah-FB-Promotions-Booklet-13.06.2025.pdf</t>
        </is>
      </c>
      <c r="E638" t="n">
        <v>2025</v>
      </c>
      <c r="H638" t="n">
        <v>21</v>
      </c>
      <c r="I638" t="n">
        <v>1471</v>
      </c>
      <c r="J638" t="inlineStr">
        <is>
          <t>Y</t>
        </is>
      </c>
      <c r="K638" t="inlineStr">
        <is>
          <t>heritancehotels.com</t>
        </is>
      </c>
      <c r="L638" t="inlineStr">
        <is>
          <t>official</t>
        </is>
      </c>
      <c r="M638" t="inlineStr">
        <is>
          <t>https://heritancehotels.eme-devops.com/2025/06/Heritance-Aarah-FB-Promotions-Booklet-13.06.2025.pdf</t>
        </is>
      </c>
      <c r="N638" t="inlineStr">
        <is>
          <t>https://heritancehotels.eme-devops.com/2025/06/Heritance-Aarah-FB-Promotions-Booklet-13.06.2025.pdf</t>
        </is>
      </c>
      <c r="O638" t="inlineStr">
        <is>
          <t>35bd2b70420428198ea4bbbd4bbaa568c44835be1fc159b01b3b9ee15505966a</t>
        </is>
      </c>
      <c r="P638" t="inlineStr">
        <is>
          <t>library/035_heritance-aarah/all_inclusive/2025_Heritance-Aarah-FB-Promotions-Booklet-13.06.2025.pdf</t>
        </is>
      </c>
      <c r="R638" t="inlineStr">
        <is>
          <t>current</t>
        </is>
      </c>
      <c r="S638" t="inlineStr">
        <is>
          <t>N</t>
        </is>
      </c>
      <c r="T638" t="inlineStr">
        <is>
          <t>matched</t>
        </is>
      </c>
      <c r="U638" t="inlineStr">
        <is>
          <t>2026-10-04</t>
        </is>
      </c>
      <c r="V638" t="inlineStr"/>
    </row>
    <row r="639">
      <c r="A639" t="n">
        <v>35</v>
      </c>
      <c r="B639" t="inlineStr">
        <is>
          <t>Heritance Aarah</t>
        </is>
      </c>
      <c r="C639" t="inlineStr">
        <is>
          <t>all_inclusive</t>
        </is>
      </c>
      <c r="D639" t="inlineStr">
        <is>
          <t>2025_DN_HAH_003-FB-Promotions-Booklet.pdf</t>
        </is>
      </c>
      <c r="E639" t="n">
        <v>2025</v>
      </c>
      <c r="H639" t="n">
        <v>21</v>
      </c>
      <c r="I639" t="n">
        <v>1464</v>
      </c>
      <c r="J639" t="inlineStr">
        <is>
          <t>Y</t>
        </is>
      </c>
      <c r="K639" t="inlineStr">
        <is>
          <t>heritancehotels.com</t>
        </is>
      </c>
      <c r="L639" t="inlineStr">
        <is>
          <t>official</t>
        </is>
      </c>
      <c r="M639" t="inlineStr">
        <is>
          <t>https://heritancehotels.eme-devops.com/sites/2/2025/07/DN_HAH_003-FB-Promotions-Booklet.pdf</t>
        </is>
      </c>
      <c r="N639" t="inlineStr">
        <is>
          <t>https://heritancehotels.eme-devops.com/sites/2/2025/07/DN_HAH_003-FB-Promotions-Booklet.pdf</t>
        </is>
      </c>
      <c r="O639" t="inlineStr">
        <is>
          <t>b6e93e4da12ab9c10bf68134b0823850ee6cb3db24eb510fdf031dfa9c155449</t>
        </is>
      </c>
      <c r="P639" t="inlineStr">
        <is>
          <t>library/035_heritance-aarah/all_inclusive/2025_DN_HAH_003-FB-Promotions-Booklet.pdf</t>
        </is>
      </c>
      <c r="R639" t="inlineStr">
        <is>
          <t>current</t>
        </is>
      </c>
      <c r="S639" t="inlineStr">
        <is>
          <t>N</t>
        </is>
      </c>
      <c r="T639" t="inlineStr">
        <is>
          <t>matched</t>
        </is>
      </c>
      <c r="U639" t="inlineStr">
        <is>
          <t>2026-10-04</t>
        </is>
      </c>
      <c r="V639" t="inlineStr"/>
    </row>
    <row r="640">
      <c r="A640" t="n">
        <v>35</v>
      </c>
      <c r="B640" t="inlineStr">
        <is>
          <t>Heritance Aarah</t>
        </is>
      </c>
      <c r="C640" t="inlineStr">
        <is>
          <t>all_inclusive</t>
        </is>
      </c>
      <c r="D640" t="inlineStr">
        <is>
          <t>2023_Heritance-Hotels-Community-Engagement-Policy-V2.pdf</t>
        </is>
      </c>
      <c r="E640" t="n">
        <v>2023</v>
      </c>
      <c r="H640" t="n">
        <v>1</v>
      </c>
      <c r="I640" t="n">
        <v>118</v>
      </c>
      <c r="J640" t="inlineStr">
        <is>
          <t>Y</t>
        </is>
      </c>
      <c r="K640" t="inlineStr">
        <is>
          <t>heritancehotels.com</t>
        </is>
      </c>
      <c r="L640" t="inlineStr">
        <is>
          <t>official</t>
        </is>
      </c>
      <c r="M640" t="inlineStr">
        <is>
          <t>https://heritancehotels.eme-devops.com/2025/01/Heritance-Hotels-Community-Engagement-Policy-V2.pdf</t>
        </is>
      </c>
      <c r="N640" t="inlineStr">
        <is>
          <t>https://heritancehotels.eme-devops.com/2025/01/Heritance-Hotels-Community-Engagement-Policy-V2.pdf</t>
        </is>
      </c>
      <c r="O640" t="inlineStr">
        <is>
          <t>d35d03006b4add2b2c20fa72b6ec5e31e4af1daa5e71c5f9e16dbd908ae125bd</t>
        </is>
      </c>
      <c r="P640" t="inlineStr">
        <is>
          <t>library/035_heritance-aarah/all_inclusive/2023_Heritance-Hotels-Community-Engagement-Policy-V2.pdf</t>
        </is>
      </c>
      <c r="R640" t="inlineStr">
        <is>
          <t>outdated</t>
        </is>
      </c>
      <c r="S640" t="inlineStr">
        <is>
          <t>N</t>
        </is>
      </c>
      <c r="T640" t="inlineStr">
        <is>
          <t>needs-review</t>
        </is>
      </c>
      <c r="U640" t="inlineStr">
        <is>
          <t>2026-10-04</t>
        </is>
      </c>
      <c r="V640" t="inlineStr">
        <is>
          <t>ambiguous match [35]</t>
        </is>
      </c>
    </row>
    <row r="641">
      <c r="A641" t="n">
        <v>35</v>
      </c>
      <c r="B641" t="inlineStr">
        <is>
          <t>Heritance Aarah</t>
        </is>
      </c>
      <c r="C641" t="inlineStr">
        <is>
          <t>all_inclusive</t>
        </is>
      </c>
      <c r="D641" t="inlineStr">
        <is>
          <t>2016_ASH-Integrated-Sustainability-Policy-1.pdf</t>
        </is>
      </c>
      <c r="E641" t="n">
        <v>2016</v>
      </c>
      <c r="H641" t="n">
        <v>1</v>
      </c>
      <c r="I641" t="n">
        <v>75</v>
      </c>
      <c r="J641" t="inlineStr">
        <is>
          <t>Y</t>
        </is>
      </c>
      <c r="K641" t="inlineStr">
        <is>
          <t>heritancehotels.com</t>
        </is>
      </c>
      <c r="L641" t="inlineStr">
        <is>
          <t>official</t>
        </is>
      </c>
      <c r="M641" t="inlineStr">
        <is>
          <t>https://heritancehotels.eme-devops.com/2025/01/ASH-Integrated-Sustainability-Policy-1.pdf</t>
        </is>
      </c>
      <c r="N641" t="inlineStr">
        <is>
          <t>https://heritancehotels.eme-devops.com/2025/01/ASH-Integrated-Sustainability-Policy-1.pdf</t>
        </is>
      </c>
      <c r="O641" t="inlineStr">
        <is>
          <t>1c2523d813d1867ded6ac18d45f316843723129906dd2c78436c933d0387e759</t>
        </is>
      </c>
      <c r="P641" t="inlineStr">
        <is>
          <t>library/035_heritance-aarah/all_inclusive/2016_ASH-Integrated-Sustainability-Policy-1.pdf</t>
        </is>
      </c>
      <c r="R641" t="inlineStr">
        <is>
          <t>outdated</t>
        </is>
      </c>
      <c r="S641" t="inlineStr">
        <is>
          <t>N</t>
        </is>
      </c>
      <c r="T641" t="inlineStr">
        <is>
          <t>needs-review</t>
        </is>
      </c>
      <c r="U641" t="inlineStr">
        <is>
          <t>2026-10-04</t>
        </is>
      </c>
      <c r="V641" t="inlineStr">
        <is>
          <t>ambiguous match [35]</t>
        </is>
      </c>
    </row>
    <row r="642">
      <c r="A642" t="n">
        <v>35</v>
      </c>
      <c r="B642" t="inlineStr">
        <is>
          <t>Heritance Aarah</t>
        </is>
      </c>
      <c r="C642" t="inlineStr">
        <is>
          <t>sustainability</t>
        </is>
      </c>
      <c r="D642" t="inlineStr">
        <is>
          <t>2026_Heritance-Aarah-SMP-2026.pdf</t>
        </is>
      </c>
      <c r="E642" t="n">
        <v>2026</v>
      </c>
      <c r="H642" t="n">
        <v>23</v>
      </c>
      <c r="I642" t="n">
        <v>2196</v>
      </c>
      <c r="J642" t="inlineStr">
        <is>
          <t>Y</t>
        </is>
      </c>
      <c r="K642" t="inlineStr">
        <is>
          <t>heritancehotels.com</t>
        </is>
      </c>
      <c r="L642" t="inlineStr">
        <is>
          <t>official</t>
        </is>
      </c>
      <c r="M642" t="inlineStr">
        <is>
          <t>https://heritancehotels.eme-devops.com/sites/2/2026/06/Heritance-Aarah-SMP-2026.pdf</t>
        </is>
      </c>
      <c r="N642" t="inlineStr">
        <is>
          <t>https://heritancehotels.eme-devops.com/sites/2/2026/06/Heritance-Aarah-SMP-2026.pdf</t>
        </is>
      </c>
      <c r="O642" t="inlineStr">
        <is>
          <t>44c7ee7536f32e015ca5e5ba952d558df5d83a051c6707ecc28fd3a62482ca98</t>
        </is>
      </c>
      <c r="P642" t="inlineStr">
        <is>
          <t>library/035_heritance-aarah/sustainability/2026_Heritance-Aarah-SMP-2026.pdf</t>
        </is>
      </c>
      <c r="R642" t="inlineStr">
        <is>
          <t>current</t>
        </is>
      </c>
      <c r="S642" t="inlineStr">
        <is>
          <t>Y</t>
        </is>
      </c>
      <c r="T642" t="inlineStr">
        <is>
          <t>matched</t>
        </is>
      </c>
      <c r="U642" t="inlineStr">
        <is>
          <t>2026-10-04</t>
        </is>
      </c>
      <c r="V642" t="inlineStr"/>
    </row>
    <row r="643">
      <c r="A643" t="n">
        <v>35</v>
      </c>
      <c r="B643" t="inlineStr">
        <is>
          <t>Heritance Aarah</t>
        </is>
      </c>
      <c r="C643" t="inlineStr">
        <is>
          <t>sustainability</t>
        </is>
      </c>
      <c r="D643" t="inlineStr">
        <is>
          <t>2026_2026-Environment-Policy-Heritance-Aarah.pdf</t>
        </is>
      </c>
      <c r="E643" t="n">
        <v>2026</v>
      </c>
      <c r="H643" t="n">
        <v>5</v>
      </c>
      <c r="I643" t="n">
        <v>361</v>
      </c>
      <c r="J643" t="inlineStr">
        <is>
          <t>Y</t>
        </is>
      </c>
      <c r="K643" t="inlineStr">
        <is>
          <t>heritancehotels.com</t>
        </is>
      </c>
      <c r="L643" t="inlineStr">
        <is>
          <t>official</t>
        </is>
      </c>
      <c r="M643" t="inlineStr">
        <is>
          <t>https://heritancehotels.eme-devops.com/sites/2/2026/06/2026-Environment-Policy-Heritance-Aarah.pdf</t>
        </is>
      </c>
      <c r="N643" t="inlineStr">
        <is>
          <t>https://heritancehotels.eme-devops.com/sites/2/2026/06/2026-Environment-Policy-Heritance-Aarah.pdf</t>
        </is>
      </c>
      <c r="O643" t="inlineStr">
        <is>
          <t>0281f2c7cb18138c4a515c423952371e0ccdb95a5c2ec2c715fd60254f03e4a0</t>
        </is>
      </c>
      <c r="P643" t="inlineStr">
        <is>
          <t>library/035_heritance-aarah/sustainability/2026_2026-Environment-Policy-Heritance-Aarah.pdf</t>
        </is>
      </c>
      <c r="R643" t="inlineStr">
        <is>
          <t>current</t>
        </is>
      </c>
      <c r="S643" t="inlineStr">
        <is>
          <t>N</t>
        </is>
      </c>
      <c r="T643" t="inlineStr">
        <is>
          <t>matched</t>
        </is>
      </c>
      <c r="U643" t="inlineStr">
        <is>
          <t>2026-10-04</t>
        </is>
      </c>
      <c r="V643" t="inlineStr"/>
    </row>
    <row r="644">
      <c r="A644" t="n">
        <v>35</v>
      </c>
      <c r="B644" t="inlineStr">
        <is>
          <t>Heritance Aarah</t>
        </is>
      </c>
      <c r="C644" t="inlineStr">
        <is>
          <t>sustainability</t>
        </is>
      </c>
      <c r="D644" t="inlineStr">
        <is>
          <t>2025_SHN-Sustainability-report-2025_compressed.pdf</t>
        </is>
      </c>
      <c r="E644" t="n">
        <v>2025</v>
      </c>
      <c r="H644" t="n">
        <v>25</v>
      </c>
      <c r="I644" t="n">
        <v>1899</v>
      </c>
      <c r="J644" t="inlineStr">
        <is>
          <t>Y</t>
        </is>
      </c>
      <c r="K644" t="inlineStr">
        <is>
          <t>heritancehotels.com</t>
        </is>
      </c>
      <c r="L644" t="inlineStr">
        <is>
          <t>official</t>
        </is>
      </c>
      <c r="M644" t="inlineStr">
        <is>
          <t>https://heritancehotels.eme-devops.com/2026/09/SHN-Sustainability-report-2025_compressed.pdf</t>
        </is>
      </c>
      <c r="N644" t="inlineStr">
        <is>
          <t>https://heritancehotels.eme-devops.com/2026/09/SHN-Sustainability-report-2025_compressed.pdf</t>
        </is>
      </c>
      <c r="O644" t="inlineStr">
        <is>
          <t>c06b57c7a4dd467e6692d9fd67f11921b5c38fc4fc6b1a1d43c30563ae7ef7ca</t>
        </is>
      </c>
      <c r="P644" t="inlineStr">
        <is>
          <t>library/035_heritance-aarah/sustainability/2025_SHN-Sustainability-report-2025_compressed.pdf</t>
        </is>
      </c>
      <c r="R644" t="inlineStr">
        <is>
          <t>current</t>
        </is>
      </c>
      <c r="S644" t="inlineStr">
        <is>
          <t>N</t>
        </is>
      </c>
      <c r="T644" t="inlineStr">
        <is>
          <t>needs-review</t>
        </is>
      </c>
      <c r="U644" t="inlineStr">
        <is>
          <t>2026-10-04</t>
        </is>
      </c>
      <c r="V644" t="inlineStr">
        <is>
          <t>ambiguous match [35]</t>
        </is>
      </c>
    </row>
    <row r="645">
      <c r="A645" t="n">
        <v>35</v>
      </c>
      <c r="B645" t="inlineStr">
        <is>
          <t>Heritance Aarah</t>
        </is>
      </c>
      <c r="C645" t="inlineStr">
        <is>
          <t>sustainability</t>
        </is>
      </c>
      <c r="D645" t="inlineStr">
        <is>
          <t>2025_Sustainabilty-Report-HA-2025-26-Compressed.pdf</t>
        </is>
      </c>
      <c r="E645" t="n">
        <v>2025</v>
      </c>
      <c r="H645" t="n">
        <v>23</v>
      </c>
      <c r="I645" t="n">
        <v>5080</v>
      </c>
      <c r="J645" t="inlineStr">
        <is>
          <t>Y</t>
        </is>
      </c>
      <c r="K645" t="inlineStr">
        <is>
          <t>heritancehotels.com</t>
        </is>
      </c>
      <c r="L645" t="inlineStr">
        <is>
          <t>official</t>
        </is>
      </c>
      <c r="M645" t="inlineStr">
        <is>
          <t>https://heritancehotels.eme-devops.com/2026/05/Sustainabilty-Report-HA-2025-26-Compressed.pdf</t>
        </is>
      </c>
      <c r="N645" t="inlineStr">
        <is>
          <t>https://heritancehotels.eme-devops.com/2026/05/Sustainabilty-Report-HA-2025-26-Compressed.pdf | https://heritancehotels.eme-devops.com/sites/2/2026/05/Sustainabilty-Report-HA-2025-26-Compressed.pdf</t>
        </is>
      </c>
      <c r="O645" t="inlineStr">
        <is>
          <t>e200ef634d191c75041149878a7e4530fbbee4dcb2783b4ab09e6aaa3cbfb0c9</t>
        </is>
      </c>
      <c r="P645" t="inlineStr">
        <is>
          <t>library/035_heritance-aarah/sustainability/2025_Sustainabilty-Report-HA-2025-26-Compressed.pdf</t>
        </is>
      </c>
      <c r="R645" t="inlineStr">
        <is>
          <t>current</t>
        </is>
      </c>
      <c r="S645" t="inlineStr">
        <is>
          <t>N</t>
        </is>
      </c>
      <c r="T645" t="inlineStr">
        <is>
          <t>matched</t>
        </is>
      </c>
      <c r="U645" t="inlineStr">
        <is>
          <t>2026-10-04</t>
        </is>
      </c>
      <c r="V645" t="inlineStr"/>
    </row>
    <row r="646">
      <c r="A646" t="n">
        <v>35</v>
      </c>
      <c r="B646" t="inlineStr">
        <is>
          <t>Heritance Aarah</t>
        </is>
      </c>
      <c r="C646" t="inlineStr">
        <is>
          <t>sustainability</t>
        </is>
      </c>
      <c r="D646" t="inlineStr">
        <is>
          <t>2024_Heritance-Aarah-Sustainability-Report-2024-25_compressed-1.pdf</t>
        </is>
      </c>
      <c r="E646" t="n">
        <v>2024</v>
      </c>
      <c r="H646" t="n">
        <v>20</v>
      </c>
      <c r="I646" t="n">
        <v>3253</v>
      </c>
      <c r="J646" t="inlineStr">
        <is>
          <t>Y</t>
        </is>
      </c>
      <c r="K646" t="inlineStr">
        <is>
          <t>heritancehotels.com</t>
        </is>
      </c>
      <c r="L646" t="inlineStr">
        <is>
          <t>official</t>
        </is>
      </c>
      <c r="M646" t="inlineStr">
        <is>
          <t>https://d3a2q5al71qg9.cloudfront.net/2025/05/Heritance-Aarah-Sustainability-Report-2024-25_compressed-1.pdf</t>
        </is>
      </c>
      <c r="N646" t="inlineStr">
        <is>
          <t>https://d3a2q5al71qg9.cloudfront.net/2025/05/Heritance-Aarah-Sustainability-Report-2024-25_compressed-1.pdf</t>
        </is>
      </c>
      <c r="O646" t="inlineStr">
        <is>
          <t>003cdc7f1102eb250ee49c67bcf3aca68cc0efd3ec779bf23b600167196c316b</t>
        </is>
      </c>
      <c r="P646" t="inlineStr">
        <is>
          <t>library/035_heritance-aarah/sustainability/2024_Heritance-Aarah-Sustainability-Report-2024-25_compressed-1.pdf</t>
        </is>
      </c>
      <c r="R646" t="inlineStr">
        <is>
          <t>outdated</t>
        </is>
      </c>
      <c r="S646" t="inlineStr">
        <is>
          <t>N</t>
        </is>
      </c>
      <c r="T646" t="inlineStr">
        <is>
          <t>matched</t>
        </is>
      </c>
      <c r="U646" t="inlineStr">
        <is>
          <t>2026-10-04</t>
        </is>
      </c>
      <c r="V646" t="inlineStr"/>
    </row>
    <row r="647">
      <c r="A647" t="n">
        <v>35</v>
      </c>
      <c r="B647" t="inlineStr">
        <is>
          <t>Heritance Aarah</t>
        </is>
      </c>
      <c r="C647" t="inlineStr">
        <is>
          <t>sustainability</t>
        </is>
      </c>
      <c r="D647" t="inlineStr">
        <is>
          <t>2023_Heritance-Aarah-Sustainability-Report-2023-24-_compressed.pdf</t>
        </is>
      </c>
      <c r="E647" t="n">
        <v>2023</v>
      </c>
      <c r="H647" t="n">
        <v>18</v>
      </c>
      <c r="I647" t="n">
        <v>2884</v>
      </c>
      <c r="J647" t="inlineStr">
        <is>
          <t>Y</t>
        </is>
      </c>
      <c r="K647" t="inlineStr">
        <is>
          <t>heritancehotels.com</t>
        </is>
      </c>
      <c r="L647" t="inlineStr">
        <is>
          <t>official</t>
        </is>
      </c>
      <c r="M647" t="inlineStr">
        <is>
          <t>https://heritancehotels.eme-devops.com/2025/01/Heritance-Aarah-Sustainability-Report-2023-24-_compressed.pdf</t>
        </is>
      </c>
      <c r="N647" t="inlineStr">
        <is>
          <t>https://heritancehotels.eme-devops.com/2025/01/Heritance-Aarah-Sustainability-Report-2023-24-_compressed.pdf | https://d3a2q5al71qg9.cloudfront.net/2024/09/Heritance-Aarah-Sustainability-Report-2023-24-_compressed.pdf</t>
        </is>
      </c>
      <c r="O647" t="inlineStr">
        <is>
          <t>d7130ea4f5c6a1248d43a856a3c9a9792f86df0e99d0d44b140b8bf18f2658f4</t>
        </is>
      </c>
      <c r="P647" t="inlineStr">
        <is>
          <t>library/035_heritance-aarah/sustainability/2023_Heritance-Aarah-Sustainability-Report-2023-24-_compressed.pdf</t>
        </is>
      </c>
      <c r="R647" t="inlineStr">
        <is>
          <t>outdated</t>
        </is>
      </c>
      <c r="S647" t="inlineStr">
        <is>
          <t>N</t>
        </is>
      </c>
      <c r="T647" t="inlineStr">
        <is>
          <t>matched</t>
        </is>
      </c>
      <c r="U647" t="inlineStr">
        <is>
          <t>2026-10-04</t>
        </is>
      </c>
      <c r="V647" t="inlineStr"/>
    </row>
    <row r="648">
      <c r="A648" t="n">
        <v>35</v>
      </c>
      <c r="B648" t="inlineStr">
        <is>
          <t>Heritance Aarah</t>
        </is>
      </c>
      <c r="C648" t="inlineStr">
        <is>
          <t>sustainability</t>
        </is>
      </c>
      <c r="D648" t="inlineStr">
        <is>
          <t>2023_SHN-Sustainability-Progress-Report-2023-24.pdf</t>
        </is>
      </c>
      <c r="E648" t="n">
        <v>2023</v>
      </c>
      <c r="H648" t="n">
        <v>18</v>
      </c>
      <c r="I648" t="n">
        <v>7677</v>
      </c>
      <c r="J648" t="inlineStr">
        <is>
          <t>Y</t>
        </is>
      </c>
      <c r="K648" t="inlineStr">
        <is>
          <t>heritancehotels.com</t>
        </is>
      </c>
      <c r="L648" t="inlineStr">
        <is>
          <t>official</t>
        </is>
      </c>
      <c r="M648" t="inlineStr">
        <is>
          <t>https://heritancehotels.eme-devops.com/2025/01/SHN-Sustainability-Progress-Report-2023-24.pdf</t>
        </is>
      </c>
      <c r="N648" t="inlineStr">
        <is>
          <t>https://heritancehotels.eme-devops.com/2025/01/SHN-Sustainability-Progress-Report-2023-24.pdf</t>
        </is>
      </c>
      <c r="O648" t="inlineStr">
        <is>
          <t>3e0570607e14f37fe1b499e1d27bf5d4fa8250ef6496c48aa11254fc2fd584cd</t>
        </is>
      </c>
      <c r="P648" t="inlineStr">
        <is>
          <t>library/035_heritance-aarah/sustainability/2023_SHN-Sustainability-Progress-Report-2023-24.pdf</t>
        </is>
      </c>
      <c r="R648" t="inlineStr">
        <is>
          <t>outdated</t>
        </is>
      </c>
      <c r="S648" t="inlineStr">
        <is>
          <t>N</t>
        </is>
      </c>
      <c r="T648" t="inlineStr">
        <is>
          <t>needs-review</t>
        </is>
      </c>
      <c r="U648" t="inlineStr">
        <is>
          <t>2026-10-04</t>
        </is>
      </c>
      <c r="V648" t="inlineStr">
        <is>
          <t>ambiguous match [35]</t>
        </is>
      </c>
    </row>
    <row r="649">
      <c r="A649" t="n">
        <v>35</v>
      </c>
      <c r="B649" t="inlineStr">
        <is>
          <t>Heritance Aarah</t>
        </is>
      </c>
      <c r="C649" t="inlineStr">
        <is>
          <t>sustainability</t>
        </is>
      </c>
      <c r="D649" t="inlineStr">
        <is>
          <t>2023_HTF-Sustainability-Report-2023-24.pdf</t>
        </is>
      </c>
      <c r="E649" t="n">
        <v>2023</v>
      </c>
      <c r="H649" t="n">
        <v>17</v>
      </c>
      <c r="I649" t="n">
        <v>848</v>
      </c>
      <c r="J649" t="inlineStr">
        <is>
          <t>Y</t>
        </is>
      </c>
      <c r="K649" t="inlineStr">
        <is>
          <t>heritancehotels.com</t>
        </is>
      </c>
      <c r="L649" t="inlineStr">
        <is>
          <t>official</t>
        </is>
      </c>
      <c r="M649" t="inlineStr">
        <is>
          <t>https://heritancehotels.eme-devops.com/2025/01/HTF-Sustainability-Report-2023-24.pdf</t>
        </is>
      </c>
      <c r="N649" t="inlineStr">
        <is>
          <t>https://heritancehotels.eme-devops.com/2025/01/HTF-Sustainability-Report-2023-24.pdf</t>
        </is>
      </c>
      <c r="O649" t="inlineStr">
        <is>
          <t>def9da3d3771930300a774507964d6d949b4e26e4e71fa2f1f3f65398e46ac93</t>
        </is>
      </c>
      <c r="P649" t="inlineStr">
        <is>
          <t>library/035_heritance-aarah/sustainability/2023_HTF-Sustainability-Report-2023-24.pdf</t>
        </is>
      </c>
      <c r="R649" t="inlineStr">
        <is>
          <t>outdated</t>
        </is>
      </c>
      <c r="S649" t="inlineStr">
        <is>
          <t>N</t>
        </is>
      </c>
      <c r="T649" t="inlineStr">
        <is>
          <t>needs-review</t>
        </is>
      </c>
      <c r="U649" t="inlineStr">
        <is>
          <t>2026-10-04</t>
        </is>
      </c>
      <c r="V649" t="inlineStr">
        <is>
          <t>ambiguous match [35]</t>
        </is>
      </c>
    </row>
    <row r="650">
      <c r="A650" t="n">
        <v>35</v>
      </c>
      <c r="B650" t="inlineStr">
        <is>
          <t>Heritance Aarah</t>
        </is>
      </c>
      <c r="C650" t="inlineStr">
        <is>
          <t>sustainability</t>
        </is>
      </c>
      <c r="D650" t="inlineStr">
        <is>
          <t>2023_HAMG-Sustainability-Report-2023-24.pdf</t>
        </is>
      </c>
      <c r="E650" t="n">
        <v>2023</v>
      </c>
      <c r="H650" t="n">
        <v>21</v>
      </c>
      <c r="I650" t="n">
        <v>5149</v>
      </c>
      <c r="J650" t="inlineStr">
        <is>
          <t>Y</t>
        </is>
      </c>
      <c r="K650" t="inlineStr">
        <is>
          <t>heritancehotels.com</t>
        </is>
      </c>
      <c r="L650" t="inlineStr">
        <is>
          <t>official</t>
        </is>
      </c>
      <c r="M650" t="inlineStr">
        <is>
          <t>https://heritancehotels.eme-devops.com/2025/01/HAMG-Sustainability-Report-2023-24.pdf</t>
        </is>
      </c>
      <c r="N650" t="inlineStr">
        <is>
          <t>https://heritancehotels.eme-devops.com/2025/01/HAMG-Sustainability-Report-2023-24.pdf</t>
        </is>
      </c>
      <c r="O650" t="inlineStr">
        <is>
          <t>b933ca71611cb41a13c3bdd01c2f56ac734a7d4e9aa1964ba1f0143f60595ad4</t>
        </is>
      </c>
      <c r="P650" t="inlineStr">
        <is>
          <t>library/035_heritance-aarah/sustainability/2023_HAMG-Sustainability-Report-2023-24.pdf</t>
        </is>
      </c>
      <c r="R650" t="inlineStr">
        <is>
          <t>outdated</t>
        </is>
      </c>
      <c r="S650" t="inlineStr">
        <is>
          <t>N</t>
        </is>
      </c>
      <c r="T650" t="inlineStr">
        <is>
          <t>needs-review</t>
        </is>
      </c>
      <c r="U650" t="inlineStr">
        <is>
          <t>2026-10-04</t>
        </is>
      </c>
      <c r="V650" t="inlineStr">
        <is>
          <t>ambiguous match [35]</t>
        </is>
      </c>
    </row>
    <row r="651">
      <c r="A651" t="n">
        <v>35</v>
      </c>
      <c r="B651" t="inlineStr">
        <is>
          <t>Heritance Aarah</t>
        </is>
      </c>
      <c r="C651" t="inlineStr">
        <is>
          <t>sustainability</t>
        </is>
      </c>
      <c r="D651" t="inlineStr">
        <is>
          <t>2023_HA-Sustainability-Report-2023-24.pdf</t>
        </is>
      </c>
      <c r="E651" t="n">
        <v>2023</v>
      </c>
      <c r="H651" t="n">
        <v>31</v>
      </c>
      <c r="I651" t="n">
        <v>5652</v>
      </c>
      <c r="J651" t="inlineStr">
        <is>
          <t>Y</t>
        </is>
      </c>
      <c r="K651" t="inlineStr">
        <is>
          <t>heritancehotels.com</t>
        </is>
      </c>
      <c r="L651" t="inlineStr">
        <is>
          <t>official</t>
        </is>
      </c>
      <c r="M651" t="inlineStr">
        <is>
          <t>https://heritancehotels.eme-devops.com/2025/01/HA-Sustainability-Report-2023-24.pdf</t>
        </is>
      </c>
      <c r="N651" t="inlineStr">
        <is>
          <t>https://heritancehotels.eme-devops.com/2025/01/HA-Sustainability-Report-2023-24.pdf</t>
        </is>
      </c>
      <c r="O651" t="inlineStr">
        <is>
          <t>0a33c9a5685eb219a1ead7382cb54e4a4b2f58cd797261956424a1b0b054421f</t>
        </is>
      </c>
      <c r="P651" t="inlineStr">
        <is>
          <t>library/035_heritance-aarah/sustainability/2023_HA-Sustainability-Report-2023-24.pdf</t>
        </is>
      </c>
      <c r="R651" t="inlineStr">
        <is>
          <t>outdated</t>
        </is>
      </c>
      <c r="S651" t="inlineStr">
        <is>
          <t>N</t>
        </is>
      </c>
      <c r="T651" t="inlineStr">
        <is>
          <t>needs-review</t>
        </is>
      </c>
      <c r="U651" t="inlineStr">
        <is>
          <t>2026-10-04</t>
        </is>
      </c>
      <c r="V651" t="inlineStr">
        <is>
          <t>ambiguous match [35]</t>
        </is>
      </c>
    </row>
    <row r="652">
      <c r="A652" t="n">
        <v>35</v>
      </c>
      <c r="B652" t="inlineStr">
        <is>
          <t>Heritance Aarah</t>
        </is>
      </c>
      <c r="C652" t="inlineStr">
        <is>
          <t>sustainability</t>
        </is>
      </c>
      <c r="D652" t="inlineStr">
        <is>
          <t>2023_Heritance-Hotels-Environmental-Policy-V3.pdf</t>
        </is>
      </c>
      <c r="E652" t="n">
        <v>2023</v>
      </c>
      <c r="H652" t="n">
        <v>1</v>
      </c>
      <c r="I652" t="n">
        <v>116</v>
      </c>
      <c r="J652" t="inlineStr">
        <is>
          <t>Y</t>
        </is>
      </c>
      <c r="K652" t="inlineStr">
        <is>
          <t>heritancehotels.com</t>
        </is>
      </c>
      <c r="L652" t="inlineStr">
        <is>
          <t>official</t>
        </is>
      </c>
      <c r="M652" t="inlineStr">
        <is>
          <t>https://heritancehotels.eme-devops.com/2025/01/Heritance-Hotels-Environmental-Policy-V3.pdf</t>
        </is>
      </c>
      <c r="N652" t="inlineStr">
        <is>
          <t>https://heritancehotels.eme-devops.com/2025/01/Heritance-Hotels-Environmental-Policy-V3.pdf</t>
        </is>
      </c>
      <c r="O652" t="inlineStr">
        <is>
          <t>eee981660b132a9edd2799b11f3212dfdc5a9498fc56416c6e0a4015e245c10a</t>
        </is>
      </c>
      <c r="P652" t="inlineStr">
        <is>
          <t>library/035_heritance-aarah/sustainability/2023_Heritance-Hotels-Environmental-Policy-V3.pdf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sustainability</t>
        </is>
      </c>
      <c r="D653" t="inlineStr">
        <is>
          <t>2022_1.-HA-Sustainability-Report-2022-23.pdf</t>
        </is>
      </c>
      <c r="E653" t="n">
        <v>2022</v>
      </c>
      <c r="H653" t="n">
        <v>18</v>
      </c>
      <c r="I653" t="n">
        <v>5247</v>
      </c>
      <c r="J653" t="inlineStr">
        <is>
          <t>Y</t>
        </is>
      </c>
      <c r="K653" t="inlineStr">
        <is>
          <t>heritancehotels.com</t>
        </is>
      </c>
      <c r="L653" t="inlineStr">
        <is>
          <t>official</t>
        </is>
      </c>
      <c r="M653" t="inlineStr">
        <is>
          <t>https://heritancehotels.eme-devops.com/2025/01/1.-HA-Sustainability-Report-2022-23.pdf</t>
        </is>
      </c>
      <c r="N653" t="inlineStr">
        <is>
          <t>https://heritancehotels.eme-devops.com/2025/01/1.-HA-Sustainability-Report-2022-23.pdf | https://d3a2q5al71qg9.cloudfront.net/2023/09/1.-HA-Sustainability-Report-2022-23.pdf</t>
        </is>
      </c>
      <c r="O653" t="inlineStr">
        <is>
          <t>e4c5bfe614adf0bcd166b0b6e4a9fcf7a61de952a835b6a45b38b188e49d0001</t>
        </is>
      </c>
      <c r="P653" t="inlineStr">
        <is>
          <t>library/035_heritance-aarah/sustainability/2022_1.-HA-Sustainability-Report-2022-23.pdf</t>
        </is>
      </c>
      <c r="R653" t="inlineStr">
        <is>
          <t>outdated</t>
        </is>
      </c>
      <c r="S653" t="inlineStr">
        <is>
          <t>N</t>
        </is>
      </c>
      <c r="T653" t="inlineStr">
        <is>
          <t>matched</t>
        </is>
      </c>
      <c r="U653" t="inlineStr">
        <is>
          <t>2026-10-04</t>
        </is>
      </c>
      <c r="V653" t="inlineStr"/>
    </row>
    <row r="654">
      <c r="A654" t="n">
        <v>35</v>
      </c>
      <c r="B654" t="inlineStr">
        <is>
          <t>Heritance Aarah</t>
        </is>
      </c>
      <c r="C654" t="inlineStr">
        <is>
          <t>sustainability</t>
        </is>
      </c>
      <c r="D654" t="inlineStr">
        <is>
          <t>2022_Heritance-Tea-Factory-Sustainability-Report-2021-2022.pdf</t>
        </is>
      </c>
      <c r="E654" t="n">
        <v>2022</v>
      </c>
      <c r="H654" t="n">
        <v>19</v>
      </c>
      <c r="I654" t="n">
        <v>2227</v>
      </c>
      <c r="J654" t="inlineStr">
        <is>
          <t>Y</t>
        </is>
      </c>
      <c r="K654" t="inlineStr">
        <is>
          <t>heritancehotels.com</t>
        </is>
      </c>
      <c r="L654" t="inlineStr">
        <is>
          <t>official</t>
        </is>
      </c>
      <c r="M654" t="inlineStr">
        <is>
          <t>https://heritancehotels.eme-devops.com/2025/01/Heritance-Tea-Factory-Sustainability-Report-2021-2022.pdf</t>
        </is>
      </c>
      <c r="N654" t="inlineStr">
        <is>
          <t>https://heritancehotels.eme-devops.com/2025/01/Heritance-Tea-Factory-Sustainability-Report-2021-2022.pdf</t>
        </is>
      </c>
      <c r="O654" t="inlineStr">
        <is>
          <t>37de6ed396244ddeab630f94e2019b2702d5e1b5da9c84bb4fece637efcabff2</t>
        </is>
      </c>
      <c r="P654" t="inlineStr">
        <is>
          <t>library/035_heritance-aarah/sustainability/2022_Heritance-Tea-Factory-Sustainability-Report-2021-2022.pdf</t>
        </is>
      </c>
      <c r="R654" t="inlineStr">
        <is>
          <t>outdated</t>
        </is>
      </c>
      <c r="S654" t="inlineStr">
        <is>
          <t>N</t>
        </is>
      </c>
      <c r="T654" t="inlineStr">
        <is>
          <t>needs-review</t>
        </is>
      </c>
      <c r="U654" t="inlineStr">
        <is>
          <t>2026-10-04</t>
        </is>
      </c>
      <c r="V654" t="inlineStr">
        <is>
          <t>ambiguous match [35]</t>
        </is>
      </c>
    </row>
    <row r="655">
      <c r="A655" t="n">
        <v>35</v>
      </c>
      <c r="B655" t="inlineStr">
        <is>
          <t>Heritance Aarah</t>
        </is>
      </c>
      <c r="C655" t="inlineStr">
        <is>
          <t>sustainability</t>
        </is>
      </c>
      <c r="D655" t="inlineStr">
        <is>
          <t>2022_Heritance-Ahungalla-Sustainability-Report-2021-2022.pdf</t>
        </is>
      </c>
      <c r="E655" t="n">
        <v>2022</v>
      </c>
      <c r="H655" t="n">
        <v>31</v>
      </c>
      <c r="I655" t="n">
        <v>6044</v>
      </c>
      <c r="J655" t="inlineStr">
        <is>
          <t>Y</t>
        </is>
      </c>
      <c r="K655" t="inlineStr">
        <is>
          <t>heritancehotels.com</t>
        </is>
      </c>
      <c r="L655" t="inlineStr">
        <is>
          <t>official</t>
        </is>
      </c>
      <c r="M655" t="inlineStr">
        <is>
          <t>https://heritancehotels.eme-devops.com/2025/01/Heritance-Ahungalla-Sustainability-Report-2021-2022.pdf</t>
        </is>
      </c>
      <c r="N655" t="inlineStr">
        <is>
          <t>https://heritancehotels.eme-devops.com/2025/01/Heritance-Ahungalla-Sustainability-Report-2021-2022.pdf</t>
        </is>
      </c>
      <c r="O655" t="inlineStr">
        <is>
          <t>93381f1d00b31a937f0b25699e541361c0c157d7b8e153a5cbbf669735f16ed9</t>
        </is>
      </c>
      <c r="P655" t="inlineStr">
        <is>
          <t>library/035_heritance-aarah/sustainability/2022_Heritance-Ahungalla-Sustainability-Report-2021-2022.pdf</t>
        </is>
      </c>
      <c r="R655" t="inlineStr">
        <is>
          <t>outdated</t>
        </is>
      </c>
      <c r="S655" t="inlineStr">
        <is>
          <t>N</t>
        </is>
      </c>
      <c r="T655" t="inlineStr">
        <is>
          <t>needs-review</t>
        </is>
      </c>
      <c r="U655" t="inlineStr">
        <is>
          <t>2026-10-04</t>
        </is>
      </c>
      <c r="V655" t="inlineStr">
        <is>
          <t>ambiguous match [35]</t>
        </is>
      </c>
    </row>
    <row r="656">
      <c r="A656" t="n">
        <v>35</v>
      </c>
      <c r="B656" t="inlineStr">
        <is>
          <t>Heritance Aarah</t>
        </is>
      </c>
      <c r="C656" t="inlineStr">
        <is>
          <t>sustainability</t>
        </is>
      </c>
      <c r="D656" t="inlineStr">
        <is>
          <t>2022_Heritance-Kandalama-Sustainability-Report-2021-2022.pdf</t>
        </is>
      </c>
      <c r="E656" t="n">
        <v>2022</v>
      </c>
      <c r="H656" t="n">
        <v>32</v>
      </c>
      <c r="I656" t="n">
        <v>5436</v>
      </c>
      <c r="J656" t="inlineStr">
        <is>
          <t>Y</t>
        </is>
      </c>
      <c r="K656" t="inlineStr">
        <is>
          <t>heritancehotels.com</t>
        </is>
      </c>
      <c r="L656" t="inlineStr">
        <is>
          <t>official</t>
        </is>
      </c>
      <c r="M656" t="inlineStr">
        <is>
          <t>https://heritancehotels.eme-devops.com/2025/01/Heritance-Kandalama-Sustainability-Report-2021-2022.pdf</t>
        </is>
      </c>
      <c r="N656" t="inlineStr">
        <is>
          <t>https://heritancehotels.eme-devops.com/2025/01/Heritance-Kandalama-Sustainability-Report-2021-2022.pdf</t>
        </is>
      </c>
      <c r="O656" t="inlineStr">
        <is>
          <t>f992b907a713ff853cd076f83956b5bc3af03c9cbd9e0bec99bf095aba5555af</t>
        </is>
      </c>
      <c r="P656" t="inlineStr">
        <is>
          <t>library/035_heritance-aarah/sustainability/2022_Heritance-Kandalama-Sustainability-Report-2021-2022.pdf</t>
        </is>
      </c>
      <c r="R656" t="inlineStr">
        <is>
          <t>outdated</t>
        </is>
      </c>
      <c r="S656" t="inlineStr">
        <is>
          <t>N</t>
        </is>
      </c>
      <c r="T656" t="inlineStr">
        <is>
          <t>needs-review</t>
        </is>
      </c>
      <c r="U656" t="inlineStr">
        <is>
          <t>2026-10-04</t>
        </is>
      </c>
      <c r="V656" t="inlineStr">
        <is>
          <t>ambiguous match [35]</t>
        </is>
      </c>
    </row>
    <row r="657">
      <c r="A657" t="n">
        <v>35</v>
      </c>
      <c r="B657" t="inlineStr">
        <is>
          <t>Heritance Aarah</t>
        </is>
      </c>
      <c r="C657" t="inlineStr">
        <is>
          <t>sustainability</t>
        </is>
      </c>
      <c r="D657" t="inlineStr">
        <is>
          <t>2021_Heritance-Aaarah-Sustainability-Report-2019-2020-2021.pdf</t>
        </is>
      </c>
      <c r="E657" t="n">
        <v>2021</v>
      </c>
      <c r="H657" t="n">
        <v>24</v>
      </c>
      <c r="I657" t="n">
        <v>6969</v>
      </c>
      <c r="J657" t="inlineStr">
        <is>
          <t>Y</t>
        </is>
      </c>
      <c r="K657" t="inlineStr">
        <is>
          <t>heritancehotels.com</t>
        </is>
      </c>
      <c r="L657" t="inlineStr">
        <is>
          <t>official</t>
        </is>
      </c>
      <c r="M657" t="inlineStr">
        <is>
          <t>https://heritancehotels.eme-devops.com/2025/01/Heritance-Aaarah-Sustainability-Report-2019-2020-2021.pdf</t>
        </is>
      </c>
      <c r="N657" t="inlineStr">
        <is>
          <t>https://heritancehotels.eme-devops.com/2025/01/Heritance-Aaarah-Sustainability-Report-2019-2020-2021.pdf | https://d3a2q5al71qg9.cloudfront.net/2023/09/Heritance-Aaarah-Sustainability-Report-2019-2020-2021.pdf</t>
        </is>
      </c>
      <c r="O657" t="inlineStr">
        <is>
          <t>ab29779c64d4fe79324a282a4e7ca56c12d7b162721542bbea675a3a56278129</t>
        </is>
      </c>
      <c r="P657" t="inlineStr">
        <is>
          <t>library/035_heritance-aarah/sustainability/2021_Heritance-Aaarah-Sustainability-Report-2019-2020-2021.pdf</t>
        </is>
      </c>
      <c r="R657" t="inlineStr">
        <is>
          <t>outdated</t>
        </is>
      </c>
      <c r="S657" t="inlineStr">
        <is>
          <t>N</t>
        </is>
      </c>
      <c r="T657" t="inlineStr">
        <is>
          <t>matched</t>
        </is>
      </c>
      <c r="U657" t="inlineStr">
        <is>
          <t>2026-10-04</t>
        </is>
      </c>
      <c r="V657" t="inlineStr"/>
    </row>
    <row r="658">
      <c r="A658" t="n">
        <v>35</v>
      </c>
      <c r="B658" t="inlineStr">
        <is>
          <t>Heritance Aarah</t>
        </is>
      </c>
      <c r="C658" t="inlineStr">
        <is>
          <t>sustainability</t>
        </is>
      </c>
      <c r="D658" t="inlineStr">
        <is>
          <t>2021_HA-Sustainability-Report-2021-22.pdf</t>
        </is>
      </c>
      <c r="E658" t="n">
        <v>2021</v>
      </c>
      <c r="H658" t="n">
        <v>21</v>
      </c>
      <c r="I658" t="n">
        <v>5920</v>
      </c>
      <c r="J658" t="inlineStr">
        <is>
          <t>Y</t>
        </is>
      </c>
      <c r="K658" t="inlineStr">
        <is>
          <t>heritancehotels.com</t>
        </is>
      </c>
      <c r="L658" t="inlineStr">
        <is>
          <t>official</t>
        </is>
      </c>
      <c r="M658" t="inlineStr">
        <is>
          <t>https://heritancehotels.eme-devops.com/2025/01/HA-Sustainability-Report-2021-22.pdf</t>
        </is>
      </c>
      <c r="N658" t="inlineStr">
        <is>
          <t>https://heritancehotels.eme-devops.com/2025/01/HA-Sustainability-Report-2021-22.pdf | https://d3a2q5al71qg9.cloudfront.net/2023/06/HA-Sustainability-Report-2021-22.pdf</t>
        </is>
      </c>
      <c r="O658" t="inlineStr">
        <is>
          <t>ea2d54ec983c4ed21363bb047d80c7b0f8fcc914d8b595957f8da1de8728eba8</t>
        </is>
      </c>
      <c r="P658" t="inlineStr">
        <is>
          <t>library/035_heritance-aarah/sustainability/2021_HA-Sustainability-Report-2021-22.pdf</t>
        </is>
      </c>
      <c r="R658" t="inlineStr">
        <is>
          <t>outdated</t>
        </is>
      </c>
      <c r="S658" t="inlineStr">
        <is>
          <t>N</t>
        </is>
      </c>
      <c r="T658" t="inlineStr">
        <is>
          <t>matched</t>
        </is>
      </c>
      <c r="U658" t="inlineStr">
        <is>
          <t>2026-10-04</t>
        </is>
      </c>
      <c r="V658" t="inlineStr"/>
    </row>
    <row r="659">
      <c r="A659" t="n">
        <v>35</v>
      </c>
      <c r="B659" t="inlineStr">
        <is>
          <t>Heritance Aarah</t>
        </is>
      </c>
      <c r="C659" t="inlineStr">
        <is>
          <t>brochure</t>
        </is>
      </c>
      <c r="D659" t="inlineStr">
        <is>
          <t>2026_Bandhi-Pizza-Light-Snacks-Russian.pdf</t>
        </is>
      </c>
      <c r="E659" t="n">
        <v>2026</v>
      </c>
      <c r="H659" t="n">
        <v>1</v>
      </c>
      <c r="I659" t="n">
        <v>209</v>
      </c>
      <c r="J659" t="inlineStr">
        <is>
          <t>Y</t>
        </is>
      </c>
      <c r="K659" t="inlineStr">
        <is>
          <t>heritancehotels.com</t>
        </is>
      </c>
      <c r="L659" t="inlineStr">
        <is>
          <t>official</t>
        </is>
      </c>
      <c r="M659" t="inlineStr">
        <is>
          <t>https://heritancehotels.eme-devops.com/2026/10/Bandhi-Pizza-Light-Snacks-Russian.pdf</t>
        </is>
      </c>
      <c r="N659" t="inlineStr">
        <is>
          <t>https://heritancehotels.eme-devops.com/2026/10/Bandhi-Pizza-Light-Snacks-Russian.pdf</t>
        </is>
      </c>
      <c r="O659" t="inlineStr">
        <is>
          <t>0e800c6d33c73538a6772b06874d863ab05a72dd45dd29edd7b48973ab969d5d</t>
        </is>
      </c>
      <c r="P659" t="inlineStr">
        <is>
          <t>library/035_heritance-aarah/brochure/2026_Bandhi-Pizza-Light-Snacks-Russian.pdf</t>
        </is>
      </c>
      <c r="R659" t="inlineStr">
        <is>
          <t>current</t>
        </is>
      </c>
      <c r="S659" t="inlineStr">
        <is>
          <t>Y</t>
        </is>
      </c>
      <c r="T659" t="inlineStr">
        <is>
          <t>needs-review</t>
        </is>
      </c>
      <c r="U659" t="inlineStr">
        <is>
          <t>2026-10-04</t>
        </is>
      </c>
      <c r="V659" t="inlineStr">
        <is>
          <t>ambiguous match [35]</t>
        </is>
      </c>
    </row>
    <row r="660">
      <c r="A660" t="n">
        <v>35</v>
      </c>
      <c r="B660" t="inlineStr">
        <is>
          <t>Heritance Aarah</t>
        </is>
      </c>
      <c r="C660" t="inlineStr">
        <is>
          <t>brochure</t>
        </is>
      </c>
      <c r="D660" t="inlineStr">
        <is>
          <t>2020_RESORT-SAFETY-INFORMATION.pdf</t>
        </is>
      </c>
      <c r="E660" t="n">
        <v>2020</v>
      </c>
      <c r="H660" t="n">
        <v>4</v>
      </c>
      <c r="I660" t="n">
        <v>617</v>
      </c>
      <c r="J660" t="inlineStr">
        <is>
          <t>Y</t>
        </is>
      </c>
      <c r="K660" t="inlineStr">
        <is>
          <t>heritancehotels.com</t>
        </is>
      </c>
      <c r="L660" t="inlineStr">
        <is>
          <t>official</t>
        </is>
      </c>
      <c r="M660" t="inlineStr">
        <is>
          <t>https://heritancehotels.eme-devops.com/2025/03/RESORT-SAFETY-INFORMATION.pdf</t>
        </is>
      </c>
      <c r="N660" t="inlineStr">
        <is>
          <t>https://heritancehotels.eme-devops.com/2025/03/RESORT-SAFETY-INFORMATION.pdf</t>
        </is>
      </c>
      <c r="O660" t="inlineStr">
        <is>
          <t>f607a7069baab8fa2763bae496289c131e155f7317c143dd6332e606c6bbc37a</t>
        </is>
      </c>
      <c r="P660" t="inlineStr">
        <is>
          <t>library/035_heritance-aarah/brochure/2020_RESORT-SAFETY-INFORMATION.pdf</t>
        </is>
      </c>
      <c r="R660" t="inlineStr">
        <is>
          <t>outdated</t>
        </is>
      </c>
      <c r="S660" t="inlineStr">
        <is>
          <t>N</t>
        </is>
      </c>
      <c r="T660" t="inlineStr">
        <is>
          <t>matched</t>
        </is>
      </c>
      <c r="U660" t="inlineStr">
        <is>
          <t>2026-10-04</t>
        </is>
      </c>
      <c r="V660" t="inlineStr"/>
    </row>
    <row r="661">
      <c r="A661" t="n">
        <v>35</v>
      </c>
      <c r="B661" t="inlineStr">
        <is>
          <t>Heritance Aarah</t>
        </is>
      </c>
      <c r="C661" t="inlineStr">
        <is>
          <t>other</t>
        </is>
      </c>
      <c r="D661" t="inlineStr">
        <is>
          <t>2026_Ambula-Non-Vegetarian-Simplified-Chinese.pdf</t>
        </is>
      </c>
      <c r="E661" t="n">
        <v>2026</v>
      </c>
      <c r="H661" t="n">
        <v>1</v>
      </c>
      <c r="I661" t="n">
        <v>378</v>
      </c>
      <c r="J661" t="inlineStr">
        <is>
          <t>Y</t>
        </is>
      </c>
      <c r="K661" t="inlineStr">
        <is>
          <t>heritancehotels.com</t>
        </is>
      </c>
      <c r="L661" t="inlineStr">
        <is>
          <t>official</t>
        </is>
      </c>
      <c r="M661" t="inlineStr">
        <is>
          <t>https://heritancehotels.eme-devops.com/2026/10/Ambula-Non-Vegetarian-Simplified-Chinese.pdf</t>
        </is>
      </c>
      <c r="N661" t="inlineStr">
        <is>
          <t>https://heritancehotels.eme-devops.com/2026/10/Ambula-Non-Vegetarian-Simplified-Chinese.pdf</t>
        </is>
      </c>
      <c r="O661" t="inlineStr">
        <is>
          <t>fdeab58bb406f44bc70490c688e581410732df483f2af7777dc376114961f93f</t>
        </is>
      </c>
      <c r="P661" t="inlineStr">
        <is>
          <t>library/035_heritance-aarah/other/2026_Ambula-Non-Vegetarian-Simplified-Chinese.pdf</t>
        </is>
      </c>
      <c r="R661" t="inlineStr">
        <is>
          <t>current</t>
        </is>
      </c>
      <c r="S661" t="inlineStr">
        <is>
          <t>Y</t>
        </is>
      </c>
      <c r="T661" t="inlineStr">
        <is>
          <t>needs-review</t>
        </is>
      </c>
      <c r="U661" t="inlineStr">
        <is>
          <t>2026-10-04</t>
        </is>
      </c>
      <c r="V661" t="inlineStr">
        <is>
          <t>ambiguous match [35]</t>
        </is>
      </c>
    </row>
    <row r="662">
      <c r="A662" t="n">
        <v>35</v>
      </c>
      <c r="B662" t="inlineStr">
        <is>
          <t>Heritance Aarah</t>
        </is>
      </c>
      <c r="C662" t="inlineStr">
        <is>
          <t>other</t>
        </is>
      </c>
      <c r="D662" t="inlineStr">
        <is>
          <t>2022_Aarah-Kaito-Prices.pdf</t>
        </is>
      </c>
      <c r="E662" t="n">
        <v>2022</v>
      </c>
      <c r="H662" t="n">
        <v>2</v>
      </c>
      <c r="I662" t="n">
        <v>3583</v>
      </c>
      <c r="J662" t="inlineStr">
        <is>
          <t>N</t>
        </is>
      </c>
      <c r="K662" t="inlineStr">
        <is>
          <t>heritancehotels.com</t>
        </is>
      </c>
      <c r="L662" t="inlineStr">
        <is>
          <t>official</t>
        </is>
      </c>
      <c r="M662" t="inlineStr">
        <is>
          <t>https://heritancehotels.eme-devops.com/2025/03/Aarah-Kaito-Prices.pdf</t>
        </is>
      </c>
      <c r="N662" t="inlineStr">
        <is>
          <t>https://heritancehotels.eme-devops.com/2025/03/Aarah-Kaito-Prices.pdf</t>
        </is>
      </c>
      <c r="O662" t="inlineStr">
        <is>
          <t>9d4f9d785db08b88a8cba1a07f7af63f730ba8f1a4b50c1064694961ab09c446</t>
        </is>
      </c>
      <c r="P662" t="inlineStr">
        <is>
          <t>library/035_heritance-aarah/other/2022_Aarah-Kaito-Prices.pdf</t>
        </is>
      </c>
      <c r="R662" t="inlineStr">
        <is>
          <t>outdated</t>
        </is>
      </c>
      <c r="S662" t="inlineStr">
        <is>
          <t>N</t>
        </is>
      </c>
      <c r="T662" t="inlineStr">
        <is>
          <t>matched</t>
        </is>
      </c>
      <c r="U662" t="inlineStr">
        <is>
          <t>2026-10-04</t>
        </is>
      </c>
      <c r="V662" t="inlineStr"/>
    </row>
    <row r="663">
      <c r="A663" t="n">
        <v>37</v>
      </c>
      <c r="B663" t="inlineStr">
        <is>
          <t>The Ritz Carlton Maldives Fari Islands</t>
        </is>
      </c>
      <c r="C663" t="inlineStr">
        <is>
          <t>factsheet</t>
        </is>
      </c>
      <c r="D663" t="inlineStr">
        <is>
          <t>2021_The-Ritz-Carlton-Maldives-Factsheet.pdf</t>
        </is>
      </c>
      <c r="E663" t="n">
        <v>2021</v>
      </c>
      <c r="H663" t="n">
        <v>6</v>
      </c>
      <c r="I663" t="n">
        <v>1283</v>
      </c>
      <c r="J663" t="inlineStr">
        <is>
          <t>Y</t>
        </is>
      </c>
      <c r="K663" t="inlineStr">
        <is>
          <t>neoscapesmaldives.com</t>
        </is>
      </c>
      <c r="L663" t="inlineStr">
        <is>
          <t>dmc-agency</t>
        </is>
      </c>
      <c r="M663" t="inlineStr">
        <is>
          <t>https://www.neoscapesmaldives.com/wp-content/uploads/The-Ritz-Carlton-Maldives-Factsheet.pdf</t>
        </is>
      </c>
      <c r="N663" t="inlineStr">
        <is>
          <t>https://www.neoscapesmaldives.com/wp-content/uploads/The-Ritz-Carlton-Maldives-Factsheet.pdf</t>
        </is>
      </c>
      <c r="O663" t="inlineStr">
        <is>
          <t>0b999049304d5753eb91ffd06f2ee4e827d28951f546b20354aa977ac2cd5c07</t>
        </is>
      </c>
      <c r="P663" t="inlineStr">
        <is>
          <t>library/037_the-ritz-carlton-maldives-fari-islands/factsheet/2021_The-Ritz-Carlton-Maldives-Factsheet.pdf</t>
        </is>
      </c>
      <c r="R663" t="inlineStr">
        <is>
          <t>outdated</t>
        </is>
      </c>
      <c r="S663" t="inlineStr">
        <is>
          <t>Y</t>
        </is>
      </c>
      <c r="T663" t="inlineStr">
        <is>
          <t>matched</t>
        </is>
      </c>
      <c r="U663" t="inlineStr">
        <is>
          <t>2026-10-04</t>
        </is>
      </c>
      <c r="V663" t="inlineStr"/>
    </row>
    <row r="664">
      <c r="A664" t="n">
        <v>37</v>
      </c>
      <c r="B664" t="inlineStr">
        <is>
          <t>The Ritz Carlton Maldives Fari Islands</t>
        </is>
      </c>
      <c r="C664" t="inlineStr">
        <is>
          <t>map</t>
        </is>
      </c>
      <c r="D664" t="inlineStr">
        <is>
          <t>2022_The-Ritz-Carlton-Maldives-Fari-Islands-Map.pdf</t>
        </is>
      </c>
      <c r="E664" t="n">
        <v>2022</v>
      </c>
      <c r="H664" t="n">
        <v>1</v>
      </c>
      <c r="I664" t="n">
        <v>556</v>
      </c>
      <c r="J664" t="inlineStr">
        <is>
          <t>N</t>
        </is>
      </c>
      <c r="K664" t="inlineStr">
        <is>
          <t>neoscapesmaldives.com</t>
        </is>
      </c>
      <c r="L664" t="inlineStr">
        <is>
          <t>dmc-agency</t>
        </is>
      </c>
      <c r="M664" t="inlineStr">
        <is>
          <t>https://www.neoscapesmaldives.com/wp-content/uploads/The-Ritz-Carlton-Maldives-Fari-Islands-Map.pdf</t>
        </is>
      </c>
      <c r="N664" t="inlineStr">
        <is>
          <t>https://www.neoscapesmaldives.com/wp-content/uploads/The-Ritz-Carlton-Maldives-Fari-Islands-Map.pdf</t>
        </is>
      </c>
      <c r="O664" t="inlineStr">
        <is>
          <t>51c0e6b1be1c78a77d4f5143dba4aa74bf4d9ddb25e423e81455f51e63e55730</t>
        </is>
      </c>
      <c r="P664" t="inlineStr">
        <is>
          <t>library/037_the-ritz-carlton-maldives-fari-islands/map/2022_The-Ritz-Carlton-Maldives-Fari-Islands-Map.pdf</t>
        </is>
      </c>
      <c r="R664" t="inlineStr">
        <is>
          <t>outdated</t>
        </is>
      </c>
      <c r="S664" t="inlineStr">
        <is>
          <t>Y</t>
        </is>
      </c>
      <c r="T664" t="inlineStr">
        <is>
          <t>matched</t>
        </is>
      </c>
      <c r="U664" t="inlineStr">
        <is>
          <t>2026-10-04</t>
        </is>
      </c>
      <c r="V664" t="inlineStr"/>
    </row>
    <row r="665">
      <c r="A665" t="n">
        <v>38</v>
      </c>
      <c r="B665" t="inlineStr">
        <is>
          <t>Veligandu Maldives Resort Island</t>
        </is>
      </c>
      <c r="C665" t="inlineStr">
        <is>
          <t>factsheet</t>
        </is>
      </c>
      <c r="D665" t="inlineStr">
        <is>
          <t>2025_Veli-Factsheet-W25-26S26Ver17062025.pdf</t>
        </is>
      </c>
      <c r="E665" t="n">
        <v>2025</v>
      </c>
      <c r="H665" t="n">
        <v>18</v>
      </c>
      <c r="I665" t="n">
        <v>1995</v>
      </c>
      <c r="J665" t="inlineStr">
        <is>
          <t>N</t>
        </is>
      </c>
      <c r="K665" t="inlineStr">
        <is>
          <t>sales.crownandchamparesorts.com</t>
        </is>
      </c>
      <c r="L665" t="inlineStr">
        <is>
          <t>brand-cdn</t>
        </is>
      </c>
      <c r="M665" t="inlineStr">
        <is>
          <t>https://sales.crownandchamparesorts.com/wp-content/uploads/2025/08/Veli-Factsheet-W25-26S26Ver17062025.pdf</t>
        </is>
      </c>
      <c r="N665" t="inlineStr">
        <is>
          <t>https://sales.crownandchamparesorts.com/wp-content/uploads/2025/08/Veli-Factsheet-W25-26S26Ver17062025.pdf</t>
        </is>
      </c>
      <c r="O665" t="inlineStr">
        <is>
          <t>18a080bf8ba1859116b360ff14bff70325c4113d16f27acb988554b11321fa86</t>
        </is>
      </c>
      <c r="P665" t="inlineStr">
        <is>
          <t>library/038_veligandu-maldives-resort-island/factsheet/2025_Veli-Factsheet-W25-26S26Ver17062025.pdf</t>
        </is>
      </c>
      <c r="R665" t="inlineStr">
        <is>
          <t>current</t>
        </is>
      </c>
      <c r="S665" t="inlineStr">
        <is>
          <t>N</t>
        </is>
      </c>
      <c r="T665" t="inlineStr">
        <is>
          <t>needs-review</t>
        </is>
      </c>
      <c r="U665" t="inlineStr">
        <is>
          <t>2026-10-04</t>
        </is>
      </c>
      <c r="V665" t="inlineStr">
        <is>
          <t>ambiguous match [38]</t>
        </is>
      </c>
    </row>
    <row r="666">
      <c r="A666" t="n">
        <v>38</v>
      </c>
      <c r="B666" t="inlineStr">
        <is>
          <t>Veligandu Maldives Resort Island</t>
        </is>
      </c>
      <c r="C666" t="inlineStr">
        <is>
          <t>factsheet</t>
        </is>
      </c>
      <c r="D666" t="inlineStr">
        <is>
          <t>2025_Factsheet-W25-26S26Ver17062025.pdf</t>
        </is>
      </c>
      <c r="E666" t="n">
        <v>2025</v>
      </c>
      <c r="H666" t="n">
        <v>18</v>
      </c>
      <c r="I666" t="n">
        <v>2977</v>
      </c>
      <c r="J666" t="inlineStr">
        <is>
          <t>Y</t>
        </is>
      </c>
      <c r="K666" t="inlineStr">
        <is>
          <t>veligandu.com</t>
        </is>
      </c>
      <c r="L666" t="inlineStr">
        <is>
          <t>official</t>
        </is>
      </c>
      <c r="M666" t="inlineStr">
        <is>
          <t>https://veligandu.com/wp-content/uploads/2025/06/Factsheet-W25-26S26Ver17062025.pdf</t>
        </is>
      </c>
      <c r="N666" t="inlineStr">
        <is>
          <t>https://veligandu.com/wp-content/uploads/2025/06/Factsheet-W25-26S26Ver17062025.pdf</t>
        </is>
      </c>
      <c r="O666" t="inlineStr">
        <is>
          <t>5335b3af3563d2b820d6ad132391241cd55311ddebff76e5a804208ff618ab34</t>
        </is>
      </c>
      <c r="P666" t="inlineStr">
        <is>
          <t>library/038_veligandu-maldives-resort-island/factsheet/2025_Factsheet-W25-26S26Ver17062025.pdf</t>
        </is>
      </c>
      <c r="R666" t="inlineStr">
        <is>
          <t>current</t>
        </is>
      </c>
      <c r="S666" t="inlineStr">
        <is>
          <t>Y</t>
        </is>
      </c>
      <c r="T666" t="inlineStr">
        <is>
          <t>matched</t>
        </is>
      </c>
      <c r="U666" t="inlineStr">
        <is>
          <t>2026-10-04</t>
        </is>
      </c>
      <c r="V666" t="inlineStr"/>
    </row>
    <row r="667">
      <c r="A667" t="n">
        <v>38</v>
      </c>
      <c r="B667" t="inlineStr">
        <is>
          <t>Veligandu Maldives Resort Island</t>
        </is>
      </c>
      <c r="C667" t="inlineStr">
        <is>
          <t>factsheet</t>
        </is>
      </c>
      <c r="D667" t="inlineStr">
        <is>
          <t>2019_FactSheetVeligandu110119103120Rev111619.pdf</t>
        </is>
      </c>
      <c r="E667" t="n">
        <v>2019</v>
      </c>
      <c r="F667" t="inlineStr">
        <is>
          <t>2019-11-01</t>
        </is>
      </c>
      <c r="G667" t="inlineStr">
        <is>
          <t>2020-10-31</t>
        </is>
      </c>
      <c r="H667" t="n">
        <v>3</v>
      </c>
      <c r="I667" t="n">
        <v>803</v>
      </c>
      <c r="J667" t="inlineStr">
        <is>
          <t>Y</t>
        </is>
      </c>
      <c r="K667" t="inlineStr">
        <is>
          <t>sales.crownandchamparesorts.com</t>
        </is>
      </c>
      <c r="L667" t="inlineStr">
        <is>
          <t>brand-cdn</t>
        </is>
      </c>
      <c r="M667" t="inlineStr">
        <is>
          <t>https://sales.crownandchamparesorts.com/wp-content/uploads/2018/04/FactSheetVeligandu110119103120Rev111619.pdf</t>
        </is>
      </c>
      <c r="N667" t="inlineStr">
        <is>
          <t>https://sales.crownandchamparesorts.com/wp-content/uploads/2018/04/FactSheetVeligandu110119103120Rev111619.pdf</t>
        </is>
      </c>
      <c r="O667" t="inlineStr">
        <is>
          <t>c46fa7037910af809b77bcbbb3798430a89add4ecfedbc897f5158b9285272b5</t>
        </is>
      </c>
      <c r="P667" t="inlineStr">
        <is>
          <t>library/038_veligandu-maldives-resort-island/factsheet/2019_FactSheetVeligandu110119103120Rev111619.pdf</t>
        </is>
      </c>
      <c r="R667" t="inlineStr">
        <is>
          <t>outdated</t>
        </is>
      </c>
      <c r="S667" t="inlineStr">
        <is>
          <t>N</t>
        </is>
      </c>
      <c r="T667" t="inlineStr">
        <is>
          <t>matched</t>
        </is>
      </c>
      <c r="U667" t="inlineStr">
        <is>
          <t>2026-10-04</t>
        </is>
      </c>
      <c r="V667" t="inlineStr"/>
    </row>
    <row r="668">
      <c r="A668" t="n">
        <v>38</v>
      </c>
      <c r="B668" t="inlineStr">
        <is>
          <t>Veligandu Maldives Resort Island</t>
        </is>
      </c>
      <c r="C668" t="inlineStr">
        <is>
          <t>wedding</t>
        </is>
      </c>
      <c r="D668" t="inlineStr">
        <is>
          <t>2024_Veli-HoneymoonGuestInfoRenewalsOfVows_110124-103125_Rev081524-240924.pdf</t>
        </is>
      </c>
      <c r="E668" t="n">
        <v>2024</v>
      </c>
      <c r="H668" t="n">
        <v>9</v>
      </c>
      <c r="I668" t="n">
        <v>171</v>
      </c>
      <c r="J668" t="inlineStr">
        <is>
          <t>Y</t>
        </is>
      </c>
      <c r="K668" t="inlineStr">
        <is>
          <t>veligandu.com</t>
        </is>
      </c>
      <c r="L668" t="inlineStr">
        <is>
          <t>official</t>
        </is>
      </c>
      <c r="M668" t="inlineStr">
        <is>
          <t>https://veligandu.com/wp-content/uploads/2024/09/Veli-HoneymoonGuestInfoRenewalsOfVows_110124-103125_Rev081524-240924.pdf</t>
        </is>
      </c>
      <c r="N668" t="inlineStr">
        <is>
          <t>https://veligandu.com/wp-content/uploads/2024/09/Veli-HoneymoonGuestInfoRenewalsOfVows_110124-103125_Rev081524-240924.pdf</t>
        </is>
      </c>
      <c r="O668" t="inlineStr">
        <is>
          <t>96db0da86705518932cf907e5c4818575c802ddc8df27b97aa60d2005aa6a9ef</t>
        </is>
      </c>
      <c r="P668" t="inlineStr">
        <is>
          <t>library/038_veligandu-maldives-resort-island/wedding/2024_Veli-HoneymoonGuestInfoRenewalsOfVows_110124-103125_Rev081524-240924.pdf</t>
        </is>
      </c>
      <c r="R668" t="inlineStr">
        <is>
          <t>outdated</t>
        </is>
      </c>
      <c r="S668" t="inlineStr">
        <is>
          <t>Y</t>
        </is>
      </c>
      <c r="T668" t="inlineStr">
        <is>
          <t>matched</t>
        </is>
      </c>
      <c r="U668" t="inlineStr">
        <is>
          <t>2026-10-04</t>
        </is>
      </c>
      <c r="V668" t="inlineStr"/>
    </row>
    <row r="669">
      <c r="A669" t="n">
        <v>38</v>
      </c>
      <c r="B669" t="inlineStr">
        <is>
          <t>Veligandu Maldives Resort Island</t>
        </is>
      </c>
      <c r="C669" t="inlineStr">
        <is>
          <t>map</t>
        </is>
      </c>
      <c r="D669" t="inlineStr">
        <is>
          <t>2026_Veli-IslandMapFY2026Ver092126.pdf</t>
        </is>
      </c>
      <c r="E669" t="n">
        <v>2026</v>
      </c>
      <c r="H669" t="n">
        <v>1</v>
      </c>
      <c r="I669" t="n">
        <v>415</v>
      </c>
      <c r="J669" t="inlineStr">
        <is>
          <t>N</t>
        </is>
      </c>
      <c r="K669" t="inlineStr">
        <is>
          <t>veligandu.com</t>
        </is>
      </c>
      <c r="L669" t="inlineStr">
        <is>
          <t>official</t>
        </is>
      </c>
      <c r="M669" t="inlineStr">
        <is>
          <t>https://veligandu.com/wp-content/uploads/2026/09/Veli-IslandMapFY2026Ver092126.pdf</t>
        </is>
      </c>
      <c r="N669" t="inlineStr">
        <is>
          <t>https://veligandu.com/wp-content/uploads/2026/09/Veli-IslandMapFY2026Ver092126.pdf</t>
        </is>
      </c>
      <c r="O669" t="inlineStr">
        <is>
          <t>9e97bed1fdb2a0e8b5d1aeba828ec3fbb8d3cac9d7b4c9f75628bc072d082ddb</t>
        </is>
      </c>
      <c r="P669" t="inlineStr">
        <is>
          <t>library/038_veligandu-maldives-resort-island/map/2026_Veli-IslandMapFY2026Ver092126.pdf</t>
        </is>
      </c>
      <c r="R669" t="inlineStr">
        <is>
          <t>current</t>
        </is>
      </c>
      <c r="S669" t="inlineStr">
        <is>
          <t>Y</t>
        </is>
      </c>
      <c r="T669" t="inlineStr">
        <is>
          <t>matched</t>
        </is>
      </c>
      <c r="U669" t="inlineStr">
        <is>
          <t>2026-10-04</t>
        </is>
      </c>
      <c r="V669" t="inlineStr"/>
    </row>
    <row r="670">
      <c r="A670" t="n">
        <v>38</v>
      </c>
      <c r="B670" t="inlineStr">
        <is>
          <t>Veligandu Maldives Resort Island</t>
        </is>
      </c>
      <c r="C670" t="inlineStr">
        <is>
          <t>map</t>
        </is>
      </c>
      <c r="D670" t="inlineStr">
        <is>
          <t>2025_Veli-IslandMap110125103126Ver140625.pdf</t>
        </is>
      </c>
      <c r="E670" t="n">
        <v>2025</v>
      </c>
      <c r="F670" t="inlineStr">
        <is>
          <t>2025-11-01</t>
        </is>
      </c>
      <c r="G670" t="inlineStr">
        <is>
          <t>2026-10-31</t>
        </is>
      </c>
      <c r="H670" t="n">
        <v>1</v>
      </c>
      <c r="I670" t="n">
        <v>1499</v>
      </c>
      <c r="J670" t="inlineStr">
        <is>
          <t>N</t>
        </is>
      </c>
      <c r="K670" t="inlineStr">
        <is>
          <t>sales.crownandchamparesorts.com</t>
        </is>
      </c>
      <c r="L670" t="inlineStr">
        <is>
          <t>brand-cdn</t>
        </is>
      </c>
      <c r="M670" t="inlineStr">
        <is>
          <t>https://sales.crownandchamparesorts.com/wp-content/uploads/2025/08/Veli-IslandMap110125103126Ver140625.pdf</t>
        </is>
      </c>
      <c r="N670" t="inlineStr">
        <is>
          <t>https://sales.crownandchamparesorts.com/wp-content/uploads/2025/08/Veli-IslandMap110125103126Ver140625.pdf</t>
        </is>
      </c>
      <c r="O670" t="inlineStr">
        <is>
          <t>4e815a1b8b2556fe0727cafe9aba2ef9dfeb5076ba5568782a2aeb42f6bd3b06</t>
        </is>
      </c>
      <c r="P670" t="inlineStr">
        <is>
          <t>library/038_veligandu-maldives-resort-island/map/2025_Veli-IslandMap110125103126Ver140625.pdf</t>
        </is>
      </c>
      <c r="R670" t="inlineStr">
        <is>
          <t>current</t>
        </is>
      </c>
      <c r="S670" t="inlineStr">
        <is>
          <t>N</t>
        </is>
      </c>
      <c r="T670" t="inlineStr">
        <is>
          <t>needs-review</t>
        </is>
      </c>
      <c r="U670" t="inlineStr">
        <is>
          <t>2026-10-04</t>
        </is>
      </c>
      <c r="V670" t="inlineStr">
        <is>
          <t>ambiguous match [38]</t>
        </is>
      </c>
    </row>
    <row r="671">
      <c r="A671" t="n">
        <v>38</v>
      </c>
      <c r="B671" t="inlineStr">
        <is>
          <t>Veligandu Maldives Resort Island</t>
        </is>
      </c>
      <c r="C671" t="inlineStr">
        <is>
          <t>map</t>
        </is>
      </c>
      <c r="D671" t="inlineStr">
        <is>
          <t>2025_Veli-IslandMapVer140625.pdf</t>
        </is>
      </c>
      <c r="E671" t="n">
        <v>2025</v>
      </c>
      <c r="H671" t="n">
        <v>1</v>
      </c>
      <c r="I671" t="n">
        <v>266</v>
      </c>
      <c r="J671" t="inlineStr">
        <is>
          <t>N</t>
        </is>
      </c>
      <c r="K671" t="inlineStr">
        <is>
          <t>veligandu.com</t>
        </is>
      </c>
      <c r="L671" t="inlineStr">
        <is>
          <t>official</t>
        </is>
      </c>
      <c r="M671" t="inlineStr">
        <is>
          <t>https://veligandu.com/wp-content/uploads/2025/06/Veli-IslandMapVer140625.pdf</t>
        </is>
      </c>
      <c r="N671" t="inlineStr">
        <is>
          <t>https://veligandu.com/wp-content/uploads/2025/06/Veli-IslandMapVer140625.pdf</t>
        </is>
      </c>
      <c r="O671" t="inlineStr">
        <is>
          <t>561ded314cf21f5cc7384ae89f068706f769da46b07558ceb2e513b903509048</t>
        </is>
      </c>
      <c r="P671" t="inlineStr">
        <is>
          <t>library/038_veligandu-maldives-resort-island/map/2025_Veli-IslandMapVer140625.pdf</t>
        </is>
      </c>
      <c r="R671" t="inlineStr">
        <is>
          <t>current</t>
        </is>
      </c>
      <c r="S671" t="inlineStr">
        <is>
          <t>N</t>
        </is>
      </c>
      <c r="T671" t="inlineStr">
        <is>
          <t>matched</t>
        </is>
      </c>
      <c r="U671" t="inlineStr">
        <is>
          <t>2026-10-04</t>
        </is>
      </c>
      <c r="V671" t="inlineStr"/>
    </row>
    <row r="672">
      <c r="A672" t="n">
        <v>38</v>
      </c>
      <c r="B672" t="inlineStr">
        <is>
          <t>Veligandu Maldives Resort Island</t>
        </is>
      </c>
      <c r="C672" t="inlineStr">
        <is>
          <t>map</t>
        </is>
      </c>
      <c r="D672" t="inlineStr">
        <is>
          <t>2024_Veligandu-Island-Map-290724.pdf</t>
        </is>
      </c>
      <c r="E672" t="n">
        <v>2024</v>
      </c>
      <c r="H672" t="n">
        <v>1</v>
      </c>
      <c r="I672" t="n">
        <v>1012</v>
      </c>
      <c r="J672" t="inlineStr">
        <is>
          <t>N</t>
        </is>
      </c>
      <c r="K672" t="inlineStr">
        <is>
          <t>sales.crownandchamparesorts.com</t>
        </is>
      </c>
      <c r="L672" t="inlineStr">
        <is>
          <t>brand-cdn</t>
        </is>
      </c>
      <c r="M672" t="inlineStr">
        <is>
          <t>https://sales.crownandchamparesorts.com/wp-content/uploads/2025/06/Veligandu-Island-Map-290724.pdf</t>
        </is>
      </c>
      <c r="N672" t="inlineStr">
        <is>
          <t>https://sales.crownandchamparesorts.com/wp-content/uploads/2025/06/Veligandu-Island-Map-290724.pdf</t>
        </is>
      </c>
      <c r="O672" t="inlineStr">
        <is>
          <t>dceeaeb28b408bf03995679784cfa56c97434293c6b21b340327692ecebb4876</t>
        </is>
      </c>
      <c r="P672" t="inlineStr">
        <is>
          <t>library/038_veligandu-maldives-resort-island/map/2024_Veligandu-Island-Map-290724.pdf</t>
        </is>
      </c>
      <c r="R672" t="inlineStr">
        <is>
          <t>outdated</t>
        </is>
      </c>
      <c r="S672" t="inlineStr">
        <is>
          <t>N</t>
        </is>
      </c>
      <c r="T672" t="inlineStr">
        <is>
          <t>matched</t>
        </is>
      </c>
      <c r="U672" t="inlineStr">
        <is>
          <t>2026-10-04</t>
        </is>
      </c>
      <c r="V672" t="inlineStr"/>
    </row>
    <row r="673">
      <c r="A673" t="n">
        <v>38</v>
      </c>
      <c r="B673" t="inlineStr">
        <is>
          <t>Veligandu Maldives Resort Island</t>
        </is>
      </c>
      <c r="C673" t="inlineStr">
        <is>
          <t>map</t>
        </is>
      </c>
      <c r="D673" t="inlineStr">
        <is>
          <t>2024_Veli-FloorPlan3D_Rev062524.pdf</t>
        </is>
      </c>
      <c r="E673" t="n">
        <v>2024</v>
      </c>
      <c r="H673" t="n">
        <v>9</v>
      </c>
      <c r="I673" t="n">
        <v>2609</v>
      </c>
      <c r="J673" t="inlineStr">
        <is>
          <t>Y</t>
        </is>
      </c>
      <c r="K673" t="inlineStr">
        <is>
          <t>veligandu.com</t>
        </is>
      </c>
      <c r="L673" t="inlineStr">
        <is>
          <t>official</t>
        </is>
      </c>
      <c r="M673" t="inlineStr">
        <is>
          <t>https://veligandu.com/wp-content/uploads/2024/09/Veli-FloorPlan3D_Rev062524.pdf</t>
        </is>
      </c>
      <c r="N673" t="inlineStr">
        <is>
          <t>https://veligandu.com/wp-content/uploads/2024/09/Veli-FloorPlan3D_Rev062524.pdf</t>
        </is>
      </c>
      <c r="O673" t="inlineStr">
        <is>
          <t>f79a1c1fae227dce6cd014ab5f192c600d51566c01c18411ceea345d36d2901f</t>
        </is>
      </c>
      <c r="P673" t="inlineStr">
        <is>
          <t>library/038_veligandu-maldives-resort-island/map/2024_Veli-FloorPlan3D_Rev062524.pdf</t>
        </is>
      </c>
      <c r="R673" t="inlineStr">
        <is>
          <t>outdated</t>
        </is>
      </c>
      <c r="S673" t="inlineStr">
        <is>
          <t>N</t>
        </is>
      </c>
      <c r="T673" t="inlineStr">
        <is>
          <t>matched</t>
        </is>
      </c>
      <c r="U673" t="inlineStr">
        <is>
          <t>2026-10-04</t>
        </is>
      </c>
      <c r="V673" t="inlineStr"/>
    </row>
    <row r="674">
      <c r="A674" t="n">
        <v>38</v>
      </c>
      <c r="B674" t="inlineStr">
        <is>
          <t>Veligandu Maldives Resort Island</t>
        </is>
      </c>
      <c r="C674" t="inlineStr">
        <is>
          <t>map</t>
        </is>
      </c>
      <c r="D674" t="inlineStr">
        <is>
          <t>2019_IslandMapColourRev060219.pdf</t>
        </is>
      </c>
      <c r="E674" t="n">
        <v>2019</v>
      </c>
      <c r="H674" t="n">
        <v>1</v>
      </c>
      <c r="I674" t="n">
        <v>70</v>
      </c>
      <c r="J674" t="inlineStr">
        <is>
          <t>Y</t>
        </is>
      </c>
      <c r="K674" t="inlineStr">
        <is>
          <t>sales.crownandchamparesorts.com</t>
        </is>
      </c>
      <c r="L674" t="inlineStr">
        <is>
          <t>brand-cdn</t>
        </is>
      </c>
      <c r="M674" t="inlineStr">
        <is>
          <t>https://sales.crownandchamparesorts.com/wp-content/uploads/2018/03/IslandMapColourRev060219.pdf</t>
        </is>
      </c>
      <c r="N674" t="inlineStr">
        <is>
          <t>https://sales.crownandchamparesorts.com/wp-content/uploads/2018/03/IslandMapColourRev060219.pdf</t>
        </is>
      </c>
      <c r="O674" t="inlineStr">
        <is>
          <t>b46067de679f1783d5b0bae639d967585c5f2896315aa7e1bc7de87c0749e853</t>
        </is>
      </c>
      <c r="P674" t="inlineStr">
        <is>
          <t>library/038_veligandu-maldives-resort-island/map/2019_IslandMapColourRev060219.pdf</t>
        </is>
      </c>
      <c r="R674" t="inlineStr">
        <is>
          <t>outdated</t>
        </is>
      </c>
      <c r="S674" t="inlineStr">
        <is>
          <t>N</t>
        </is>
      </c>
      <c r="T674" t="inlineStr">
        <is>
          <t>needs-review</t>
        </is>
      </c>
      <c r="U674" t="inlineStr">
        <is>
          <t>2026-10-04</t>
        </is>
      </c>
      <c r="V674" t="inlineStr">
        <is>
          <t>ambiguous match [38, 159]</t>
        </is>
      </c>
    </row>
    <row r="675">
      <c r="A675" t="n">
        <v>159</v>
      </c>
      <c r="B675" t="inlineStr">
        <is>
          <t>Cinnamon Dhonveli Maldives</t>
        </is>
      </c>
      <c r="C675" t="inlineStr">
        <is>
          <t>map</t>
        </is>
      </c>
      <c r="D675" t="inlineStr">
        <is>
          <t>2019_IslandMapColourRev060219.pdf</t>
        </is>
      </c>
      <c r="E675" t="n">
        <v>2019</v>
      </c>
      <c r="H675" t="n">
        <v>1</v>
      </c>
      <c r="I675" t="n">
        <v>70</v>
      </c>
      <c r="J675" t="inlineStr">
        <is>
          <t>Y</t>
        </is>
      </c>
      <c r="K675" t="inlineStr">
        <is>
          <t>sales.crownandchamparesorts.com</t>
        </is>
      </c>
      <c r="L675" t="inlineStr">
        <is>
          <t>brand-cdn</t>
        </is>
      </c>
      <c r="M675" t="inlineStr">
        <is>
          <t>https://sales.crownandchamparesorts.com/wp-content/uploads/2018/03/IslandMapColourRev060219.pdf</t>
        </is>
      </c>
      <c r="N675" t="inlineStr">
        <is>
          <t>https://sales.crownandchamparesorts.com/wp-content/uploads/2018/03/IslandMapColourRev060219.pdf</t>
        </is>
      </c>
      <c r="O675" t="inlineStr">
        <is>
          <t>b46067de679f1783d5b0bae639d967585c5f2896315aa7e1bc7de87c0749e853</t>
        </is>
      </c>
      <c r="P675" t="inlineStr">
        <is>
          <t>library/038_veligandu-maldives-resort-island/map/2019_IslandMapColourRev060219.pdf</t>
        </is>
      </c>
      <c r="R675" t="inlineStr">
        <is>
          <t>outdated</t>
        </is>
      </c>
      <c r="S675" t="inlineStr">
        <is>
          <t>N</t>
        </is>
      </c>
      <c r="T675" t="inlineStr">
        <is>
          <t>needs-review</t>
        </is>
      </c>
      <c r="U675" t="inlineStr">
        <is>
          <t>2026-10-04</t>
        </is>
      </c>
      <c r="V675" t="inlineStr">
        <is>
          <t>ambiguous match [38, 159]</t>
        </is>
      </c>
    </row>
    <row r="676">
      <c r="A676" t="n">
        <v>38</v>
      </c>
      <c r="B676" t="inlineStr">
        <is>
          <t>Veligandu Maldives Resort Island</t>
        </is>
      </c>
      <c r="C676" t="inlineStr">
        <is>
          <t>map</t>
        </is>
      </c>
      <c r="D676" t="inlineStr">
        <is>
          <t>2017_MapVeliganduColor110117.pdf</t>
        </is>
      </c>
      <c r="E676" t="n">
        <v>2017</v>
      </c>
      <c r="H676" t="n">
        <v>1</v>
      </c>
      <c r="I676" t="n">
        <v>84</v>
      </c>
      <c r="J676" t="inlineStr">
        <is>
          <t>Y</t>
        </is>
      </c>
      <c r="K676" t="inlineStr">
        <is>
          <t>sales.crownandchamparesorts.com</t>
        </is>
      </c>
      <c r="L676" t="inlineStr">
        <is>
          <t>brand-cdn</t>
        </is>
      </c>
      <c r="M676" t="inlineStr">
        <is>
          <t>https://sales.crownandchamparesorts.com/wp-content/uploads/2018/04/MapVeliganduColor110117.pdf</t>
        </is>
      </c>
      <c r="N676" t="inlineStr">
        <is>
          <t>https://sales.crownandchamparesorts.com/wp-content/uploads/2018/04/MapVeliganduColor110117.pdf</t>
        </is>
      </c>
      <c r="O676" t="inlineStr">
        <is>
          <t>af611da61efadde8cf8d0b493c7d4fa80e881aaeb4c87e0a850c336d6d49c3d3</t>
        </is>
      </c>
      <c r="P676" t="inlineStr">
        <is>
          <t>library/038_veligandu-maldives-resort-island/map/2017_MapVeliganduColor110117.pdf</t>
        </is>
      </c>
      <c r="R676" t="inlineStr">
        <is>
          <t>outdated</t>
        </is>
      </c>
      <c r="S676" t="inlineStr">
        <is>
          <t>N</t>
        </is>
      </c>
      <c r="T676" t="inlineStr">
        <is>
          <t>matched</t>
        </is>
      </c>
      <c r="U676" t="inlineStr">
        <is>
          <t>2026-10-04</t>
        </is>
      </c>
      <c r="V676" t="inlineStr"/>
    </row>
    <row r="677">
      <c r="A677" t="n">
        <v>38</v>
      </c>
      <c r="B677" t="inlineStr">
        <is>
          <t>Veligandu Maldives Resort Island</t>
        </is>
      </c>
      <c r="C677" t="inlineStr">
        <is>
          <t>dive_map</t>
        </is>
      </c>
      <c r="D677" t="inlineStr">
        <is>
          <t>2026_Veli-IslandSnorkelingMapFY2026Ver092126.pdf</t>
        </is>
      </c>
      <c r="E677" t="n">
        <v>2026</v>
      </c>
      <c r="H677" t="n">
        <v>1</v>
      </c>
      <c r="I677" t="n">
        <v>469</v>
      </c>
      <c r="J677" t="inlineStr">
        <is>
          <t>N</t>
        </is>
      </c>
      <c r="K677" t="inlineStr">
        <is>
          <t>veligandu.com</t>
        </is>
      </c>
      <c r="L677" t="inlineStr">
        <is>
          <t>official</t>
        </is>
      </c>
      <c r="M677" t="inlineStr">
        <is>
          <t>https://veligandu.com/wp-content/uploads/2026/09/Veli-IslandSnorkelingMapFY2026Ver092126.pdf</t>
        </is>
      </c>
      <c r="N677" t="inlineStr">
        <is>
          <t>https://veligandu.com/wp-content/uploads/2026/09/Veli-IslandSnorkelingMapFY2026Ver092126.pdf</t>
        </is>
      </c>
      <c r="O677" t="inlineStr">
        <is>
          <t>dede035755fdc865fc52d1958a12b570f75e7fea8401af22bf013e70828d4eda</t>
        </is>
      </c>
      <c r="P677" t="inlineStr">
        <is>
          <t>library/038_veligandu-maldives-resort-island/dive_map/2026_Veli-IslandSnorkelingMapFY2026Ver092126.pdf</t>
        </is>
      </c>
      <c r="R677" t="inlineStr">
        <is>
          <t>current</t>
        </is>
      </c>
      <c r="S677" t="inlineStr">
        <is>
          <t>Y</t>
        </is>
      </c>
      <c r="T677" t="inlineStr">
        <is>
          <t>matched</t>
        </is>
      </c>
      <c r="U677" t="inlineStr">
        <is>
          <t>2026-10-04</t>
        </is>
      </c>
      <c r="V677" t="inlineStr"/>
    </row>
    <row r="678">
      <c r="A678" t="n">
        <v>38</v>
      </c>
      <c r="B678" t="inlineStr">
        <is>
          <t>Veligandu Maldives Resort Island</t>
        </is>
      </c>
      <c r="C678" t="inlineStr">
        <is>
          <t>spa_menu</t>
        </is>
      </c>
      <c r="D678" t="inlineStr">
        <is>
          <t>2025_HimeynSpaMenuVer300425.pdf</t>
        </is>
      </c>
      <c r="E678" t="n">
        <v>2025</v>
      </c>
      <c r="H678" t="n">
        <v>10</v>
      </c>
      <c r="I678" t="n">
        <v>271</v>
      </c>
      <c r="J678" t="inlineStr">
        <is>
          <t>Y</t>
        </is>
      </c>
      <c r="K678" t="inlineStr">
        <is>
          <t>veligandu.com</t>
        </is>
      </c>
      <c r="L678" t="inlineStr">
        <is>
          <t>official</t>
        </is>
      </c>
      <c r="M678" t="inlineStr">
        <is>
          <t>https://veligandu.com/wp-content/uploads/2025/06/HimeynSpaMenuVer300425.pdf</t>
        </is>
      </c>
      <c r="N678" t="inlineStr">
        <is>
          <t>https://veligandu.com/wp-content/uploads/2025/06/HimeynSpaMenuVer300425.pdf</t>
        </is>
      </c>
      <c r="O678" t="inlineStr">
        <is>
          <t>46c9dc9e08245b49edac1172fce5a4b612f61015ee76eeb51f01b6fe307d82b8</t>
        </is>
      </c>
      <c r="P678" t="inlineStr">
        <is>
          <t>library/038_veligandu-maldives-resort-island/spa_menu/2025_HimeynSpaMenuVer300425.pdf</t>
        </is>
      </c>
      <c r="R678" t="inlineStr">
        <is>
          <t>current</t>
        </is>
      </c>
      <c r="S678" t="inlineStr">
        <is>
          <t>Y</t>
        </is>
      </c>
      <c r="T678" t="inlineStr">
        <is>
          <t>matched</t>
        </is>
      </c>
      <c r="U678" t="inlineStr">
        <is>
          <t>2026-10-04</t>
        </is>
      </c>
      <c r="V678" t="inlineStr"/>
    </row>
    <row r="679">
      <c r="A679" t="n">
        <v>38</v>
      </c>
      <c r="B679" t="inlineStr">
        <is>
          <t>Veligandu Maldives Resort Island</t>
        </is>
      </c>
      <c r="C679" t="inlineStr">
        <is>
          <t>dining_menu</t>
        </is>
      </c>
      <c r="D679" t="inlineStr">
        <is>
          <t>2024_Veligandu_TeppanyakiSetMenu_09-11-2024.pdf</t>
        </is>
      </c>
      <c r="E679" t="n">
        <v>2024</v>
      </c>
      <c r="H679" t="n">
        <v>1</v>
      </c>
      <c r="I679" t="n">
        <v>64</v>
      </c>
      <c r="J679" t="inlineStr">
        <is>
          <t>Y</t>
        </is>
      </c>
      <c r="K679" t="inlineStr">
        <is>
          <t>veligandu.com</t>
        </is>
      </c>
      <c r="L679" t="inlineStr">
        <is>
          <t>official</t>
        </is>
      </c>
      <c r="M679" t="inlineStr">
        <is>
          <t>https://veligandu.com/wp-content/uploads/2024/11/Veligandu_TeppanyakiSetMenu_09-11-2024.pdf</t>
        </is>
      </c>
      <c r="N679" t="inlineStr">
        <is>
          <t>https://veligandu.com/wp-content/uploads/2024/11/Veligandu_TeppanyakiSetMenu_09-11-2024.pdf</t>
        </is>
      </c>
      <c r="O679" t="inlineStr">
        <is>
          <t>b2d0ad6860f762472a6b4c5043b12bd9273e97be9968d909cc2198a7a9cbaeb9</t>
        </is>
      </c>
      <c r="P679" t="inlineStr">
        <is>
          <t>library/038_veligandu-maldives-resort-island/dining_menu/2024_Veligandu_TeppanyakiSetMenu_09-11-2024.pdf</t>
        </is>
      </c>
      <c r="R679" t="inlineStr">
        <is>
          <t>outdated</t>
        </is>
      </c>
      <c r="S679" t="inlineStr">
        <is>
          <t>N</t>
        </is>
      </c>
      <c r="T679" t="inlineStr">
        <is>
          <t>matched</t>
        </is>
      </c>
      <c r="U679" t="inlineStr">
        <is>
          <t>2026-10-04</t>
        </is>
      </c>
      <c r="V679" t="inlineStr"/>
    </row>
    <row r="680">
      <c r="A680" t="n">
        <v>38</v>
      </c>
      <c r="B680" t="inlineStr">
        <is>
          <t>Veligandu Maldives Resort Island</t>
        </is>
      </c>
      <c r="C680" t="inlineStr">
        <is>
          <t>dining_menu</t>
        </is>
      </c>
      <c r="D680" t="inlineStr">
        <is>
          <t>2024_Veligandu_SushiSashimiMenu-09-11-2024.pdf</t>
        </is>
      </c>
      <c r="E680" t="n">
        <v>2024</v>
      </c>
      <c r="H680" t="n">
        <v>1</v>
      </c>
      <c r="I680" t="n">
        <v>64</v>
      </c>
      <c r="J680" t="inlineStr">
        <is>
          <t>Y</t>
        </is>
      </c>
      <c r="K680" t="inlineStr">
        <is>
          <t>veligandu.com</t>
        </is>
      </c>
      <c r="L680" t="inlineStr">
        <is>
          <t>official</t>
        </is>
      </c>
      <c r="M680" t="inlineStr">
        <is>
          <t>https://veligandu.com/wp-content/uploads/2024/11/Veligandu_SushiSashimiMenu-09-11-2024.pdf</t>
        </is>
      </c>
      <c r="N680" t="inlineStr">
        <is>
          <t>https://veligandu.com/wp-content/uploads/2024/11/Veligandu_SushiSashimiMenu-09-11-2024.pdf</t>
        </is>
      </c>
      <c r="O680" t="inlineStr">
        <is>
          <t>0f4c6c688b85ed7f3ba845940667acb714c26caffe7b786f9de2a1030802599b</t>
        </is>
      </c>
      <c r="P680" t="inlineStr">
        <is>
          <t>library/038_veligandu-maldives-resort-island/dining_menu/2024_Veligandu_SushiSashimiMenu-09-11-2024.pdf</t>
        </is>
      </c>
      <c r="R680" t="inlineStr">
        <is>
          <t>outdated</t>
        </is>
      </c>
      <c r="S680" t="inlineStr">
        <is>
          <t>N</t>
        </is>
      </c>
      <c r="T680" t="inlineStr">
        <is>
          <t>matched</t>
        </is>
      </c>
      <c r="U680" t="inlineStr">
        <is>
          <t>2026-10-04</t>
        </is>
      </c>
      <c r="V680" t="inlineStr"/>
    </row>
    <row r="681">
      <c r="A681" t="n">
        <v>38</v>
      </c>
      <c r="B681" t="inlineStr">
        <is>
          <t>Veligandu Maldives Resort Island</t>
        </is>
      </c>
      <c r="C681" t="inlineStr">
        <is>
          <t>dining_menu</t>
        </is>
      </c>
      <c r="D681" t="inlineStr">
        <is>
          <t>2024_Veligandu_RaalhuWineMenu_Landscape-09-11-2024.pdf</t>
        </is>
      </c>
      <c r="E681" t="n">
        <v>2024</v>
      </c>
      <c r="H681" t="n">
        <v>8</v>
      </c>
      <c r="I681" t="n">
        <v>188</v>
      </c>
      <c r="J681" t="inlineStr">
        <is>
          <t>Y</t>
        </is>
      </c>
      <c r="K681" t="inlineStr">
        <is>
          <t>veligandu.com</t>
        </is>
      </c>
      <c r="L681" t="inlineStr">
        <is>
          <t>official</t>
        </is>
      </c>
      <c r="M681" t="inlineStr">
        <is>
          <t>https://veligandu.com/wp-content/uploads/2024/11/Veligandu_RaalhuWineMenu_Landscape-09-11-2024.pdf</t>
        </is>
      </c>
      <c r="N681" t="inlineStr">
        <is>
          <t>https://veligandu.com/wp-content/uploads/2024/11/Veligandu_RaalhuWineMenu_Landscape-09-11-2024.pdf</t>
        </is>
      </c>
      <c r="O681" t="inlineStr">
        <is>
          <t>9927097b5c7a5318e35c06e8894c6062fee5f06a5821b1beb1c8dc8cba3bab19</t>
        </is>
      </c>
      <c r="P681" t="inlineStr">
        <is>
          <t>library/038_veligandu-maldives-resort-island/dining_menu/2024_Veligandu_RaalhuWineMenu_Landscape-09-11-2024.pdf</t>
        </is>
      </c>
      <c r="R681" t="inlineStr">
        <is>
          <t>outdated</t>
        </is>
      </c>
      <c r="S681" t="inlineStr">
        <is>
          <t>N</t>
        </is>
      </c>
      <c r="T681" t="inlineStr">
        <is>
          <t>matched</t>
        </is>
      </c>
      <c r="U681" t="inlineStr">
        <is>
          <t>2026-10-04</t>
        </is>
      </c>
      <c r="V681" t="inlineStr"/>
    </row>
    <row r="682">
      <c r="A682" t="n">
        <v>38</v>
      </c>
      <c r="B682" t="inlineStr">
        <is>
          <t>Veligandu Maldives Resort Island</t>
        </is>
      </c>
      <c r="C682" t="inlineStr">
        <is>
          <t>dining_menu</t>
        </is>
      </c>
      <c r="D682" t="inlineStr">
        <is>
          <t>2024_Veligandu_MasterWineMenu_Landscape_09-11-2024.pdf</t>
        </is>
      </c>
      <c r="E682" t="n">
        <v>2024</v>
      </c>
      <c r="H682" t="n">
        <v>15</v>
      </c>
      <c r="I682" t="n">
        <v>258</v>
      </c>
      <c r="J682" t="inlineStr">
        <is>
          <t>Y</t>
        </is>
      </c>
      <c r="K682" t="inlineStr">
        <is>
          <t>veligandu.com</t>
        </is>
      </c>
      <c r="L682" t="inlineStr">
        <is>
          <t>official</t>
        </is>
      </c>
      <c r="M682" t="inlineStr">
        <is>
          <t>https://veligandu.com/wp-content/uploads/2024/11/Veligandu_MasterWineMenu_Landscape_09-11-2024.pdf</t>
        </is>
      </c>
      <c r="N682" t="inlineStr">
        <is>
          <t>https://veligandu.com/wp-content/uploads/2024/11/Veligandu_MasterWineMenu_Landscape_09-11-2024.pdf</t>
        </is>
      </c>
      <c r="O682" t="inlineStr">
        <is>
          <t>f1fd7c8a1e2a96d8e35f7eb6f46b70d59c902b6e357266940049558f271a44f6</t>
        </is>
      </c>
      <c r="P682" t="inlineStr">
        <is>
          <t>library/038_veligandu-maldives-resort-island/dining_menu/2024_Veligandu_MasterWineMenu_Landscape_09-11-2024.pdf</t>
        </is>
      </c>
      <c r="R682" t="inlineStr">
        <is>
          <t>outdated</t>
        </is>
      </c>
      <c r="S682" t="inlineStr">
        <is>
          <t>Y</t>
        </is>
      </c>
      <c r="T682" t="inlineStr">
        <is>
          <t>matched</t>
        </is>
      </c>
      <c r="U682" t="inlineStr">
        <is>
          <t>2026-10-04</t>
        </is>
      </c>
      <c r="V682" t="inlineStr"/>
    </row>
    <row r="683">
      <c r="A683" t="n">
        <v>38</v>
      </c>
      <c r="B683" t="inlineStr">
        <is>
          <t>Veligandu Maldives Resort Island</t>
        </is>
      </c>
      <c r="C683" t="inlineStr">
        <is>
          <t>dining_menu</t>
        </is>
      </c>
      <c r="D683" t="inlineStr">
        <is>
          <t>2024_Veligandu_MadivaruWineMenu_Landscape_09-11-2024.pdf</t>
        </is>
      </c>
      <c r="E683" t="n">
        <v>2024</v>
      </c>
      <c r="H683" t="n">
        <v>9</v>
      </c>
      <c r="I683" t="n">
        <v>349</v>
      </c>
      <c r="J683" t="inlineStr">
        <is>
          <t>Y</t>
        </is>
      </c>
      <c r="K683" t="inlineStr">
        <is>
          <t>veligandu.com</t>
        </is>
      </c>
      <c r="L683" t="inlineStr">
        <is>
          <t>official</t>
        </is>
      </c>
      <c r="M683" t="inlineStr">
        <is>
          <t>https://veligandu.com/wp-content/uploads/2024/11/Veligandu_MadivaruWineMenu_Landscape_09-11-2024.pdf</t>
        </is>
      </c>
      <c r="N683" t="inlineStr">
        <is>
          <t>https://veligandu.com/wp-content/uploads/2024/11/Veligandu_MadivaruWineMenu_Landscape_09-11-2024.pdf</t>
        </is>
      </c>
      <c r="O683" t="inlineStr">
        <is>
          <t>9fb5001fa26f5a4e331f7114e8e66ba458047ddb109c62ca4099057869c602fa</t>
        </is>
      </c>
      <c r="P683" t="inlineStr">
        <is>
          <t>library/038_veligandu-maldives-resort-island/dining_menu/2024_Veligandu_MadivaruWineMenu_Landscape_09-11-2024.pdf</t>
        </is>
      </c>
      <c r="R683" t="inlineStr">
        <is>
          <t>outdated</t>
        </is>
      </c>
      <c r="S683" t="inlineStr">
        <is>
          <t>N</t>
        </is>
      </c>
      <c r="T683" t="inlineStr">
        <is>
          <t>matched</t>
        </is>
      </c>
      <c r="U683" t="inlineStr">
        <is>
          <t>2026-10-04</t>
        </is>
      </c>
      <c r="V683" t="inlineStr"/>
    </row>
    <row r="684">
      <c r="A684" t="n">
        <v>38</v>
      </c>
      <c r="B684" t="inlineStr">
        <is>
          <t>Veligandu Maldives Resort Island</t>
        </is>
      </c>
      <c r="C684" t="inlineStr">
        <is>
          <t>dining_menu</t>
        </is>
      </c>
      <c r="D684" t="inlineStr">
        <is>
          <t>2024_Veligandu_MadivaruFoodMenu_09-11-2024.pdf</t>
        </is>
      </c>
      <c r="E684" t="n">
        <v>2024</v>
      </c>
      <c r="H684" t="n">
        <v>2</v>
      </c>
      <c r="I684" t="n">
        <v>263</v>
      </c>
      <c r="J684" t="inlineStr">
        <is>
          <t>Y</t>
        </is>
      </c>
      <c r="K684" t="inlineStr">
        <is>
          <t>veligandu.com</t>
        </is>
      </c>
      <c r="L684" t="inlineStr">
        <is>
          <t>official</t>
        </is>
      </c>
      <c r="M684" t="inlineStr">
        <is>
          <t>https://veligandu.com/wp-content/uploads/2024/11/Veligandu_MadivaruFoodMenu_09-11-2024.pdf</t>
        </is>
      </c>
      <c r="N684" t="inlineStr">
        <is>
          <t>https://veligandu.com/wp-content/uploads/2024/11/Veligandu_MadivaruFoodMenu_09-11-2024.pdf</t>
        </is>
      </c>
      <c r="O684" t="inlineStr">
        <is>
          <t>5dca7d20694b9e9578b3439c51d88c00ea9a87000408e0a26a46134029e54df7</t>
        </is>
      </c>
      <c r="P684" t="inlineStr">
        <is>
          <t>library/038_veligandu-maldives-resort-island/dining_menu/2024_Veligandu_MadivaruFoodMenu_09-11-2024.pdf</t>
        </is>
      </c>
      <c r="R684" t="inlineStr">
        <is>
          <t>outdated</t>
        </is>
      </c>
      <c r="S684" t="inlineStr">
        <is>
          <t>N</t>
        </is>
      </c>
      <c r="T684" t="inlineStr">
        <is>
          <t>matched</t>
        </is>
      </c>
      <c r="U684" t="inlineStr">
        <is>
          <t>2026-10-04</t>
        </is>
      </c>
      <c r="V684" t="inlineStr"/>
    </row>
    <row r="685">
      <c r="A685" t="n">
        <v>38</v>
      </c>
      <c r="B685" t="inlineStr">
        <is>
          <t>Veligandu Maldives Resort Island</t>
        </is>
      </c>
      <c r="C685" t="inlineStr">
        <is>
          <t>dining_menu</t>
        </is>
      </c>
      <c r="D685" t="inlineStr">
        <is>
          <t>2024_Veligandu_IVD-Menu_09-11-2024.pdf</t>
        </is>
      </c>
      <c r="E685" t="n">
        <v>2024</v>
      </c>
      <c r="H685" t="n">
        <v>2</v>
      </c>
      <c r="I685" t="n">
        <v>62</v>
      </c>
      <c r="J685" t="inlineStr">
        <is>
          <t>Y</t>
        </is>
      </c>
      <c r="K685" t="inlineStr">
        <is>
          <t>veligandu.com</t>
        </is>
      </c>
      <c r="L685" t="inlineStr">
        <is>
          <t>official</t>
        </is>
      </c>
      <c r="M685" t="inlineStr">
        <is>
          <t>https://veligandu.com/wp-content/uploads/2024/11/Veligandu_IVD-Menu_09-11-2024.pdf</t>
        </is>
      </c>
      <c r="N685" t="inlineStr">
        <is>
          <t>https://veligandu.com/wp-content/uploads/2024/11/Veligandu_IVD-Menu_09-11-2024.pdf</t>
        </is>
      </c>
      <c r="O685" t="inlineStr">
        <is>
          <t>9de4e2d91667a92714a789a7b8d7dbc6cc3ee74439b78777048b9cab57e07127</t>
        </is>
      </c>
      <c r="P685" t="inlineStr">
        <is>
          <t>library/038_veligandu-maldives-resort-island/dining_menu/2024_Veligandu_IVD-Menu_09-11-2024.pdf</t>
        </is>
      </c>
      <c r="R685" t="inlineStr">
        <is>
          <t>outdated</t>
        </is>
      </c>
      <c r="S685" t="inlineStr">
        <is>
          <t>N</t>
        </is>
      </c>
      <c r="T685" t="inlineStr">
        <is>
          <t>matched</t>
        </is>
      </c>
      <c r="U685" t="inlineStr">
        <is>
          <t>2026-10-04</t>
        </is>
      </c>
      <c r="V685" t="inlineStr"/>
    </row>
    <row r="686">
      <c r="A686" t="n">
        <v>38</v>
      </c>
      <c r="B686" t="inlineStr">
        <is>
          <t>Veligandu Maldives Resort Island</t>
        </is>
      </c>
      <c r="C686" t="inlineStr">
        <is>
          <t>dining_menu</t>
        </is>
      </c>
      <c r="D686" t="inlineStr">
        <is>
          <t>2023_MasterWineList_050226.pdf</t>
        </is>
      </c>
      <c r="E686" t="n">
        <v>2023</v>
      </c>
      <c r="H686" t="n">
        <v>13</v>
      </c>
      <c r="I686" t="n">
        <v>675</v>
      </c>
      <c r="J686" t="inlineStr">
        <is>
          <t>Y</t>
        </is>
      </c>
      <c r="K686" t="inlineStr">
        <is>
          <t>veligandu.com</t>
        </is>
      </c>
      <c r="L686" t="inlineStr">
        <is>
          <t>official</t>
        </is>
      </c>
      <c r="M686" t="inlineStr">
        <is>
          <t>https://veligandu.com/wp-content/uploads/2026/05/MasterWineList_050226.pdf</t>
        </is>
      </c>
      <c r="N686" t="inlineStr">
        <is>
          <t>https://veligandu.com/wp-content/uploads/2026/05/MasterWineList_050226.pdf</t>
        </is>
      </c>
      <c r="O686" t="inlineStr">
        <is>
          <t>de7b3e4be2799e10230b5049ee6026eefcd383d4bd976b8f6b66a34d50994abc</t>
        </is>
      </c>
      <c r="P686" t="inlineStr">
        <is>
          <t>library/038_veligandu-maldives-resort-island/dining_menu/2023_MasterWineList_050226.pdf</t>
        </is>
      </c>
      <c r="R686" t="inlineStr">
        <is>
          <t>outdated</t>
        </is>
      </c>
      <c r="S686" t="inlineStr">
        <is>
          <t>N</t>
        </is>
      </c>
      <c r="T686" t="inlineStr">
        <is>
          <t>matched</t>
        </is>
      </c>
      <c r="U686" t="inlineStr">
        <is>
          <t>2026-10-04</t>
        </is>
      </c>
      <c r="V686" t="inlineStr"/>
    </row>
    <row r="687">
      <c r="A687" t="n">
        <v>38</v>
      </c>
      <c r="B687" t="inlineStr">
        <is>
          <t>Veligandu Maldives Resort Island</t>
        </is>
      </c>
      <c r="C687" t="inlineStr">
        <is>
          <t>dining_menu</t>
        </is>
      </c>
      <c r="D687" t="inlineStr">
        <is>
          <t>2022_MasterWineList_030326.pdf</t>
        </is>
      </c>
      <c r="E687" t="n">
        <v>2022</v>
      </c>
      <c r="H687" t="n">
        <v>14</v>
      </c>
      <c r="I687" t="n">
        <v>396</v>
      </c>
      <c r="J687" t="inlineStr">
        <is>
          <t>Y</t>
        </is>
      </c>
      <c r="K687" t="inlineStr">
        <is>
          <t>veligandu.com</t>
        </is>
      </c>
      <c r="L687" t="inlineStr">
        <is>
          <t>official</t>
        </is>
      </c>
      <c r="M687" t="inlineStr">
        <is>
          <t>https://veligandu.com/wp-content/uploads/2026/05/MasterWineList_030326.pdf</t>
        </is>
      </c>
      <c r="N687" t="inlineStr">
        <is>
          <t>https://veligandu.com/wp-content/uploads/2026/05/MasterWineList_030326.pdf</t>
        </is>
      </c>
      <c r="O687" t="inlineStr">
        <is>
          <t>a67fa2555b873f86751c8ae3788bbb2e7b11d9b2ae9ff89ea6d90c9d48f0c44c</t>
        </is>
      </c>
      <c r="P687" t="inlineStr">
        <is>
          <t>library/038_veligandu-maldives-resort-island/dining_menu/2022_MasterWineList_030326.pdf</t>
        </is>
      </c>
      <c r="R687" t="inlineStr">
        <is>
          <t>outdated</t>
        </is>
      </c>
      <c r="S687" t="inlineStr">
        <is>
          <t>N</t>
        </is>
      </c>
      <c r="T687" t="inlineStr">
        <is>
          <t>matched</t>
        </is>
      </c>
      <c r="U687" t="inlineStr">
        <is>
          <t>2026-10-04</t>
        </is>
      </c>
      <c r="V687" t="inlineStr"/>
    </row>
    <row r="688">
      <c r="A688" t="n">
        <v>38</v>
      </c>
      <c r="B688" t="inlineStr">
        <is>
          <t>Veligandu Maldives Resort Island</t>
        </is>
      </c>
      <c r="C688" t="inlineStr">
        <is>
          <t>dive_prices</t>
        </is>
      </c>
      <c r="D688" t="inlineStr">
        <is>
          <t>2026_VeliExcursionPriceList2026_010126-123126.pdf</t>
        </is>
      </c>
      <c r="E688" t="n">
        <v>2026</v>
      </c>
      <c r="H688" t="n">
        <v>1</v>
      </c>
      <c r="I688" t="n">
        <v>63</v>
      </c>
      <c r="J688" t="inlineStr">
        <is>
          <t>Y</t>
        </is>
      </c>
      <c r="K688" t="inlineStr">
        <is>
          <t>veligandu.com</t>
        </is>
      </c>
      <c r="L688" t="inlineStr">
        <is>
          <t>official</t>
        </is>
      </c>
      <c r="M688" t="inlineStr">
        <is>
          <t>https://veligandu.com/wp-content/uploads/2026/01/VeliExcursionPriceList2026_010126-123126.pdf</t>
        </is>
      </c>
      <c r="N688" t="inlineStr">
        <is>
          <t>https://veligandu.com/wp-content/uploads/2026/01/VeliExcursionPriceList2026_010126-123126.pdf</t>
        </is>
      </c>
      <c r="O688" t="inlineStr">
        <is>
          <t>08b9bebd294b938426ecd5f04046d7262560ab5ecc031db015dec9b05b720593</t>
        </is>
      </c>
      <c r="P688" t="inlineStr">
        <is>
          <t>library/038_veligandu-maldives-resort-island/dive_prices/2026_VeliExcursionPriceList2026_010126-123126.pdf</t>
        </is>
      </c>
      <c r="R688" t="inlineStr">
        <is>
          <t>current</t>
        </is>
      </c>
      <c r="S688" t="inlineStr">
        <is>
          <t>N</t>
        </is>
      </c>
      <c r="T688" t="inlineStr">
        <is>
          <t>matched</t>
        </is>
      </c>
      <c r="U688" t="inlineStr">
        <is>
          <t>2026-10-04</t>
        </is>
      </c>
      <c r="V688" t="inlineStr"/>
    </row>
    <row r="689">
      <c r="A689" t="n">
        <v>38</v>
      </c>
      <c r="B689" t="inlineStr">
        <is>
          <t>Veligandu Maldives Resort Island</t>
        </is>
      </c>
      <c r="C689" t="inlineStr">
        <is>
          <t>dive_prices</t>
        </is>
      </c>
      <c r="D689" t="inlineStr">
        <is>
          <t>2026_VeliWaterSportsCentre2026_010126-123126.pdf</t>
        </is>
      </c>
      <c r="E689" t="n">
        <v>2026</v>
      </c>
      <c r="H689" t="n">
        <v>17</v>
      </c>
      <c r="I689" t="n">
        <v>26859</v>
      </c>
      <c r="J689" t="inlineStr">
        <is>
          <t>Y</t>
        </is>
      </c>
      <c r="K689" t="inlineStr">
        <is>
          <t>veligandu.com</t>
        </is>
      </c>
      <c r="L689" t="inlineStr">
        <is>
          <t>official</t>
        </is>
      </c>
      <c r="M689" t="inlineStr">
        <is>
          <t>https://veligandu.com/wp-content/uploads/2026/01/VeliWaterSportsCentre2026_010126-123126.pdf</t>
        </is>
      </c>
      <c r="N689" t="inlineStr">
        <is>
          <t>https://veligandu.com/wp-content/uploads/2026/01/VeliWaterSportsCentre2026_010126-123126.pdf</t>
        </is>
      </c>
      <c r="O689" t="inlineStr">
        <is>
          <t>9f8c67f880aaab787c9ec660fe170e3d6812609ef75e5872d3e40c78e18ea3de</t>
        </is>
      </c>
      <c r="P689" t="inlineStr">
        <is>
          <t>library/038_veligandu-maldives-resort-island/dive_prices/2026_VeliWaterSportsCentre2026_010126-123126.pdf</t>
        </is>
      </c>
      <c r="R689" t="inlineStr">
        <is>
          <t>current</t>
        </is>
      </c>
      <c r="S689" t="inlineStr">
        <is>
          <t>Y</t>
        </is>
      </c>
      <c r="T689" t="inlineStr">
        <is>
          <t>matched</t>
        </is>
      </c>
      <c r="U689" t="inlineStr">
        <is>
          <t>2026-10-04</t>
        </is>
      </c>
      <c r="V689" t="inlineStr"/>
    </row>
    <row r="690">
      <c r="A690" t="n">
        <v>38</v>
      </c>
      <c r="B690" t="inlineStr">
        <is>
          <t>Veligandu Maldives Resort Island</t>
        </is>
      </c>
      <c r="C690" t="inlineStr">
        <is>
          <t>dive_prices</t>
        </is>
      </c>
      <c r="D690" t="inlineStr">
        <is>
          <t>2026_VMomentsPacakgesVer041525.pdf</t>
        </is>
      </c>
      <c r="E690" t="n">
        <v>2026</v>
      </c>
      <c r="H690" t="n">
        <v>2</v>
      </c>
      <c r="I690" t="n">
        <v>46</v>
      </c>
      <c r="J690" t="inlineStr">
        <is>
          <t>Y</t>
        </is>
      </c>
      <c r="K690" t="inlineStr">
        <is>
          <t>veligandu.com</t>
        </is>
      </c>
      <c r="L690" t="inlineStr">
        <is>
          <t>official</t>
        </is>
      </c>
      <c r="M690" t="inlineStr">
        <is>
          <t>https://veligandu.com/wp-content/uploads/2025/06/VMomentsPacakgesVer041525.pdf</t>
        </is>
      </c>
      <c r="N690" t="inlineStr">
        <is>
          <t>https://veligandu.com/wp-content/uploads/2025/06/VMomentsPacakgesVer041525.pdf</t>
        </is>
      </c>
      <c r="O690" t="inlineStr">
        <is>
          <t>9495f4db9a30b474330c2f4cbbffb0fc635154380a56ca96addb3b5708043872</t>
        </is>
      </c>
      <c r="P690" t="inlineStr">
        <is>
          <t>library/038_veligandu-maldives-resort-island/dive_prices/2026_VMomentsPacakgesVer041525.pdf</t>
        </is>
      </c>
      <c r="R690" t="inlineStr">
        <is>
          <t>current</t>
        </is>
      </c>
      <c r="S690" t="inlineStr">
        <is>
          <t>N</t>
        </is>
      </c>
      <c r="T690" t="inlineStr">
        <is>
          <t>matched</t>
        </is>
      </c>
      <c r="U690" t="inlineStr">
        <is>
          <t>2026-10-04</t>
        </is>
      </c>
      <c r="V690" t="inlineStr"/>
    </row>
    <row r="691">
      <c r="A691" t="n">
        <v>38</v>
      </c>
      <c r="B691" t="inlineStr">
        <is>
          <t>Veligandu Maldives Resort Island</t>
        </is>
      </c>
      <c r="C691" t="inlineStr">
        <is>
          <t>dive_prices</t>
        </is>
      </c>
      <c r="D691" t="inlineStr">
        <is>
          <t>2026_VeliDiveCentreCatalogue2026_010126-123126.pdf</t>
        </is>
      </c>
      <c r="E691" t="n">
        <v>2026</v>
      </c>
      <c r="H691" t="n">
        <v>11</v>
      </c>
      <c r="I691" t="n">
        <v>46704</v>
      </c>
      <c r="J691" t="inlineStr">
        <is>
          <t>Y</t>
        </is>
      </c>
      <c r="K691" t="inlineStr">
        <is>
          <t>veligandu.com</t>
        </is>
      </c>
      <c r="L691" t="inlineStr">
        <is>
          <t>official</t>
        </is>
      </c>
      <c r="M691" t="inlineStr">
        <is>
          <t>https://veligandu.com/wp-content/uploads/2026/01/VeliDiveCentreCatalogue2026_010126-123126.pdf</t>
        </is>
      </c>
      <c r="N691" t="inlineStr">
        <is>
          <t>https://veligandu.com/wp-content/uploads/2026/01/VeliDiveCentreCatalogue2026_010126-123126.pdf</t>
        </is>
      </c>
      <c r="O691" t="inlineStr">
        <is>
          <t>be4ec7b5b9a6a82519c72f799060834e5f63199aa421d3d42db8b3c5f1b3c152</t>
        </is>
      </c>
      <c r="P691" t="inlineStr">
        <is>
          <t>library/038_veligandu-maldives-resort-island/dive_prices/2026_VeliDiveCentreCatalogue2026_010126-123126.pdf</t>
        </is>
      </c>
      <c r="R691" t="inlineStr">
        <is>
          <t>current</t>
        </is>
      </c>
      <c r="S691" t="inlineStr">
        <is>
          <t>N</t>
        </is>
      </c>
      <c r="T691" t="inlineStr">
        <is>
          <t>matched</t>
        </is>
      </c>
      <c r="U691" t="inlineStr">
        <is>
          <t>2026-10-04</t>
        </is>
      </c>
      <c r="V691" t="inlineStr"/>
    </row>
    <row r="692">
      <c r="A692" t="n">
        <v>38</v>
      </c>
      <c r="B692" t="inlineStr">
        <is>
          <t>Veligandu Maldives Resort Island</t>
        </is>
      </c>
      <c r="C692" t="inlineStr">
        <is>
          <t>dive_prices</t>
        </is>
      </c>
      <c r="D692" t="inlineStr">
        <is>
          <t>2025_Veli-ExcursionPriceList110125103126_Rev050126.pdf</t>
        </is>
      </c>
      <c r="E692" t="n">
        <v>2025</v>
      </c>
      <c r="F692" t="inlineStr">
        <is>
          <t>2025-11-01</t>
        </is>
      </c>
      <c r="G692" t="inlineStr">
        <is>
          <t>2026-10-31</t>
        </is>
      </c>
      <c r="H692" t="n">
        <v>1</v>
      </c>
      <c r="I692" t="n">
        <v>65</v>
      </c>
      <c r="J692" t="inlineStr">
        <is>
          <t>Y</t>
        </is>
      </c>
      <c r="K692" t="inlineStr">
        <is>
          <t>veligandu.com</t>
        </is>
      </c>
      <c r="L692" t="inlineStr">
        <is>
          <t>official</t>
        </is>
      </c>
      <c r="M692" t="inlineStr">
        <is>
          <t>https://veligandu.com/wp-content/uploads/2026/05/Veli-ExcursionPriceList110125103126_Rev050126.pdf</t>
        </is>
      </c>
      <c r="N692" t="inlineStr">
        <is>
          <t>https://veligandu.com/wp-content/uploads/2026/05/Veli-ExcursionPriceList110125103126_Rev050126.pdf</t>
        </is>
      </c>
      <c r="O692" t="inlineStr">
        <is>
          <t>515a16443b3c0312c5868d2595ff1661f4a3fca4f57b30229da21ca0a5cd4a52</t>
        </is>
      </c>
      <c r="P692" t="inlineStr">
        <is>
          <t>library/038_veligandu-maldives-resort-island/dive_prices/2025_Veli-ExcursionPriceList110125103126_Rev050126.pdf</t>
        </is>
      </c>
      <c r="R692" t="inlineStr">
        <is>
          <t>current</t>
        </is>
      </c>
      <c r="S692" t="inlineStr">
        <is>
          <t>N</t>
        </is>
      </c>
      <c r="T692" t="inlineStr">
        <is>
          <t>matched</t>
        </is>
      </c>
      <c r="U692" t="inlineStr">
        <is>
          <t>2026-10-04</t>
        </is>
      </c>
      <c r="V692" t="inlineStr"/>
    </row>
    <row r="693">
      <c r="A693" t="n">
        <v>38</v>
      </c>
      <c r="B693" t="inlineStr">
        <is>
          <t>Veligandu Maldives Resort Island</t>
        </is>
      </c>
      <c r="C693" t="inlineStr">
        <is>
          <t>dive_prices</t>
        </is>
      </c>
      <c r="D693" t="inlineStr">
        <is>
          <t>2025_Veli-DiveCenterCatalog110125103126_Rev050126.pdf</t>
        </is>
      </c>
      <c r="E693" t="n">
        <v>2025</v>
      </c>
      <c r="F693" t="inlineStr">
        <is>
          <t>2025-11-01</t>
        </is>
      </c>
      <c r="G693" t="inlineStr">
        <is>
          <t>2026-10-31</t>
        </is>
      </c>
      <c r="H693" t="n">
        <v>11</v>
      </c>
      <c r="I693" t="n">
        <v>17934</v>
      </c>
      <c r="J693" t="inlineStr">
        <is>
          <t>Y</t>
        </is>
      </c>
      <c r="K693" t="inlineStr">
        <is>
          <t>veligandu.com</t>
        </is>
      </c>
      <c r="L693" t="inlineStr">
        <is>
          <t>official</t>
        </is>
      </c>
      <c r="M693" t="inlineStr">
        <is>
          <t>https://veligandu.com/wp-content/uploads/2026/05/Veli-DiveCenterCatalog110125103126_Rev050126.pdf</t>
        </is>
      </c>
      <c r="N693" t="inlineStr">
        <is>
          <t>https://veligandu.com/wp-content/uploads/2026/05/Veli-DiveCenterCatalog110125103126_Rev050126.pdf</t>
        </is>
      </c>
      <c r="O693" t="inlineStr">
        <is>
          <t>65cbaf428339a160e127ead2a9ebb82ec7569366d12174ba074c3c33cce978fa</t>
        </is>
      </c>
      <c r="P693" t="inlineStr">
        <is>
          <t>library/038_veligandu-maldives-resort-island/dive_prices/2025_Veli-DiveCenterCatalog110125103126_Rev050126.pdf</t>
        </is>
      </c>
      <c r="R693" t="inlineStr">
        <is>
          <t>current</t>
        </is>
      </c>
      <c r="S693" t="inlineStr">
        <is>
          <t>N</t>
        </is>
      </c>
      <c r="T693" t="inlineStr">
        <is>
          <t>matched</t>
        </is>
      </c>
      <c r="U693" t="inlineStr">
        <is>
          <t>2026-10-04</t>
        </is>
      </c>
      <c r="V693" t="inlineStr"/>
    </row>
    <row r="694">
      <c r="A694" t="n">
        <v>38</v>
      </c>
      <c r="B694" t="inlineStr">
        <is>
          <t>Veligandu Maldives Resort Island</t>
        </is>
      </c>
      <c r="C694" t="inlineStr">
        <is>
          <t>dive_prices</t>
        </is>
      </c>
      <c r="D694" t="inlineStr">
        <is>
          <t>2025_Veli-WaterSportsCatalog110125103126_Rev050126.pdf</t>
        </is>
      </c>
      <c r="E694" t="n">
        <v>2025</v>
      </c>
      <c r="F694" t="inlineStr">
        <is>
          <t>2025-11-01</t>
        </is>
      </c>
      <c r="G694" t="inlineStr">
        <is>
          <t>2026-10-31</t>
        </is>
      </c>
      <c r="H694" t="n">
        <v>17</v>
      </c>
      <c r="I694" t="n">
        <v>9596</v>
      </c>
      <c r="J694" t="inlineStr">
        <is>
          <t>Y</t>
        </is>
      </c>
      <c r="K694" t="inlineStr">
        <is>
          <t>veligandu.com</t>
        </is>
      </c>
      <c r="L694" t="inlineStr">
        <is>
          <t>official</t>
        </is>
      </c>
      <c r="M694" t="inlineStr">
        <is>
          <t>https://veligandu.com/wp-content/uploads/2026/05/Veli-WaterSportsCatalog110125103126_Rev050126.pdf</t>
        </is>
      </c>
      <c r="N694" t="inlineStr">
        <is>
          <t>https://veligandu.com/wp-content/uploads/2026/05/Veli-WaterSportsCatalog110125103126_Rev050126.pdf</t>
        </is>
      </c>
      <c r="O694" t="inlineStr">
        <is>
          <t>fa51dee6a4b1f64e6f907dd345bbf374c90b66694aa0c20dbc882ed908c805f7</t>
        </is>
      </c>
      <c r="P694" t="inlineStr">
        <is>
          <t>library/038_veligandu-maldives-resort-island/dive_prices/2025_Veli-WaterSportsCatalog110125103126_Rev050126.pdf</t>
        </is>
      </c>
      <c r="R694" t="inlineStr">
        <is>
          <t>current</t>
        </is>
      </c>
      <c r="S694" t="inlineStr">
        <is>
          <t>N</t>
        </is>
      </c>
      <c r="T694" t="inlineStr">
        <is>
          <t>matched</t>
        </is>
      </c>
      <c r="U694" t="inlineStr">
        <is>
          <t>2026-10-04</t>
        </is>
      </c>
      <c r="V694" t="inlineStr"/>
    </row>
    <row r="695">
      <c r="A695" t="n">
        <v>38</v>
      </c>
      <c r="B695" t="inlineStr">
        <is>
          <t>Veligandu Maldives Resort Island</t>
        </is>
      </c>
      <c r="C695" t="inlineStr">
        <is>
          <t>dive_prices</t>
        </is>
      </c>
      <c r="D695" t="inlineStr">
        <is>
          <t>2024_15.-Veli-WatersportsCatalog_110124-113024_Rev072424-240924.pdf</t>
        </is>
      </c>
      <c r="E695" t="n">
        <v>2024</v>
      </c>
      <c r="H695" t="n">
        <v>17</v>
      </c>
      <c r="I695" t="n">
        <v>1332</v>
      </c>
      <c r="J695" t="inlineStr">
        <is>
          <t>Y</t>
        </is>
      </c>
      <c r="K695" t="inlineStr">
        <is>
          <t>veligandu.com</t>
        </is>
      </c>
      <c r="L695" t="inlineStr">
        <is>
          <t>official</t>
        </is>
      </c>
      <c r="M695" t="inlineStr">
        <is>
          <t>https://veligandu.com/wp-content/uploads/2024/09/15.-Veli-WatersportsCatalog_110124-113024_Rev072424-240924.pdf</t>
        </is>
      </c>
      <c r="N695" t="inlineStr">
        <is>
          <t>https://veligandu.com/wp-content/uploads/2024/09/15.-Veli-WatersportsCatalog_110124-113024_Rev072424-240924.pdf</t>
        </is>
      </c>
      <c r="O695" t="inlineStr">
        <is>
          <t>ab70d56df22c9e81292eca323fff82ee483a70f44affd6c6b71a646fa7e32eaf</t>
        </is>
      </c>
      <c r="P695" t="inlineStr">
        <is>
          <t>library/038_veligandu-maldives-resort-island/dive_prices/2024_15.-Veli-WatersportsCatalog_110124-113024_Rev072424-240924.pdf</t>
        </is>
      </c>
      <c r="R695" t="inlineStr">
        <is>
          <t>outdated</t>
        </is>
      </c>
      <c r="S695" t="inlineStr">
        <is>
          <t>N</t>
        </is>
      </c>
      <c r="T695" t="inlineStr">
        <is>
          <t>matched</t>
        </is>
      </c>
      <c r="U695" t="inlineStr">
        <is>
          <t>2026-10-04</t>
        </is>
      </c>
      <c r="V695" t="inlineStr"/>
    </row>
    <row r="696">
      <c r="A696" t="n">
        <v>38</v>
      </c>
      <c r="B696" t="inlineStr">
        <is>
          <t>Veligandu Maldives Resort Island</t>
        </is>
      </c>
      <c r="C696" t="inlineStr">
        <is>
          <t>dive_prices</t>
        </is>
      </c>
      <c r="D696" t="inlineStr">
        <is>
          <t>2024_11.-Veli-DiveCatalog_110124-113025_Rev072324_240924.pdf</t>
        </is>
      </c>
      <c r="E696" t="n">
        <v>2024</v>
      </c>
      <c r="H696" t="n">
        <v>11</v>
      </c>
      <c r="I696" t="n">
        <v>1288</v>
      </c>
      <c r="J696" t="inlineStr">
        <is>
          <t>Y</t>
        </is>
      </c>
      <c r="K696" t="inlineStr">
        <is>
          <t>veligandu.com</t>
        </is>
      </c>
      <c r="L696" t="inlineStr">
        <is>
          <t>official</t>
        </is>
      </c>
      <c r="M696" t="inlineStr">
        <is>
          <t>https://veligandu.com/wp-content/uploads/2024/09/11.-Veli-DiveCatalog_110124-113025_Rev072324_240924.pdf</t>
        </is>
      </c>
      <c r="N696" t="inlineStr">
        <is>
          <t>https://veligandu.com/wp-content/uploads/2024/09/11.-Veli-DiveCatalog_110124-113025_Rev072324_240924.pdf</t>
        </is>
      </c>
      <c r="O696" t="inlineStr">
        <is>
          <t>ec246af80ed6b51505136a81a40458e1089fc7f90d7e673fb0fde95a2e009de8</t>
        </is>
      </c>
      <c r="P696" t="inlineStr">
        <is>
          <t>library/038_veligandu-maldives-resort-island/dive_prices/2024_11.-Veli-DiveCatalog_110124-113025_Rev072324_240924.pdf</t>
        </is>
      </c>
      <c r="R696" t="inlineStr">
        <is>
          <t>outdated</t>
        </is>
      </c>
      <c r="S696" t="inlineStr">
        <is>
          <t>N</t>
        </is>
      </c>
      <c r="T696" t="inlineStr">
        <is>
          <t>matched</t>
        </is>
      </c>
      <c r="U696" t="inlineStr">
        <is>
          <t>2026-10-04</t>
        </is>
      </c>
      <c r="V696" t="inlineStr"/>
    </row>
    <row r="697">
      <c r="A697" t="n">
        <v>38</v>
      </c>
      <c r="B697" t="inlineStr">
        <is>
          <t>Veligandu Maldives Resort Island</t>
        </is>
      </c>
      <c r="C697" t="inlineStr">
        <is>
          <t>dive_prices</t>
        </is>
      </c>
      <c r="D697" t="inlineStr">
        <is>
          <t>2020_OceanDiveandSportsCenterSOP-071720VELI.pdf</t>
        </is>
      </c>
      <c r="E697" t="n">
        <v>2020</v>
      </c>
      <c r="H697" t="n">
        <v>7</v>
      </c>
      <c r="I697" t="n">
        <v>97</v>
      </c>
      <c r="J697" t="inlineStr">
        <is>
          <t>Y</t>
        </is>
      </c>
      <c r="K697" t="inlineStr">
        <is>
          <t>sales.crownandchamparesorts.com</t>
        </is>
      </c>
      <c r="L697" t="inlineStr">
        <is>
          <t>brand-cdn</t>
        </is>
      </c>
      <c r="M697" t="inlineStr">
        <is>
          <t>https://sales.crownandchamparesorts.com/wp-content/uploads/2020/07/OceanDiveandSportsCenterSOP-071720VELI.pdf</t>
        </is>
      </c>
      <c r="N697" t="inlineStr">
        <is>
          <t>https://sales.crownandchamparesorts.com/wp-content/uploads/2020/07/OceanDiveandSportsCenterSOP-071720VELI.pdf</t>
        </is>
      </c>
      <c r="O697" t="inlineStr">
        <is>
          <t>9ecdc49cbf1f018e65bd21112dd46389caec9dbf1cc73f41c7a1c915d7667433</t>
        </is>
      </c>
      <c r="P697" t="inlineStr">
        <is>
          <t>library/038_veligandu-maldives-resort-island/dive_prices/2020_OceanDiveandSportsCenterSOP-071720VELI.pdf</t>
        </is>
      </c>
      <c r="R697" t="inlineStr">
        <is>
          <t>outdated</t>
        </is>
      </c>
      <c r="S697" t="inlineStr">
        <is>
          <t>N</t>
        </is>
      </c>
      <c r="T697" t="inlineStr">
        <is>
          <t>needs-review</t>
        </is>
      </c>
      <c r="U697" t="inlineStr">
        <is>
          <t>2026-10-04</t>
        </is>
      </c>
      <c r="V697" t="inlineStr">
        <is>
          <t>ambiguous match [38]</t>
        </is>
      </c>
    </row>
    <row r="698">
      <c r="A698" t="n">
        <v>38</v>
      </c>
      <c r="B698" t="inlineStr">
        <is>
          <t>Veligandu Maldives Resort Island</t>
        </is>
      </c>
      <c r="C698" t="inlineStr">
        <is>
          <t>excursions</t>
        </is>
      </c>
      <c r="D698" t="inlineStr">
        <is>
          <t>2026_ListIndoorOutdoorSportsActivitiesVer072926-1.pdf</t>
        </is>
      </c>
      <c r="E698" t="n">
        <v>2026</v>
      </c>
      <c r="H698" t="n">
        <v>1</v>
      </c>
      <c r="I698" t="n">
        <v>117</v>
      </c>
      <c r="J698" t="inlineStr">
        <is>
          <t>Y</t>
        </is>
      </c>
      <c r="K698" t="inlineStr">
        <is>
          <t>veligandu.com</t>
        </is>
      </c>
      <c r="L698" t="inlineStr">
        <is>
          <t>official</t>
        </is>
      </c>
      <c r="M698" t="inlineStr">
        <is>
          <t>https://veligandu.com/wp-content/uploads/2026/07/ListIndoorOutdoorSportsActivitiesVer072926-1.pdf</t>
        </is>
      </c>
      <c r="N698" t="inlineStr">
        <is>
          <t>https://veligandu.com/wp-content/uploads/2026/07/ListIndoorOutdoorSportsActivitiesVer072926-1.pdf</t>
        </is>
      </c>
      <c r="O698" t="inlineStr">
        <is>
          <t>9330ff20623f38d711e80b161fc6c5b163d9d1653efa43d917084d45f76ac580</t>
        </is>
      </c>
      <c r="P698" t="inlineStr">
        <is>
          <t>library/038_veligandu-maldives-resort-island/excursions/2026_ListIndoorOutdoorSportsActivitiesVer072926-1.pdf</t>
        </is>
      </c>
      <c r="R698" t="inlineStr">
        <is>
          <t>current</t>
        </is>
      </c>
      <c r="S698" t="inlineStr">
        <is>
          <t>N</t>
        </is>
      </c>
      <c r="T698" t="inlineStr">
        <is>
          <t>matched</t>
        </is>
      </c>
      <c r="U698" t="inlineStr">
        <is>
          <t>2026-10-04</t>
        </is>
      </c>
      <c r="V698" t="inlineStr"/>
    </row>
    <row r="699">
      <c r="A699" t="n">
        <v>38</v>
      </c>
      <c r="B699" t="inlineStr">
        <is>
          <t>Veligandu Maldives Resort Island</t>
        </is>
      </c>
      <c r="C699" t="inlineStr">
        <is>
          <t>excursions</t>
        </is>
      </c>
      <c r="D699" t="inlineStr">
        <is>
          <t>2026_VeliWeeklyExcursionSchedule2026_010126-123126.pdf</t>
        </is>
      </c>
      <c r="E699" t="n">
        <v>2026</v>
      </c>
      <c r="H699" t="n">
        <v>1</v>
      </c>
      <c r="I699" t="n">
        <v>258</v>
      </c>
      <c r="J699" t="inlineStr">
        <is>
          <t>N</t>
        </is>
      </c>
      <c r="K699" t="inlineStr">
        <is>
          <t>veligandu.com</t>
        </is>
      </c>
      <c r="L699" t="inlineStr">
        <is>
          <t>official</t>
        </is>
      </c>
      <c r="M699" t="inlineStr">
        <is>
          <t>https://veligandu.com/wp-content/uploads/2026/01/VeliWeeklyExcursionSchedule2026_010126-123126.pdf</t>
        </is>
      </c>
      <c r="N699" t="inlineStr">
        <is>
          <t>https://veligandu.com/wp-content/uploads/2026/01/VeliWeeklyExcursionSchedule2026_010126-123126.pdf</t>
        </is>
      </c>
      <c r="O699" t="inlineStr">
        <is>
          <t>6cee7f5d1dccd6b7401d0bc2a56df72627aec2a4e5a08a9ec6406353c50636a2</t>
        </is>
      </c>
      <c r="P699" t="inlineStr">
        <is>
          <t>library/038_veligandu-maldives-resort-island/excursions/2026_VeliWeeklyExcursionSchedule2026_010126-123126.pdf</t>
        </is>
      </c>
      <c r="R699" t="inlineStr">
        <is>
          <t>current</t>
        </is>
      </c>
      <c r="S699" t="inlineStr">
        <is>
          <t>N</t>
        </is>
      </c>
      <c r="T699" t="inlineStr">
        <is>
          <t>matched</t>
        </is>
      </c>
      <c r="U699" t="inlineStr">
        <is>
          <t>2026-10-04</t>
        </is>
      </c>
      <c r="V699" t="inlineStr"/>
    </row>
    <row r="700">
      <c r="A700" t="n">
        <v>38</v>
      </c>
      <c r="B700" t="inlineStr">
        <is>
          <t>Veligandu Maldives Resort Island</t>
        </is>
      </c>
      <c r="C700" t="inlineStr">
        <is>
          <t>excursions</t>
        </is>
      </c>
      <c r="D700" t="inlineStr">
        <is>
          <t>2026_VeliExcursionsCentreCatalogue2026_010126-123126_.pdf</t>
        </is>
      </c>
      <c r="E700" t="n">
        <v>2026</v>
      </c>
      <c r="H700" t="n">
        <v>22</v>
      </c>
      <c r="I700" t="n">
        <v>2087</v>
      </c>
      <c r="J700" t="inlineStr">
        <is>
          <t>Y</t>
        </is>
      </c>
      <c r="K700" t="inlineStr">
        <is>
          <t>veligandu.com</t>
        </is>
      </c>
      <c r="L700" t="inlineStr">
        <is>
          <t>official</t>
        </is>
      </c>
      <c r="M700" t="inlineStr">
        <is>
          <t>https://veligandu.com/wp-content/uploads/2026/01/VeliExcursionsCentreCatalogue2026_010126-123126_.pdf</t>
        </is>
      </c>
      <c r="N700" t="inlineStr">
        <is>
          <t>https://veligandu.com/wp-content/uploads/2026/01/VeliExcursionsCentreCatalogue2026_010126-123126_.pdf</t>
        </is>
      </c>
      <c r="O700" t="inlineStr">
        <is>
          <t>c6795a50850b2ba0c7828ece40f0291b871f58d758c1e1c92977ab79dfafa176</t>
        </is>
      </c>
      <c r="P700" t="inlineStr">
        <is>
          <t>library/038_veligandu-maldives-resort-island/excursions/2026_VeliExcursionsCentreCatalogue2026_010126-123126_.pdf</t>
        </is>
      </c>
      <c r="R700" t="inlineStr">
        <is>
          <t>current</t>
        </is>
      </c>
      <c r="S700" t="inlineStr">
        <is>
          <t>Y</t>
        </is>
      </c>
      <c r="T700" t="inlineStr">
        <is>
          <t>matched</t>
        </is>
      </c>
      <c r="U700" t="inlineStr">
        <is>
          <t>2026-10-04</t>
        </is>
      </c>
      <c r="V700" t="inlineStr"/>
    </row>
    <row r="701">
      <c r="A701" t="n">
        <v>38</v>
      </c>
      <c r="B701" t="inlineStr">
        <is>
          <t>Veligandu Maldives Resort Island</t>
        </is>
      </c>
      <c r="C701" t="inlineStr">
        <is>
          <t>excursions</t>
        </is>
      </c>
      <c r="D701" t="inlineStr">
        <is>
          <t>2026_ListIndoorOutdoorSportsActivitiesVer041525.pdf</t>
        </is>
      </c>
      <c r="E701" t="n">
        <v>2026</v>
      </c>
      <c r="H701" t="n">
        <v>1</v>
      </c>
      <c r="I701" t="n">
        <v>45</v>
      </c>
      <c r="J701" t="inlineStr">
        <is>
          <t>Y</t>
        </is>
      </c>
      <c r="K701" t="inlineStr">
        <is>
          <t>veligandu.com</t>
        </is>
      </c>
      <c r="L701" t="inlineStr">
        <is>
          <t>official</t>
        </is>
      </c>
      <c r="M701" t="inlineStr">
        <is>
          <t>https://veligandu.com/wp-content/uploads/2025/06/ListIndoorOutdoorSportsActivitiesVer041525.pdf</t>
        </is>
      </c>
      <c r="N701" t="inlineStr">
        <is>
          <t>https://veligandu.com/wp-content/uploads/2025/06/ListIndoorOutdoorSportsActivitiesVer041525.pdf</t>
        </is>
      </c>
      <c r="O701" t="inlineStr">
        <is>
          <t>cb2afc5ce8c792da0a1f08ee6fe1d102283d37015ea3a30b094adaea5e928232</t>
        </is>
      </c>
      <c r="P701" t="inlineStr">
        <is>
          <t>library/038_veligandu-maldives-resort-island/excursions/2026_ListIndoorOutdoorSportsActivitiesVer041525.pdf</t>
        </is>
      </c>
      <c r="R701" t="inlineStr">
        <is>
          <t>current</t>
        </is>
      </c>
      <c r="S701" t="inlineStr">
        <is>
          <t>N</t>
        </is>
      </c>
      <c r="T701" t="inlineStr">
        <is>
          <t>matched</t>
        </is>
      </c>
      <c r="U701" t="inlineStr">
        <is>
          <t>2026-10-04</t>
        </is>
      </c>
      <c r="V701" t="inlineStr"/>
    </row>
    <row r="702">
      <c r="A702" t="n">
        <v>38</v>
      </c>
      <c r="B702" t="inlineStr">
        <is>
          <t>Veligandu Maldives Resort Island</t>
        </is>
      </c>
      <c r="C702" t="inlineStr">
        <is>
          <t>excursions</t>
        </is>
      </c>
      <c r="D702" t="inlineStr">
        <is>
          <t>2025_Veli-ExcursionWeeklySchedule110125103126_Rev050126.pdf</t>
        </is>
      </c>
      <c r="E702" t="n">
        <v>2025</v>
      </c>
      <c r="F702" t="inlineStr">
        <is>
          <t>2025-11-01</t>
        </is>
      </c>
      <c r="G702" t="inlineStr">
        <is>
          <t>2026-10-31</t>
        </is>
      </c>
      <c r="H702" t="n">
        <v>1</v>
      </c>
      <c r="I702" t="n">
        <v>125</v>
      </c>
      <c r="J702" t="inlineStr">
        <is>
          <t>Y</t>
        </is>
      </c>
      <c r="K702" t="inlineStr">
        <is>
          <t>veligandu.com</t>
        </is>
      </c>
      <c r="L702" t="inlineStr">
        <is>
          <t>official</t>
        </is>
      </c>
      <c r="M702" t="inlineStr">
        <is>
          <t>https://veligandu.com/wp-content/uploads/2026/05/Veli-ExcursionWeeklySchedule110125103126_Rev050126.pdf</t>
        </is>
      </c>
      <c r="N702" t="inlineStr">
        <is>
          <t>https://veligandu.com/wp-content/uploads/2026/05/Veli-ExcursionWeeklySchedule110125103126_Rev050126.pdf</t>
        </is>
      </c>
      <c r="O702" t="inlineStr">
        <is>
          <t>4b40c47c4f04c18038356f765ae438ec05e9a8019c771367c40d514e7946de74</t>
        </is>
      </c>
      <c r="P702" t="inlineStr">
        <is>
          <t>library/038_veligandu-maldives-resort-island/excursions/2025_Veli-ExcursionWeeklySchedule110125103126_Rev050126.pdf</t>
        </is>
      </c>
      <c r="R702" t="inlineStr">
        <is>
          <t>current</t>
        </is>
      </c>
      <c r="S702" t="inlineStr">
        <is>
          <t>N</t>
        </is>
      </c>
      <c r="T702" t="inlineStr">
        <is>
          <t>matched</t>
        </is>
      </c>
      <c r="U702" t="inlineStr">
        <is>
          <t>2026-10-04</t>
        </is>
      </c>
      <c r="V702" t="inlineStr"/>
    </row>
    <row r="703">
      <c r="A703" t="n">
        <v>38</v>
      </c>
      <c r="B703" t="inlineStr">
        <is>
          <t>Veligandu Maldives Resort Island</t>
        </is>
      </c>
      <c r="C703" t="inlineStr">
        <is>
          <t>excursions</t>
        </is>
      </c>
      <c r="D703" t="inlineStr">
        <is>
          <t>2025_Veli-ExcursionCatalog110125103126_Rev050126.pdf</t>
        </is>
      </c>
      <c r="E703" t="n">
        <v>2025</v>
      </c>
      <c r="F703" t="inlineStr">
        <is>
          <t>2025-11-01</t>
        </is>
      </c>
      <c r="G703" t="inlineStr">
        <is>
          <t>2026-10-31</t>
        </is>
      </c>
      <c r="H703" t="n">
        <v>22</v>
      </c>
      <c r="I703" t="n">
        <v>30893</v>
      </c>
      <c r="J703" t="inlineStr">
        <is>
          <t>Y</t>
        </is>
      </c>
      <c r="K703" t="inlineStr">
        <is>
          <t>veligandu.com</t>
        </is>
      </c>
      <c r="L703" t="inlineStr">
        <is>
          <t>official</t>
        </is>
      </c>
      <c r="M703" t="inlineStr">
        <is>
          <t>https://veligandu.com/wp-content/uploads/2026/05/Veli-ExcursionCatalog110125103126_Rev050126.pdf</t>
        </is>
      </c>
      <c r="N703" t="inlineStr">
        <is>
          <t>https://veligandu.com/wp-content/uploads/2026/05/Veli-ExcursionCatalog110125103126_Rev050126.pdf</t>
        </is>
      </c>
      <c r="O703" t="inlineStr">
        <is>
          <t>6169caf4296d7de3f9f2c5ae153c9dd1e061913da5e4c2558d19029c1102faed</t>
        </is>
      </c>
      <c r="P703" t="inlineStr">
        <is>
          <t>library/038_veligandu-maldives-resort-island/excursions/2025_Veli-ExcursionCatalog110125103126_Rev050126.pdf</t>
        </is>
      </c>
      <c r="R703" t="inlineStr">
        <is>
          <t>current</t>
        </is>
      </c>
      <c r="S703" t="inlineStr">
        <is>
          <t>N</t>
        </is>
      </c>
      <c r="T703" t="inlineStr">
        <is>
          <t>matched</t>
        </is>
      </c>
      <c r="U703" t="inlineStr">
        <is>
          <t>2026-10-04</t>
        </is>
      </c>
      <c r="V703" t="inlineStr"/>
    </row>
    <row r="704">
      <c r="A704" t="n">
        <v>38</v>
      </c>
      <c r="B704" t="inlineStr">
        <is>
          <t>Veligandu Maldives Resort Island</t>
        </is>
      </c>
      <c r="C704" t="inlineStr">
        <is>
          <t>excursions</t>
        </is>
      </c>
      <c r="D704" t="inlineStr">
        <is>
          <t>2025_ListIndoorOutdoorSportsActivitiesVer081524.pdf</t>
        </is>
      </c>
      <c r="E704" t="n">
        <v>2025</v>
      </c>
      <c r="H704" t="n">
        <v>1</v>
      </c>
      <c r="I704" t="n">
        <v>234</v>
      </c>
      <c r="J704" t="inlineStr">
        <is>
          <t>Y</t>
        </is>
      </c>
      <c r="K704" t="inlineStr">
        <is>
          <t>veligandu.com</t>
        </is>
      </c>
      <c r="L704" t="inlineStr">
        <is>
          <t>official</t>
        </is>
      </c>
      <c r="M704" t="inlineStr">
        <is>
          <t>https://veligandu.com/wp-content/uploads/2025/09/ListIndoorOutdoorSportsActivitiesVer081524.pdf</t>
        </is>
      </c>
      <c r="N704" t="inlineStr">
        <is>
          <t>https://veligandu.com/wp-content/uploads/2025/09/ListIndoorOutdoorSportsActivitiesVer081524.pdf</t>
        </is>
      </c>
      <c r="O704" t="inlineStr">
        <is>
          <t>ecb300cfc33d66ce8c812e9754d021183e2a1f8989be8d8124240c510730af58</t>
        </is>
      </c>
      <c r="P704" t="inlineStr">
        <is>
          <t>library/038_veligandu-maldives-resort-island/excursions/2025_ListIndoorOutdoorSportsActivitiesVer081524.pdf</t>
        </is>
      </c>
      <c r="R704" t="inlineStr">
        <is>
          <t>current</t>
        </is>
      </c>
      <c r="S704" t="inlineStr">
        <is>
          <t>N</t>
        </is>
      </c>
      <c r="T704" t="inlineStr">
        <is>
          <t>matched</t>
        </is>
      </c>
      <c r="U704" t="inlineStr">
        <is>
          <t>2026-10-04</t>
        </is>
      </c>
      <c r="V704" t="inlineStr"/>
    </row>
    <row r="705">
      <c r="A705" t="n">
        <v>38</v>
      </c>
      <c r="B705" t="inlineStr">
        <is>
          <t>Veligandu Maldives Resort Island</t>
        </is>
      </c>
      <c r="C705" t="inlineStr">
        <is>
          <t>excursions</t>
        </is>
      </c>
      <c r="D705" t="inlineStr">
        <is>
          <t>2025_WeeklyExcursionsScheduleVer300425.pdf</t>
        </is>
      </c>
      <c r="E705" t="n">
        <v>2025</v>
      </c>
      <c r="H705" t="n">
        <v>1</v>
      </c>
      <c r="I705" t="n">
        <v>19</v>
      </c>
      <c r="J705" t="inlineStr">
        <is>
          <t>Y</t>
        </is>
      </c>
      <c r="K705" t="inlineStr">
        <is>
          <t>veligandu.com</t>
        </is>
      </c>
      <c r="L705" t="inlineStr">
        <is>
          <t>official</t>
        </is>
      </c>
      <c r="M705" t="inlineStr">
        <is>
          <t>https://veligandu.com/wp-content/uploads/2025/06/WeeklyExcursionsScheduleVer300425.pdf</t>
        </is>
      </c>
      <c r="N705" t="inlineStr">
        <is>
          <t>https://veligandu.com/wp-content/uploads/2025/06/WeeklyExcursionsScheduleVer300425.pdf</t>
        </is>
      </c>
      <c r="O705" t="inlineStr">
        <is>
          <t>f713417620c623c623acf027131968af921853d68e818cd30cd8e6c0fd2bc4dd</t>
        </is>
      </c>
      <c r="P705" t="inlineStr">
        <is>
          <t>library/038_veligandu-maldives-resort-island/excursions/2025_WeeklyExcursionsScheduleVer300425.pdf</t>
        </is>
      </c>
      <c r="R705" t="inlineStr">
        <is>
          <t>current</t>
        </is>
      </c>
      <c r="S705" t="inlineStr">
        <is>
          <t>N</t>
        </is>
      </c>
      <c r="T705" t="inlineStr">
        <is>
          <t>matched</t>
        </is>
      </c>
      <c r="U705" t="inlineStr">
        <is>
          <t>2026-10-04</t>
        </is>
      </c>
      <c r="V705" t="inlineStr"/>
    </row>
    <row r="706">
      <c r="A706" t="n">
        <v>38</v>
      </c>
      <c r="B706" t="inlineStr">
        <is>
          <t>Veligandu Maldives Resort Island</t>
        </is>
      </c>
      <c r="C706" t="inlineStr">
        <is>
          <t>excursions</t>
        </is>
      </c>
      <c r="D706" t="inlineStr">
        <is>
          <t>2024_13.-Veli-ExcursionsCatalog_110124-113024_Rev072324-240924.pdf</t>
        </is>
      </c>
      <c r="E706" t="n">
        <v>2024</v>
      </c>
      <c r="H706" t="n">
        <v>22</v>
      </c>
      <c r="I706" t="n">
        <v>839</v>
      </c>
      <c r="J706" t="inlineStr">
        <is>
          <t>Y</t>
        </is>
      </c>
      <c r="K706" t="inlineStr">
        <is>
          <t>veligandu.com</t>
        </is>
      </c>
      <c r="L706" t="inlineStr">
        <is>
          <t>official</t>
        </is>
      </c>
      <c r="M706" t="inlineStr">
        <is>
          <t>https://veligandu.com/wp-content/uploads/2024/09/13.-Veli-ExcursionsCatalog_110124-113024_Rev072324-240924.pdf</t>
        </is>
      </c>
      <c r="N706" t="inlineStr">
        <is>
          <t>https://veligandu.com/wp-content/uploads/2024/09/13.-Veli-ExcursionsCatalog_110124-113024_Rev072324-240924.pdf</t>
        </is>
      </c>
      <c r="O706" t="inlineStr">
        <is>
          <t>817216f94b758ccc74958ff11425805d8b92ee4aafa27c61e000a71ed9f4f3f4</t>
        </is>
      </c>
      <c r="P706" t="inlineStr">
        <is>
          <t>library/038_veligandu-maldives-resort-island/excursions/2024_13.-Veli-ExcursionsCatalog_110124-113024_Rev072324-240924.pdf</t>
        </is>
      </c>
      <c r="R706" t="inlineStr">
        <is>
          <t>outdated</t>
        </is>
      </c>
      <c r="S706" t="inlineStr">
        <is>
          <t>N</t>
        </is>
      </c>
      <c r="T706" t="inlineStr">
        <is>
          <t>matched</t>
        </is>
      </c>
      <c r="U706" t="inlineStr">
        <is>
          <t>2026-10-04</t>
        </is>
      </c>
      <c r="V706" t="inlineStr"/>
    </row>
    <row r="707">
      <c r="A707" t="n">
        <v>38</v>
      </c>
      <c r="B707" t="inlineStr">
        <is>
          <t>Veligandu Maldives Resort Island</t>
        </is>
      </c>
      <c r="C707" t="inlineStr">
        <is>
          <t>villa_plans</t>
        </is>
      </c>
      <c r="D707" t="inlineStr">
        <is>
          <t>2024_Veli-GuestVillaSizes_Rev081524.pdf</t>
        </is>
      </c>
      <c r="E707" t="n">
        <v>2024</v>
      </c>
      <c r="H707" t="n">
        <v>5</v>
      </c>
      <c r="I707" t="n">
        <v>284</v>
      </c>
      <c r="J707" t="inlineStr">
        <is>
          <t>Y</t>
        </is>
      </c>
      <c r="K707" t="inlineStr">
        <is>
          <t>veligandu.com</t>
        </is>
      </c>
      <c r="L707" t="inlineStr">
        <is>
          <t>official</t>
        </is>
      </c>
      <c r="M707" t="inlineStr">
        <is>
          <t>https://veligandu.com/wp-content/uploads/2024/09/Veli-GuestVillaSizes_Rev081524.pdf</t>
        </is>
      </c>
      <c r="N707" t="inlineStr">
        <is>
          <t>https://veligandu.com/wp-content/uploads/2024/09/Veli-GuestVillaSizes_Rev081524.pdf</t>
        </is>
      </c>
      <c r="O707" t="inlineStr">
        <is>
          <t>454a52d6ff2ce29b1435120c2792100e876e737f4616cac49c1561adf3bcf1ef</t>
        </is>
      </c>
      <c r="P707" t="inlineStr">
        <is>
          <t>library/038_veligandu-maldives-resort-island/villa_plans/2024_Veli-GuestVillaSizes_Rev081524.pdf</t>
        </is>
      </c>
      <c r="R707" t="inlineStr">
        <is>
          <t>outdated</t>
        </is>
      </c>
      <c r="S707" t="inlineStr">
        <is>
          <t>Y</t>
        </is>
      </c>
      <c r="T707" t="inlineStr">
        <is>
          <t>matched</t>
        </is>
      </c>
      <c r="U707" t="inlineStr">
        <is>
          <t>2026-10-04</t>
        </is>
      </c>
      <c r="V707" t="inlineStr"/>
    </row>
    <row r="708">
      <c r="A708" t="n">
        <v>38</v>
      </c>
      <c r="B708" t="inlineStr">
        <is>
          <t>Veligandu Maldives Resort Island</t>
        </is>
      </c>
      <c r="C708" t="inlineStr">
        <is>
          <t>all_inclusive</t>
        </is>
      </c>
      <c r="D708" t="inlineStr">
        <is>
          <t>2025_AIl-InclusiveDineAroundPack103125_Rev24.pdf</t>
        </is>
      </c>
      <c r="E708" t="n">
        <v>2025</v>
      </c>
      <c r="H708" t="n">
        <v>8</v>
      </c>
      <c r="I708" t="n">
        <v>1904</v>
      </c>
      <c r="J708" t="inlineStr">
        <is>
          <t>Y</t>
        </is>
      </c>
      <c r="K708" t="inlineStr">
        <is>
          <t>veligandu.com</t>
        </is>
      </c>
      <c r="L708" t="inlineStr">
        <is>
          <t>official</t>
        </is>
      </c>
      <c r="M708" t="inlineStr">
        <is>
          <t>https://veligandu.com/wp-content/uploads/2025/06/AIl-InclusiveDineAroundPack103125_Rev24.pdf</t>
        </is>
      </c>
      <c r="N708" t="inlineStr">
        <is>
          <t>https://veligandu.com/wp-content/uploads/2025/06/AIl-InclusiveDineAroundPack103125_Rev24.pdf</t>
        </is>
      </c>
      <c r="O708" t="inlineStr">
        <is>
          <t>8d2568346bffd2512515f279eff1509d01b2df7ed5aa9f6d869bca4a9eae7b2f</t>
        </is>
      </c>
      <c r="P708" t="inlineStr">
        <is>
          <t>library/038_veligandu-maldives-resort-island/all_inclusive/2025_AIl-InclusiveDineAroundPack103125_Rev24.pdf</t>
        </is>
      </c>
      <c r="R708" t="inlineStr">
        <is>
          <t>current</t>
        </is>
      </c>
      <c r="S708" t="inlineStr">
        <is>
          <t>Y</t>
        </is>
      </c>
      <c r="T708" t="inlineStr">
        <is>
          <t>matched</t>
        </is>
      </c>
      <c r="U708" t="inlineStr">
        <is>
          <t>2026-10-04</t>
        </is>
      </c>
      <c r="V708" t="inlineStr"/>
    </row>
    <row r="709">
      <c r="A709" t="n">
        <v>38</v>
      </c>
      <c r="B709" t="inlineStr">
        <is>
          <t>Veligandu Maldives Resort Island</t>
        </is>
      </c>
      <c r="C709" t="inlineStr">
        <is>
          <t>all_inclusive</t>
        </is>
      </c>
      <c r="D709" t="inlineStr">
        <is>
          <t>2024_Veli-AIl-InclusiveDineAroundPackageBrochuRev281024.pdf</t>
        </is>
      </c>
      <c r="E709" t="n">
        <v>2024</v>
      </c>
      <c r="H709" t="n">
        <v>8</v>
      </c>
      <c r="I709" t="n">
        <v>1133</v>
      </c>
      <c r="J709" t="inlineStr">
        <is>
          <t>Y</t>
        </is>
      </c>
      <c r="K709" t="inlineStr">
        <is>
          <t>veligandu.com</t>
        </is>
      </c>
      <c r="L709" t="inlineStr">
        <is>
          <t>official</t>
        </is>
      </c>
      <c r="M709" t="inlineStr">
        <is>
          <t>https://veligandu.com/wp-content/uploads/2024/10/Veli-AIl-InclusiveDineAroundPackageBrochuRev281024.pdf</t>
        </is>
      </c>
      <c r="N709" t="inlineStr">
        <is>
          <t>https://veligandu.com/wp-content/uploads/2024/10/Veli-AIl-InclusiveDineAroundPackageBrochuRev281024.pdf</t>
        </is>
      </c>
      <c r="O709" t="inlineStr">
        <is>
          <t>13ca1b5f1da903288f03ac55da9c5aca7edd5ef828a93f306e8b1c4b591a76bb</t>
        </is>
      </c>
      <c r="P709" t="inlineStr">
        <is>
          <t>library/038_veligandu-maldives-resort-island/all_inclusive/2024_Veli-AIl-InclusiveDineAroundPackageBrochuRev281024.pdf</t>
        </is>
      </c>
      <c r="R709" t="inlineStr">
        <is>
          <t>outdated</t>
        </is>
      </c>
      <c r="S709" t="inlineStr">
        <is>
          <t>N</t>
        </is>
      </c>
      <c r="T709" t="inlineStr">
        <is>
          <t>matched</t>
        </is>
      </c>
      <c r="U709" t="inlineStr">
        <is>
          <t>2026-10-04</t>
        </is>
      </c>
      <c r="V709" t="inlineStr"/>
    </row>
    <row r="710">
      <c r="A710" t="n">
        <v>38</v>
      </c>
      <c r="B710" t="inlineStr">
        <is>
          <t>Veligandu Maldives Resort Island</t>
        </is>
      </c>
      <c r="C710" t="inlineStr">
        <is>
          <t>sustainability</t>
        </is>
      </c>
      <c r="D710" t="inlineStr">
        <is>
          <t>2026_VeliOceanConservationCatalogue2026_010126-123126.pdf</t>
        </is>
      </c>
      <c r="E710" t="n">
        <v>2026</v>
      </c>
      <c r="H710" t="n">
        <v>3</v>
      </c>
      <c r="I710" t="n">
        <v>14277</v>
      </c>
      <c r="J710" t="inlineStr">
        <is>
          <t>Y</t>
        </is>
      </c>
      <c r="K710" t="inlineStr">
        <is>
          <t>veligandu.com</t>
        </is>
      </c>
      <c r="L710" t="inlineStr">
        <is>
          <t>official</t>
        </is>
      </c>
      <c r="M710" t="inlineStr">
        <is>
          <t>https://veligandu.com/wp-content/uploads/2026/01/VeliOceanConservationCatalogue2026_010126-123126.pdf</t>
        </is>
      </c>
      <c r="N710" t="inlineStr">
        <is>
          <t>https://veligandu.com/wp-content/uploads/2026/01/VeliOceanConservationCatalogue2026_010126-123126.pdf</t>
        </is>
      </c>
      <c r="O710" t="inlineStr">
        <is>
          <t>75f8be5c6e5738cf605e702eb89180ef4fbce2fcd2638e8e48775a754fe1007e</t>
        </is>
      </c>
      <c r="P710" t="inlineStr">
        <is>
          <t>library/038_veligandu-maldives-resort-island/sustainability/2026_VeliOceanConservationCatalogue2026_010126-123126.pdf</t>
        </is>
      </c>
      <c r="R710" t="inlineStr">
        <is>
          <t>current</t>
        </is>
      </c>
      <c r="S710" t="inlineStr">
        <is>
          <t>Y</t>
        </is>
      </c>
      <c r="T710" t="inlineStr">
        <is>
          <t>matched</t>
        </is>
      </c>
      <c r="U710" t="inlineStr">
        <is>
          <t>2026-10-04</t>
        </is>
      </c>
      <c r="V710" t="inlineStr"/>
    </row>
    <row r="711">
      <c r="A711" t="n">
        <v>38</v>
      </c>
      <c r="B711" t="inlineStr">
        <is>
          <t>Veligandu Maldives Resort Island</t>
        </is>
      </c>
      <c r="C711" t="inlineStr">
        <is>
          <t>calendar</t>
        </is>
      </c>
      <c r="D711" t="inlineStr">
        <is>
          <t>2026_January-Calendar-2026.pdf</t>
        </is>
      </c>
      <c r="E711" t="n">
        <v>2026</v>
      </c>
      <c r="H711" t="n">
        <v>1</v>
      </c>
      <c r="I711" t="n">
        <v>113</v>
      </c>
      <c r="J711" t="inlineStr">
        <is>
          <t>Y</t>
        </is>
      </c>
      <c r="K711" t="inlineStr">
        <is>
          <t>veligandu.com</t>
        </is>
      </c>
      <c r="L711" t="inlineStr">
        <is>
          <t>official</t>
        </is>
      </c>
      <c r="M711" t="inlineStr">
        <is>
          <t>https://veligandu.com/wp-content/uploads/2026/01/January-Calendar-2026.pdf</t>
        </is>
      </c>
      <c r="N711" t="inlineStr">
        <is>
          <t>https://veligandu.com/wp-content/uploads/2026/01/January-Calendar-2026.pdf</t>
        </is>
      </c>
      <c r="O711" t="inlineStr">
        <is>
          <t>6129a7b5a4682242c414e0f132246d525323bb562b9de78d1ae5d047ee5a929d</t>
        </is>
      </c>
      <c r="P711" t="inlineStr">
        <is>
          <t>library/038_veligandu-maldives-resort-island/calendar/2026_January-Calendar-2026.pdf</t>
        </is>
      </c>
      <c r="R711" t="inlineStr">
        <is>
          <t>current</t>
        </is>
      </c>
      <c r="S711" t="inlineStr">
        <is>
          <t>N</t>
        </is>
      </c>
      <c r="T711" t="inlineStr">
        <is>
          <t>matched</t>
        </is>
      </c>
      <c r="U711" t="inlineStr">
        <is>
          <t>2026-10-04</t>
        </is>
      </c>
      <c r="V711" t="inlineStr"/>
    </row>
    <row r="712">
      <c r="A712" t="n">
        <v>38</v>
      </c>
      <c r="B712" t="inlineStr">
        <is>
          <t>Veligandu Maldives Resort Island</t>
        </is>
      </c>
      <c r="C712" t="inlineStr">
        <is>
          <t>calendar</t>
        </is>
      </c>
      <c r="D712" t="inlineStr">
        <is>
          <t>2026_March-2026-Calendar.pdf</t>
        </is>
      </c>
      <c r="E712" t="n">
        <v>2026</v>
      </c>
      <c r="H712" t="n">
        <v>1</v>
      </c>
      <c r="I712" t="n">
        <v>198</v>
      </c>
      <c r="J712" t="inlineStr">
        <is>
          <t>Y</t>
        </is>
      </c>
      <c r="K712" t="inlineStr">
        <is>
          <t>veligandu.com</t>
        </is>
      </c>
      <c r="L712" t="inlineStr">
        <is>
          <t>official</t>
        </is>
      </c>
      <c r="M712" t="inlineStr">
        <is>
          <t>https://veligandu.com/wp-content/uploads/2026/01/March-2026-Calendar.pdf</t>
        </is>
      </c>
      <c r="N712" t="inlineStr">
        <is>
          <t>https://veligandu.com/wp-content/uploads/2026/01/March-2026-Calendar.pdf</t>
        </is>
      </c>
      <c r="O712" t="inlineStr">
        <is>
          <t>40da8854b15466ec00108f348785fbda9c4c5eae141d0f8a325a1526ccb51ffa</t>
        </is>
      </c>
      <c r="P712" t="inlineStr">
        <is>
          <t>library/038_veligandu-maldives-resort-island/calendar/2026_March-2026-Calendar.pdf</t>
        </is>
      </c>
      <c r="R712" t="inlineStr">
        <is>
          <t>current</t>
        </is>
      </c>
      <c r="S712" t="inlineStr">
        <is>
          <t>N</t>
        </is>
      </c>
      <c r="T712" t="inlineStr">
        <is>
          <t>matched</t>
        </is>
      </c>
      <c r="U712" t="inlineStr">
        <is>
          <t>2026-10-04</t>
        </is>
      </c>
      <c r="V712" t="inlineStr"/>
    </row>
    <row r="713">
      <c r="A713" t="n">
        <v>38</v>
      </c>
      <c r="B713" t="inlineStr">
        <is>
          <t>Veligandu Maldives Resort Island</t>
        </is>
      </c>
      <c r="C713" t="inlineStr">
        <is>
          <t>calendar</t>
        </is>
      </c>
      <c r="D713" t="inlineStr">
        <is>
          <t>2026_February-2026-Calendar.pdf</t>
        </is>
      </c>
      <c r="E713" t="n">
        <v>2026</v>
      </c>
      <c r="H713" t="n">
        <v>2</v>
      </c>
      <c r="I713" t="n">
        <v>185</v>
      </c>
      <c r="J713" t="inlineStr">
        <is>
          <t>Y</t>
        </is>
      </c>
      <c r="K713" t="inlineStr">
        <is>
          <t>veligandu.com</t>
        </is>
      </c>
      <c r="L713" t="inlineStr">
        <is>
          <t>official</t>
        </is>
      </c>
      <c r="M713" t="inlineStr">
        <is>
          <t>https://veligandu.com/wp-content/uploads/2026/01/February-2026-Calendar.pdf</t>
        </is>
      </c>
      <c r="N713" t="inlineStr">
        <is>
          <t>https://veligandu.com/wp-content/uploads/2026/01/February-2026-Calendar.pdf</t>
        </is>
      </c>
      <c r="O713" t="inlineStr">
        <is>
          <t>3b98b783143b320c3ef240efe224f61fe252fcd1cec973c6501c59032b02da65</t>
        </is>
      </c>
      <c r="P713" t="inlineStr">
        <is>
          <t>library/038_veligandu-maldives-resort-island/calendar/2026_February-2026-Calendar.pdf</t>
        </is>
      </c>
      <c r="R713" t="inlineStr">
        <is>
          <t>current</t>
        </is>
      </c>
      <c r="S713" t="inlineStr">
        <is>
          <t>N</t>
        </is>
      </c>
      <c r="T713" t="inlineStr">
        <is>
          <t>matched</t>
        </is>
      </c>
      <c r="U713" t="inlineStr">
        <is>
          <t>2026-10-04</t>
        </is>
      </c>
      <c r="V713" t="inlineStr"/>
    </row>
    <row r="714">
      <c r="A714" t="n">
        <v>38</v>
      </c>
      <c r="B714" t="inlineStr">
        <is>
          <t>Veligandu Maldives Resort Island</t>
        </is>
      </c>
      <c r="C714" t="inlineStr">
        <is>
          <t>calendar</t>
        </is>
      </c>
      <c r="D714" t="inlineStr">
        <is>
          <t>2026_veligandu-festive-brochure-25-26-compressed-24092025.pdf</t>
        </is>
      </c>
      <c r="E714" t="n">
        <v>2026</v>
      </c>
      <c r="H714" t="n">
        <v>16</v>
      </c>
      <c r="I714" t="n">
        <v>7260</v>
      </c>
      <c r="J714" t="inlineStr">
        <is>
          <t>Y</t>
        </is>
      </c>
      <c r="K714" t="inlineStr">
        <is>
          <t>veligandu.com</t>
        </is>
      </c>
      <c r="L714" t="inlineStr">
        <is>
          <t>official</t>
        </is>
      </c>
      <c r="M714" t="inlineStr">
        <is>
          <t>https://veligandu.com/wp-content/uploads/2025/09/veligandu-festive-brochure-25-26-compressed-24092025.pdf</t>
        </is>
      </c>
      <c r="N714" t="inlineStr">
        <is>
          <t>https://veligandu.com/wp-content/uploads/2025/09/veligandu-festive-brochure-25-26-compressed-24092025.pdf</t>
        </is>
      </c>
      <c r="O714" t="inlineStr">
        <is>
          <t>d8468da8f4b4ddc75d97361bb62dbbb2f495c8d56db27fd3e1d57ab0d64a2df9</t>
        </is>
      </c>
      <c r="P714" t="inlineStr">
        <is>
          <t>library/038_veligandu-maldives-resort-island/calendar/2026_veligandu-festive-brochure-25-26-compressed-24092025.pdf</t>
        </is>
      </c>
      <c r="R714" t="inlineStr">
        <is>
          <t>current</t>
        </is>
      </c>
      <c r="S714" t="inlineStr">
        <is>
          <t>Y</t>
        </is>
      </c>
      <c r="T714" t="inlineStr">
        <is>
          <t>matched</t>
        </is>
      </c>
      <c r="U714" t="inlineStr">
        <is>
          <t>2026-10-04</t>
        </is>
      </c>
      <c r="V714" t="inlineStr"/>
    </row>
    <row r="715">
      <c r="A715" t="n">
        <v>38</v>
      </c>
      <c r="B715" t="inlineStr">
        <is>
          <t>Veligandu Maldives Resort Island</t>
        </is>
      </c>
      <c r="C715" t="inlineStr">
        <is>
          <t>calendar</t>
        </is>
      </c>
      <c r="D715" t="inlineStr">
        <is>
          <t>2026_WeeklyEntertainmentScheduleVer041525.pdf</t>
        </is>
      </c>
      <c r="E715" t="n">
        <v>2026</v>
      </c>
      <c r="H715" t="n">
        <v>1</v>
      </c>
      <c r="I715" t="n">
        <v>46</v>
      </c>
      <c r="J715" t="inlineStr">
        <is>
          <t>Y</t>
        </is>
      </c>
      <c r="K715" t="inlineStr">
        <is>
          <t>veligandu.com</t>
        </is>
      </c>
      <c r="L715" t="inlineStr">
        <is>
          <t>official</t>
        </is>
      </c>
      <c r="M715" t="inlineStr">
        <is>
          <t>https://veligandu.com/wp-content/uploads/2025/06/WeeklyEntertainmentScheduleVer041525.pdf</t>
        </is>
      </c>
      <c r="N715" t="inlineStr">
        <is>
          <t>https://veligandu.com/wp-content/uploads/2025/06/WeeklyEntertainmentScheduleVer041525.pdf</t>
        </is>
      </c>
      <c r="O715" t="inlineStr">
        <is>
          <t>e9846c52c120bbd0508fb5dc24ad736dffcbb78bc72ca9971bf898b6743a0708</t>
        </is>
      </c>
      <c r="P715" t="inlineStr">
        <is>
          <t>library/038_veligandu-maldives-resort-island/calendar/2026_WeeklyEntertainmentScheduleVer041525.pdf</t>
        </is>
      </c>
      <c r="R715" t="inlineStr">
        <is>
          <t>current</t>
        </is>
      </c>
      <c r="S715" t="inlineStr">
        <is>
          <t>N</t>
        </is>
      </c>
      <c r="T715" t="inlineStr">
        <is>
          <t>matched</t>
        </is>
      </c>
      <c r="U715" t="inlineStr">
        <is>
          <t>2026-10-04</t>
        </is>
      </c>
      <c r="V715" t="inlineStr"/>
    </row>
    <row r="716">
      <c r="A716" t="n">
        <v>38</v>
      </c>
      <c r="B716" t="inlineStr">
        <is>
          <t>Veligandu Maldives Resort Island</t>
        </is>
      </c>
      <c r="C716" t="inlineStr">
        <is>
          <t>brochure</t>
        </is>
      </c>
      <c r="D716" t="inlineStr">
        <is>
          <t>2025_veligandu-valentines-day-brochure-2025.pdf</t>
        </is>
      </c>
      <c r="E716" t="n">
        <v>2025</v>
      </c>
      <c r="H716" t="n">
        <v>12</v>
      </c>
      <c r="I716" t="n">
        <v>1010</v>
      </c>
      <c r="J716" t="inlineStr">
        <is>
          <t>Y</t>
        </is>
      </c>
      <c r="K716" t="inlineStr">
        <is>
          <t>veligandu.com</t>
        </is>
      </c>
      <c r="L716" t="inlineStr">
        <is>
          <t>official</t>
        </is>
      </c>
      <c r="M716" t="inlineStr">
        <is>
          <t>https://veligandu.com/wp-content/uploads/2025/02/veligandu-valentines-day-brochure-2025.pdf</t>
        </is>
      </c>
      <c r="N716" t="inlineStr">
        <is>
          <t>https://veligandu.com/wp-content/uploads/2025/02/veligandu-valentines-day-brochure-2025.pdf</t>
        </is>
      </c>
      <c r="O716" t="inlineStr">
        <is>
          <t>42b53410ea0ee0922d6bac0c733d18f61cb2c7ae61f3bcdb12080b2026376cd9</t>
        </is>
      </c>
      <c r="P716" t="inlineStr">
        <is>
          <t>library/038_veligandu-maldives-resort-island/brochure/2025_veligandu-valentines-day-brochure-2025.pdf</t>
        </is>
      </c>
      <c r="R716" t="inlineStr">
        <is>
          <t>current</t>
        </is>
      </c>
      <c r="S716" t="inlineStr">
        <is>
          <t>Y</t>
        </is>
      </c>
      <c r="T716" t="inlineStr">
        <is>
          <t>matched</t>
        </is>
      </c>
      <c r="U716" t="inlineStr">
        <is>
          <t>2026-10-04</t>
        </is>
      </c>
      <c r="V716" t="inlineStr"/>
    </row>
    <row r="717">
      <c r="A717" t="n">
        <v>39</v>
      </c>
      <c r="B717" t="inlineStr">
        <is>
          <t>NH Collection Maldives Havodda Resort</t>
        </is>
      </c>
      <c r="C717" t="inlineStr">
        <is>
          <t>factsheet</t>
        </is>
      </c>
      <c r="D717" t="inlineStr">
        <is>
          <t>2018_Amari-Havodda-Factsheet.pdf</t>
        </is>
      </c>
      <c r="E717" t="n">
        <v>2018</v>
      </c>
      <c r="H717" t="n">
        <v>1</v>
      </c>
      <c r="I717" t="n">
        <v>1188</v>
      </c>
      <c r="J717" t="inlineStr">
        <is>
          <t>Y</t>
        </is>
      </c>
      <c r="K717" t="inlineStr">
        <is>
          <t>neoscapesmaldives.com</t>
        </is>
      </c>
      <c r="L717" t="inlineStr">
        <is>
          <t>dmc-agency</t>
        </is>
      </c>
      <c r="M717" t="inlineStr">
        <is>
          <t>https://neoscapesmaldives.com/wp-content/uploads/Amari-Havodda-Factsheet.pdf</t>
        </is>
      </c>
      <c r="N717" t="inlineStr">
        <is>
          <t>https://neoscapesmaldives.com/wp-content/uploads/Amari-Havodda-Factsheet.pdf</t>
        </is>
      </c>
      <c r="O717" t="inlineStr">
        <is>
          <t>a59811f843e1f7cf3193925c78af54428dcd0fbe03d169ef8da498661ab8092a</t>
        </is>
      </c>
      <c r="P717" t="inlineStr">
        <is>
          <t>library/039_nh-collection-maldives-havodda-resort/factsheet/2018_Amari-Havodda-Factsheet.pdf</t>
        </is>
      </c>
      <c r="R717" t="inlineStr">
        <is>
          <t>outdated</t>
        </is>
      </c>
      <c r="S717" t="inlineStr">
        <is>
          <t>Y</t>
        </is>
      </c>
      <c r="T717" t="inlineStr">
        <is>
          <t>matched</t>
        </is>
      </c>
      <c r="U717" t="inlineStr">
        <is>
          <t>2026-10-04</t>
        </is>
      </c>
      <c r="V717" t="inlineStr"/>
    </row>
    <row r="718">
      <c r="A718" t="n">
        <v>39</v>
      </c>
      <c r="B718" t="inlineStr">
        <is>
          <t>NH Collection Maldives Havodda Resort</t>
        </is>
      </c>
      <c r="C718" t="inlineStr">
        <is>
          <t>map</t>
        </is>
      </c>
      <c r="D718" t="inlineStr">
        <is>
          <t>2019_Amari-Havodda-Maldives-Map.pdf</t>
        </is>
      </c>
      <c r="E718" t="n">
        <v>2019</v>
      </c>
      <c r="H718" t="n">
        <v>1</v>
      </c>
      <c r="I718" t="n">
        <v>220</v>
      </c>
      <c r="J718" t="inlineStr">
        <is>
          <t>N</t>
        </is>
      </c>
      <c r="K718" t="inlineStr">
        <is>
          <t>neoscapesmaldives.com</t>
        </is>
      </c>
      <c r="L718" t="inlineStr">
        <is>
          <t>dmc-agency</t>
        </is>
      </c>
      <c r="M718" t="inlineStr">
        <is>
          <t>https://neoscapesmaldives.com/wp-content/uploads/Amari-Havodda-Maldives-Map.pdf</t>
        </is>
      </c>
      <c r="N718" t="inlineStr">
        <is>
          <t>https://neoscapesmaldives.com/wp-content/uploads/Amari-Havodda-Maldives-Map.pdf</t>
        </is>
      </c>
      <c r="O718" t="inlineStr">
        <is>
          <t>fd7d720baa1b7f08607fbf7b03c29035e9cf1b26f05a304c9b2d9ccd1c5cc366</t>
        </is>
      </c>
      <c r="P718" t="inlineStr">
        <is>
          <t>library/039_nh-collection-maldives-havodda-resort/map/2019_Amari-Havodda-Maldives-Map.pdf</t>
        </is>
      </c>
      <c r="R718" t="inlineStr">
        <is>
          <t>outdated</t>
        </is>
      </c>
      <c r="S718" t="inlineStr">
        <is>
          <t>Y</t>
        </is>
      </c>
      <c r="T718" t="inlineStr">
        <is>
          <t>matched</t>
        </is>
      </c>
      <c r="U718" t="inlineStr">
        <is>
          <t>2026-10-04</t>
        </is>
      </c>
      <c r="V718" t="inlineStr"/>
    </row>
    <row r="719">
      <c r="A719" t="n">
        <v>40</v>
      </c>
      <c r="B719" t="inlineStr">
        <is>
          <t>Le Méridien Maldives Resort and Spa</t>
        </is>
      </c>
      <c r="C719" t="inlineStr">
        <is>
          <t>factsheet</t>
        </is>
      </c>
      <c r="D719" t="inlineStr">
        <is>
          <t>2022_Resort-Factsheet-Le-Meridien-Maldives.pdf</t>
        </is>
      </c>
      <c r="E719" t="n">
        <v>2022</v>
      </c>
      <c r="H719" t="n">
        <v>24</v>
      </c>
      <c r="I719" t="n">
        <v>2786</v>
      </c>
      <c r="J719" t="inlineStr">
        <is>
          <t>Y</t>
        </is>
      </c>
      <c r="K719" t="inlineStr">
        <is>
          <t>neoscapesmaldives.com</t>
        </is>
      </c>
      <c r="L719" t="inlineStr">
        <is>
          <t>dmc-agency</t>
        </is>
      </c>
      <c r="M719" t="inlineStr">
        <is>
          <t>https://www.neoscapesmaldives.com/wp-content/uploads/Resort-Factsheet-Le-Meridien-Maldives.pdf</t>
        </is>
      </c>
      <c r="N719" t="inlineStr">
        <is>
          <t>https://www.neoscapesmaldives.com/wp-content/uploads/Resort-Factsheet-Le-Meridien-Maldives.pdf</t>
        </is>
      </c>
      <c r="O719" t="inlineStr">
        <is>
          <t>eddd25783828b410c3f4b20c2eda00dbf2a3ef2f4e1ad4e0f69993fb8e200fbf</t>
        </is>
      </c>
      <c r="P719" t="inlineStr">
        <is>
          <t>library/040_le-meridien-maldives-resort-and-spa/factsheet/2022_Resort-Factsheet-Le-Meridien-Maldives.pdf</t>
        </is>
      </c>
      <c r="R719" t="inlineStr">
        <is>
          <t>outdated</t>
        </is>
      </c>
      <c r="S719" t="inlineStr">
        <is>
          <t>Y</t>
        </is>
      </c>
      <c r="T719" t="inlineStr">
        <is>
          <t>matched</t>
        </is>
      </c>
      <c r="U719" t="inlineStr">
        <is>
          <t>2026-10-04</t>
        </is>
      </c>
      <c r="V719" t="inlineStr"/>
    </row>
    <row r="720">
      <c r="A720" t="n">
        <v>40</v>
      </c>
      <c r="B720" t="inlineStr">
        <is>
          <t>Le Méridien Maldives Resort and Spa</t>
        </is>
      </c>
      <c r="C720" t="inlineStr">
        <is>
          <t>map</t>
        </is>
      </c>
      <c r="D720" t="inlineStr">
        <is>
          <t>2022_Resort-Map-Le-Meridien-Maldives.pdf</t>
        </is>
      </c>
      <c r="E720" t="n">
        <v>2022</v>
      </c>
      <c r="H720" t="n">
        <v>1</v>
      </c>
      <c r="I720" t="n">
        <v>227</v>
      </c>
      <c r="J720" t="inlineStr">
        <is>
          <t>N</t>
        </is>
      </c>
      <c r="K720" t="inlineStr">
        <is>
          <t>neoscapesmaldives.com</t>
        </is>
      </c>
      <c r="L720" t="inlineStr">
        <is>
          <t>dmc-agency</t>
        </is>
      </c>
      <c r="M720" t="inlineStr">
        <is>
          <t>https://www.neoscapesmaldives.com/wp-content/uploads/Resort-Map-Le-Meridien-Maldives.pdf</t>
        </is>
      </c>
      <c r="N720" t="inlineStr">
        <is>
          <t>https://www.neoscapesmaldives.com/wp-content/uploads/Resort-Map-Le-Meridien-Maldives.pdf</t>
        </is>
      </c>
      <c r="O720" t="inlineStr">
        <is>
          <t>0a3799bcf0f130852efb17b9ae67d986d6c6fe806e6ce88c968a736116f2db0c</t>
        </is>
      </c>
      <c r="P720" t="inlineStr">
        <is>
          <t>library/040_le-meridien-maldives-resort-and-spa/map/2022_Resort-Map-Le-Meridien-Maldives.pdf</t>
        </is>
      </c>
      <c r="R720" t="inlineStr">
        <is>
          <t>outdated</t>
        </is>
      </c>
      <c r="S720" t="inlineStr">
        <is>
          <t>Y</t>
        </is>
      </c>
      <c r="T720" t="inlineStr">
        <is>
          <t>matched</t>
        </is>
      </c>
      <c r="U720" t="inlineStr">
        <is>
          <t>2026-10-04</t>
        </is>
      </c>
      <c r="V720" t="inlineStr"/>
    </row>
    <row r="721">
      <c r="A721" t="n">
        <v>41</v>
      </c>
      <c r="B721" t="inlineStr">
        <is>
          <t>Ozen By Atmosphere At Maadhoo</t>
        </is>
      </c>
      <c r="C721" t="inlineStr">
        <is>
          <t>factsheet</t>
        </is>
      </c>
      <c r="D721" t="inlineStr">
        <is>
          <t>2025_OZEN-LIFE-MAADHOO-Fact-Sheet-2025.pdf</t>
        </is>
      </c>
      <c r="E721" t="n">
        <v>2025</v>
      </c>
      <c r="H721" t="n">
        <v>8</v>
      </c>
      <c r="I721" t="n">
        <v>2590</v>
      </c>
      <c r="J721" t="inlineStr">
        <is>
          <t>Y</t>
        </is>
      </c>
      <c r="K721" t="inlineStr">
        <is>
          <t>neoscapesmaldives.com</t>
        </is>
      </c>
      <c r="L721" t="inlineStr">
        <is>
          <t>dmc-agency</t>
        </is>
      </c>
      <c r="M721" t="inlineStr">
        <is>
          <t>https://www.neoscapesmaldives.com/wp-content/uploads/OZEN-LIFE-MAADHOO-Fact-Sheet-2025.pdf</t>
        </is>
      </c>
      <c r="N721" t="inlineStr">
        <is>
          <t>https://www.neoscapesmaldives.com/wp-content/uploads/OZEN-LIFE-MAADHOO-Fact-Sheet-2025.pdf</t>
        </is>
      </c>
      <c r="O721" t="inlineStr">
        <is>
          <t>e3425d1fc89e17e25df5289874ac600227e6fb4cecf880383b7726bcfcf0c90b</t>
        </is>
      </c>
      <c r="P721" t="inlineStr">
        <is>
          <t>library/041_ozen-by-atmosphere-at-maadhoo/factsheet/2025_OZEN-LIFE-MAADHOO-Fact-Sheet-2025.pdf</t>
        </is>
      </c>
      <c r="R721" t="inlineStr">
        <is>
          <t>current</t>
        </is>
      </c>
      <c r="S721" t="inlineStr">
        <is>
          <t>Y</t>
        </is>
      </c>
      <c r="T721" t="inlineStr">
        <is>
          <t>matched</t>
        </is>
      </c>
      <c r="U721" t="inlineStr">
        <is>
          <t>2026-10-04</t>
        </is>
      </c>
      <c r="V721" t="inlineStr"/>
    </row>
    <row r="722">
      <c r="A722" t="n">
        <v>41</v>
      </c>
      <c r="B722" t="inlineStr">
        <is>
          <t>Ozen By Atmosphere At Maadhoo</t>
        </is>
      </c>
      <c r="C722" t="inlineStr">
        <is>
          <t>map</t>
        </is>
      </c>
      <c r="D722" t="inlineStr">
        <is>
          <t>2023_OZEN-LIFE-MAADHOO-Resort-Map-1.pdf</t>
        </is>
      </c>
      <c r="E722" t="n">
        <v>2023</v>
      </c>
      <c r="H722" t="n">
        <v>1</v>
      </c>
      <c r="I722" t="n">
        <v>1241</v>
      </c>
      <c r="J722" t="inlineStr">
        <is>
          <t>Y</t>
        </is>
      </c>
      <c r="K722" t="inlineStr">
        <is>
          <t>neoscapesmaldives.com</t>
        </is>
      </c>
      <c r="L722" t="inlineStr">
        <is>
          <t>dmc-agency</t>
        </is>
      </c>
      <c r="M722" t="inlineStr">
        <is>
          <t>https://www.neoscapesmaldives.com/wp-content/uploads/OZEN-LIFE-MAADHOO-Resort-Map-1.pdf</t>
        </is>
      </c>
      <c r="N722" t="inlineStr">
        <is>
          <t>https://www.neoscapesmaldives.com/wp-content/uploads/OZEN-LIFE-MAADHOO-Resort-Map-1.pdf</t>
        </is>
      </c>
      <c r="O722" t="inlineStr">
        <is>
          <t>6e09bb8abd272db0ce8fd33dc58f291886eeb4aea1e963338c03041a44a71b28</t>
        </is>
      </c>
      <c r="P722" t="inlineStr">
        <is>
          <t>library/041_ozen-by-atmosphere-at-maadhoo/map/2023_OZEN-LIFE-MAADHOO-Resort-Map-1.pdf</t>
        </is>
      </c>
      <c r="R722" t="inlineStr">
        <is>
          <t>outdated</t>
        </is>
      </c>
      <c r="S722" t="inlineStr">
        <is>
          <t>Y</t>
        </is>
      </c>
      <c r="T722" t="inlineStr">
        <is>
          <t>matched</t>
        </is>
      </c>
      <c r="U722" t="inlineStr">
        <is>
          <t>2026-10-04</t>
        </is>
      </c>
      <c r="V722" t="inlineStr"/>
    </row>
    <row r="723">
      <c r="A723" t="n">
        <v>43</v>
      </c>
      <c r="B723" t="inlineStr">
        <is>
          <t>Dhigufaru Island Resort</t>
        </is>
      </c>
      <c r="C723" t="inlineStr">
        <is>
          <t>factsheet</t>
        </is>
      </c>
      <c r="D723" t="inlineStr">
        <is>
          <t>2025_Dhigufaru-Fact-Sheet-English.pdf</t>
        </is>
      </c>
      <c r="E723" t="n">
        <v>2025</v>
      </c>
      <c r="H723" t="n">
        <v>6</v>
      </c>
      <c r="I723" t="n">
        <v>6616</v>
      </c>
      <c r="J723" t="inlineStr">
        <is>
          <t>N</t>
        </is>
      </c>
      <c r="K723" t="inlineStr">
        <is>
          <t>dhigufaru.com</t>
        </is>
      </c>
      <c r="L723" t="inlineStr">
        <is>
          <t>official</t>
        </is>
      </c>
      <c r="M723" t="inlineStr">
        <is>
          <t>https://dhigufaru.com/app/wp-content/uploads/2026/06/Dhigufaru-Fact-Sheet-English.pdf</t>
        </is>
      </c>
      <c r="N723" t="inlineStr">
        <is>
          <t>https://dhigufaru.com/app/wp-content/uploads/2026/06/Dhigufaru-Fact-Sheet-English.pdf</t>
        </is>
      </c>
      <c r="O723" t="inlineStr">
        <is>
          <t>0f6090ce4810a14457ec36910b96ade00b9478c4f17959d1c9f4b5f96989f71e</t>
        </is>
      </c>
      <c r="P723" t="inlineStr">
        <is>
          <t>library/043_dhigufaru-island-resort/factsheet/2025_Dhigufaru-Fact-Sheet-English.pdf</t>
        </is>
      </c>
      <c r="R723" t="inlineStr">
        <is>
          <t>current</t>
        </is>
      </c>
      <c r="S723" t="inlineStr">
        <is>
          <t>Y</t>
        </is>
      </c>
      <c r="T723" t="inlineStr">
        <is>
          <t>matched</t>
        </is>
      </c>
      <c r="U723" t="inlineStr">
        <is>
          <t>2026-10-04</t>
        </is>
      </c>
      <c r="V723" t="inlineStr"/>
    </row>
    <row r="724">
      <c r="A724" t="n">
        <v>43</v>
      </c>
      <c r="B724" t="inlineStr">
        <is>
          <t>Dhigufaru Island Resort</t>
        </is>
      </c>
      <c r="C724" t="inlineStr">
        <is>
          <t>factsheet</t>
        </is>
      </c>
      <c r="D724" t="inlineStr">
        <is>
          <t>2024_Dhigufaru-Island-Resort-Fact-Sheet-July-2024.pdf</t>
        </is>
      </c>
      <c r="E724" t="n">
        <v>2024</v>
      </c>
      <c r="H724" t="n">
        <v>4</v>
      </c>
      <c r="I724" t="n">
        <v>11930</v>
      </c>
      <c r="J724" t="inlineStr">
        <is>
          <t>Y</t>
        </is>
      </c>
      <c r="K724" t="inlineStr">
        <is>
          <t>dhigufaru.com</t>
        </is>
      </c>
      <c r="L724" t="inlineStr">
        <is>
          <t>official</t>
        </is>
      </c>
      <c r="M724" t="inlineStr">
        <is>
          <t>https://dhigufaru.com/app/wp-content/uploads/2024/08/Dhigufaru-Island-Resort-Fact-Sheet-July-2024.pdf</t>
        </is>
      </c>
      <c r="N724" t="inlineStr">
        <is>
          <t>https://dhigufaru.com/app/wp-content/uploads/2024/08/Dhigufaru-Island-Resort-Fact-Sheet-July-2024.pdf</t>
        </is>
      </c>
      <c r="O724" t="inlineStr">
        <is>
          <t>7adae9e79a30b94fa76c4699689944bf1489bd092ab7d21dc985e178da9d5360</t>
        </is>
      </c>
      <c r="P724" t="inlineStr">
        <is>
          <t>library/043_dhigufaru-island-resort/factsheet/2024_Dhigufaru-Island-Resort-Fact-Sheet-July-2024.pdf</t>
        </is>
      </c>
      <c r="R724" t="inlineStr">
        <is>
          <t>outdated</t>
        </is>
      </c>
      <c r="S724" t="inlineStr">
        <is>
          <t>N</t>
        </is>
      </c>
      <c r="T724" t="inlineStr">
        <is>
          <t>matched</t>
        </is>
      </c>
      <c r="U724" t="inlineStr">
        <is>
          <t>2026-10-04</t>
        </is>
      </c>
      <c r="V724" t="inlineStr"/>
    </row>
    <row r="725">
      <c r="A725" t="n">
        <v>43</v>
      </c>
      <c r="B725" t="inlineStr">
        <is>
          <t>Dhigufaru Island Resort</t>
        </is>
      </c>
      <c r="C725" t="inlineStr">
        <is>
          <t>factsheet</t>
        </is>
      </c>
      <c r="D725" t="inlineStr">
        <is>
          <t>2020_Dhigufaru-Fact-Sheet-2020.pdf</t>
        </is>
      </c>
      <c r="E725" t="n">
        <v>2020</v>
      </c>
      <c r="H725" t="n">
        <v>14</v>
      </c>
      <c r="I725" t="n">
        <v>2625</v>
      </c>
      <c r="J725" t="inlineStr">
        <is>
          <t>Y</t>
        </is>
      </c>
      <c r="K725" t="inlineStr">
        <is>
          <t>dhigufaru.com</t>
        </is>
      </c>
      <c r="L725" t="inlineStr">
        <is>
          <t>official</t>
        </is>
      </c>
      <c r="M725" t="inlineStr">
        <is>
          <t>https://dhigufaru.com/app/wp-content/uploads/2020/10/Dhigufaru-Fact-Sheet-2020.pdf</t>
        </is>
      </c>
      <c r="N725" t="inlineStr">
        <is>
          <t>https://dhigufaru.com/app/wp-content/uploads/2020/10/Dhigufaru-Fact-Sheet-2020.pdf</t>
        </is>
      </c>
      <c r="O725" t="inlineStr">
        <is>
          <t>d508a9d40c4979e02e80fd62608228adf367a24852a41abf45376a839675ebad</t>
        </is>
      </c>
      <c r="P725" t="inlineStr">
        <is>
          <t>library/043_dhigufaru-island-resort/factsheet/2020_Dhigufaru-Fact-Sheet-2020.pdf</t>
        </is>
      </c>
      <c r="R725" t="inlineStr">
        <is>
          <t>outdated</t>
        </is>
      </c>
      <c r="S725" t="inlineStr">
        <is>
          <t>N</t>
        </is>
      </c>
      <c r="T725" t="inlineStr">
        <is>
          <t>matched</t>
        </is>
      </c>
      <c r="U725" t="inlineStr">
        <is>
          <t>2026-10-04</t>
        </is>
      </c>
      <c r="V725" t="inlineStr"/>
    </row>
    <row r="726">
      <c r="A726" t="n">
        <v>43</v>
      </c>
      <c r="B726" t="inlineStr">
        <is>
          <t>Dhigufaru Island Resort</t>
        </is>
      </c>
      <c r="C726" t="inlineStr">
        <is>
          <t>factsheet</t>
        </is>
      </c>
      <c r="D726" t="inlineStr">
        <is>
          <t>2017_Dhigufaru_Factsheet.pdf</t>
        </is>
      </c>
      <c r="E726" t="n">
        <v>2017</v>
      </c>
      <c r="H726" t="n">
        <v>6</v>
      </c>
      <c r="I726" t="n">
        <v>873</v>
      </c>
      <c r="J726" t="inlineStr">
        <is>
          <t>Y</t>
        </is>
      </c>
      <c r="K726" t="inlineStr">
        <is>
          <t>dhigufaru.com</t>
        </is>
      </c>
      <c r="L726" t="inlineStr">
        <is>
          <t>official</t>
        </is>
      </c>
      <c r="M726" t="inlineStr">
        <is>
          <t>https://dhigufaru.com/app/wp-content/uploads/2018/07/Dhigufaru_Factsheet.pdf</t>
        </is>
      </c>
      <c r="N726" t="inlineStr">
        <is>
          <t>https://dhigufaru.com/app/wp-content/uploads/2018/07/Dhigufaru_Factsheet.pdf | https://dhigufaru.com/app/wp-content/uploads/2017/08/Dhigufaru-Factsheet.pdf</t>
        </is>
      </c>
      <c r="O726" t="inlineStr">
        <is>
          <t>2e6ba33d0ddc998bf55aa412d36dcf31c87c99f7c63865782771fda61a374fd6</t>
        </is>
      </c>
      <c r="P726" t="inlineStr">
        <is>
          <t>library/043_dhigufaru-island-resort/factsheet/2017_Dhigufaru_Factsheet.pdf</t>
        </is>
      </c>
      <c r="R726" t="inlineStr">
        <is>
          <t>outdated</t>
        </is>
      </c>
      <c r="S726" t="inlineStr">
        <is>
          <t>N</t>
        </is>
      </c>
      <c r="T726" t="inlineStr">
        <is>
          <t>matched</t>
        </is>
      </c>
      <c r="U726" t="inlineStr">
        <is>
          <t>2026-10-04</t>
        </is>
      </c>
      <c r="V726" t="inlineStr"/>
    </row>
    <row r="727">
      <c r="A727" t="n">
        <v>43</v>
      </c>
      <c r="B727" t="inlineStr">
        <is>
          <t>Dhigufaru Island Resort</t>
        </is>
      </c>
      <c r="C727" t="inlineStr">
        <is>
          <t>wedding</t>
        </is>
      </c>
      <c r="D727" t="inlineStr">
        <is>
          <t>2024_Dhigufaru-Wedding-Proposal-Packages-2024.pdf</t>
        </is>
      </c>
      <c r="E727" t="n">
        <v>2024</v>
      </c>
      <c r="H727" t="n">
        <v>5</v>
      </c>
      <c r="I727" t="n">
        <v>5436</v>
      </c>
      <c r="J727" t="inlineStr">
        <is>
          <t>Y</t>
        </is>
      </c>
      <c r="K727" t="inlineStr">
        <is>
          <t>dhigufaru.com</t>
        </is>
      </c>
      <c r="L727" t="inlineStr">
        <is>
          <t>official</t>
        </is>
      </c>
      <c r="M727" t="inlineStr">
        <is>
          <t>https://dhigufaru.com/app/wp-content/uploads/2024/12/Dhigufaru-Wedding-Proposal-Packages-2024.pdf</t>
        </is>
      </c>
      <c r="N727" t="inlineStr">
        <is>
          <t>https://dhigufaru.com/app/wp-content/uploads/2024/12/Dhigufaru-Wedding-Proposal-Packages-2024.pdf</t>
        </is>
      </c>
      <c r="O727" t="inlineStr">
        <is>
          <t>8d0072b331b826056733e995ded45c8d54d42a1b277032a628904246b047821e</t>
        </is>
      </c>
      <c r="P727" t="inlineStr">
        <is>
          <t>library/043_dhigufaru-island-resort/wedding/2024_Dhigufaru-Wedding-Proposal-Packages-2024.pdf</t>
        </is>
      </c>
      <c r="R727" t="inlineStr">
        <is>
          <t>outdated</t>
        </is>
      </c>
      <c r="S727" t="inlineStr">
        <is>
          <t>Y</t>
        </is>
      </c>
      <c r="T727" t="inlineStr">
        <is>
          <t>matched</t>
        </is>
      </c>
      <c r="U727" t="inlineStr">
        <is>
          <t>2026-10-04</t>
        </is>
      </c>
      <c r="V727" t="inlineStr"/>
    </row>
    <row r="728">
      <c r="A728" t="n">
        <v>43</v>
      </c>
      <c r="B728" t="inlineStr">
        <is>
          <t>Dhigufaru Island Resort</t>
        </is>
      </c>
      <c r="C728" t="inlineStr">
        <is>
          <t>spa_menu</t>
        </is>
      </c>
      <c r="D728" t="inlineStr">
        <is>
          <t>2017_Huifilandaa-Pavilion.pdf</t>
        </is>
      </c>
      <c r="E728" t="n">
        <v>2017</v>
      </c>
      <c r="H728" t="n">
        <v>1</v>
      </c>
      <c r="I728" t="n">
        <v>1121</v>
      </c>
      <c r="J728" t="inlineStr">
        <is>
          <t>Y</t>
        </is>
      </c>
      <c r="K728" t="inlineStr">
        <is>
          <t>dhigufaru.com</t>
        </is>
      </c>
      <c r="L728" t="inlineStr">
        <is>
          <t>official</t>
        </is>
      </c>
      <c r="M728" t="inlineStr">
        <is>
          <t>https://dhigufaru.com/app/wp-content/uploads/2016/03/Huifilandaa-Pavilion.pdf</t>
        </is>
      </c>
      <c r="N728" t="inlineStr">
        <is>
          <t>https://dhigufaru.com/app/wp-content/uploads/2016/03/Huifilandaa-Pavilion.pdf</t>
        </is>
      </c>
      <c r="O728" t="inlineStr">
        <is>
          <t>5d0caafba1d3458d281de18909e19727ba6cf084df01ec1090f829a1263a9ef5</t>
        </is>
      </c>
      <c r="P728" t="inlineStr">
        <is>
          <t>library/043_dhigufaru-island-resort/spa_menu/2017_Huifilandaa-Pavilion.pdf</t>
        </is>
      </c>
      <c r="R728" t="inlineStr">
        <is>
          <t>outdated</t>
        </is>
      </c>
      <c r="S728" t="inlineStr">
        <is>
          <t>Y</t>
        </is>
      </c>
      <c r="T728" t="inlineStr">
        <is>
          <t>matched</t>
        </is>
      </c>
      <c r="U728" t="inlineStr">
        <is>
          <t>2026-10-04</t>
        </is>
      </c>
      <c r="V728" t="inlineStr"/>
    </row>
    <row r="729">
      <c r="A729" t="n">
        <v>43</v>
      </c>
      <c r="B729" t="inlineStr">
        <is>
          <t>Dhigufaru Island Resort</t>
        </is>
      </c>
      <c r="C729" t="inlineStr">
        <is>
          <t>villa_plans</t>
        </is>
      </c>
      <c r="D729" t="inlineStr">
        <is>
          <t>2016_FS-fp-screen.pdf</t>
        </is>
      </c>
      <c r="E729" t="n">
        <v>2016</v>
      </c>
      <c r="H729" t="n">
        <v>5</v>
      </c>
      <c r="I729" t="n">
        <v>489</v>
      </c>
      <c r="J729" t="inlineStr">
        <is>
          <t>Y</t>
        </is>
      </c>
      <c r="K729" t="inlineStr">
        <is>
          <t>dhigufaru.com</t>
        </is>
      </c>
      <c r="L729" t="inlineStr">
        <is>
          <t>official</t>
        </is>
      </c>
      <c r="M729" t="inlineStr">
        <is>
          <t>https://dhigufaru.com/app/wp-content/uploads/2016/03/FS-fp-screen.pdf</t>
        </is>
      </c>
      <c r="N729" t="inlineStr">
        <is>
          <t>https://dhigufaru.com/app/wp-content/uploads/2016/03/FS-fp-screen.pdf</t>
        </is>
      </c>
      <c r="O729" t="inlineStr">
        <is>
          <t>7bab34316d8992098696b51359b6298fbb2e9e5356d06f07fa7fb31d76d79a9c</t>
        </is>
      </c>
      <c r="P729" t="inlineStr">
        <is>
          <t>library/043_dhigufaru-island-resort/villa_plans/2016_FS-fp-screen.pdf</t>
        </is>
      </c>
      <c r="R729" t="inlineStr">
        <is>
          <t>outdated</t>
        </is>
      </c>
      <c r="S729" t="inlineStr">
        <is>
          <t>Y</t>
        </is>
      </c>
      <c r="T729" t="inlineStr">
        <is>
          <t>matched</t>
        </is>
      </c>
      <c r="U729" t="inlineStr">
        <is>
          <t>2026-10-04</t>
        </is>
      </c>
      <c r="V729" t="inlineStr"/>
    </row>
    <row r="730">
      <c r="A730" t="n">
        <v>43</v>
      </c>
      <c r="B730" t="inlineStr">
        <is>
          <t>Dhigufaru Island Resort</t>
        </is>
      </c>
      <c r="C730" t="inlineStr">
        <is>
          <t>brochure</t>
        </is>
      </c>
      <c r="D730" t="inlineStr">
        <is>
          <t>2018_Dhigufaru_Brochure_2018-s.pdf</t>
        </is>
      </c>
      <c r="E730" t="n">
        <v>2018</v>
      </c>
      <c r="H730" t="n">
        <v>28</v>
      </c>
      <c r="I730" t="n">
        <v>5043</v>
      </c>
      <c r="J730" t="inlineStr">
        <is>
          <t>N</t>
        </is>
      </c>
      <c r="K730" t="inlineStr">
        <is>
          <t>dhigufaru.com</t>
        </is>
      </c>
      <c r="L730" t="inlineStr">
        <is>
          <t>official</t>
        </is>
      </c>
      <c r="M730" t="inlineStr">
        <is>
          <t>https://dhigufaru.com/app/wp-content/uploads/2018/07/Dhigufaru_Brochure_2018-s.pdf</t>
        </is>
      </c>
      <c r="N730" t="inlineStr">
        <is>
          <t>https://dhigufaru.com/app/wp-content/uploads/2018/07/Dhigufaru_Brochure_2018-s.pdf</t>
        </is>
      </c>
      <c r="O730" t="inlineStr">
        <is>
          <t>fa370a622d7528dfecce293819861e5da7c15f365abfe339b34b1bae2e0c9a3e</t>
        </is>
      </c>
      <c r="P730" t="inlineStr">
        <is>
          <t>library/043_dhigufaru-island-resort/brochure/2018_Dhigufaru_Brochure_2018-s.pdf</t>
        </is>
      </c>
      <c r="R730" t="inlineStr">
        <is>
          <t>outdated</t>
        </is>
      </c>
      <c r="S730" t="inlineStr">
        <is>
          <t>Y</t>
        </is>
      </c>
      <c r="T730" t="inlineStr">
        <is>
          <t>matched</t>
        </is>
      </c>
      <c r="U730" t="inlineStr">
        <is>
          <t>2026-10-04</t>
        </is>
      </c>
      <c r="V730" t="inlineStr"/>
    </row>
    <row r="731">
      <c r="A731" t="n">
        <v>43</v>
      </c>
      <c r="B731" t="inlineStr">
        <is>
          <t>Dhigufaru Island Resort</t>
        </is>
      </c>
      <c r="C731" t="inlineStr">
        <is>
          <t>brochure</t>
        </is>
      </c>
      <c r="D731" t="inlineStr">
        <is>
          <t>2017_Dhigufaru_brochure.pdf</t>
        </is>
      </c>
      <c r="E731" t="n">
        <v>2017</v>
      </c>
      <c r="H731" t="n">
        <v>69</v>
      </c>
      <c r="I731" t="n">
        <v>10160</v>
      </c>
      <c r="J731" t="inlineStr">
        <is>
          <t>Y</t>
        </is>
      </c>
      <c r="K731" t="inlineStr">
        <is>
          <t>dhigufaru.com</t>
        </is>
      </c>
      <c r="L731" t="inlineStr">
        <is>
          <t>official</t>
        </is>
      </c>
      <c r="M731" t="inlineStr">
        <is>
          <t>https://dhigufaru.com/Dhigufaru_brochure.pdf</t>
        </is>
      </c>
      <c r="N731" t="inlineStr">
        <is>
          <t>https://dhigufaru.com/Dhigufaru_brochure.pdf</t>
        </is>
      </c>
      <c r="O731" t="inlineStr">
        <is>
          <t>70a70710f6c3a8f57629fb094342080d905a4b70b9a39f8803a197fb35d1f8cd</t>
        </is>
      </c>
      <c r="P731" t="inlineStr">
        <is>
          <t>library/043_dhigufaru-island-resort/brochure/2017_Dhigufaru_brochure.pdf</t>
        </is>
      </c>
      <c r="R731" t="inlineStr">
        <is>
          <t>outdated</t>
        </is>
      </c>
      <c r="S731" t="inlineStr">
        <is>
          <t>N</t>
        </is>
      </c>
      <c r="T731" t="inlineStr">
        <is>
          <t>matched</t>
        </is>
      </c>
      <c r="U731" t="inlineStr">
        <is>
          <t>2026-10-04</t>
        </is>
      </c>
      <c r="V731" t="inlineStr"/>
    </row>
    <row r="732">
      <c r="A732" t="n">
        <v>43</v>
      </c>
      <c r="B732" t="inlineStr">
        <is>
          <t>Dhigufaru Island Resort</t>
        </is>
      </c>
      <c r="C732" t="inlineStr">
        <is>
          <t>brochure</t>
        </is>
      </c>
      <c r="D732" t="inlineStr">
        <is>
          <t>2016_Dhigu-brochure-screen.pdf</t>
        </is>
      </c>
      <c r="E732" t="n">
        <v>2016</v>
      </c>
      <c r="H732" t="n">
        <v>69</v>
      </c>
      <c r="I732" t="n">
        <v>11354</v>
      </c>
      <c r="J732" t="inlineStr">
        <is>
          <t>Y</t>
        </is>
      </c>
      <c r="K732" t="inlineStr">
        <is>
          <t>dhigufaru.com</t>
        </is>
      </c>
      <c r="L732" t="inlineStr">
        <is>
          <t>official</t>
        </is>
      </c>
      <c r="M732" t="inlineStr">
        <is>
          <t>https://dhigufaru.com/app/wp-content/uploads/2016/03/Dhigu-brochure-screen.pdf</t>
        </is>
      </c>
      <c r="N732" t="inlineStr">
        <is>
          <t>https://dhigufaru.com/app/wp-content/uploads/2016/03/Dhigu-brochure-screen.pdf</t>
        </is>
      </c>
      <c r="O732" t="inlineStr">
        <is>
          <t>0bb1ffdfcc4de2550a40618fcaa7bdf0bf68c489e6a18d318c9c37ae84408a96</t>
        </is>
      </c>
      <c r="P732" t="inlineStr">
        <is>
          <t>library/043_dhigufaru-island-resort/brochure/2016_Dhigu-brochure-screen.pdf</t>
        </is>
      </c>
      <c r="R732" t="inlineStr">
        <is>
          <t>outdated</t>
        </is>
      </c>
      <c r="S732" t="inlineStr">
        <is>
          <t>N</t>
        </is>
      </c>
      <c r="T732" t="inlineStr">
        <is>
          <t>matched</t>
        </is>
      </c>
      <c r="U732" t="inlineStr">
        <is>
          <t>2026-10-04</t>
        </is>
      </c>
      <c r="V732" t="inlineStr"/>
    </row>
    <row r="733">
      <c r="A733" t="n">
        <v>44</v>
      </c>
      <c r="B733" t="inlineStr">
        <is>
          <t>Hard Rock Hotel Maldives</t>
        </is>
      </c>
      <c r="C733" t="inlineStr">
        <is>
          <t>wedding</t>
        </is>
      </c>
      <c r="D733" t="inlineStr">
        <is>
          <t>2026_HRH_Wedding_Brochure_2026.pdf</t>
        </is>
      </c>
      <c r="E733" t="n">
        <v>2026</v>
      </c>
      <c r="H733" t="n">
        <v>11</v>
      </c>
      <c r="I733" t="n">
        <v>4964</v>
      </c>
      <c r="J733" t="inlineStr">
        <is>
          <t>Y</t>
        </is>
      </c>
      <c r="K733" t="inlineStr">
        <is>
          <t>hardrockhotels.com</t>
        </is>
      </c>
      <c r="L733" t="inlineStr">
        <is>
          <t>official</t>
        </is>
      </c>
      <c r="M733" t="inlineStr">
        <is>
          <t>https://hotel.hardrock.com/maldives/files/6016/HRH_Wedding_Brochure_2026.pdf</t>
        </is>
      </c>
      <c r="N733" t="inlineStr">
        <is>
          <t>https://hotel.hardrock.com/maldives/files/6016/HRH_Wedding_Brochure_2026.pdf</t>
        </is>
      </c>
      <c r="O733" t="inlineStr">
        <is>
          <t>345078772eeecaab5fe5e0ae7af43d70e2d16937480a97aab6ab036abe68ced4</t>
        </is>
      </c>
      <c r="P733" t="inlineStr">
        <is>
          <t>library/044_hard-rock-hotel-maldives/wedding/2026_HRH_Wedding_Brochure_2026.pdf</t>
        </is>
      </c>
      <c r="R733" t="inlineStr">
        <is>
          <t>current</t>
        </is>
      </c>
      <c r="S733" t="inlineStr">
        <is>
          <t>Y</t>
        </is>
      </c>
      <c r="T733" t="inlineStr">
        <is>
          <t>matched</t>
        </is>
      </c>
      <c r="U733" t="inlineStr">
        <is>
          <t>2026-10-04</t>
        </is>
      </c>
      <c r="V733" t="inlineStr"/>
    </row>
    <row r="734">
      <c r="A734" t="n">
        <v>44</v>
      </c>
      <c r="B734" t="inlineStr">
        <is>
          <t>Hard Rock Hotel Maldives</t>
        </is>
      </c>
      <c r="C734" t="inlineStr">
        <is>
          <t>map</t>
        </is>
      </c>
      <c r="D734" t="inlineStr">
        <is>
          <t>2026_Hard_Rock_Maldives_Reosrt_Map_2026.pdf</t>
        </is>
      </c>
      <c r="E734" t="n">
        <v>2026</v>
      </c>
      <c r="H734" t="n">
        <v>1</v>
      </c>
      <c r="I734" t="n">
        <v>1100</v>
      </c>
      <c r="J734" t="inlineStr">
        <is>
          <t>Y</t>
        </is>
      </c>
      <c r="K734" t="inlineStr">
        <is>
          <t>hardrockhotels.com</t>
        </is>
      </c>
      <c r="L734" t="inlineStr">
        <is>
          <t>official</t>
        </is>
      </c>
      <c r="M734" t="inlineStr">
        <is>
          <t>https://hotel.hardrock.com/maldives/files/6016/Hard_Rock_Maldives_Reosrt_Map_2026.pdf</t>
        </is>
      </c>
      <c r="N734" t="inlineStr">
        <is>
          <t>https://hotel.hardrock.com/maldives/files/6016/Hard_Rock_Maldives_Reosrt_Map_2026.pdf</t>
        </is>
      </c>
      <c r="O734" t="inlineStr">
        <is>
          <t>beb84d1388aefb3e95c84bc6e3b1727435ad4eb461e04cc5da2f2dba833be164</t>
        </is>
      </c>
      <c r="P734" t="inlineStr">
        <is>
          <t>library/044_hard-rock-hotel-maldives/map/2026_Hard_Rock_Maldives_Reosrt_Map_2026.pdf</t>
        </is>
      </c>
      <c r="R734" t="inlineStr">
        <is>
          <t>current</t>
        </is>
      </c>
      <c r="S734" t="inlineStr">
        <is>
          <t>Y</t>
        </is>
      </c>
      <c r="T734" t="inlineStr">
        <is>
          <t>matched</t>
        </is>
      </c>
      <c r="U734" t="inlineStr">
        <is>
          <t>2026-10-04</t>
        </is>
      </c>
      <c r="V734" t="inlineStr"/>
    </row>
    <row r="735">
      <c r="A735" t="n">
        <v>44</v>
      </c>
      <c r="B735" t="inlineStr">
        <is>
          <t>Hard Rock Hotel Maldives</t>
        </is>
      </c>
      <c r="C735" t="inlineStr">
        <is>
          <t>map</t>
        </is>
      </c>
      <c r="D735" t="inlineStr">
        <is>
          <t>2024_Hard_Rock_Hotel_Maldives_Island_Map_-_December_2024.pdf</t>
        </is>
      </c>
      <c r="E735" t="n">
        <v>2024</v>
      </c>
      <c r="H735" t="n">
        <v>1</v>
      </c>
      <c r="I735" t="n">
        <v>1377</v>
      </c>
      <c r="J735" t="inlineStr">
        <is>
          <t>N</t>
        </is>
      </c>
      <c r="K735" t="inlineStr">
        <is>
          <t>hardrockhotels.com</t>
        </is>
      </c>
      <c r="L735" t="inlineStr">
        <is>
          <t>official</t>
        </is>
      </c>
      <c r="M735" t="inlineStr">
        <is>
          <t>https://hotel.hardrock.com/maldives/files/6016/Hard_Rock_Hotel_Maldives_Island_Map_-_December_2024.pdf</t>
        </is>
      </c>
      <c r="N735" t="inlineStr">
        <is>
          <t>https://hotel.hardrock.com/maldives/files/6016/Hard_Rock_Hotel_Maldives_Island_Map_-_December_2024.pdf</t>
        </is>
      </c>
      <c r="O735" t="inlineStr">
        <is>
          <t>2d38c38cb9274eed3e8595930e6792e083ae2a6d0ff7cc0c24be0f6243dff06a</t>
        </is>
      </c>
      <c r="P735" t="inlineStr">
        <is>
          <t>library/044_hard-rock-hotel-maldives/map/2024_Hard_Rock_Hotel_Maldives_Island_Map_-_December_2024.pdf</t>
        </is>
      </c>
      <c r="R735" t="inlineStr">
        <is>
          <t>outdated</t>
        </is>
      </c>
      <c r="S735" t="inlineStr">
        <is>
          <t>N</t>
        </is>
      </c>
      <c r="T735" t="inlineStr">
        <is>
          <t>matched</t>
        </is>
      </c>
      <c r="U735" t="inlineStr">
        <is>
          <t>2026-10-04</t>
        </is>
      </c>
      <c r="V735" t="inlineStr"/>
    </row>
    <row r="736">
      <c r="A736" t="n">
        <v>44</v>
      </c>
      <c r="B736" t="inlineStr">
        <is>
          <t>Hard Rock Hotel Maldives</t>
        </is>
      </c>
      <c r="C736" t="inlineStr">
        <is>
          <t>spa_menu</t>
        </is>
      </c>
      <c r="D736" t="inlineStr">
        <is>
          <t>2026_Body_Rock_Private_Lessons.pdf</t>
        </is>
      </c>
      <c r="E736" t="n">
        <v>2026</v>
      </c>
      <c r="H736" t="n">
        <v>3</v>
      </c>
      <c r="I736" t="n">
        <v>350</v>
      </c>
      <c r="J736" t="inlineStr">
        <is>
          <t>Y</t>
        </is>
      </c>
      <c r="K736" t="inlineStr">
        <is>
          <t>hardrockhotels.com</t>
        </is>
      </c>
      <c r="L736" t="inlineStr">
        <is>
          <t>official</t>
        </is>
      </c>
      <c r="M736" t="inlineStr">
        <is>
          <t>https://hotel.hardrock.com/maldives/files/6016/Body_Rock_Private_Lessons.pdf</t>
        </is>
      </c>
      <c r="N736" t="inlineStr">
        <is>
          <t>https://hotel.hardrock.com/maldives/files/6016/Body_Rock_Private_Lessons.pdf</t>
        </is>
      </c>
      <c r="O736" t="inlineStr">
        <is>
          <t>b45b9e4f88753861d7afc8965502b067a487d59cba228c1bec87d718ced65ffd</t>
        </is>
      </c>
      <c r="P736" t="inlineStr">
        <is>
          <t>library/044_hard-rock-hotel-maldives/spa_menu/2026_Body_Rock_Private_Lessons.pdf</t>
        </is>
      </c>
      <c r="R736" t="inlineStr">
        <is>
          <t>current</t>
        </is>
      </c>
      <c r="S736" t="inlineStr">
        <is>
          <t>Y</t>
        </is>
      </c>
      <c r="T736" t="inlineStr">
        <is>
          <t>needs-review</t>
        </is>
      </c>
      <c r="U736" t="inlineStr">
        <is>
          <t>2026-10-04</t>
        </is>
      </c>
      <c r="V736" t="inlineStr">
        <is>
          <t>ambiguous match [44]</t>
        </is>
      </c>
    </row>
    <row r="737">
      <c r="A737" t="n">
        <v>44</v>
      </c>
      <c r="B737" t="inlineStr">
        <is>
          <t>Hard Rock Hotel Maldives</t>
        </is>
      </c>
      <c r="C737" t="inlineStr">
        <is>
          <t>spa_menu</t>
        </is>
      </c>
      <c r="D737" t="inlineStr">
        <is>
          <t>2025_RockSpa_Menu_2025.pdf</t>
        </is>
      </c>
      <c r="E737" t="n">
        <v>2025</v>
      </c>
      <c r="H737" t="n">
        <v>35</v>
      </c>
      <c r="I737" t="n">
        <v>3653</v>
      </c>
      <c r="J737" t="inlineStr">
        <is>
          <t>Y</t>
        </is>
      </c>
      <c r="K737" t="inlineStr">
        <is>
          <t>hardrockhotels.com</t>
        </is>
      </c>
      <c r="L737" t="inlineStr">
        <is>
          <t>official</t>
        </is>
      </c>
      <c r="M737" t="inlineStr">
        <is>
          <t>https://hotel.hardrock.com/maldives/files/6016/RockSpa_Menu_2025.pdf</t>
        </is>
      </c>
      <c r="N737" t="inlineStr">
        <is>
          <t>https://hotel.hardrock.com/maldives/files/6016/RockSpa_Menu_2025.pdf</t>
        </is>
      </c>
      <c r="O737" t="inlineStr">
        <is>
          <t>b1bfe1af84a738406e3c0a4bc8ecdab9841bfefe2ca029c9b758dd51657dee04</t>
        </is>
      </c>
      <c r="P737" t="inlineStr">
        <is>
          <t>library/044_hard-rock-hotel-maldives/spa_menu/2025_RockSpa_Menu_2025.pdf</t>
        </is>
      </c>
      <c r="R737" t="inlineStr">
        <is>
          <t>current</t>
        </is>
      </c>
      <c r="S737" t="inlineStr">
        <is>
          <t>N</t>
        </is>
      </c>
      <c r="T737" t="inlineStr">
        <is>
          <t>needs-review</t>
        </is>
      </c>
      <c r="U737" t="inlineStr">
        <is>
          <t>2026-10-04</t>
        </is>
      </c>
      <c r="V737" t="inlineStr">
        <is>
          <t>ambiguous match [44]</t>
        </is>
      </c>
    </row>
    <row r="738">
      <c r="A738" t="n">
        <v>44</v>
      </c>
      <c r="B738" t="inlineStr">
        <is>
          <t>Hard Rock Hotel Maldives</t>
        </is>
      </c>
      <c r="C738" t="inlineStr">
        <is>
          <t>spa_menu</t>
        </is>
      </c>
      <c r="D738" t="inlineStr">
        <is>
          <t>2025_RockSpa_Pricelist_2025.pdf</t>
        </is>
      </c>
      <c r="E738" t="n">
        <v>2025</v>
      </c>
      <c r="H738" t="n">
        <v>2</v>
      </c>
      <c r="I738" t="n">
        <v>130</v>
      </c>
      <c r="J738" t="inlineStr">
        <is>
          <t>Y</t>
        </is>
      </c>
      <c r="K738" t="inlineStr">
        <is>
          <t>hardrockhotels.com</t>
        </is>
      </c>
      <c r="L738" t="inlineStr">
        <is>
          <t>official</t>
        </is>
      </c>
      <c r="M738" t="inlineStr">
        <is>
          <t>https://hotel.hardrock.com/maldives/files/6016/RockSpa_Pricelist_2025.pdf</t>
        </is>
      </c>
      <c r="N738" t="inlineStr">
        <is>
          <t>https://hotel.hardrock.com/maldives/files/6016/RockSpa_Pricelist_2025.pdf</t>
        </is>
      </c>
      <c r="O738" t="inlineStr">
        <is>
          <t>e5eb1de337847263ebdab4fd408b1c3624b1d3abdd439223c2ae6e2378d24deb</t>
        </is>
      </c>
      <c r="P738" t="inlineStr">
        <is>
          <t>library/044_hard-rock-hotel-maldives/spa_menu/2025_RockSpa_Pricelist_2025.pdf</t>
        </is>
      </c>
      <c r="R738" t="inlineStr">
        <is>
          <t>current</t>
        </is>
      </c>
      <c r="S738" t="inlineStr">
        <is>
          <t>N</t>
        </is>
      </c>
      <c r="T738" t="inlineStr">
        <is>
          <t>needs-review</t>
        </is>
      </c>
      <c r="U738" t="inlineStr">
        <is>
          <t>2026-10-04</t>
        </is>
      </c>
      <c r="V738" t="inlineStr">
        <is>
          <t>ambiguous match [44]</t>
        </is>
      </c>
    </row>
    <row r="739">
      <c r="A739" t="n">
        <v>44</v>
      </c>
      <c r="B739" t="inlineStr">
        <is>
          <t>Hard Rock Hotel Maldives</t>
        </is>
      </c>
      <c r="C739" t="inlineStr">
        <is>
          <t>dining_menu</t>
        </is>
      </c>
      <c r="D739" t="inlineStr">
        <is>
          <t>2026_E_B_Lunch_Menu_A3_2026.06.24.pdf</t>
        </is>
      </c>
      <c r="E739" t="n">
        <v>2026</v>
      </c>
      <c r="H739" t="n">
        <v>2</v>
      </c>
      <c r="I739" t="n">
        <v>959</v>
      </c>
      <c r="J739" t="inlineStr">
        <is>
          <t>Y</t>
        </is>
      </c>
      <c r="K739" t="inlineStr">
        <is>
          <t>hardrockhotels.com</t>
        </is>
      </c>
      <c r="L739" t="inlineStr">
        <is>
          <t>official</t>
        </is>
      </c>
      <c r="M739" t="inlineStr">
        <is>
          <t>https://hotel.hardrock.com/maldives/files/6016/E&amp;B_Lunch_Menu_A3_2026.06.24.pdf</t>
        </is>
      </c>
      <c r="N739" t="inlineStr">
        <is>
          <t>https://hotel.hardrock.com/maldives/files/6016/E&amp;B_Lunch_Menu_A3_2026.06.24.pdf</t>
        </is>
      </c>
      <c r="O739" t="inlineStr">
        <is>
          <t>024fc187bb645ff989d58940f2a478ef4e29d1d37ed38a9c7b5d7e747ad9ce86</t>
        </is>
      </c>
      <c r="P739" t="inlineStr">
        <is>
          <t>library/044_hard-rock-hotel-maldives/dining_menu/2026_E_B_Lunch_Menu_A3_2026.06.24.pdf</t>
        </is>
      </c>
      <c r="R739" t="inlineStr">
        <is>
          <t>current</t>
        </is>
      </c>
      <c r="S739" t="inlineStr">
        <is>
          <t>N</t>
        </is>
      </c>
      <c r="T739" t="inlineStr">
        <is>
          <t>needs-review</t>
        </is>
      </c>
      <c r="U739" t="inlineStr">
        <is>
          <t>2026-10-04</t>
        </is>
      </c>
      <c r="V739" t="inlineStr">
        <is>
          <t>ambiguous match [44]</t>
        </is>
      </c>
    </row>
    <row r="740">
      <c r="A740" t="n">
        <v>44</v>
      </c>
      <c r="B740" t="inlineStr">
        <is>
          <t>Hard Rock Hotel Maldives</t>
        </is>
      </c>
      <c r="C740" t="inlineStr">
        <is>
          <t>dining_menu</t>
        </is>
      </c>
      <c r="D740" t="inlineStr">
        <is>
          <t>2026_CN_Sessions_All_Day_Dining_A3_2026.08.27.pdf</t>
        </is>
      </c>
      <c r="E740" t="n">
        <v>2026</v>
      </c>
      <c r="H740" t="n">
        <v>2</v>
      </c>
      <c r="I740" t="n">
        <v>989</v>
      </c>
      <c r="J740" t="inlineStr">
        <is>
          <t>Y</t>
        </is>
      </c>
      <c r="K740" t="inlineStr">
        <is>
          <t>hardrockhotels.com</t>
        </is>
      </c>
      <c r="L740" t="inlineStr">
        <is>
          <t>official</t>
        </is>
      </c>
      <c r="M740" t="inlineStr">
        <is>
          <t>https://hotel.hardrock.com/maldives/files/6016/CN_Sessions_All_Day_Dining_A3_2026.08.27.pdf</t>
        </is>
      </c>
      <c r="N740" t="inlineStr">
        <is>
          <t>https://hotel.hardrock.com/maldives/files/6016/CN_Sessions_All_Day_Dining_A3_2026.08.27.pdf</t>
        </is>
      </c>
      <c r="O740" t="inlineStr">
        <is>
          <t>d8beecd22be92d319abb0bff4c7fb6354b80ab46e6aee833058116524ada2826</t>
        </is>
      </c>
      <c r="P740" t="inlineStr">
        <is>
          <t>library/044_hard-rock-hotel-maldives/dining_menu/2026_CN_Sessions_All_Day_Dining_A3_2026.08.27.pdf</t>
        </is>
      </c>
      <c r="R740" t="inlineStr">
        <is>
          <t>current</t>
        </is>
      </c>
      <c r="S740" t="inlineStr">
        <is>
          <t>N</t>
        </is>
      </c>
      <c r="T740" t="inlineStr">
        <is>
          <t>needs-review</t>
        </is>
      </c>
      <c r="U740" t="inlineStr">
        <is>
          <t>2026-10-04</t>
        </is>
      </c>
      <c r="V740" t="inlineStr">
        <is>
          <t>ambiguous match [44]</t>
        </is>
      </c>
    </row>
    <row r="741">
      <c r="A741" t="n">
        <v>44</v>
      </c>
      <c r="B741" t="inlineStr">
        <is>
          <t>Hard Rock Hotel Maldives</t>
        </is>
      </c>
      <c r="C741" t="inlineStr">
        <is>
          <t>dining_menu</t>
        </is>
      </c>
      <c r="D741" t="inlineStr">
        <is>
          <t>2026_ENB_Pizza_Menu_2026.06.27.pdf</t>
        </is>
      </c>
      <c r="E741" t="n">
        <v>2026</v>
      </c>
      <c r="H741" t="n">
        <v>2</v>
      </c>
      <c r="I741" t="n">
        <v>1444</v>
      </c>
      <c r="J741" t="inlineStr">
        <is>
          <t>Y</t>
        </is>
      </c>
      <c r="K741" t="inlineStr">
        <is>
          <t>hardrockhotels.com</t>
        </is>
      </c>
      <c r="L741" t="inlineStr">
        <is>
          <t>official</t>
        </is>
      </c>
      <c r="M741" t="inlineStr">
        <is>
          <t>https://hotel.hardrock.com/maldives/files/6016/ENB_Pizza_Menu_2026.06.27.pdf</t>
        </is>
      </c>
      <c r="N741" t="inlineStr">
        <is>
          <t>https://hotel.hardrock.com/maldives/files/6016/ENB_Pizza_Menu_2026.06.27.pdf</t>
        </is>
      </c>
      <c r="O741" t="inlineStr">
        <is>
          <t>6452485182f47e625a19954b75721d4e7b2aadb103abbbd8603aa0bd284e9a93</t>
        </is>
      </c>
      <c r="P741" t="inlineStr">
        <is>
          <t>library/044_hard-rock-hotel-maldives/dining_menu/2026_ENB_Pizza_Menu_2026.06.27.pdf</t>
        </is>
      </c>
      <c r="R741" t="inlineStr">
        <is>
          <t>current</t>
        </is>
      </c>
      <c r="S741" t="inlineStr">
        <is>
          <t>N</t>
        </is>
      </c>
      <c r="T741" t="inlineStr">
        <is>
          <t>needs-review</t>
        </is>
      </c>
      <c r="U741" t="inlineStr">
        <is>
          <t>2026-10-04</t>
        </is>
      </c>
      <c r="V741" t="inlineStr">
        <is>
          <t>ambiguous match [44]</t>
        </is>
      </c>
    </row>
    <row r="742">
      <c r="A742" t="n">
        <v>44</v>
      </c>
      <c r="B742" t="inlineStr">
        <is>
          <t>Hard Rock Hotel Maldives</t>
        </is>
      </c>
      <c r="C742" t="inlineStr">
        <is>
          <t>dining_menu</t>
        </is>
      </c>
      <c r="D742" t="inlineStr">
        <is>
          <t>2026_RUS_E_B_Lunch_Menu_A3_2026.06.24.pdf</t>
        </is>
      </c>
      <c r="E742" t="n">
        <v>2026</v>
      </c>
      <c r="H742" t="n">
        <v>2</v>
      </c>
      <c r="I742" t="n">
        <v>993</v>
      </c>
      <c r="J742" t="inlineStr">
        <is>
          <t>Y</t>
        </is>
      </c>
      <c r="K742" t="inlineStr">
        <is>
          <t>hardrockhotels.com</t>
        </is>
      </c>
      <c r="L742" t="inlineStr">
        <is>
          <t>official</t>
        </is>
      </c>
      <c r="M742" t="inlineStr">
        <is>
          <t>https://hotel.hardrock.com/maldives/files/6016/RUS_E&amp;B_Lunch_Menu_A3_2026.06.24.pdf</t>
        </is>
      </c>
      <c r="N742" t="inlineStr">
        <is>
          <t>https://hotel.hardrock.com/maldives/files/6016/RUS_E&amp;B_Lunch_Menu_A3_2026.06.24.pdf</t>
        </is>
      </c>
      <c r="O742" t="inlineStr">
        <is>
          <t>0197979cfd2ca451cfc4324a99b3f18ab7f22c002de7e8673f8aca8e29317910</t>
        </is>
      </c>
      <c r="P742" t="inlineStr">
        <is>
          <t>library/044_hard-rock-hotel-maldives/dining_menu/2026_RUS_E_B_Lunch_Menu_A3_2026.06.24.pdf</t>
        </is>
      </c>
      <c r="R742" t="inlineStr">
        <is>
          <t>current</t>
        </is>
      </c>
      <c r="S742" t="inlineStr">
        <is>
          <t>N</t>
        </is>
      </c>
      <c r="T742" t="inlineStr">
        <is>
          <t>needs-review</t>
        </is>
      </c>
      <c r="U742" t="inlineStr">
        <is>
          <t>2026-10-04</t>
        </is>
      </c>
      <c r="V742" t="inlineStr">
        <is>
          <t>ambiguous match [44]</t>
        </is>
      </c>
    </row>
    <row r="743">
      <c r="A743" t="n">
        <v>44</v>
      </c>
      <c r="B743" t="inlineStr">
        <is>
          <t>Hard Rock Hotel Maldives</t>
        </is>
      </c>
      <c r="C743" t="inlineStr">
        <is>
          <t>dining_menu</t>
        </is>
      </c>
      <c r="D743" t="inlineStr">
        <is>
          <t>2026_CN_E_B_Dinner_Menu_A3_2026.04.05.pdf</t>
        </is>
      </c>
      <c r="E743" t="n">
        <v>2026</v>
      </c>
      <c r="H743" t="n">
        <v>2</v>
      </c>
      <c r="I743" t="n">
        <v>1108</v>
      </c>
      <c r="J743" t="inlineStr">
        <is>
          <t>Y</t>
        </is>
      </c>
      <c r="K743" t="inlineStr">
        <is>
          <t>hardrockhotels.com</t>
        </is>
      </c>
      <c r="L743" t="inlineStr">
        <is>
          <t>official</t>
        </is>
      </c>
      <c r="M743" t="inlineStr">
        <is>
          <t>https://hotel.hardrock.com/maldives/files/6016/CN_E&amp;B_Dinner_Menu_A3_2026.04.05.pdf</t>
        </is>
      </c>
      <c r="N743" t="inlineStr">
        <is>
          <t>https://hotel.hardrock.com/maldives/files/6016/CN_E&amp;B_Dinner_Menu_A3_2026.04.05.pdf</t>
        </is>
      </c>
      <c r="O743" t="inlineStr">
        <is>
          <t>a6dcc0c245b381f39de2cac84d2a112bc1990aec41f80e425f990eb7bc6407b7</t>
        </is>
      </c>
      <c r="P743" t="inlineStr">
        <is>
          <t>library/044_hard-rock-hotel-maldives/dining_menu/2026_CN_E_B_Dinner_Menu_A3_2026.04.05.pdf</t>
        </is>
      </c>
      <c r="R743" t="inlineStr">
        <is>
          <t>current</t>
        </is>
      </c>
      <c r="S743" t="inlineStr">
        <is>
          <t>N</t>
        </is>
      </c>
      <c r="T743" t="inlineStr">
        <is>
          <t>needs-review</t>
        </is>
      </c>
      <c r="U743" t="inlineStr">
        <is>
          <t>2026-10-04</t>
        </is>
      </c>
      <c r="V743" t="inlineStr">
        <is>
          <t>ambiguous match [44]</t>
        </is>
      </c>
    </row>
    <row r="744">
      <c r="A744" t="n">
        <v>44</v>
      </c>
      <c r="B744" t="inlineStr">
        <is>
          <t>Hard Rock Hotel Maldives</t>
        </is>
      </c>
      <c r="C744" t="inlineStr">
        <is>
          <t>dining_menu</t>
        </is>
      </c>
      <c r="D744" t="inlineStr">
        <is>
          <t>2026_CN_E_B_Pizza_Menu.pdf</t>
        </is>
      </c>
      <c r="E744" t="n">
        <v>2026</v>
      </c>
      <c r="H744" t="n">
        <v>2</v>
      </c>
      <c r="I744" t="n">
        <v>1545</v>
      </c>
      <c r="J744" t="inlineStr">
        <is>
          <t>Y</t>
        </is>
      </c>
      <c r="K744" t="inlineStr">
        <is>
          <t>hardrockhotels.com</t>
        </is>
      </c>
      <c r="L744" t="inlineStr">
        <is>
          <t>official</t>
        </is>
      </c>
      <c r="M744" t="inlineStr">
        <is>
          <t>https://hotel.hardrock.com/maldives/files/6016/CN_E&amp;B_Pizza_Menu.pdf</t>
        </is>
      </c>
      <c r="N744" t="inlineStr">
        <is>
          <t>https://hotel.hardrock.com/maldives/files/6016/CN_E&amp;B_Pizza_Menu.pdf</t>
        </is>
      </c>
      <c r="O744" t="inlineStr">
        <is>
          <t>76e1919177abe73121237eda5d808bf793a12646bdc7e126c2f2d5091844d92d</t>
        </is>
      </c>
      <c r="P744" t="inlineStr">
        <is>
          <t>library/044_hard-rock-hotel-maldives/dining_menu/2026_CN_E_B_Pizza_Menu.pdf</t>
        </is>
      </c>
      <c r="R744" t="inlineStr">
        <is>
          <t>current</t>
        </is>
      </c>
      <c r="S744" t="inlineStr">
        <is>
          <t>N</t>
        </is>
      </c>
      <c r="T744" t="inlineStr">
        <is>
          <t>needs-review</t>
        </is>
      </c>
      <c r="U744" t="inlineStr">
        <is>
          <t>2026-10-04</t>
        </is>
      </c>
      <c r="V744" t="inlineStr">
        <is>
          <t>ambiguous match [44]</t>
        </is>
      </c>
    </row>
    <row r="745">
      <c r="A745" t="n">
        <v>44</v>
      </c>
      <c r="B745" t="inlineStr">
        <is>
          <t>Hard Rock Hotel Maldives</t>
        </is>
      </c>
      <c r="C745" t="inlineStr">
        <is>
          <t>dining_menu</t>
        </is>
      </c>
      <c r="D745" t="inlineStr">
        <is>
          <t>2026_Sessions_Kids_Menu_with_images.pdf</t>
        </is>
      </c>
      <c r="E745" t="n">
        <v>2026</v>
      </c>
      <c r="H745" t="n">
        <v>2</v>
      </c>
      <c r="I745" t="n">
        <v>4970</v>
      </c>
      <c r="J745" t="inlineStr">
        <is>
          <t>Y</t>
        </is>
      </c>
      <c r="K745" t="inlineStr">
        <is>
          <t>hardrockhotels.com</t>
        </is>
      </c>
      <c r="L745" t="inlineStr">
        <is>
          <t>official</t>
        </is>
      </c>
      <c r="M745" t="inlineStr">
        <is>
          <t>https://hotel.hardrock.com/maldives/files/6016/Sessions_Kids_Menu_with_images.pdf</t>
        </is>
      </c>
      <c r="N745" t="inlineStr">
        <is>
          <t>https://hotel.hardrock.com/maldives/files/6016/Sessions_Kids_Menu_with_images.pdf</t>
        </is>
      </c>
      <c r="O745" t="inlineStr">
        <is>
          <t>5143246c4346bb122f35196a42683bafe186245d407570948cf61b9e50d042f8</t>
        </is>
      </c>
      <c r="P745" t="inlineStr">
        <is>
          <t>library/044_hard-rock-hotel-maldives/dining_menu/2026_Sessions_Kids_Menu_with_images.pdf</t>
        </is>
      </c>
      <c r="R745" t="inlineStr">
        <is>
          <t>current</t>
        </is>
      </c>
      <c r="S745" t="inlineStr">
        <is>
          <t>N</t>
        </is>
      </c>
      <c r="T745" t="inlineStr">
        <is>
          <t>needs-review</t>
        </is>
      </c>
      <c r="U745" t="inlineStr">
        <is>
          <t>2026-10-04</t>
        </is>
      </c>
      <c r="V745" t="inlineStr">
        <is>
          <t>ambiguous match [44]</t>
        </is>
      </c>
    </row>
    <row r="746">
      <c r="A746" t="n">
        <v>44</v>
      </c>
      <c r="B746" t="inlineStr">
        <is>
          <t>Hard Rock Hotel Maldives</t>
        </is>
      </c>
      <c r="C746" t="inlineStr">
        <is>
          <t>dining_menu</t>
        </is>
      </c>
      <c r="D746" t="inlineStr">
        <is>
          <t>2026_RUS_E_B_Dinner_Menu_A3_2026.04.05.pdf</t>
        </is>
      </c>
      <c r="E746" t="n">
        <v>2026</v>
      </c>
      <c r="H746" t="n">
        <v>2</v>
      </c>
      <c r="I746" t="n">
        <v>999</v>
      </c>
      <c r="J746" t="inlineStr">
        <is>
          <t>Y</t>
        </is>
      </c>
      <c r="K746" t="inlineStr">
        <is>
          <t>hardrockhotels.com</t>
        </is>
      </c>
      <c r="L746" t="inlineStr">
        <is>
          <t>official</t>
        </is>
      </c>
      <c r="M746" t="inlineStr">
        <is>
          <t>https://hotel.hardrock.com/maldives/files/6016/RUS_E&amp;B_Dinner_Menu_A3_2026.04.05.pdf</t>
        </is>
      </c>
      <c r="N746" t="inlineStr">
        <is>
          <t>https://hotel.hardrock.com/maldives/files/6016/RUS_E&amp;B_Dinner_Menu_A3_2026.04.05.pdf</t>
        </is>
      </c>
      <c r="O746" t="inlineStr">
        <is>
          <t>c4385aa6c65ac86cdb9f1417912c2946363a0556b79d7f4f7efc3bde1159b7fe</t>
        </is>
      </c>
      <c r="P746" t="inlineStr">
        <is>
          <t>library/044_hard-rock-hotel-maldives/dining_menu/2026_RUS_E_B_Dinner_Menu_A3_2026.04.05.pdf</t>
        </is>
      </c>
      <c r="R746" t="inlineStr">
        <is>
          <t>current</t>
        </is>
      </c>
      <c r="S746" t="inlineStr">
        <is>
          <t>N</t>
        </is>
      </c>
      <c r="T746" t="inlineStr">
        <is>
          <t>needs-review</t>
        </is>
      </c>
      <c r="U746" t="inlineStr">
        <is>
          <t>2026-10-04</t>
        </is>
      </c>
      <c r="V746" t="inlineStr">
        <is>
          <t>ambiguous match [44]</t>
        </is>
      </c>
    </row>
    <row r="747">
      <c r="A747" t="n">
        <v>44</v>
      </c>
      <c r="B747" t="inlineStr">
        <is>
          <t>Hard Rock Hotel Maldives</t>
        </is>
      </c>
      <c r="C747" t="inlineStr">
        <is>
          <t>dining_menu</t>
        </is>
      </c>
      <c r="D747" t="inlineStr">
        <is>
          <t>2026_CN_E_B_Lunch_Menu_A3_2026.06.24.pdf</t>
        </is>
      </c>
      <c r="E747" t="n">
        <v>2026</v>
      </c>
      <c r="H747" t="n">
        <v>2</v>
      </c>
      <c r="I747" t="n">
        <v>1101</v>
      </c>
      <c r="J747" t="inlineStr">
        <is>
          <t>Y</t>
        </is>
      </c>
      <c r="K747" t="inlineStr">
        <is>
          <t>hardrockhotels.com</t>
        </is>
      </c>
      <c r="L747" t="inlineStr">
        <is>
          <t>official</t>
        </is>
      </c>
      <c r="M747" t="inlineStr">
        <is>
          <t>https://hotel.hardrock.com/maldives/files/6016/CN_E&amp;B_Lunch_Menu_A3_2026.06.24.pdf</t>
        </is>
      </c>
      <c r="N747" t="inlineStr">
        <is>
          <t>https://hotel.hardrock.com/maldives/files/6016/CN_E&amp;B_Lunch_Menu_A3_2026.06.24.pdf</t>
        </is>
      </c>
      <c r="O747" t="inlineStr">
        <is>
          <t>fce9217245d2b790466d33433092965f930adc1df175be8f77d50a8a76334dcb</t>
        </is>
      </c>
      <c r="P747" t="inlineStr">
        <is>
          <t>library/044_hard-rock-hotel-maldives/dining_menu/2026_CN_E_B_Lunch_Menu_A3_2026.06.24.pdf</t>
        </is>
      </c>
      <c r="R747" t="inlineStr">
        <is>
          <t>current</t>
        </is>
      </c>
      <c r="S747" t="inlineStr">
        <is>
          <t>N</t>
        </is>
      </c>
      <c r="T747" t="inlineStr">
        <is>
          <t>needs-review</t>
        </is>
      </c>
      <c r="U747" t="inlineStr">
        <is>
          <t>2026-10-04</t>
        </is>
      </c>
      <c r="V747" t="inlineStr">
        <is>
          <t>ambiguous match [44]</t>
        </is>
      </c>
    </row>
    <row r="748">
      <c r="A748" t="n">
        <v>44</v>
      </c>
      <c r="B748" t="inlineStr">
        <is>
          <t>Hard Rock Hotel Maldives</t>
        </is>
      </c>
      <c r="C748" t="inlineStr">
        <is>
          <t>dining_menu</t>
        </is>
      </c>
      <c r="D748" t="inlineStr">
        <is>
          <t>2026_Sessions_All_Day_Dining_A3_2026.08.27.pdf</t>
        </is>
      </c>
      <c r="E748" t="n">
        <v>2026</v>
      </c>
      <c r="H748" t="n">
        <v>2</v>
      </c>
      <c r="I748" t="n">
        <v>860</v>
      </c>
      <c r="J748" t="inlineStr">
        <is>
          <t>Y</t>
        </is>
      </c>
      <c r="K748" t="inlineStr">
        <is>
          <t>hardrockhotels.com</t>
        </is>
      </c>
      <c r="L748" t="inlineStr">
        <is>
          <t>official</t>
        </is>
      </c>
      <c r="M748" t="inlineStr">
        <is>
          <t>https://hotel.hardrock.com/maldives/files/6016/Sessions_All_Day_Dining_A3_2026.08.27.pdf</t>
        </is>
      </c>
      <c r="N748" t="inlineStr">
        <is>
          <t>https://hotel.hardrock.com/maldives/files/6016/Sessions_All_Day_Dining_A3_2026.08.27.pdf</t>
        </is>
      </c>
      <c r="O748" t="inlineStr">
        <is>
          <t>2e7324856fd059f96def56adfbc31ed44b4e28d90af8e71dfb1194e3c772da89</t>
        </is>
      </c>
      <c r="P748" t="inlineStr">
        <is>
          <t>library/044_hard-rock-hotel-maldives/dining_menu/2026_Sessions_All_Day_Dining_A3_2026.08.27.pdf</t>
        </is>
      </c>
      <c r="R748" t="inlineStr">
        <is>
          <t>current</t>
        </is>
      </c>
      <c r="S748" t="inlineStr">
        <is>
          <t>N</t>
        </is>
      </c>
      <c r="T748" t="inlineStr">
        <is>
          <t>needs-review</t>
        </is>
      </c>
      <c r="U748" t="inlineStr">
        <is>
          <t>2026-10-04</t>
        </is>
      </c>
      <c r="V748" t="inlineStr">
        <is>
          <t>ambiguous match [44]</t>
        </is>
      </c>
    </row>
    <row r="749">
      <c r="A749" t="n">
        <v>44</v>
      </c>
      <c r="B749" t="inlineStr">
        <is>
          <t>Hard Rock Hotel Maldives</t>
        </is>
      </c>
      <c r="C749" t="inlineStr">
        <is>
          <t>dining_menu</t>
        </is>
      </c>
      <c r="D749" t="inlineStr">
        <is>
          <t>2026_RUS_Sessions_All_Day_Dining_A3_2026.08.27.pdf</t>
        </is>
      </c>
      <c r="E749" t="n">
        <v>2026</v>
      </c>
      <c r="H749" t="n">
        <v>2</v>
      </c>
      <c r="I749" t="n">
        <v>800</v>
      </c>
      <c r="J749" t="inlineStr">
        <is>
          <t>Y</t>
        </is>
      </c>
      <c r="K749" t="inlineStr">
        <is>
          <t>hardrockhotels.com</t>
        </is>
      </c>
      <c r="L749" t="inlineStr">
        <is>
          <t>official</t>
        </is>
      </c>
      <c r="M749" t="inlineStr">
        <is>
          <t>https://hotel.hardrock.com/maldives/files/6016/RUS_Sessions_All_Day_Dining_A3_2026.08.27.pdf</t>
        </is>
      </c>
      <c r="N749" t="inlineStr">
        <is>
          <t>https://hotel.hardrock.com/maldives/files/6016/RUS_Sessions_All_Day_Dining_A3_2026.08.27.pdf</t>
        </is>
      </c>
      <c r="O749" t="inlineStr">
        <is>
          <t>313e89b7ece00198e772942e0c1c14b5f06d8e849952c818668a36924636cb3a</t>
        </is>
      </c>
      <c r="P749" t="inlineStr">
        <is>
          <t>library/044_hard-rock-hotel-maldives/dining_menu/2026_RUS_Sessions_All_Day_Dining_A3_2026.08.27.pdf</t>
        </is>
      </c>
      <c r="R749" t="inlineStr">
        <is>
          <t>current</t>
        </is>
      </c>
      <c r="S749" t="inlineStr">
        <is>
          <t>N</t>
        </is>
      </c>
      <c r="T749" t="inlineStr">
        <is>
          <t>needs-review</t>
        </is>
      </c>
      <c r="U749" t="inlineStr">
        <is>
          <t>2026-10-04</t>
        </is>
      </c>
      <c r="V749" t="inlineStr">
        <is>
          <t>ambiguous match [44]</t>
        </is>
      </c>
    </row>
    <row r="750">
      <c r="A750" t="n">
        <v>44</v>
      </c>
      <c r="B750" t="inlineStr">
        <is>
          <t>Hard Rock Hotel Maldives</t>
        </is>
      </c>
      <c r="C750" t="inlineStr">
        <is>
          <t>dining_menu</t>
        </is>
      </c>
      <c r="D750" t="inlineStr">
        <is>
          <t>2026_HRH_Signature_Menu_2026.06.21.pdf</t>
        </is>
      </c>
      <c r="E750" t="n">
        <v>2026</v>
      </c>
      <c r="H750" t="n">
        <v>10</v>
      </c>
      <c r="I750" t="n">
        <v>485</v>
      </c>
      <c r="J750" t="inlineStr">
        <is>
          <t>Y</t>
        </is>
      </c>
      <c r="K750" t="inlineStr">
        <is>
          <t>hardrockhotels.com</t>
        </is>
      </c>
      <c r="L750" t="inlineStr">
        <is>
          <t>official</t>
        </is>
      </c>
      <c r="M750" t="inlineStr">
        <is>
          <t>https://hotel.hardrock.com/maldives/files/6016/HRH_Signature_Menu_2026.06.21.pdf</t>
        </is>
      </c>
      <c r="N750" t="inlineStr">
        <is>
          <t>https://hotel.hardrock.com/maldives/files/6016/HRH_Signature_Menu_2026.06.21.pdf</t>
        </is>
      </c>
      <c r="O750" t="inlineStr">
        <is>
          <t>8190a6160ca19f0f8ac3ef1f40205c4a4ef6d3f38b3e78838a6b3860b5b47bbd</t>
        </is>
      </c>
      <c r="P750" t="inlineStr">
        <is>
          <t>library/044_hard-rock-hotel-maldives/dining_menu/2026_HRH_Signature_Menu_2026.06.21.pdf</t>
        </is>
      </c>
      <c r="R750" t="inlineStr">
        <is>
          <t>current</t>
        </is>
      </c>
      <c r="S750" t="inlineStr">
        <is>
          <t>Y</t>
        </is>
      </c>
      <c r="T750" t="inlineStr">
        <is>
          <t>matched</t>
        </is>
      </c>
      <c r="U750" t="inlineStr">
        <is>
          <t>2026-10-04</t>
        </is>
      </c>
      <c r="V750" t="inlineStr"/>
    </row>
    <row r="751">
      <c r="A751" t="n">
        <v>44</v>
      </c>
      <c r="B751" t="inlineStr">
        <is>
          <t>Hard Rock Hotel Maldives</t>
        </is>
      </c>
      <c r="C751" t="inlineStr">
        <is>
          <t>dining_menu</t>
        </is>
      </c>
      <c r="D751" t="inlineStr">
        <is>
          <t>2026_RUS_E_B_Pizza_Menu.pdf</t>
        </is>
      </c>
      <c r="E751" t="n">
        <v>2026</v>
      </c>
      <c r="H751" t="n">
        <v>2</v>
      </c>
      <c r="I751" t="n">
        <v>1470</v>
      </c>
      <c r="J751" t="inlineStr">
        <is>
          <t>Y</t>
        </is>
      </c>
      <c r="K751" t="inlineStr">
        <is>
          <t>hardrockhotels.com</t>
        </is>
      </c>
      <c r="L751" t="inlineStr">
        <is>
          <t>official</t>
        </is>
      </c>
      <c r="M751" t="inlineStr">
        <is>
          <t>https://hotel.hardrock.com/maldives/files/6016/RUS_E&amp;B_Pizza_Menu.pdf</t>
        </is>
      </c>
      <c r="N751" t="inlineStr">
        <is>
          <t>https://hotel.hardrock.com/maldives/files/6016/RUS_E&amp;B_Pizza_Menu.pdf</t>
        </is>
      </c>
      <c r="O751" t="inlineStr">
        <is>
          <t>e854c61cb84d52e6e7f029cdaa06f8294a9afa15b8f2a5638cecb3d8abc9f26e</t>
        </is>
      </c>
      <c r="P751" t="inlineStr">
        <is>
          <t>library/044_hard-rock-hotel-maldives/dining_menu/2026_RUS_E_B_Pizza_Menu.pdf</t>
        </is>
      </c>
      <c r="R751" t="inlineStr">
        <is>
          <t>current</t>
        </is>
      </c>
      <c r="S751" t="inlineStr">
        <is>
          <t>N</t>
        </is>
      </c>
      <c r="T751" t="inlineStr">
        <is>
          <t>needs-review</t>
        </is>
      </c>
      <c r="U751" t="inlineStr">
        <is>
          <t>2026-10-04</t>
        </is>
      </c>
      <c r="V751" t="inlineStr">
        <is>
          <t>ambiguous match [44]</t>
        </is>
      </c>
    </row>
    <row r="752">
      <c r="A752" t="n">
        <v>44</v>
      </c>
      <c r="B752" t="inlineStr">
        <is>
          <t>Hard Rock Hotel Maldives</t>
        </is>
      </c>
      <c r="C752" t="inlineStr">
        <is>
          <t>dining_menu</t>
        </is>
      </c>
      <c r="D752" t="inlineStr">
        <is>
          <t>2026_E_B_Dinner_Menu_A3_2026.04.05.pdf</t>
        </is>
      </c>
      <c r="E752" t="n">
        <v>2026</v>
      </c>
      <c r="H752" t="n">
        <v>2</v>
      </c>
      <c r="I752" t="n">
        <v>1026</v>
      </c>
      <c r="J752" t="inlineStr">
        <is>
          <t>Y</t>
        </is>
      </c>
      <c r="K752" t="inlineStr">
        <is>
          <t>hardrockhotels.com</t>
        </is>
      </c>
      <c r="L752" t="inlineStr">
        <is>
          <t>official</t>
        </is>
      </c>
      <c r="M752" t="inlineStr">
        <is>
          <t>https://hotel.hardrock.com/maldives/files/6016/E&amp;B_Dinner_Menu_A3_2026.04.05.pdf</t>
        </is>
      </c>
      <c r="N752" t="inlineStr">
        <is>
          <t>https://hotel.hardrock.com/maldives/files/6016/E&amp;B_Dinner_Menu_A3_2026.04.05.pdf</t>
        </is>
      </c>
      <c r="O752" t="inlineStr">
        <is>
          <t>3b10d0a107d8bf58f905bf8a4ed8e441a701c1c0f482689d5b91bb548850b45f</t>
        </is>
      </c>
      <c r="P752" t="inlineStr">
        <is>
          <t>library/044_hard-rock-hotel-maldives/dining_menu/2026_E_B_Dinner_Menu_A3_2026.04.05.pdf</t>
        </is>
      </c>
      <c r="R752" t="inlineStr">
        <is>
          <t>current</t>
        </is>
      </c>
      <c r="S752" t="inlineStr">
        <is>
          <t>N</t>
        </is>
      </c>
      <c r="T752" t="inlineStr">
        <is>
          <t>needs-review</t>
        </is>
      </c>
      <c r="U752" t="inlineStr">
        <is>
          <t>2026-10-04</t>
        </is>
      </c>
      <c r="V752" t="inlineStr">
        <is>
          <t>ambiguous match [44]</t>
        </is>
      </c>
    </row>
    <row r="753">
      <c r="A753" t="n">
        <v>44</v>
      </c>
      <c r="B753" t="inlineStr">
        <is>
          <t>Hard Rock Hotel Maldives</t>
        </is>
      </c>
      <c r="C753" t="inlineStr">
        <is>
          <t>dining_menu</t>
        </is>
      </c>
      <c r="D753" t="inlineStr">
        <is>
          <t>2026_HRH_Wine_Menu_2026.04.05.pdf</t>
        </is>
      </c>
      <c r="E753" t="n">
        <v>2026</v>
      </c>
      <c r="H753" t="n">
        <v>2</v>
      </c>
      <c r="I753" t="n">
        <v>4009</v>
      </c>
      <c r="J753" t="inlineStr">
        <is>
          <t>Y</t>
        </is>
      </c>
      <c r="K753" t="inlineStr">
        <is>
          <t>hardrockhotels.com</t>
        </is>
      </c>
      <c r="L753" t="inlineStr">
        <is>
          <t>official</t>
        </is>
      </c>
      <c r="M753" t="inlineStr">
        <is>
          <t>https://hotel.hardrock.com/maldives/files/6016/HRH_Wine_Menu_2026.04.05.pdf</t>
        </is>
      </c>
      <c r="N753" t="inlineStr">
        <is>
          <t>https://hotel.hardrock.com/maldives/files/6016/HRH_Wine_Menu_2026.04.05.pdf</t>
        </is>
      </c>
      <c r="O753" t="inlineStr">
        <is>
          <t>f46bea39c2d954d3d0bf6a2951844166283d5ffdd34dce780a77f4a161e87256</t>
        </is>
      </c>
      <c r="P753" t="inlineStr">
        <is>
          <t>library/044_hard-rock-hotel-maldives/dining_menu/2026_HRH_Wine_Menu_2026.04.05.pdf</t>
        </is>
      </c>
      <c r="R753" t="inlineStr">
        <is>
          <t>current</t>
        </is>
      </c>
      <c r="S753" t="inlineStr">
        <is>
          <t>N</t>
        </is>
      </c>
      <c r="T753" t="inlineStr">
        <is>
          <t>needs-review</t>
        </is>
      </c>
      <c r="U753" t="inlineStr">
        <is>
          <t>2026-10-04</t>
        </is>
      </c>
      <c r="V753" t="inlineStr">
        <is>
          <t>ambiguous match [44]</t>
        </is>
      </c>
    </row>
    <row r="754">
      <c r="A754" t="n">
        <v>44</v>
      </c>
      <c r="B754" t="inlineStr">
        <is>
          <t>Hard Rock Hotel Maldives</t>
        </is>
      </c>
      <c r="C754" t="inlineStr">
        <is>
          <t>dining_menu</t>
        </is>
      </c>
      <c r="D754" t="inlineStr">
        <is>
          <t>2026_HRH_AI_Drinks_Menu.pdf</t>
        </is>
      </c>
      <c r="E754" t="n">
        <v>2026</v>
      </c>
      <c r="H754" t="n">
        <v>3</v>
      </c>
      <c r="I754" t="n">
        <v>1243</v>
      </c>
      <c r="J754" t="inlineStr">
        <is>
          <t>Y</t>
        </is>
      </c>
      <c r="K754" t="inlineStr">
        <is>
          <t>hardrockhotels.com</t>
        </is>
      </c>
      <c r="L754" t="inlineStr">
        <is>
          <t>official</t>
        </is>
      </c>
      <c r="M754" t="inlineStr">
        <is>
          <t>https://hotel.hardrock.com/maldives/files/6016/HRH_AI_Drinks_Menu.pdf</t>
        </is>
      </c>
      <c r="N754" t="inlineStr">
        <is>
          <t>https://hotel.hardrock.com/maldives/files/6016/HRH_AI_Drinks_Menu.pdf</t>
        </is>
      </c>
      <c r="O754" t="inlineStr">
        <is>
          <t>e76f1c80a8757cf8d2526248c426917886dd7075ed1ec4c66c27a1b49686965e</t>
        </is>
      </c>
      <c r="P754" t="inlineStr">
        <is>
          <t>library/044_hard-rock-hotel-maldives/dining_menu/2026_HRH_AI_Drinks_Menu.pdf</t>
        </is>
      </c>
      <c r="R754" t="inlineStr">
        <is>
          <t>current</t>
        </is>
      </c>
      <c r="S754" t="inlineStr">
        <is>
          <t>N</t>
        </is>
      </c>
      <c r="T754" t="inlineStr">
        <is>
          <t>needs-review</t>
        </is>
      </c>
      <c r="U754" t="inlineStr">
        <is>
          <t>2026-10-04</t>
        </is>
      </c>
      <c r="V754" t="inlineStr">
        <is>
          <t>ambiguous match [44]</t>
        </is>
      </c>
    </row>
    <row r="755">
      <c r="A755" t="n">
        <v>44</v>
      </c>
      <c r="B755" t="inlineStr">
        <is>
          <t>Hard Rock Hotel Maldives</t>
        </is>
      </c>
      <c r="C755" t="inlineStr">
        <is>
          <t>dining_menu</t>
        </is>
      </c>
      <c r="D755" t="inlineStr">
        <is>
          <t>2025_HRC_Drinks_Menu.pdf</t>
        </is>
      </c>
      <c r="E755" t="n">
        <v>2025</v>
      </c>
      <c r="H755" t="n">
        <v>16</v>
      </c>
      <c r="I755" t="n">
        <v>3779</v>
      </c>
      <c r="J755" t="inlineStr">
        <is>
          <t>Y</t>
        </is>
      </c>
      <c r="K755" t="inlineStr">
        <is>
          <t>hardrockhotels.com</t>
        </is>
      </c>
      <c r="L755" t="inlineStr">
        <is>
          <t>official</t>
        </is>
      </c>
      <c r="M755" t="inlineStr">
        <is>
          <t>https://hotel.hardrock.com/maldives/files/6016/HRC_Drinks_Menu.pdf</t>
        </is>
      </c>
      <c r="N755" t="inlineStr">
        <is>
          <t>https://hotel.hardrock.com/maldives/files/6016/HRC_Drinks_Menu.pdf</t>
        </is>
      </c>
      <c r="O755" t="inlineStr">
        <is>
          <t>b4719de6edcc142537352d3058b48a46b86e2edb0cc7934fe2fff8a64c6a6f81</t>
        </is>
      </c>
      <c r="P755" t="inlineStr">
        <is>
          <t>library/044_hard-rock-hotel-maldives/dining_menu/2025_HRC_Drinks_Menu.pdf</t>
        </is>
      </c>
      <c r="R755" t="inlineStr">
        <is>
          <t>current</t>
        </is>
      </c>
      <c r="S755" t="inlineStr">
        <is>
          <t>N</t>
        </is>
      </c>
      <c r="T755" t="inlineStr">
        <is>
          <t>needs-review</t>
        </is>
      </c>
      <c r="U755" t="inlineStr">
        <is>
          <t>2026-10-04</t>
        </is>
      </c>
      <c r="V755" t="inlineStr">
        <is>
          <t>ambiguous match [44]</t>
        </is>
      </c>
    </row>
    <row r="756">
      <c r="A756" t="n">
        <v>44</v>
      </c>
      <c r="B756" t="inlineStr">
        <is>
          <t>Hard Rock Hotel Maldives</t>
        </is>
      </c>
      <c r="C756" t="inlineStr">
        <is>
          <t>dining_menu</t>
        </is>
      </c>
      <c r="D756" t="inlineStr">
        <is>
          <t>2025_IVD-Menu.pdf</t>
        </is>
      </c>
      <c r="E756" t="n">
        <v>2025</v>
      </c>
      <c r="H756" t="n">
        <v>4</v>
      </c>
      <c r="I756" t="n">
        <v>3313</v>
      </c>
      <c r="J756" t="inlineStr">
        <is>
          <t>Y</t>
        </is>
      </c>
      <c r="K756" t="inlineStr">
        <is>
          <t>hardrockhotels.com</t>
        </is>
      </c>
      <c r="L756" t="inlineStr">
        <is>
          <t>official</t>
        </is>
      </c>
      <c r="M756" t="inlineStr">
        <is>
          <t>https://hotel.hardrock.com/maldives/files/6016/IVD-Menu.pdf</t>
        </is>
      </c>
      <c r="N756" t="inlineStr">
        <is>
          <t>https://hotel.hardrock.com/maldives/files/6016/IVD-Menu.pdf</t>
        </is>
      </c>
      <c r="O756" t="inlineStr">
        <is>
          <t>cd38b94d816e957f49ae37e6b358ed6eb65609486b7fd6b55de13b176245cc49</t>
        </is>
      </c>
      <c r="P756" t="inlineStr">
        <is>
          <t>library/044_hard-rock-hotel-maldives/dining_menu/2025_IVD-Menu.pdf</t>
        </is>
      </c>
      <c r="R756" t="inlineStr">
        <is>
          <t>current</t>
        </is>
      </c>
      <c r="S756" t="inlineStr">
        <is>
          <t>N</t>
        </is>
      </c>
      <c r="T756" t="inlineStr">
        <is>
          <t>needs-review</t>
        </is>
      </c>
      <c r="U756" t="inlineStr">
        <is>
          <t>2026-10-04</t>
        </is>
      </c>
      <c r="V756" t="inlineStr">
        <is>
          <t>ambiguous match [44]</t>
        </is>
      </c>
    </row>
    <row r="757">
      <c r="A757" t="n">
        <v>44</v>
      </c>
      <c r="B757" t="inlineStr">
        <is>
          <t>Hard Rock Hotel Maldives</t>
        </is>
      </c>
      <c r="C757" t="inlineStr">
        <is>
          <t>dining_menu</t>
        </is>
      </c>
      <c r="D757" t="inlineStr">
        <is>
          <t>2025_HRC_Food_Menu.pdf</t>
        </is>
      </c>
      <c r="E757" t="n">
        <v>2025</v>
      </c>
      <c r="H757" t="n">
        <v>12</v>
      </c>
      <c r="I757" t="n">
        <v>4770</v>
      </c>
      <c r="J757" t="inlineStr">
        <is>
          <t>Y</t>
        </is>
      </c>
      <c r="K757" t="inlineStr">
        <is>
          <t>hardrockhotels.com</t>
        </is>
      </c>
      <c r="L757" t="inlineStr">
        <is>
          <t>official</t>
        </is>
      </c>
      <c r="M757" t="inlineStr">
        <is>
          <t>https://hotel.hardrock.com/maldives/files/6016/HRC_Food_Menu.pdf</t>
        </is>
      </c>
      <c r="N757" t="inlineStr">
        <is>
          <t>https://hotel.hardrock.com/maldives/files/6016/HRC_Food_Menu.pdf</t>
        </is>
      </c>
      <c r="O757" t="inlineStr">
        <is>
          <t>71c33545b77af126be0fc1c9a165ce6cda0359026b8274fb1be7b21a61cf0aa3</t>
        </is>
      </c>
      <c r="P757" t="inlineStr">
        <is>
          <t>library/044_hard-rock-hotel-maldives/dining_menu/2025_HRC_Food_Menu.pdf</t>
        </is>
      </c>
      <c r="R757" t="inlineStr">
        <is>
          <t>current</t>
        </is>
      </c>
      <c r="S757" t="inlineStr">
        <is>
          <t>N</t>
        </is>
      </c>
      <c r="T757" t="inlineStr">
        <is>
          <t>needs-review</t>
        </is>
      </c>
      <c r="U757" t="inlineStr">
        <is>
          <t>2026-10-04</t>
        </is>
      </c>
      <c r="V757" t="inlineStr">
        <is>
          <t>ambiguous match [44]</t>
        </is>
      </c>
    </row>
    <row r="758">
      <c r="A758" t="n">
        <v>44</v>
      </c>
      <c r="B758" t="inlineStr">
        <is>
          <t>Hard Rock Hotel Maldives</t>
        </is>
      </c>
      <c r="C758" t="inlineStr">
        <is>
          <t>dining_menu</t>
        </is>
      </c>
      <c r="D758" t="inlineStr">
        <is>
          <t>2025_RUS_HRC_Food_Menu.pdf</t>
        </is>
      </c>
      <c r="E758" t="n">
        <v>2025</v>
      </c>
      <c r="H758" t="n">
        <v>12</v>
      </c>
      <c r="I758" t="n">
        <v>4834</v>
      </c>
      <c r="J758" t="inlineStr">
        <is>
          <t>Y</t>
        </is>
      </c>
      <c r="K758" t="inlineStr">
        <is>
          <t>hardrockhotels.com</t>
        </is>
      </c>
      <c r="L758" t="inlineStr">
        <is>
          <t>official</t>
        </is>
      </c>
      <c r="M758" t="inlineStr">
        <is>
          <t>https://hotel.hardrock.com/maldives/files/6016/RUS_HRC_Food_Menu.pdf</t>
        </is>
      </c>
      <c r="N758" t="inlineStr">
        <is>
          <t>https://hotel.hardrock.com/maldives/files/6016/RUS_HRC_Food_Menu.pdf</t>
        </is>
      </c>
      <c r="O758" t="inlineStr">
        <is>
          <t>c321d57479492727c608d34326db8a9e723b7fa8c2043b73bdb0795113c2477d</t>
        </is>
      </c>
      <c r="P758" t="inlineStr">
        <is>
          <t>library/044_hard-rock-hotel-maldives/dining_menu/2025_RUS_HRC_Food_Menu.pdf</t>
        </is>
      </c>
      <c r="R758" t="inlineStr">
        <is>
          <t>current</t>
        </is>
      </c>
      <c r="S758" t="inlineStr">
        <is>
          <t>N</t>
        </is>
      </c>
      <c r="T758" t="inlineStr">
        <is>
          <t>needs-review</t>
        </is>
      </c>
      <c r="U758" t="inlineStr">
        <is>
          <t>2026-10-04</t>
        </is>
      </c>
      <c r="V758" t="inlineStr">
        <is>
          <t>ambiguous match [44]</t>
        </is>
      </c>
    </row>
    <row r="759">
      <c r="A759" t="n">
        <v>44</v>
      </c>
      <c r="B759" t="inlineStr">
        <is>
          <t>Hard Rock Hotel Maldives</t>
        </is>
      </c>
      <c r="C759" t="inlineStr">
        <is>
          <t>dining_menu</t>
        </is>
      </c>
      <c r="D759" t="inlineStr">
        <is>
          <t>2025_CN_HRC_Food_Menu.pdf</t>
        </is>
      </c>
      <c r="E759" t="n">
        <v>2025</v>
      </c>
      <c r="H759" t="n">
        <v>12</v>
      </c>
      <c r="I759" t="n">
        <v>4936</v>
      </c>
      <c r="J759" t="inlineStr">
        <is>
          <t>Y</t>
        </is>
      </c>
      <c r="K759" t="inlineStr">
        <is>
          <t>hardrockhotels.com</t>
        </is>
      </c>
      <c r="L759" t="inlineStr">
        <is>
          <t>official</t>
        </is>
      </c>
      <c r="M759" t="inlineStr">
        <is>
          <t>https://hotel.hardrock.com/maldives/files/6016/CN_HRC_Food_Menu.pdf</t>
        </is>
      </c>
      <c r="N759" t="inlineStr">
        <is>
          <t>https://hotel.hardrock.com/maldives/files/6016/CN_HRC_Food_Menu.pdf</t>
        </is>
      </c>
      <c r="O759" t="inlineStr">
        <is>
          <t>464b358b7dde37bd546409ab70c280134b87f85422b501c7e5282b5705396559</t>
        </is>
      </c>
      <c r="P759" t="inlineStr">
        <is>
          <t>library/044_hard-rock-hotel-maldives/dining_menu/2025_CN_HRC_Food_Menu.pdf</t>
        </is>
      </c>
      <c r="R759" t="inlineStr">
        <is>
          <t>current</t>
        </is>
      </c>
      <c r="S759" t="inlineStr">
        <is>
          <t>N</t>
        </is>
      </c>
      <c r="T759" t="inlineStr">
        <is>
          <t>needs-review</t>
        </is>
      </c>
      <c r="U759" t="inlineStr">
        <is>
          <t>2026-10-04</t>
        </is>
      </c>
      <c r="V759" t="inlineStr">
        <is>
          <t>ambiguous match [44]</t>
        </is>
      </c>
    </row>
    <row r="760">
      <c r="A760" t="n">
        <v>44</v>
      </c>
      <c r="B760" t="inlineStr">
        <is>
          <t>Hard Rock Hotel Maldives</t>
        </is>
      </c>
      <c r="C760" t="inlineStr">
        <is>
          <t>dining_menu</t>
        </is>
      </c>
      <c r="D760" t="inlineStr">
        <is>
          <t>2024_HRC_kids_menu.pdf</t>
        </is>
      </c>
      <c r="E760" t="n">
        <v>2024</v>
      </c>
      <c r="H760" t="n">
        <v>1</v>
      </c>
      <c r="I760" t="n">
        <v>1750</v>
      </c>
      <c r="J760" t="inlineStr">
        <is>
          <t>Y</t>
        </is>
      </c>
      <c r="K760" t="inlineStr">
        <is>
          <t>hardrockhotels.com</t>
        </is>
      </c>
      <c r="L760" t="inlineStr">
        <is>
          <t>official</t>
        </is>
      </c>
      <c r="M760" t="inlineStr">
        <is>
          <t>https://hotel.hardrock.com/maldives/files/6016/HRC_kids_menu.pdf</t>
        </is>
      </c>
      <c r="N760" t="inlineStr">
        <is>
          <t>https://hotel.hardrock.com/maldives/files/6016/HRC_kids_menu.pdf</t>
        </is>
      </c>
      <c r="O760" t="inlineStr">
        <is>
          <t>417430f9c2757fed4c3c1483840d707aa02d072e95fc8c28a1ae7dc65e564ac7</t>
        </is>
      </c>
      <c r="P760" t="inlineStr">
        <is>
          <t>library/044_hard-rock-hotel-maldives/dining_menu/2024_HRC_kids_menu.pdf</t>
        </is>
      </c>
      <c r="R760" t="inlineStr">
        <is>
          <t>outdated</t>
        </is>
      </c>
      <c r="S760" t="inlineStr">
        <is>
          <t>N</t>
        </is>
      </c>
      <c r="T760" t="inlineStr">
        <is>
          <t>needs-review</t>
        </is>
      </c>
      <c r="U760" t="inlineStr">
        <is>
          <t>2026-10-04</t>
        </is>
      </c>
      <c r="V760" t="inlineStr">
        <is>
          <t>ambiguous match [44]</t>
        </is>
      </c>
    </row>
    <row r="761">
      <c r="A761" t="n">
        <v>44</v>
      </c>
      <c r="B761" t="inlineStr">
        <is>
          <t>Hard Rock Hotel Maldives</t>
        </is>
      </c>
      <c r="C761" t="inlineStr">
        <is>
          <t>dining_menu</t>
        </is>
      </c>
      <c r="D761" t="inlineStr">
        <is>
          <t>2024_HRH-AI-Premium-Drinks-Menu.pdf</t>
        </is>
      </c>
      <c r="E761" t="n">
        <v>2024</v>
      </c>
      <c r="H761" t="n">
        <v>6</v>
      </c>
      <c r="I761" t="n">
        <v>2088</v>
      </c>
      <c r="J761" t="inlineStr">
        <is>
          <t>Y</t>
        </is>
      </c>
      <c r="K761" t="inlineStr">
        <is>
          <t>hardrockhotels.com</t>
        </is>
      </c>
      <c r="L761" t="inlineStr">
        <is>
          <t>official</t>
        </is>
      </c>
      <c r="M761" t="inlineStr">
        <is>
          <t>https://hotel.hardrock.com/maldives/files/6016/HRH-AI-Premium-Drinks-Menu.pdf</t>
        </is>
      </c>
      <c r="N761" t="inlineStr">
        <is>
          <t>https://hotel.hardrock.com/maldives/files/6016/HRH-AI-Premium-Drinks-Menu.pdf</t>
        </is>
      </c>
      <c r="O761" t="inlineStr">
        <is>
          <t>5bb45203c3397cf1bc4c5f47f9115860a5a3f103fc519b9aeca8a55b67d34128</t>
        </is>
      </c>
      <c r="P761" t="inlineStr">
        <is>
          <t>library/044_hard-rock-hotel-maldives/dining_menu/2024_HRH-AI-Premium-Drinks-Menu.pdf</t>
        </is>
      </c>
      <c r="R761" t="inlineStr">
        <is>
          <t>outdated</t>
        </is>
      </c>
      <c r="S761" t="inlineStr">
        <is>
          <t>N</t>
        </is>
      </c>
      <c r="T761" t="inlineStr">
        <is>
          <t>needs-review</t>
        </is>
      </c>
      <c r="U761" t="inlineStr">
        <is>
          <t>2026-10-04</t>
        </is>
      </c>
      <c r="V761" t="inlineStr">
        <is>
          <t>ambiguous match [44]</t>
        </is>
      </c>
    </row>
    <row r="762">
      <c r="A762" t="n">
        <v>44</v>
      </c>
      <c r="B762" t="inlineStr">
        <is>
          <t>Hard Rock Hotel Maldives</t>
        </is>
      </c>
      <c r="C762" t="inlineStr">
        <is>
          <t>dining_menu</t>
        </is>
      </c>
      <c r="D762" t="inlineStr">
        <is>
          <t>2019_Hard_Rock_Hotel_Maldives_Guitar_Menu.pdf</t>
        </is>
      </c>
      <c r="E762" t="n">
        <v>2019</v>
      </c>
      <c r="H762" t="n">
        <v>2</v>
      </c>
      <c r="I762" t="n">
        <v>431</v>
      </c>
      <c r="J762" t="inlineStr">
        <is>
          <t>Y</t>
        </is>
      </c>
      <c r="K762" t="inlineStr">
        <is>
          <t>hardrockhotels.com</t>
        </is>
      </c>
      <c r="L762" t="inlineStr">
        <is>
          <t>official</t>
        </is>
      </c>
      <c r="M762" t="inlineStr">
        <is>
          <t>https://hotel.hardrock.com/maldives/files/6016/Hard_Rock_Hotel_Maldives_Guitar_Menu.pdf</t>
        </is>
      </c>
      <c r="N762" t="inlineStr">
        <is>
          <t>https://hotel.hardrock.com/maldives/files/6016/Hard_Rock_Hotel_Maldives_Guitar_Menu.pdf</t>
        </is>
      </c>
      <c r="O762" t="inlineStr">
        <is>
          <t>a0a34d122f8b6b85c0d356d62eed4dbcc1c7a1c83e82ac079c70c087a108cc11</t>
        </is>
      </c>
      <c r="P762" t="inlineStr">
        <is>
          <t>library/044_hard-rock-hotel-maldives/dining_menu/2019_Hard_Rock_Hotel_Maldives_Guitar_Menu.pdf</t>
        </is>
      </c>
      <c r="R762" t="inlineStr">
        <is>
          <t>outdated</t>
        </is>
      </c>
      <c r="S762" t="inlineStr">
        <is>
          <t>N</t>
        </is>
      </c>
      <c r="T762" t="inlineStr">
        <is>
          <t>matched</t>
        </is>
      </c>
      <c r="U762" t="inlineStr">
        <is>
          <t>2026-10-04</t>
        </is>
      </c>
      <c r="V762" t="inlineStr"/>
    </row>
    <row r="763">
      <c r="A763" t="n">
        <v>44</v>
      </c>
      <c r="B763" t="inlineStr">
        <is>
          <t>Hard Rock Hotel Maldives</t>
        </is>
      </c>
      <c r="C763" t="inlineStr">
        <is>
          <t>sustainability</t>
        </is>
      </c>
      <c r="D763" t="inlineStr">
        <is>
          <t>2024_HRH_Green_Book.pdf</t>
        </is>
      </c>
      <c r="E763" t="n">
        <v>2024</v>
      </c>
      <c r="H763" t="n">
        <v>39</v>
      </c>
      <c r="I763" t="n">
        <v>49029</v>
      </c>
      <c r="J763" t="inlineStr">
        <is>
          <t>Y</t>
        </is>
      </c>
      <c r="K763" t="inlineStr">
        <is>
          <t>hardrockhotels.com</t>
        </is>
      </c>
      <c r="L763" t="inlineStr">
        <is>
          <t>official</t>
        </is>
      </c>
      <c r="M763" t="inlineStr">
        <is>
          <t>https://hotel.hardrock.com/maldives/files/6016/HRH_Green_Book.pdf</t>
        </is>
      </c>
      <c r="N763" t="inlineStr">
        <is>
          <t>https://hotel.hardrock.com/maldives/files/6016/HRH_Green_Book.pdf</t>
        </is>
      </c>
      <c r="O763" t="inlineStr">
        <is>
          <t>10bce7c97fe8147258dae1e3197c117da5a42d6d792f81302e77761e6ea1b967</t>
        </is>
      </c>
      <c r="P763" t="inlineStr">
        <is>
          <t>library/044_hard-rock-hotel-maldives/sustainability/2024_HRH_Green_Book.pdf</t>
        </is>
      </c>
      <c r="R763" t="inlineStr">
        <is>
          <t>outdated</t>
        </is>
      </c>
      <c r="S763" t="inlineStr">
        <is>
          <t>Y</t>
        </is>
      </c>
      <c r="T763" t="inlineStr">
        <is>
          <t>needs-review</t>
        </is>
      </c>
      <c r="U763" t="inlineStr">
        <is>
          <t>2026-10-04</t>
        </is>
      </c>
      <c r="V763" t="inlineStr">
        <is>
          <t>ambiguous match [44]</t>
        </is>
      </c>
    </row>
    <row r="764">
      <c r="A764" t="n">
        <v>44</v>
      </c>
      <c r="B764" t="inlineStr">
        <is>
          <t>Hard Rock Hotel Maldives</t>
        </is>
      </c>
      <c r="C764" t="inlineStr">
        <is>
          <t>brochure</t>
        </is>
      </c>
      <c r="D764" t="inlineStr">
        <is>
          <t>2025_Hard-Rock-Hotel-Maldives-Info-Sheet-2025.pdf</t>
        </is>
      </c>
      <c r="E764" t="n">
        <v>2025</v>
      </c>
      <c r="H764" t="n">
        <v>28</v>
      </c>
      <c r="I764" t="n">
        <v>5987</v>
      </c>
      <c r="J764" t="inlineStr">
        <is>
          <t>Y</t>
        </is>
      </c>
      <c r="K764" t="inlineStr">
        <is>
          <t>neoscapesmaldives.com</t>
        </is>
      </c>
      <c r="L764" t="inlineStr">
        <is>
          <t>dmc-agency</t>
        </is>
      </c>
      <c r="M764" t="inlineStr">
        <is>
          <t>https://www.neoscapesmaldives.com/wp-content/uploads/Hard-Rock-Hotel-Maldives-Info-Sheet-2025.pdf</t>
        </is>
      </c>
      <c r="N764" t="inlineStr">
        <is>
          <t>https://www.neoscapesmaldives.com/wp-content/uploads/Hard-Rock-Hotel-Maldives-Info-Sheet-2025.pdf</t>
        </is>
      </c>
      <c r="O764" t="inlineStr">
        <is>
          <t>576d02dcb439c3859451b99d290cef43389da4bc7ba36a4bf75b227c9435afed</t>
        </is>
      </c>
      <c r="P764" t="inlineStr">
        <is>
          <t>library/044_hard-rock-hotel-maldives/brochure/2025_Hard-Rock-Hotel-Maldives-Info-Sheet-2025.pdf</t>
        </is>
      </c>
      <c r="R764" t="inlineStr">
        <is>
          <t>current</t>
        </is>
      </c>
      <c r="S764" t="inlineStr">
        <is>
          <t>Y</t>
        </is>
      </c>
      <c r="T764" t="inlineStr">
        <is>
          <t>matched</t>
        </is>
      </c>
      <c r="U764" t="inlineStr">
        <is>
          <t>2026-10-04</t>
        </is>
      </c>
      <c r="V764" t="inlineStr"/>
    </row>
    <row r="765">
      <c r="A765" t="n">
        <v>44</v>
      </c>
      <c r="B765" t="inlineStr">
        <is>
          <t>Hard Rock Hotel Maldives</t>
        </is>
      </c>
      <c r="C765" t="inlineStr">
        <is>
          <t>brochure</t>
        </is>
      </c>
      <c r="D765" t="inlineStr">
        <is>
          <t>2019_babies_toddlers_amenities.pdf</t>
        </is>
      </c>
      <c r="E765" t="n">
        <v>2019</v>
      </c>
      <c r="H765" t="n">
        <v>15</v>
      </c>
      <c r="I765" t="n">
        <v>3435</v>
      </c>
      <c r="J765" t="inlineStr">
        <is>
          <t>Y</t>
        </is>
      </c>
      <c r="K765" t="inlineStr">
        <is>
          <t>hardrockhotels.com</t>
        </is>
      </c>
      <c r="L765" t="inlineStr">
        <is>
          <t>official</t>
        </is>
      </c>
      <c r="M765" t="inlineStr">
        <is>
          <t>https://hotel.hardrock.com/maldives/files/6016/babies_toddlers_amenities.pdf</t>
        </is>
      </c>
      <c r="N765" t="inlineStr">
        <is>
          <t>https://hotel.hardrock.com/maldives/files/6016/babies_toddlers_amenities.pdf</t>
        </is>
      </c>
      <c r="O765" t="inlineStr">
        <is>
          <t>f0dc3b27fdaf3199a66c2e7e9b415752b904f5a3da4b02f413eccd10af976724</t>
        </is>
      </c>
      <c r="P765" t="inlineStr">
        <is>
          <t>library/044_hard-rock-hotel-maldives/brochure/2019_babies_toddlers_amenities.pdf</t>
        </is>
      </c>
      <c r="R765" t="inlineStr">
        <is>
          <t>outdated</t>
        </is>
      </c>
      <c r="S765" t="inlineStr">
        <is>
          <t>N</t>
        </is>
      </c>
      <c r="T765" t="inlineStr">
        <is>
          <t>needs-review</t>
        </is>
      </c>
      <c r="U765" t="inlineStr">
        <is>
          <t>2026-10-04</t>
        </is>
      </c>
      <c r="V765" t="inlineStr">
        <is>
          <t>ambiguous match [44]</t>
        </is>
      </c>
    </row>
    <row r="766">
      <c r="A766" t="n">
        <v>45</v>
      </c>
      <c r="B766" t="inlineStr">
        <is>
          <t>Saii Lagoon Maldives</t>
        </is>
      </c>
      <c r="C766" t="inlineStr">
        <is>
          <t>factsheet</t>
        </is>
      </c>
      <c r="D766" t="inlineStr">
        <is>
          <t>2025_SAii-Lagoon-Maldives-Factsheet-2025.pdf</t>
        </is>
      </c>
      <c r="E766" t="n">
        <v>2025</v>
      </c>
      <c r="H766" t="n">
        <v>19</v>
      </c>
      <c r="I766" t="n">
        <v>23874</v>
      </c>
      <c r="J766" t="inlineStr">
        <is>
          <t>Y</t>
        </is>
      </c>
      <c r="K766" t="inlineStr">
        <is>
          <t>saiiresorts.com</t>
        </is>
      </c>
      <c r="L766" t="inlineStr">
        <is>
          <t>official</t>
        </is>
      </c>
      <c r="M766" t="inlineStr">
        <is>
          <t>https://www.saiihotels.com/wp-content/uploads/2025/10/SAii-Lagoon-Maldives-Factsheet-2025.pdf</t>
        </is>
      </c>
      <c r="N766" t="inlineStr">
        <is>
          <t>https://www.neoscapesmaldives.com/wp-content/uploads/SAii-Lagoon-Maldives-Factsheet-2025.pdf | https://www.saiihotels.com/wp-content/uploads/2025/10/SAii-Lagoon-Maldives-Factsheet-2025.pdf</t>
        </is>
      </c>
      <c r="O766" t="inlineStr">
        <is>
          <t>edd2776c2f3092554dba0e05d7a2e84378db61d7899e2f444214804fab533257</t>
        </is>
      </c>
      <c r="P766" t="inlineStr">
        <is>
          <t>library/045_saii-lagoon-maldives/factsheet/2025_SAii-Lagoon-Maldives-Factsheet-2025.pdf</t>
        </is>
      </c>
      <c r="R766" t="inlineStr">
        <is>
          <t>current</t>
        </is>
      </c>
      <c r="S766" t="inlineStr">
        <is>
          <t>Y</t>
        </is>
      </c>
      <c r="T766" t="inlineStr">
        <is>
          <t>matched</t>
        </is>
      </c>
      <c r="U766" t="inlineStr">
        <is>
          <t>2026-10-04</t>
        </is>
      </c>
      <c r="V766" t="inlineStr"/>
    </row>
    <row r="767">
      <c r="A767" t="n">
        <v>45</v>
      </c>
      <c r="B767" t="inlineStr">
        <is>
          <t>Saii Lagoon Maldives</t>
        </is>
      </c>
      <c r="C767" t="inlineStr">
        <is>
          <t>factsheet</t>
        </is>
      </c>
      <c r="D767" t="inlineStr">
        <is>
          <t>2025_SAii-Phi-Phi_Trade_Factsheet.pdf</t>
        </is>
      </c>
      <c r="E767" t="n">
        <v>2025</v>
      </c>
      <c r="H767" t="n">
        <v>2</v>
      </c>
      <c r="I767" t="n">
        <v>2971</v>
      </c>
      <c r="J767" t="inlineStr">
        <is>
          <t>Y</t>
        </is>
      </c>
      <c r="K767" t="inlineStr">
        <is>
          <t>saiiresorts.com</t>
        </is>
      </c>
      <c r="L767" t="inlineStr">
        <is>
          <t>official</t>
        </is>
      </c>
      <c r="M767" t="inlineStr">
        <is>
          <t>https://www.saiihotels.com/wp-content/uploads/2025/10/SAii-Phi-Phi_Trade_Factsheet.pdf</t>
        </is>
      </c>
      <c r="N767" t="inlineStr">
        <is>
          <t>https://www.saiihotels.com/wp-content/uploads/2025/10/SAii-Phi-Phi_Trade_Factsheet.pdf</t>
        </is>
      </c>
      <c r="O767" t="inlineStr">
        <is>
          <t>d661622a4f85df9ad92398d47fbcac7f3bd229d38cb84e4788ed94ebff8049ff</t>
        </is>
      </c>
      <c r="P767" t="inlineStr">
        <is>
          <t>library/045_saii-lagoon-maldives/factsheet/2025_SAii-Phi-Phi_Trade_Factsheet.pdf</t>
        </is>
      </c>
      <c r="R767" t="inlineStr">
        <is>
          <t>current</t>
        </is>
      </c>
      <c r="S767" t="inlineStr">
        <is>
          <t>N</t>
        </is>
      </c>
      <c r="T767" t="inlineStr">
        <is>
          <t>needs-review</t>
        </is>
      </c>
      <c r="U767" t="inlineStr">
        <is>
          <t>2026-10-04</t>
        </is>
      </c>
      <c r="V767" t="inlineStr">
        <is>
          <t>ambiguous match [45]</t>
        </is>
      </c>
    </row>
    <row r="768">
      <c r="A768" t="n">
        <v>45</v>
      </c>
      <c r="B768" t="inlineStr">
        <is>
          <t>Saii Lagoon Maldives</t>
        </is>
      </c>
      <c r="C768" t="inlineStr">
        <is>
          <t>events</t>
        </is>
      </c>
      <c r="D768" t="inlineStr">
        <is>
          <t>2026_June-Recreation-English.pdf</t>
        </is>
      </c>
      <c r="E768" t="n">
        <v>2026</v>
      </c>
      <c r="H768" t="n">
        <v>1</v>
      </c>
      <c r="I768" t="n">
        <v>304</v>
      </c>
      <c r="J768" t="inlineStr">
        <is>
          <t>Y</t>
        </is>
      </c>
      <c r="K768" t="inlineStr">
        <is>
          <t>saiiresorts.com</t>
        </is>
      </c>
      <c r="L768" t="inlineStr">
        <is>
          <t>official</t>
        </is>
      </c>
      <c r="M768" t="inlineStr">
        <is>
          <t>https://www.saiihotels.com/wp-content/uploads/2026/06/June-Recreation-English.pdf</t>
        </is>
      </c>
      <c r="N768" t="inlineStr">
        <is>
          <t>https://www.saiihotels.com/wp-content/uploads/2026/06/June-Recreation-English.pdf</t>
        </is>
      </c>
      <c r="O768" t="inlineStr">
        <is>
          <t>37143687a08f31ed7b8253f8274d809f53c5cf31249096d82534522aaca84c2f</t>
        </is>
      </c>
      <c r="P768" t="inlineStr">
        <is>
          <t>library/045_saii-lagoon-maldives/events/2026_June-Recreation-English.pdf</t>
        </is>
      </c>
      <c r="R768" t="inlineStr">
        <is>
          <t>current</t>
        </is>
      </c>
      <c r="S768" t="inlineStr">
        <is>
          <t>Y</t>
        </is>
      </c>
      <c r="T768" t="inlineStr">
        <is>
          <t>needs-review</t>
        </is>
      </c>
      <c r="U768" t="inlineStr">
        <is>
          <t>2026-10-04</t>
        </is>
      </c>
      <c r="V768" t="inlineStr">
        <is>
          <t>ambiguous match [45]</t>
        </is>
      </c>
    </row>
    <row r="769">
      <c r="A769" t="n">
        <v>45</v>
      </c>
      <c r="B769" t="inlineStr">
        <is>
          <t>Saii Lagoon Maldives</t>
        </is>
      </c>
      <c r="C769" t="inlineStr">
        <is>
          <t>events</t>
        </is>
      </c>
      <c r="D769" t="inlineStr">
        <is>
          <t>2026_MARCH-Recreation-ENG-1.pdf</t>
        </is>
      </c>
      <c r="E769" t="n">
        <v>2026</v>
      </c>
      <c r="H769" t="n">
        <v>1</v>
      </c>
      <c r="I769" t="n">
        <v>943</v>
      </c>
      <c r="J769" t="inlineStr">
        <is>
          <t>Y</t>
        </is>
      </c>
      <c r="K769" t="inlineStr">
        <is>
          <t>saiiresorts.com</t>
        </is>
      </c>
      <c r="L769" t="inlineStr">
        <is>
          <t>official</t>
        </is>
      </c>
      <c r="M769" t="inlineStr">
        <is>
          <t>https://www.saiihotels.com/wp-content/uploads/2026/03/MARCH-Recreation-ENG-1.pdf</t>
        </is>
      </c>
      <c r="N769" t="inlineStr">
        <is>
          <t>https://www.saiihotels.com/wp-content/uploads/2026/03/MARCH-Recreation-ENG-1.pdf</t>
        </is>
      </c>
      <c r="O769" t="inlineStr">
        <is>
          <t>787d9f31cd9d3d857e465d4b128dc5a20257b79b299a69a8b91f3a3a86c54a59</t>
        </is>
      </c>
      <c r="P769" t="inlineStr">
        <is>
          <t>library/045_saii-lagoon-maldives/events/2026_MARCH-Recreation-ENG-1.pdf</t>
        </is>
      </c>
      <c r="R769" t="inlineStr">
        <is>
          <t>current</t>
        </is>
      </c>
      <c r="S769" t="inlineStr">
        <is>
          <t>N</t>
        </is>
      </c>
      <c r="T769" t="inlineStr">
        <is>
          <t>needs-review</t>
        </is>
      </c>
      <c r="U769" t="inlineStr">
        <is>
          <t>2026-10-04</t>
        </is>
      </c>
      <c r="V769" t="inlineStr">
        <is>
          <t>ambiguous match [45]</t>
        </is>
      </c>
    </row>
    <row r="770">
      <c r="A770" t="n">
        <v>45</v>
      </c>
      <c r="B770" t="inlineStr">
        <is>
          <t>Saii Lagoon Maldives</t>
        </is>
      </c>
      <c r="C770" t="inlineStr">
        <is>
          <t>events</t>
        </is>
      </c>
      <c r="D770" t="inlineStr">
        <is>
          <t>2026_MARCH-Recreation-ENG.pdf</t>
        </is>
      </c>
      <c r="E770" t="n">
        <v>2026</v>
      </c>
      <c r="H770" t="n">
        <v>1</v>
      </c>
      <c r="I770" t="n">
        <v>942</v>
      </c>
      <c r="J770" t="inlineStr">
        <is>
          <t>Y</t>
        </is>
      </c>
      <c r="K770" t="inlineStr">
        <is>
          <t>saiiresorts.com</t>
        </is>
      </c>
      <c r="L770" t="inlineStr">
        <is>
          <t>official</t>
        </is>
      </c>
      <c r="M770" t="inlineStr">
        <is>
          <t>https://www.saiihotels.com/wp-content/uploads/2026/02/MARCH-Recreation-ENG.pdf</t>
        </is>
      </c>
      <c r="N770" t="inlineStr">
        <is>
          <t>https://www.saiihotels.com/wp-content/uploads/2026/02/MARCH-Recreation-ENG.pdf</t>
        </is>
      </c>
      <c r="O770" t="inlineStr">
        <is>
          <t>b1a964d3b37ec7345bf57748b7d80aa08c8693bb135fc17af149f37d8231ac63</t>
        </is>
      </c>
      <c r="P770" t="inlineStr">
        <is>
          <t>library/045_saii-lagoon-maldives/events/2026_MARCH-Recreation-ENG.pdf</t>
        </is>
      </c>
      <c r="R770" t="inlineStr">
        <is>
          <t>current</t>
        </is>
      </c>
      <c r="S770" t="inlineStr">
        <is>
          <t>N</t>
        </is>
      </c>
      <c r="T770" t="inlineStr">
        <is>
          <t>needs-review</t>
        </is>
      </c>
      <c r="U770" t="inlineStr">
        <is>
          <t>2026-10-04</t>
        </is>
      </c>
      <c r="V770" t="inlineStr">
        <is>
          <t>ambiguous match [45]</t>
        </is>
      </c>
    </row>
    <row r="771">
      <c r="A771" t="n">
        <v>45</v>
      </c>
      <c r="B771" t="inlineStr">
        <is>
          <t>Saii Lagoon Maldives</t>
        </is>
      </c>
      <c r="C771" t="inlineStr">
        <is>
          <t>events</t>
        </is>
      </c>
      <c r="D771" t="inlineStr">
        <is>
          <t>2026_FEB-Recreation-ENG.pdf</t>
        </is>
      </c>
      <c r="E771" t="n">
        <v>2026</v>
      </c>
      <c r="H771" t="n">
        <v>1</v>
      </c>
      <c r="I771" t="n">
        <v>1718</v>
      </c>
      <c r="J771" t="inlineStr">
        <is>
          <t>Y</t>
        </is>
      </c>
      <c r="K771" t="inlineStr">
        <is>
          <t>saiiresorts.com</t>
        </is>
      </c>
      <c r="L771" t="inlineStr">
        <is>
          <t>official</t>
        </is>
      </c>
      <c r="M771" t="inlineStr">
        <is>
          <t>https://www.saiihotels.com/wp-content/uploads/2026/01/FEB-Recreation-ENG.pdf</t>
        </is>
      </c>
      <c r="N771" t="inlineStr">
        <is>
          <t>https://www.saiihotels.com/wp-content/uploads/2026/01/FEB-Recreation-ENG.pdf</t>
        </is>
      </c>
      <c r="O771" t="inlineStr">
        <is>
          <t>a232612fe73b4fdef5f5fe55058d38ed90c2e01d49ac55cbdf9aecaaa9f6f079</t>
        </is>
      </c>
      <c r="P771" t="inlineStr">
        <is>
          <t>library/045_saii-lagoon-maldives/events/2026_FEB-Recreation-ENG.pdf</t>
        </is>
      </c>
      <c r="R771" t="inlineStr">
        <is>
          <t>current</t>
        </is>
      </c>
      <c r="S771" t="inlineStr">
        <is>
          <t>N</t>
        </is>
      </c>
      <c r="T771" t="inlineStr">
        <is>
          <t>needs-review</t>
        </is>
      </c>
      <c r="U771" t="inlineStr">
        <is>
          <t>2026-10-04</t>
        </is>
      </c>
      <c r="V771" t="inlineStr">
        <is>
          <t>ambiguous match [45]</t>
        </is>
      </c>
    </row>
    <row r="772">
      <c r="A772" t="n">
        <v>45</v>
      </c>
      <c r="B772" t="inlineStr">
        <is>
          <t>Saii Lagoon Maldives</t>
        </is>
      </c>
      <c r="C772" t="inlineStr">
        <is>
          <t>map</t>
        </is>
      </c>
      <c r="D772" t="inlineStr">
        <is>
          <t>2026_SAii-Shabu-Shabu-2026-1.pdf</t>
        </is>
      </c>
      <c r="E772" t="n">
        <v>2026</v>
      </c>
      <c r="H772" t="n">
        <v>1</v>
      </c>
      <c r="I772" t="n">
        <v>681</v>
      </c>
      <c r="J772" t="inlineStr">
        <is>
          <t>Y</t>
        </is>
      </c>
      <c r="K772" t="inlineStr">
        <is>
          <t>saiiresorts.com</t>
        </is>
      </c>
      <c r="L772" t="inlineStr">
        <is>
          <t>official</t>
        </is>
      </c>
      <c r="M772" t="inlineStr">
        <is>
          <t>https://www.saiihotels.com/wp-content/uploads/2026/06/SAii-Shabu-Shabu-2026-1.pdf</t>
        </is>
      </c>
      <c r="N772" t="inlineStr">
        <is>
          <t>https://www.saiihotels.com/wp-content/uploads/2026/06/SAii-Shabu-Shabu-2026-1.pdf</t>
        </is>
      </c>
      <c r="O772" t="inlineStr">
        <is>
          <t>9155e1412f2ccf2bfd529b1d68ced83b7f6cfbaeb583b58713706b52275737d4</t>
        </is>
      </c>
      <c r="P772" t="inlineStr">
        <is>
          <t>library/045_saii-lagoon-maldives/map/2026_SAii-Shabu-Shabu-2026-1.pdf</t>
        </is>
      </c>
      <c r="R772" t="inlineStr">
        <is>
          <t>current</t>
        </is>
      </c>
      <c r="S772" t="inlineStr">
        <is>
          <t>Y</t>
        </is>
      </c>
      <c r="T772" t="inlineStr">
        <is>
          <t>needs-review</t>
        </is>
      </c>
      <c r="U772" t="inlineStr">
        <is>
          <t>2026-10-04</t>
        </is>
      </c>
      <c r="V772" t="inlineStr">
        <is>
          <t>ambiguous match [45]</t>
        </is>
      </c>
    </row>
    <row r="773">
      <c r="A773" t="n">
        <v>45</v>
      </c>
      <c r="B773" t="inlineStr">
        <is>
          <t>Saii Lagoon Maldives</t>
        </is>
      </c>
      <c r="C773" t="inlineStr">
        <is>
          <t>map</t>
        </is>
      </c>
      <c r="D773" t="inlineStr">
        <is>
          <t>2025_EO-GEN-010D_Energy-Management-Plan-Crossroads-Maldives.pdf</t>
        </is>
      </c>
      <c r="E773" t="n">
        <v>2025</v>
      </c>
      <c r="H773" t="n">
        <v>2</v>
      </c>
      <c r="I773" t="n">
        <v>463</v>
      </c>
      <c r="J773" t="inlineStr">
        <is>
          <t>Y</t>
        </is>
      </c>
      <c r="K773" t="inlineStr">
        <is>
          <t>saiiresorts.com</t>
        </is>
      </c>
      <c r="L773" t="inlineStr">
        <is>
          <t>official</t>
        </is>
      </c>
      <c r="M773" t="inlineStr">
        <is>
          <t>https://www.saiihotels.com/wp-content/uploads/2025/11/EO-GEN-010D_Energy-Management-Plan-Crossroads-Maldives.pdf</t>
        </is>
      </c>
      <c r="N773" t="inlineStr">
        <is>
          <t>https://www.saiihotels.com/wp-content/uploads/2025/11/EO-GEN-010D_Energy-Management-Plan-Crossroads-Maldives.pdf | https://hotel.hardrock.com/maldives/files/6016/EO-GEN-010D_Energy_Management_Plan_-_Crossroads_Maldives.pdf</t>
        </is>
      </c>
      <c r="O773" t="inlineStr">
        <is>
          <t>0f3fb3dc8442c10ab732601fd16d92769d264bd7280de1943276020290d191d1</t>
        </is>
      </c>
      <c r="P773" t="inlineStr">
        <is>
          <t>library/045_saii-lagoon-maldives/map/2025_EO-GEN-010D_Energy-Management-Plan-Crossroads-Maldives.pdf</t>
        </is>
      </c>
      <c r="R773" t="inlineStr">
        <is>
          <t>current</t>
        </is>
      </c>
      <c r="S773" t="inlineStr">
        <is>
          <t>N</t>
        </is>
      </c>
      <c r="T773" t="inlineStr">
        <is>
          <t>matched</t>
        </is>
      </c>
      <c r="U773" t="inlineStr">
        <is>
          <t>2026-10-04</t>
        </is>
      </c>
      <c r="V773" t="inlineStr"/>
    </row>
    <row r="774">
      <c r="A774" t="n">
        <v>45</v>
      </c>
      <c r="B774" t="inlineStr">
        <is>
          <t>Saii Lagoon Maldives</t>
        </is>
      </c>
      <c r="C774" t="inlineStr">
        <is>
          <t>map</t>
        </is>
      </c>
      <c r="D774" t="inlineStr">
        <is>
          <t>2025_SLP-Sustainability-Management-Plan-2025_04-September-2025_signed.pdf</t>
        </is>
      </c>
      <c r="E774" t="n">
        <v>2025</v>
      </c>
      <c r="H774" t="n">
        <v>13</v>
      </c>
      <c r="I774" t="n">
        <v>2001</v>
      </c>
      <c r="J774" t="inlineStr">
        <is>
          <t>N</t>
        </is>
      </c>
      <c r="K774" t="inlineStr">
        <is>
          <t>saiiresorts.com</t>
        </is>
      </c>
      <c r="L774" t="inlineStr">
        <is>
          <t>official</t>
        </is>
      </c>
      <c r="M774" t="inlineStr">
        <is>
          <t>https://www.saiihotels.com/wp-content/uploads/2025/10/SLP-Sustainability-Management-Plan-2025_04-September-2025_signed.pdf</t>
        </is>
      </c>
      <c r="N774" t="inlineStr">
        <is>
          <t>https://www.saiihotels.com/wp-content/uploads/2025/10/SLP-Sustainability-Management-Plan-2025_04-September-2025_signed.pdf</t>
        </is>
      </c>
      <c r="O774" t="inlineStr">
        <is>
          <t>90ad35689716c64117dfc655ffcff2d9e47e89f3a41e0b1409d5c275fd899655</t>
        </is>
      </c>
      <c r="P774" t="inlineStr">
        <is>
          <t>library/045_saii-lagoon-maldives/map/2025_SLP-Sustainability-Management-Plan-2025_04-September-2025_signed.pdf</t>
        </is>
      </c>
      <c r="R774" t="inlineStr">
        <is>
          <t>current</t>
        </is>
      </c>
      <c r="S774" t="inlineStr">
        <is>
          <t>N</t>
        </is>
      </c>
      <c r="T774" t="inlineStr">
        <is>
          <t>needs-review</t>
        </is>
      </c>
      <c r="U774" t="inlineStr">
        <is>
          <t>2026-10-04</t>
        </is>
      </c>
      <c r="V774" t="inlineStr">
        <is>
          <t>ambiguous match [45]</t>
        </is>
      </c>
    </row>
    <row r="775">
      <c r="A775" t="n">
        <v>45</v>
      </c>
      <c r="B775" t="inlineStr">
        <is>
          <t>Saii Lagoon Maldives</t>
        </is>
      </c>
      <c r="C775" t="inlineStr">
        <is>
          <t>map</t>
        </is>
      </c>
      <c r="D775" t="inlineStr">
        <is>
          <t>2024_SAii-Lagoon-Map-without-Rooms-numbers-2024-1.pdf</t>
        </is>
      </c>
      <c r="E775" t="n">
        <v>2024</v>
      </c>
      <c r="H775" t="n">
        <v>1</v>
      </c>
      <c r="I775" t="n">
        <v>1478</v>
      </c>
      <c r="J775" t="inlineStr">
        <is>
          <t>Y</t>
        </is>
      </c>
      <c r="K775" t="inlineStr">
        <is>
          <t>neoscapesmaldives.com</t>
        </is>
      </c>
      <c r="L775" t="inlineStr">
        <is>
          <t>dmc-agency</t>
        </is>
      </c>
      <c r="M775" t="inlineStr">
        <is>
          <t>https://www.neoscapesmaldives.com/wp-content/uploads/SAii-Lagoon-Map-without-Rooms-numbers-2024-1.pdf</t>
        </is>
      </c>
      <c r="N775" t="inlineStr">
        <is>
          <t>https://www.neoscapesmaldives.com/wp-content/uploads/SAii-Lagoon-Map-without-Rooms-numbers-2024-1.pdf</t>
        </is>
      </c>
      <c r="O775" t="inlineStr">
        <is>
          <t>c273c802233d362deb5309e21e4c1aeceaca1d25745265090d9f841a3db745dc</t>
        </is>
      </c>
      <c r="P775" t="inlineStr">
        <is>
          <t>library/045_saii-lagoon-maldives/map/2024_SAii-Lagoon-Map-without-Rooms-numbers-2024-1.pdf</t>
        </is>
      </c>
      <c r="R775" t="inlineStr">
        <is>
          <t>outdated</t>
        </is>
      </c>
      <c r="S775" t="inlineStr">
        <is>
          <t>N</t>
        </is>
      </c>
      <c r="T775" t="inlineStr">
        <is>
          <t>matched</t>
        </is>
      </c>
      <c r="U775" t="inlineStr">
        <is>
          <t>2026-10-04</t>
        </is>
      </c>
      <c r="V775" t="inlineStr"/>
    </row>
    <row r="776">
      <c r="A776" t="n">
        <v>45</v>
      </c>
      <c r="B776" t="inlineStr">
        <is>
          <t>Saii Lagoon Maldives</t>
        </is>
      </c>
      <c r="C776" t="inlineStr">
        <is>
          <t>spa_menu</t>
        </is>
      </c>
      <c r="D776" t="inlineStr">
        <is>
          <t>2025_SAii-Spa-Menu.pdf</t>
        </is>
      </c>
      <c r="E776" t="n">
        <v>2025</v>
      </c>
      <c r="H776" t="n">
        <v>16</v>
      </c>
      <c r="I776" t="n">
        <v>11313</v>
      </c>
      <c r="J776" t="inlineStr">
        <is>
          <t>Y</t>
        </is>
      </c>
      <c r="K776" t="inlineStr">
        <is>
          <t>saiiresorts.com</t>
        </is>
      </c>
      <c r="L776" t="inlineStr">
        <is>
          <t>official</t>
        </is>
      </c>
      <c r="M776" t="inlineStr">
        <is>
          <t>https://www.saiihotels.com/wp-content/uploads/2025/11/SAii-Spa-Menu.pdf</t>
        </is>
      </c>
      <c r="N776" t="inlineStr">
        <is>
          <t>https://www.saiihotels.com/wp-content/uploads/2025/11/SAii-Spa-Menu.pdf</t>
        </is>
      </c>
      <c r="O776" t="inlineStr">
        <is>
          <t>f5f7798be572e2be2564f58dd044c8c510aecd534a67776bb30e25f8f892b898</t>
        </is>
      </c>
      <c r="P776" t="inlineStr">
        <is>
          <t>library/045_saii-lagoon-maldives/spa_menu/2025_SAii-Spa-Menu.pdf</t>
        </is>
      </c>
      <c r="R776" t="inlineStr">
        <is>
          <t>current</t>
        </is>
      </c>
      <c r="S776" t="inlineStr">
        <is>
          <t>Y</t>
        </is>
      </c>
      <c r="T776" t="inlineStr">
        <is>
          <t>needs-review</t>
        </is>
      </c>
      <c r="U776" t="inlineStr">
        <is>
          <t>2026-10-04</t>
        </is>
      </c>
      <c r="V776" t="inlineStr">
        <is>
          <t>ambiguous match [45]</t>
        </is>
      </c>
    </row>
    <row r="777">
      <c r="A777" t="n">
        <v>45</v>
      </c>
      <c r="B777" t="inlineStr">
        <is>
          <t>Saii Lagoon Maldives</t>
        </is>
      </c>
      <c r="C777" t="inlineStr">
        <is>
          <t>spa_menu</t>
        </is>
      </c>
      <c r="D777" t="inlineStr">
        <is>
          <t>2025_SAii-Spa-Pricelist.pdf</t>
        </is>
      </c>
      <c r="E777" t="n">
        <v>2025</v>
      </c>
      <c r="H777" t="n">
        <v>2</v>
      </c>
      <c r="I777" t="n">
        <v>1654</v>
      </c>
      <c r="J777" t="inlineStr">
        <is>
          <t>Y</t>
        </is>
      </c>
      <c r="K777" t="inlineStr">
        <is>
          <t>saiiresorts.com</t>
        </is>
      </c>
      <c r="L777" t="inlineStr">
        <is>
          <t>official</t>
        </is>
      </c>
      <c r="M777" t="inlineStr">
        <is>
          <t>https://www.saiihotels.com/wp-content/uploads/2025/11/SAii-Spa-Pricelist.pdf</t>
        </is>
      </c>
      <c r="N777" t="inlineStr">
        <is>
          <t>https://www.saiihotels.com/wp-content/uploads/2025/11/SAii-Spa-Pricelist.pdf</t>
        </is>
      </c>
      <c r="O777" t="inlineStr">
        <is>
          <t>a3766620ba1037069ffd7a99e197e8dabc28813aa8e7a469187c5b169af47a3f</t>
        </is>
      </c>
      <c r="P777" t="inlineStr">
        <is>
          <t>library/045_saii-lagoon-maldives/spa_menu/2025_SAii-Spa-Pricelist.pdf</t>
        </is>
      </c>
      <c r="R777" t="inlineStr">
        <is>
          <t>current</t>
        </is>
      </c>
      <c r="S777" t="inlineStr">
        <is>
          <t>N</t>
        </is>
      </c>
      <c r="T777" t="inlineStr">
        <is>
          <t>needs-review</t>
        </is>
      </c>
      <c r="U777" t="inlineStr">
        <is>
          <t>2026-10-04</t>
        </is>
      </c>
      <c r="V777" t="inlineStr">
        <is>
          <t>ambiguous match [45]</t>
        </is>
      </c>
    </row>
    <row r="778">
      <c r="A778" t="n">
        <v>45</v>
      </c>
      <c r="B778" t="inlineStr">
        <is>
          <t>Saii Lagoon Maldives</t>
        </is>
      </c>
      <c r="C778" t="inlineStr">
        <is>
          <t>spa_menu</t>
        </is>
      </c>
      <c r="D778" t="inlineStr">
        <is>
          <t>2025_Spa-price-list2025.pdf</t>
        </is>
      </c>
      <c r="E778" t="n">
        <v>2025</v>
      </c>
      <c r="H778" t="n">
        <v>2</v>
      </c>
      <c r="I778" t="n">
        <v>121</v>
      </c>
      <c r="J778" t="inlineStr">
        <is>
          <t>Y</t>
        </is>
      </c>
      <c r="K778" t="inlineStr">
        <is>
          <t>saiiresorts.com</t>
        </is>
      </c>
      <c r="L778" t="inlineStr">
        <is>
          <t>official</t>
        </is>
      </c>
      <c r="M778" t="inlineStr">
        <is>
          <t>https://www.saiihotels.com/wp-content/uploads/2025/10/Spa-price-list2025.pdf</t>
        </is>
      </c>
      <c r="N778" t="inlineStr">
        <is>
          <t>https://www.saiihotels.com/wp-content/uploads/2025/10/Spa-price-list2025.pdf | https://www.saiihotels.com/wp-content/uploads/2025/10/Spa-price-list.pdf</t>
        </is>
      </c>
      <c r="O778" t="inlineStr">
        <is>
          <t>ef8b555d2a743f50ef5ad14fd032c8f652bc1a1df683e667d2cac827db0bae01</t>
        </is>
      </c>
      <c r="P778" t="inlineStr">
        <is>
          <t>library/045_saii-lagoon-maldives/spa_menu/2025_Spa-price-list2025.pdf</t>
        </is>
      </c>
      <c r="R778" t="inlineStr">
        <is>
          <t>current</t>
        </is>
      </c>
      <c r="S778" t="inlineStr">
        <is>
          <t>N</t>
        </is>
      </c>
      <c r="T778" t="inlineStr">
        <is>
          <t>needs-review</t>
        </is>
      </c>
      <c r="U778" t="inlineStr">
        <is>
          <t>2026-10-04</t>
        </is>
      </c>
      <c r="V778" t="inlineStr">
        <is>
          <t>ambiguous match [45]</t>
        </is>
      </c>
    </row>
    <row r="779">
      <c r="A779" t="n">
        <v>45</v>
      </c>
      <c r="B779" t="inlineStr">
        <is>
          <t>Saii Lagoon Maldives</t>
        </is>
      </c>
      <c r="C779" t="inlineStr">
        <is>
          <t>spa_menu</t>
        </is>
      </c>
      <c r="D779" t="inlineStr">
        <is>
          <t>2025_SKS-SPA_Price-List-Menu-Nov2025_02_compressed.pdf</t>
        </is>
      </c>
      <c r="E779" t="n">
        <v>2025</v>
      </c>
      <c r="H779" t="n">
        <v>2</v>
      </c>
      <c r="I779" t="n">
        <v>1531</v>
      </c>
      <c r="J779" t="inlineStr">
        <is>
          <t>Y</t>
        </is>
      </c>
      <c r="K779" t="inlineStr">
        <is>
          <t>saiiresorts.com</t>
        </is>
      </c>
      <c r="L779" t="inlineStr">
        <is>
          <t>official</t>
        </is>
      </c>
      <c r="M779" t="inlineStr">
        <is>
          <t>https://www.saiihotels.com/wp-content/uploads/2025/10/SKS-SPA_Price-List-Menu-Nov2025_02_compressed.pdf</t>
        </is>
      </c>
      <c r="N779" t="inlineStr">
        <is>
          <t>https://www.saiihotels.com/wp-content/uploads/2025/10/SKS-SPA_Price-List-Menu-Nov2025_02_compressed.pdf</t>
        </is>
      </c>
      <c r="O779" t="inlineStr">
        <is>
          <t>e6a690e22c46a40f5660dce1b7b702e33313fa6147ff1ccba366f52232dccaff</t>
        </is>
      </c>
      <c r="P779" t="inlineStr">
        <is>
          <t>library/045_saii-lagoon-maldives/spa_menu/2025_SKS-SPA_Price-List-Menu-Nov2025_02_compressed.pdf</t>
        </is>
      </c>
      <c r="R779" t="inlineStr">
        <is>
          <t>current</t>
        </is>
      </c>
      <c r="S779" t="inlineStr">
        <is>
          <t>N</t>
        </is>
      </c>
      <c r="T779" t="inlineStr">
        <is>
          <t>needs-review</t>
        </is>
      </c>
      <c r="U779" t="inlineStr">
        <is>
          <t>2026-10-04</t>
        </is>
      </c>
      <c r="V779" t="inlineStr">
        <is>
          <t>ambiguous match [45]</t>
        </is>
      </c>
    </row>
    <row r="780">
      <c r="A780" t="n">
        <v>45</v>
      </c>
      <c r="B780" t="inlineStr">
        <is>
          <t>Saii Lagoon Maldives</t>
        </is>
      </c>
      <c r="C780" t="inlineStr">
        <is>
          <t>spa_menu</t>
        </is>
      </c>
      <c r="D780" t="inlineStr">
        <is>
          <t>2025_SAii_SPA_A4_menu_07c_low.pdf</t>
        </is>
      </c>
      <c r="E780" t="n">
        <v>2025</v>
      </c>
      <c r="H780" t="n">
        <v>15</v>
      </c>
      <c r="I780" t="n">
        <v>5594</v>
      </c>
      <c r="J780" t="inlineStr">
        <is>
          <t>Y</t>
        </is>
      </c>
      <c r="K780" t="inlineStr">
        <is>
          <t>saiiresorts.com</t>
        </is>
      </c>
      <c r="L780" t="inlineStr">
        <is>
          <t>official</t>
        </is>
      </c>
      <c r="M780" t="inlineStr">
        <is>
          <t>https://www.saiihotels.com/wp-content/uploads/2025/10/SAii_SPA_A4_menu_07c_low.pdf</t>
        </is>
      </c>
      <c r="N780" t="inlineStr">
        <is>
          <t>https://www.saiihotels.com/wp-content/uploads/2025/10/SAii_SPA_A4_menu_07c_low.pdf</t>
        </is>
      </c>
      <c r="O780" t="inlineStr">
        <is>
          <t>c7501c489f448c7f7d5c3bfe8a8ecfc25d07aec0c160959d7ae92ecc4c1213bc</t>
        </is>
      </c>
      <c r="P780" t="inlineStr">
        <is>
          <t>library/045_saii-lagoon-maldives/spa_menu/2025_SAii_SPA_A4_menu_07c_low.pdf</t>
        </is>
      </c>
      <c r="R780" t="inlineStr">
        <is>
          <t>current</t>
        </is>
      </c>
      <c r="S780" t="inlineStr">
        <is>
          <t>N</t>
        </is>
      </c>
      <c r="T780" t="inlineStr">
        <is>
          <t>needs-review</t>
        </is>
      </c>
      <c r="U780" t="inlineStr">
        <is>
          <t>2026-10-04</t>
        </is>
      </c>
      <c r="V780" t="inlineStr">
        <is>
          <t>ambiguous match [45]</t>
        </is>
      </c>
    </row>
    <row r="781">
      <c r="A781" t="n">
        <v>45</v>
      </c>
      <c r="B781" t="inlineStr">
        <is>
          <t>Saii Lagoon Maldives</t>
        </is>
      </c>
      <c r="C781" t="inlineStr">
        <is>
          <t>spa_menu</t>
        </is>
      </c>
      <c r="D781" t="inlineStr">
        <is>
          <t>2025_SPP_SAii-Spa-Menu_Lowres.pdf</t>
        </is>
      </c>
      <c r="E781" t="n">
        <v>2025</v>
      </c>
      <c r="H781" t="n">
        <v>15</v>
      </c>
      <c r="I781" t="n">
        <v>1182</v>
      </c>
      <c r="J781" t="inlineStr">
        <is>
          <t>Y</t>
        </is>
      </c>
      <c r="K781" t="inlineStr">
        <is>
          <t>saiiresorts.com</t>
        </is>
      </c>
      <c r="L781" t="inlineStr">
        <is>
          <t>official</t>
        </is>
      </c>
      <c r="M781" t="inlineStr">
        <is>
          <t>https://www.saiihotels.com/wp-content/uploads/2025/10/SPP_SAii-Spa-Menu_Lowres.pdf</t>
        </is>
      </c>
      <c r="N781" t="inlineStr">
        <is>
          <t>https://www.saiihotels.com/wp-content/uploads/2025/10/SPP_SAii-Spa-Menu_Lowres.pdf</t>
        </is>
      </c>
      <c r="O781" t="inlineStr">
        <is>
          <t>147a0f87e99edae46b3fc2c6ef44849480eeb426d9dc69b6e37490a2110e3dd6</t>
        </is>
      </c>
      <c r="P781" t="inlineStr">
        <is>
          <t>library/045_saii-lagoon-maldives/spa_menu/2025_SPP_SAii-Spa-Menu_Lowres.pdf</t>
        </is>
      </c>
      <c r="R781" t="inlineStr">
        <is>
          <t>current</t>
        </is>
      </c>
      <c r="S781" t="inlineStr">
        <is>
          <t>N</t>
        </is>
      </c>
      <c r="T781" t="inlineStr">
        <is>
          <t>needs-review</t>
        </is>
      </c>
      <c r="U781" t="inlineStr">
        <is>
          <t>2026-10-04</t>
        </is>
      </c>
      <c r="V781" t="inlineStr">
        <is>
          <t>ambiguous match [45]</t>
        </is>
      </c>
    </row>
    <row r="782">
      <c r="A782" t="n">
        <v>45</v>
      </c>
      <c r="B782" t="inlineStr">
        <is>
          <t>Saii Lagoon Maldives</t>
        </is>
      </c>
      <c r="C782" t="inlineStr">
        <is>
          <t>dining_menu</t>
        </is>
      </c>
      <c r="D782" t="inlineStr">
        <is>
          <t>2026_SAii-Maldives-Independence-Day-2026.pdf</t>
        </is>
      </c>
      <c r="E782" t="n">
        <v>2026</v>
      </c>
      <c r="H782" t="n">
        <v>1</v>
      </c>
      <c r="I782" t="n">
        <v>115</v>
      </c>
      <c r="J782" t="inlineStr">
        <is>
          <t>Y</t>
        </is>
      </c>
      <c r="K782" t="inlineStr">
        <is>
          <t>saiiresorts.com</t>
        </is>
      </c>
      <c r="L782" t="inlineStr">
        <is>
          <t>official</t>
        </is>
      </c>
      <c r="M782" t="inlineStr">
        <is>
          <t>https://www.saiihotels.com/wp-content/uploads/2026/07/SAii-Maldives-Independence-Day-2026.pdf</t>
        </is>
      </c>
      <c r="N782" t="inlineStr">
        <is>
          <t>https://www.saiihotels.com/wp-content/uploads/2026/07/SAii-Maldives-Independence-Day-2026.pdf</t>
        </is>
      </c>
      <c r="O782" t="inlineStr">
        <is>
          <t>1469b79fb4ed35606a206260d64c9fd0d60abd47c4e77cea83b2975db1af352c</t>
        </is>
      </c>
      <c r="P782" t="inlineStr">
        <is>
          <t>library/045_saii-lagoon-maldives/dining_menu/2026_SAii-Maldives-Independence-Day-2026.pdf</t>
        </is>
      </c>
      <c r="R782" t="inlineStr">
        <is>
          <t>current</t>
        </is>
      </c>
      <c r="S782" t="inlineStr">
        <is>
          <t>N</t>
        </is>
      </c>
      <c r="T782" t="inlineStr">
        <is>
          <t>needs-review</t>
        </is>
      </c>
      <c r="U782" t="inlineStr">
        <is>
          <t>2026-10-04</t>
        </is>
      </c>
      <c r="V782" t="inlineStr">
        <is>
          <t>ambiguous match [45]</t>
        </is>
      </c>
    </row>
    <row r="783">
      <c r="A783" t="n">
        <v>45</v>
      </c>
      <c r="B783" t="inlineStr">
        <is>
          <t>Saii Lagoon Maldives</t>
        </is>
      </c>
      <c r="C783" t="inlineStr">
        <is>
          <t>dining_menu</t>
        </is>
      </c>
      <c r="D783" t="inlineStr">
        <is>
          <t>2026_June-Recreation-Russian.pdf</t>
        </is>
      </c>
      <c r="E783" t="n">
        <v>2026</v>
      </c>
      <c r="H783" t="n">
        <v>1</v>
      </c>
      <c r="I783" t="n">
        <v>368</v>
      </c>
      <c r="J783" t="inlineStr">
        <is>
          <t>Y</t>
        </is>
      </c>
      <c r="K783" t="inlineStr">
        <is>
          <t>saiiresorts.com</t>
        </is>
      </c>
      <c r="L783" t="inlineStr">
        <is>
          <t>official</t>
        </is>
      </c>
      <c r="M783" t="inlineStr">
        <is>
          <t>https://www.saiihotels.com/wp-content/uploads/2026/06/June-Recreation-Russian.pdf</t>
        </is>
      </c>
      <c r="N783" t="inlineStr">
        <is>
          <t>https://www.saiihotels.com/wp-content/uploads/2026/06/June-Recreation-Russian.pdf</t>
        </is>
      </c>
      <c r="O783" t="inlineStr">
        <is>
          <t>04da9163de2c2d64405b7dda7ceb681a3758d76f8849f0bb17ae64fe4b104fad</t>
        </is>
      </c>
      <c r="P783" t="inlineStr">
        <is>
          <t>library/045_saii-lagoon-maldives/dining_menu/2026_June-Recreation-Russian.pdf</t>
        </is>
      </c>
      <c r="R783" t="inlineStr">
        <is>
          <t>current</t>
        </is>
      </c>
      <c r="S783" t="inlineStr">
        <is>
          <t>N</t>
        </is>
      </c>
      <c r="T783" t="inlineStr">
        <is>
          <t>needs-review</t>
        </is>
      </c>
      <c r="U783" t="inlineStr">
        <is>
          <t>2026-10-04</t>
        </is>
      </c>
      <c r="V783" t="inlineStr">
        <is>
          <t>ambiguous match [45]</t>
        </is>
      </c>
    </row>
    <row r="784">
      <c r="A784" t="n">
        <v>45</v>
      </c>
      <c r="B784" t="inlineStr">
        <is>
          <t>Saii Lagoon Maldives</t>
        </is>
      </c>
      <c r="C784" t="inlineStr">
        <is>
          <t>dining_menu</t>
        </is>
      </c>
      <c r="D784" t="inlineStr">
        <is>
          <t>2026_SAii-Eid-Special-BBQ-Dinner-2026-1.pdf</t>
        </is>
      </c>
      <c r="E784" t="n">
        <v>2026</v>
      </c>
      <c r="H784" t="n">
        <v>1</v>
      </c>
      <c r="I784" t="n">
        <v>796</v>
      </c>
      <c r="J784" t="inlineStr">
        <is>
          <t>Y</t>
        </is>
      </c>
      <c r="K784" t="inlineStr">
        <is>
          <t>saiiresorts.com</t>
        </is>
      </c>
      <c r="L784" t="inlineStr">
        <is>
          <t>official</t>
        </is>
      </c>
      <c r="M784" t="inlineStr">
        <is>
          <t>https://www.saiihotels.com/wp-content/uploads/2026/05/SAii-Eid-Special-BBQ-Dinner-2026-1.pdf</t>
        </is>
      </c>
      <c r="N784" t="inlineStr">
        <is>
          <t>https://www.saiihotels.com/wp-content/uploads/2026/05/SAii-Eid-Special-BBQ-Dinner-2026-1.pdf</t>
        </is>
      </c>
      <c r="O784" t="inlineStr">
        <is>
          <t>77fef3dd97dcf86dce0a7b0c43d89aa8355fccdc2f79cedfda7e61274b9ba4e3</t>
        </is>
      </c>
      <c r="P784" t="inlineStr">
        <is>
          <t>library/045_saii-lagoon-maldives/dining_menu/2026_SAii-Eid-Special-BBQ-Dinner-2026-1.pdf</t>
        </is>
      </c>
      <c r="R784" t="inlineStr">
        <is>
          <t>current</t>
        </is>
      </c>
      <c r="S784" t="inlineStr">
        <is>
          <t>N</t>
        </is>
      </c>
      <c r="T784" t="inlineStr">
        <is>
          <t>needs-review</t>
        </is>
      </c>
      <c r="U784" t="inlineStr">
        <is>
          <t>2026-10-04</t>
        </is>
      </c>
      <c r="V784" t="inlineStr">
        <is>
          <t>ambiguous match [45]</t>
        </is>
      </c>
    </row>
    <row r="785">
      <c r="A785" t="n">
        <v>45</v>
      </c>
      <c r="B785" t="inlineStr">
        <is>
          <t>Saii Lagoon Maldives</t>
        </is>
      </c>
      <c r="C785" t="inlineStr">
        <is>
          <t>dining_menu</t>
        </is>
      </c>
      <c r="D785" t="inlineStr">
        <is>
          <t>2026_SAii-Songkran-2026.pdf</t>
        </is>
      </c>
      <c r="E785" t="n">
        <v>2026</v>
      </c>
      <c r="H785" t="n">
        <v>1</v>
      </c>
      <c r="I785" t="n">
        <v>893</v>
      </c>
      <c r="J785" t="inlineStr">
        <is>
          <t>Y</t>
        </is>
      </c>
      <c r="K785" t="inlineStr">
        <is>
          <t>saiiresorts.com</t>
        </is>
      </c>
      <c r="L785" t="inlineStr">
        <is>
          <t>official</t>
        </is>
      </c>
      <c r="M785" t="inlineStr">
        <is>
          <t>https://www.saiihotels.com/wp-content/uploads/2026/03/SAii-Songkran-2026.pdf</t>
        </is>
      </c>
      <c r="N785" t="inlineStr">
        <is>
          <t>https://www.saiihotels.com/wp-content/uploads/2026/03/SAii-Songkran-2026.pdf</t>
        </is>
      </c>
      <c r="O785" t="inlineStr">
        <is>
          <t>f5bdfe25dc3f52ce678fa0689f399ed9e36ef91b7a77f4b457e62477b5c7c275</t>
        </is>
      </c>
      <c r="P785" t="inlineStr">
        <is>
          <t>library/045_saii-lagoon-maldives/dining_menu/2026_SAii-Songkran-2026.pdf</t>
        </is>
      </c>
      <c r="R785" t="inlineStr">
        <is>
          <t>current</t>
        </is>
      </c>
      <c r="S785" t="inlineStr">
        <is>
          <t>N</t>
        </is>
      </c>
      <c r="T785" t="inlineStr">
        <is>
          <t>needs-review</t>
        </is>
      </c>
      <c r="U785" t="inlineStr">
        <is>
          <t>2026-10-04</t>
        </is>
      </c>
      <c r="V785" t="inlineStr">
        <is>
          <t>ambiguous match [45]</t>
        </is>
      </c>
    </row>
    <row r="786">
      <c r="A786" t="n">
        <v>45</v>
      </c>
      <c r="B786" t="inlineStr">
        <is>
          <t>Saii Lagoon Maldives</t>
        </is>
      </c>
      <c r="C786" t="inlineStr">
        <is>
          <t>dining_menu</t>
        </is>
      </c>
      <c r="D786" t="inlineStr">
        <is>
          <t>2026_SAii-International-Womens-Day-2026.pdf</t>
        </is>
      </c>
      <c r="E786" t="n">
        <v>2026</v>
      </c>
      <c r="H786" t="n">
        <v>1</v>
      </c>
      <c r="I786" t="n">
        <v>1876</v>
      </c>
      <c r="J786" t="inlineStr">
        <is>
          <t>Y</t>
        </is>
      </c>
      <c r="K786" t="inlineStr">
        <is>
          <t>saiiresorts.com</t>
        </is>
      </c>
      <c r="L786" t="inlineStr">
        <is>
          <t>official</t>
        </is>
      </c>
      <c r="M786" t="inlineStr">
        <is>
          <t>https://www.saiihotels.com/wp-content/uploads/2026/02/SAii-International-Womens-Day-2026.pdf</t>
        </is>
      </c>
      <c r="N786" t="inlineStr">
        <is>
          <t>https://www.saiihotels.com/wp-content/uploads/2026/02/SAii-International-Womens-Day-2026.pdf</t>
        </is>
      </c>
      <c r="O786" t="inlineStr">
        <is>
          <t>6f8c3852441cc35b92d9c9fce70f04349c7e28020dc6036a835147535ee5d7c8</t>
        </is>
      </c>
      <c r="P786" t="inlineStr">
        <is>
          <t>library/045_saii-lagoon-maldives/dining_menu/2026_SAii-International-Womens-Day-2026.pdf</t>
        </is>
      </c>
      <c r="R786" t="inlineStr">
        <is>
          <t>current</t>
        </is>
      </c>
      <c r="S786" t="inlineStr">
        <is>
          <t>N</t>
        </is>
      </c>
      <c r="T786" t="inlineStr">
        <is>
          <t>needs-review</t>
        </is>
      </c>
      <c r="U786" t="inlineStr">
        <is>
          <t>2026-10-04</t>
        </is>
      </c>
      <c r="V786" t="inlineStr">
        <is>
          <t>ambiguous match [45]</t>
        </is>
      </c>
    </row>
    <row r="787">
      <c r="A787" t="n">
        <v>45</v>
      </c>
      <c r="B787" t="inlineStr">
        <is>
          <t>Saii Lagoon Maldives</t>
        </is>
      </c>
      <c r="C787" t="inlineStr">
        <is>
          <t>dining_menu</t>
        </is>
      </c>
      <c r="D787" t="inlineStr">
        <is>
          <t>2026_SPP_WineDrinks-2026.pdf</t>
        </is>
      </c>
      <c r="E787" t="n">
        <v>2026</v>
      </c>
      <c r="H787" t="n">
        <v>20</v>
      </c>
      <c r="I787" t="n">
        <v>432</v>
      </c>
      <c r="J787" t="inlineStr">
        <is>
          <t>Y</t>
        </is>
      </c>
      <c r="K787" t="inlineStr">
        <is>
          <t>saiiresorts.com</t>
        </is>
      </c>
      <c r="L787" t="inlineStr">
        <is>
          <t>official</t>
        </is>
      </c>
      <c r="M787" t="inlineStr">
        <is>
          <t>https://www.saiihotels.com/wp-content/uploads/2026/02/SPP_WineDrinks-2026.pdf</t>
        </is>
      </c>
      <c r="N787" t="inlineStr">
        <is>
          <t>https://www.saiihotels.com/wp-content/uploads/2026/02/SPP_WineDrinks-2026.pdf</t>
        </is>
      </c>
      <c r="O787" t="inlineStr">
        <is>
          <t>1ef74e51748314948e3c58ced2a81f3b4dab4b574753b37de38e27abfb0e989a</t>
        </is>
      </c>
      <c r="P787" t="inlineStr">
        <is>
          <t>library/045_saii-lagoon-maldives/dining_menu/2026_SPP_WineDrinks-2026.pdf</t>
        </is>
      </c>
      <c r="R787" t="inlineStr">
        <is>
          <t>current</t>
        </is>
      </c>
      <c r="S787" t="inlineStr">
        <is>
          <t>Y</t>
        </is>
      </c>
      <c r="T787" t="inlineStr">
        <is>
          <t>needs-review</t>
        </is>
      </c>
      <c r="U787" t="inlineStr">
        <is>
          <t>2026-10-04</t>
        </is>
      </c>
      <c r="V787" t="inlineStr">
        <is>
          <t>ambiguous match [45]</t>
        </is>
      </c>
    </row>
    <row r="788">
      <c r="A788" t="n">
        <v>45</v>
      </c>
      <c r="B788" t="inlineStr">
        <is>
          <t>Saii Lagoon Maldives</t>
        </is>
      </c>
      <c r="C788" t="inlineStr">
        <is>
          <t>dining_menu</t>
        </is>
      </c>
      <c r="D788" t="inlineStr">
        <is>
          <t>2026_SAii-Valentines-Day-2026.pdf</t>
        </is>
      </c>
      <c r="E788" t="n">
        <v>2026</v>
      </c>
      <c r="H788" t="n">
        <v>1</v>
      </c>
      <c r="I788" t="n">
        <v>608</v>
      </c>
      <c r="J788" t="inlineStr">
        <is>
          <t>Y</t>
        </is>
      </c>
      <c r="K788" t="inlineStr">
        <is>
          <t>saiiresorts.com</t>
        </is>
      </c>
      <c r="L788" t="inlineStr">
        <is>
          <t>official</t>
        </is>
      </c>
      <c r="M788" t="inlineStr">
        <is>
          <t>https://www.saiihotels.com/wp-content/uploads/2026/01/SAii-Valentines-Day-2026.pdf</t>
        </is>
      </c>
      <c r="N788" t="inlineStr">
        <is>
          <t>https://www.saiihotels.com/wp-content/uploads/2026/01/SAii-Valentines-Day-2026.pdf</t>
        </is>
      </c>
      <c r="O788" t="inlineStr">
        <is>
          <t>fb929c0316a940e137450f113361879fe81912a669c0d97f7509a18f052f8fc6</t>
        </is>
      </c>
      <c r="P788" t="inlineStr">
        <is>
          <t>library/045_saii-lagoon-maldives/dining_menu/2026_SAii-Valentines-Day-2026.pdf</t>
        </is>
      </c>
      <c r="R788" t="inlineStr">
        <is>
          <t>current</t>
        </is>
      </c>
      <c r="S788" t="inlineStr">
        <is>
          <t>N</t>
        </is>
      </c>
      <c r="T788" t="inlineStr">
        <is>
          <t>needs-review</t>
        </is>
      </c>
      <c r="U788" t="inlineStr">
        <is>
          <t>2026-10-04</t>
        </is>
      </c>
      <c r="V788" t="inlineStr">
        <is>
          <t>ambiguous match [45]</t>
        </is>
      </c>
    </row>
    <row r="789">
      <c r="A789" t="n">
        <v>45</v>
      </c>
      <c r="B789" t="inlineStr">
        <is>
          <t>Saii Lagoon Maldives</t>
        </is>
      </c>
      <c r="C789" t="inlineStr">
        <is>
          <t>dining_menu</t>
        </is>
      </c>
      <c r="D789" t="inlineStr">
        <is>
          <t>2025_SKS-SAii-Club-TerraMar.pdf</t>
        </is>
      </c>
      <c r="E789" t="n">
        <v>2025</v>
      </c>
      <c r="H789" t="n">
        <v>2</v>
      </c>
      <c r="I789" t="n">
        <v>178</v>
      </c>
      <c r="J789" t="inlineStr">
        <is>
          <t>Y</t>
        </is>
      </c>
      <c r="K789" t="inlineStr">
        <is>
          <t>saiiresorts.com</t>
        </is>
      </c>
      <c r="L789" t="inlineStr">
        <is>
          <t>official</t>
        </is>
      </c>
      <c r="M789" t="inlineStr">
        <is>
          <t>https://www.saiihotels.com/wp-content/uploads/2025/12/SKS-SAii-Club-TerraMar.pdf</t>
        </is>
      </c>
      <c r="N789" t="inlineStr">
        <is>
          <t>https://www.saiihotels.com/wp-content/uploads/2025/12/SKS-SAii-Club-TerraMar.pdf</t>
        </is>
      </c>
      <c r="O789" t="inlineStr">
        <is>
          <t>28c4796789768e31b81ea7b1c542e2cbf0d5d696f5cee377eb47dcfab6383db7</t>
        </is>
      </c>
      <c r="P789" t="inlineStr">
        <is>
          <t>library/045_saii-lagoon-maldives/dining_menu/2025_SKS-SAii-Club-TerraMar.pdf</t>
        </is>
      </c>
      <c r="R789" t="inlineStr">
        <is>
          <t>current</t>
        </is>
      </c>
      <c r="S789" t="inlineStr">
        <is>
          <t>N</t>
        </is>
      </c>
      <c r="T789" t="inlineStr">
        <is>
          <t>needs-review</t>
        </is>
      </c>
      <c r="U789" t="inlineStr">
        <is>
          <t>2026-10-04</t>
        </is>
      </c>
      <c r="V789" t="inlineStr">
        <is>
          <t>ambiguous match [45]</t>
        </is>
      </c>
    </row>
    <row r="790">
      <c r="A790" t="n">
        <v>45</v>
      </c>
      <c r="B790" t="inlineStr">
        <is>
          <t>Saii Lagoon Maldives</t>
        </is>
      </c>
      <c r="C790" t="inlineStr">
        <is>
          <t>dining_menu</t>
        </is>
      </c>
      <c r="D790" t="inlineStr">
        <is>
          <t>2025_SKS-SAii-Club-BeanCo.pdf</t>
        </is>
      </c>
      <c r="E790" t="n">
        <v>2025</v>
      </c>
      <c r="H790" t="n">
        <v>1</v>
      </c>
      <c r="I790" t="n">
        <v>79</v>
      </c>
      <c r="J790" t="inlineStr">
        <is>
          <t>Y</t>
        </is>
      </c>
      <c r="K790" t="inlineStr">
        <is>
          <t>saiiresorts.com</t>
        </is>
      </c>
      <c r="L790" t="inlineStr">
        <is>
          <t>official</t>
        </is>
      </c>
      <c r="M790" t="inlineStr">
        <is>
          <t>https://www.saiihotels.com/wp-content/uploads/2025/12/SKS-SAii-Club-BeanCo.pdf</t>
        </is>
      </c>
      <c r="N790" t="inlineStr">
        <is>
          <t>https://www.saiihotels.com/wp-content/uploads/2025/12/SKS-SAii-Club-BeanCo.pdf</t>
        </is>
      </c>
      <c r="O790" t="inlineStr">
        <is>
          <t>c0eb1b686440fcdd7dd8cdf6879025ffca5da40699b829c2889795ae81be3569</t>
        </is>
      </c>
      <c r="P790" t="inlineStr">
        <is>
          <t>library/045_saii-lagoon-maldives/dining_menu/2025_SKS-SAii-Club-BeanCo.pdf</t>
        </is>
      </c>
      <c r="R790" t="inlineStr">
        <is>
          <t>current</t>
        </is>
      </c>
      <c r="S790" t="inlineStr">
        <is>
          <t>N</t>
        </is>
      </c>
      <c r="T790" t="inlineStr">
        <is>
          <t>needs-review</t>
        </is>
      </c>
      <c r="U790" t="inlineStr">
        <is>
          <t>2026-10-04</t>
        </is>
      </c>
      <c r="V790" t="inlineStr">
        <is>
          <t>ambiguous match [45]</t>
        </is>
      </c>
    </row>
    <row r="791">
      <c r="A791" t="n">
        <v>45</v>
      </c>
      <c r="B791" t="inlineStr">
        <is>
          <t>Saii Lagoon Maldives</t>
        </is>
      </c>
      <c r="C791" t="inlineStr">
        <is>
          <t>dining_menu</t>
        </is>
      </c>
      <c r="D791" t="inlineStr">
        <is>
          <t>2025_SKS-SAii-Club-Miss-Olive-Oyl.pdf</t>
        </is>
      </c>
      <c r="E791" t="n">
        <v>2025</v>
      </c>
      <c r="H791" t="n">
        <v>1</v>
      </c>
      <c r="I791" t="n">
        <v>100</v>
      </c>
      <c r="J791" t="inlineStr">
        <is>
          <t>Y</t>
        </is>
      </c>
      <c r="K791" t="inlineStr">
        <is>
          <t>saiiresorts.com</t>
        </is>
      </c>
      <c r="L791" t="inlineStr">
        <is>
          <t>official</t>
        </is>
      </c>
      <c r="M791" t="inlineStr">
        <is>
          <t>https://www.saiihotels.com/wp-content/uploads/2025/12/SKS-SAii-Club-Miss-Olive-Oyl.pdf</t>
        </is>
      </c>
      <c r="N791" t="inlineStr">
        <is>
          <t>https://www.saiihotels.com/wp-content/uploads/2025/12/SKS-SAii-Club-Miss-Olive-Oyl.pdf</t>
        </is>
      </c>
      <c r="O791" t="inlineStr">
        <is>
          <t>00467e9bd3e016abec45d90b849718b37df03ffaf2ea1eab0d32a3cda194ef38</t>
        </is>
      </c>
      <c r="P791" t="inlineStr">
        <is>
          <t>library/045_saii-lagoon-maldives/dining_menu/2025_SKS-SAii-Club-Miss-Olive-Oyl.pdf</t>
        </is>
      </c>
      <c r="R791" t="inlineStr">
        <is>
          <t>current</t>
        </is>
      </c>
      <c r="S791" t="inlineStr">
        <is>
          <t>N</t>
        </is>
      </c>
      <c r="T791" t="inlineStr">
        <is>
          <t>needs-review</t>
        </is>
      </c>
      <c r="U791" t="inlineStr">
        <is>
          <t>2026-10-04</t>
        </is>
      </c>
      <c r="V791" t="inlineStr">
        <is>
          <t>ambiguous match [45]</t>
        </is>
      </c>
    </row>
    <row r="792">
      <c r="A792" t="n">
        <v>45</v>
      </c>
      <c r="B792" t="inlineStr">
        <is>
          <t>Saii Lagoon Maldives</t>
        </is>
      </c>
      <c r="C792" t="inlineStr">
        <is>
          <t>dining_menu</t>
        </is>
      </c>
      <c r="D792" t="inlineStr">
        <is>
          <t>2025_Dinner-on-the-beach.pdf</t>
        </is>
      </c>
      <c r="E792" t="n">
        <v>2025</v>
      </c>
      <c r="H792" t="n">
        <v>4</v>
      </c>
      <c r="I792" t="n">
        <v>1223</v>
      </c>
      <c r="J792" t="inlineStr">
        <is>
          <t>Y</t>
        </is>
      </c>
      <c r="K792" t="inlineStr">
        <is>
          <t>saiiresorts.com</t>
        </is>
      </c>
      <c r="L792" t="inlineStr">
        <is>
          <t>official</t>
        </is>
      </c>
      <c r="M792" t="inlineStr">
        <is>
          <t>https://www.saiihotels.com/wp-content/uploads/2025/10/Dinner-on-the-beach.pdf</t>
        </is>
      </c>
      <c r="N792" t="inlineStr">
        <is>
          <t>https://www.saiihotels.com/wp-content/uploads/2025/10/Dinner-on-the-beach.pdf</t>
        </is>
      </c>
      <c r="O792" t="inlineStr">
        <is>
          <t>d4804a5ce5145d31cf2489e8015122a0796a0b0bc77e54a351028d762ac89e3a</t>
        </is>
      </c>
      <c r="P792" t="inlineStr">
        <is>
          <t>library/045_saii-lagoon-maldives/dining_menu/2025_Dinner-on-the-beach.pdf</t>
        </is>
      </c>
      <c r="R792" t="inlineStr">
        <is>
          <t>current</t>
        </is>
      </c>
      <c r="S792" t="inlineStr">
        <is>
          <t>N</t>
        </is>
      </c>
      <c r="T792" t="inlineStr">
        <is>
          <t>needs-review</t>
        </is>
      </c>
      <c r="U792" t="inlineStr">
        <is>
          <t>2026-10-04</t>
        </is>
      </c>
      <c r="V792" t="inlineStr">
        <is>
          <t>ambiguous match [45]</t>
        </is>
      </c>
    </row>
    <row r="793">
      <c r="A793" t="n">
        <v>45</v>
      </c>
      <c r="B793" t="inlineStr">
        <is>
          <t>Saii Lagoon Maldives</t>
        </is>
      </c>
      <c r="C793" t="inlineStr">
        <is>
          <t>dining_menu</t>
        </is>
      </c>
      <c r="D793" t="inlineStr">
        <is>
          <t>2025_Miss-Olive-Oyl-Main-Menu-2025-ENG_compressed.pdf</t>
        </is>
      </c>
      <c r="E793" t="n">
        <v>2025</v>
      </c>
      <c r="H793" t="n">
        <v>2</v>
      </c>
      <c r="I793" t="n">
        <v>1755</v>
      </c>
      <c r="J793" t="inlineStr">
        <is>
          <t>Y</t>
        </is>
      </c>
      <c r="K793" t="inlineStr">
        <is>
          <t>saiiresorts.com</t>
        </is>
      </c>
      <c r="L793" t="inlineStr">
        <is>
          <t>official</t>
        </is>
      </c>
      <c r="M793" t="inlineStr">
        <is>
          <t>https://www.saiihotels.com/wp-content/uploads/2025/10/Miss-Olive-Oyl-Main-Menu-2025-ENG_compressed.pdf</t>
        </is>
      </c>
      <c r="N793" t="inlineStr">
        <is>
          <t>https://www.saiihotels.com/wp-content/uploads/2025/10/Miss-Olive-Oyl-Main-Menu-2025-ENG_compressed.pdf</t>
        </is>
      </c>
      <c r="O793" t="inlineStr">
        <is>
          <t>2f077b0a1b557cf1d2acc465fcc376f84bc8c4162b1c074e9f7371597b336989</t>
        </is>
      </c>
      <c r="P793" t="inlineStr">
        <is>
          <t>library/045_saii-lagoon-maldives/dining_menu/2025_Miss-Olive-Oyl-Main-Menu-2025-ENG_compressed.pdf</t>
        </is>
      </c>
      <c r="R793" t="inlineStr">
        <is>
          <t>current</t>
        </is>
      </c>
      <c r="S793" t="inlineStr">
        <is>
          <t>N</t>
        </is>
      </c>
      <c r="T793" t="inlineStr">
        <is>
          <t>needs-review</t>
        </is>
      </c>
      <c r="U793" t="inlineStr">
        <is>
          <t>2026-10-04</t>
        </is>
      </c>
      <c r="V793" t="inlineStr">
        <is>
          <t>ambiguous match [45]</t>
        </is>
      </c>
    </row>
    <row r="794">
      <c r="A794" t="n">
        <v>45</v>
      </c>
      <c r="B794" t="inlineStr">
        <is>
          <t>Saii Lagoon Maldives</t>
        </is>
      </c>
      <c r="C794" t="inlineStr">
        <is>
          <t>dining_menu</t>
        </is>
      </c>
      <c r="D794" t="inlineStr">
        <is>
          <t>2022_SKS-SAii-Club-Wine-List.pdf</t>
        </is>
      </c>
      <c r="E794" t="n">
        <v>2022</v>
      </c>
      <c r="H794" t="n">
        <v>13</v>
      </c>
      <c r="I794" t="n">
        <v>236</v>
      </c>
      <c r="J794" t="inlineStr">
        <is>
          <t>Y</t>
        </is>
      </c>
      <c r="K794" t="inlineStr">
        <is>
          <t>saiiresorts.com</t>
        </is>
      </c>
      <c r="L794" t="inlineStr">
        <is>
          <t>official</t>
        </is>
      </c>
      <c r="M794" t="inlineStr">
        <is>
          <t>https://www.saiihotels.com/wp-content/uploads/2025/12/SKS-SAii-Club-Wine-List.pdf</t>
        </is>
      </c>
      <c r="N794" t="inlineStr">
        <is>
          <t>https://www.saiihotels.com/wp-content/uploads/2025/12/SKS-SAii-Club-Wine-List.pdf</t>
        </is>
      </c>
      <c r="O794" t="inlineStr">
        <is>
          <t>e903bc812e8d881218b09010dfa7dc23098715ce91f79a2f1f434c47be263da8</t>
        </is>
      </c>
      <c r="P794" t="inlineStr">
        <is>
          <t>library/045_saii-lagoon-maldives/dining_menu/2022_SKS-SAii-Club-Wine-List.pdf</t>
        </is>
      </c>
      <c r="R794" t="inlineStr">
        <is>
          <t>outdated</t>
        </is>
      </c>
      <c r="S794" t="inlineStr">
        <is>
          <t>N</t>
        </is>
      </c>
      <c r="T794" t="inlineStr">
        <is>
          <t>needs-review</t>
        </is>
      </c>
      <c r="U794" t="inlineStr">
        <is>
          <t>2026-10-04</t>
        </is>
      </c>
      <c r="V794" t="inlineStr">
        <is>
          <t>ambiguous match [45]</t>
        </is>
      </c>
    </row>
    <row r="795">
      <c r="A795" t="n">
        <v>45</v>
      </c>
      <c r="B795" t="inlineStr">
        <is>
          <t>Saii Lagoon Maldives</t>
        </is>
      </c>
      <c r="C795" t="inlineStr">
        <is>
          <t>dive_prices</t>
        </is>
      </c>
      <c r="D795" t="inlineStr">
        <is>
          <t>2026_Tennis-Price-List-Sep-Dec-2026.pdf</t>
        </is>
      </c>
      <c r="E795" t="n">
        <v>2026</v>
      </c>
      <c r="H795" t="n">
        <v>1</v>
      </c>
      <c r="I795" t="n">
        <v>157</v>
      </c>
      <c r="J795" t="inlineStr">
        <is>
          <t>Y</t>
        </is>
      </c>
      <c r="K795" t="inlineStr">
        <is>
          <t>saiiresorts.com</t>
        </is>
      </c>
      <c r="L795" t="inlineStr">
        <is>
          <t>official</t>
        </is>
      </c>
      <c r="M795" t="inlineStr">
        <is>
          <t>https://www.saiihotels.com/wp-content/uploads/2026/09/Tennis-Price-List-Sep-Dec-2026.pdf</t>
        </is>
      </c>
      <c r="N795" t="inlineStr">
        <is>
          <t>https://www.saiihotels.com/wp-content/uploads/2026/09/Tennis-Price-List-Sep-Dec-2026.pdf</t>
        </is>
      </c>
      <c r="O795" t="inlineStr">
        <is>
          <t>159e9f859d73593caf881dc433b777525eaf096ab730caa08e2fb49b06348ded</t>
        </is>
      </c>
      <c r="P795" t="inlineStr">
        <is>
          <t>library/045_saii-lagoon-maldives/dive_prices/2026_Tennis-Price-List-Sep-Dec-2026.pdf</t>
        </is>
      </c>
      <c r="R795" t="inlineStr">
        <is>
          <t>current</t>
        </is>
      </c>
      <c r="S795" t="inlineStr">
        <is>
          <t>Y</t>
        </is>
      </c>
      <c r="T795" t="inlineStr">
        <is>
          <t>needs-review</t>
        </is>
      </c>
      <c r="U795" t="inlineStr">
        <is>
          <t>2026-10-04</t>
        </is>
      </c>
      <c r="V795" t="inlineStr">
        <is>
          <t>ambiguous match [45]</t>
        </is>
      </c>
    </row>
    <row r="796">
      <c r="A796" t="n">
        <v>45</v>
      </c>
      <c r="B796" t="inlineStr">
        <is>
          <t>Saii Lagoon Maldives</t>
        </is>
      </c>
      <c r="C796" t="inlineStr">
        <is>
          <t>dive_prices</t>
        </is>
      </c>
      <c r="D796" t="inlineStr">
        <is>
          <t>2026_Sport-and-Recreation-Price-List-Sep-Dec-2026.pdf</t>
        </is>
      </c>
      <c r="E796" t="n">
        <v>2026</v>
      </c>
      <c r="H796" t="n">
        <v>1</v>
      </c>
      <c r="I796" t="n">
        <v>274</v>
      </c>
      <c r="J796" t="inlineStr">
        <is>
          <t>Y</t>
        </is>
      </c>
      <c r="K796" t="inlineStr">
        <is>
          <t>saiiresorts.com</t>
        </is>
      </c>
      <c r="L796" t="inlineStr">
        <is>
          <t>official</t>
        </is>
      </c>
      <c r="M796" t="inlineStr">
        <is>
          <t>https://www.saiihotels.com/wp-content/uploads/2026/09/Sport-and-Recreation-Price-List-Sep-Dec-2026.pdf</t>
        </is>
      </c>
      <c r="N796" t="inlineStr">
        <is>
          <t>https://www.saiihotels.com/wp-content/uploads/2026/09/Sport-and-Recreation-Price-List-Sep-Dec-2026.pdf</t>
        </is>
      </c>
      <c r="O796" t="inlineStr">
        <is>
          <t>6bdf0de543b434b0e99648d0102e94bb7eac62ed52d7f67224e40e790e2bee87</t>
        </is>
      </c>
      <c r="P796" t="inlineStr">
        <is>
          <t>library/045_saii-lagoon-maldives/dive_prices/2026_Sport-and-Recreation-Price-List-Sep-Dec-2026.pdf</t>
        </is>
      </c>
      <c r="R796" t="inlineStr">
        <is>
          <t>current</t>
        </is>
      </c>
      <c r="S796" t="inlineStr">
        <is>
          <t>N</t>
        </is>
      </c>
      <c r="T796" t="inlineStr">
        <is>
          <t>needs-review</t>
        </is>
      </c>
      <c r="U796" t="inlineStr">
        <is>
          <t>2026-10-04</t>
        </is>
      </c>
      <c r="V796" t="inlineStr">
        <is>
          <t>ambiguous match [45]</t>
        </is>
      </c>
    </row>
    <row r="797">
      <c r="A797" t="n">
        <v>45</v>
      </c>
      <c r="B797" t="inlineStr">
        <is>
          <t>Saii Lagoon Maldives</t>
        </is>
      </c>
      <c r="C797" t="inlineStr">
        <is>
          <t>dive_prices</t>
        </is>
      </c>
      <c r="D797" t="inlineStr">
        <is>
          <t>2026_Sport-and-Recreation-Price-List_Feb-Apr-2026.pdf</t>
        </is>
      </c>
      <c r="E797" t="n">
        <v>2026</v>
      </c>
      <c r="H797" t="n">
        <v>1</v>
      </c>
      <c r="I797" t="n">
        <v>837</v>
      </c>
      <c r="J797" t="inlineStr">
        <is>
          <t>Y</t>
        </is>
      </c>
      <c r="K797" t="inlineStr">
        <is>
          <t>saiiresorts.com</t>
        </is>
      </c>
      <c r="L797" t="inlineStr">
        <is>
          <t>official</t>
        </is>
      </c>
      <c r="M797" t="inlineStr">
        <is>
          <t>https://www.saiihotels.com/wp-content/uploads/2026/02/Sport-and-Recreation-Price-List_Feb-Apr-2026.pdf</t>
        </is>
      </c>
      <c r="N797" t="inlineStr">
        <is>
          <t>https://www.saiihotels.com/wp-content/uploads/2026/02/Sport-and-Recreation-Price-List_Feb-Apr-2026.pdf</t>
        </is>
      </c>
      <c r="O797" t="inlineStr">
        <is>
          <t>c582f3e0bf191b60daee702e5c3a6d72c34f9497ea39b62a5508dc49f7282588</t>
        </is>
      </c>
      <c r="P797" t="inlineStr">
        <is>
          <t>library/045_saii-lagoon-maldives/dive_prices/2026_Sport-and-Recreation-Price-List_Feb-Apr-2026.pdf</t>
        </is>
      </c>
      <c r="R797" t="inlineStr">
        <is>
          <t>current</t>
        </is>
      </c>
      <c r="S797" t="inlineStr">
        <is>
          <t>N</t>
        </is>
      </c>
      <c r="T797" t="inlineStr">
        <is>
          <t>needs-review</t>
        </is>
      </c>
      <c r="U797" t="inlineStr">
        <is>
          <t>2026-10-04</t>
        </is>
      </c>
      <c r="V797" t="inlineStr">
        <is>
          <t>ambiguous match [45]</t>
        </is>
      </c>
    </row>
    <row r="798">
      <c r="A798" t="n">
        <v>45</v>
      </c>
      <c r="B798" t="inlineStr">
        <is>
          <t>Saii Lagoon Maldives</t>
        </is>
      </c>
      <c r="C798" t="inlineStr">
        <is>
          <t>dive_prices</t>
        </is>
      </c>
      <c r="D798" t="inlineStr">
        <is>
          <t>2026_Tennis-Price-List_Feb-Ap2026.pdf</t>
        </is>
      </c>
      <c r="E798" t="n">
        <v>2026</v>
      </c>
      <c r="H798" t="n">
        <v>1</v>
      </c>
      <c r="I798" t="n">
        <v>1079</v>
      </c>
      <c r="J798" t="inlineStr">
        <is>
          <t>Y</t>
        </is>
      </c>
      <c r="K798" t="inlineStr">
        <is>
          <t>saiiresorts.com</t>
        </is>
      </c>
      <c r="L798" t="inlineStr">
        <is>
          <t>official</t>
        </is>
      </c>
      <c r="M798" t="inlineStr">
        <is>
          <t>https://www.saiihotels.com/wp-content/uploads/2026/01/Tennis-Price-List_Feb-Ap2026.pdf</t>
        </is>
      </c>
      <c r="N798" t="inlineStr">
        <is>
          <t>https://www.saiihotels.com/wp-content/uploads/2026/01/Tennis-Price-List_Feb-Ap2026.pdf</t>
        </is>
      </c>
      <c r="O798" t="inlineStr">
        <is>
          <t>6d510266faf40857872cfc184db907069ff4b0741b500ed6cb359e3b1dc15959</t>
        </is>
      </c>
      <c r="P798" t="inlineStr">
        <is>
          <t>library/045_saii-lagoon-maldives/dive_prices/2026_Tennis-Price-List_Feb-Ap2026.pdf</t>
        </is>
      </c>
      <c r="R798" t="inlineStr">
        <is>
          <t>current</t>
        </is>
      </c>
      <c r="S798" t="inlineStr">
        <is>
          <t>N</t>
        </is>
      </c>
      <c r="T798" t="inlineStr">
        <is>
          <t>needs-review</t>
        </is>
      </c>
      <c r="U798" t="inlineStr">
        <is>
          <t>2026-10-04</t>
        </is>
      </c>
      <c r="V798" t="inlineStr">
        <is>
          <t>ambiguous match [45]</t>
        </is>
      </c>
    </row>
    <row r="799">
      <c r="A799" t="n">
        <v>45</v>
      </c>
      <c r="B799" t="inlineStr">
        <is>
          <t>Saii Lagoon Maldives</t>
        </is>
      </c>
      <c r="C799" t="inlineStr">
        <is>
          <t>excursions</t>
        </is>
      </c>
      <c r="D799" t="inlineStr">
        <is>
          <t>2026_SAii-Daily-Sport-Activity-Sep-Dec-2026.pdf</t>
        </is>
      </c>
      <c r="E799" t="n">
        <v>2026</v>
      </c>
      <c r="H799" t="n">
        <v>2</v>
      </c>
      <c r="I799" t="n">
        <v>590</v>
      </c>
      <c r="J799" t="inlineStr">
        <is>
          <t>Y</t>
        </is>
      </c>
      <c r="K799" t="inlineStr">
        <is>
          <t>saiiresorts.com</t>
        </is>
      </c>
      <c r="L799" t="inlineStr">
        <is>
          <t>official</t>
        </is>
      </c>
      <c r="M799" t="inlineStr">
        <is>
          <t>https://www.saiihotels.com/wp-content/uploads/2026/09/SAii-Daily-Sport-Activity-Sep-Dec-2026.pdf</t>
        </is>
      </c>
      <c r="N799" t="inlineStr">
        <is>
          <t>https://www.saiihotels.com/wp-content/uploads/2026/09/SAii-Daily-Sport-Activity-Sep-Dec-2026.pdf</t>
        </is>
      </c>
      <c r="O799" t="inlineStr">
        <is>
          <t>f8aeae4e0651db2986e1203eed8f1ca24bbfa1403d9efaee1774a8d04c81dab7</t>
        </is>
      </c>
      <c r="P799" t="inlineStr">
        <is>
          <t>library/045_saii-lagoon-maldives/excursions/2026_SAii-Daily-Sport-Activity-Sep-Dec-2026.pdf</t>
        </is>
      </c>
      <c r="R799" t="inlineStr">
        <is>
          <t>current</t>
        </is>
      </c>
      <c r="S799" t="inlineStr">
        <is>
          <t>Y</t>
        </is>
      </c>
      <c r="T799" t="inlineStr">
        <is>
          <t>needs-review</t>
        </is>
      </c>
      <c r="U799" t="inlineStr">
        <is>
          <t>2026-10-04</t>
        </is>
      </c>
      <c r="V799" t="inlineStr">
        <is>
          <t>ambiguous match [45]</t>
        </is>
      </c>
    </row>
    <row r="800">
      <c r="A800" t="n">
        <v>45</v>
      </c>
      <c r="B800" t="inlineStr">
        <is>
          <t>Saii Lagoon Maldives</t>
        </is>
      </c>
      <c r="C800" t="inlineStr">
        <is>
          <t>excursions</t>
        </is>
      </c>
      <c r="D800" t="inlineStr">
        <is>
          <t>2026_SAii-Daily-Sport-Activity_May-Oct-2026.pdf</t>
        </is>
      </c>
      <c r="E800" t="n">
        <v>2026</v>
      </c>
      <c r="H800" t="n">
        <v>2</v>
      </c>
      <c r="I800" t="n">
        <v>505</v>
      </c>
      <c r="J800" t="inlineStr">
        <is>
          <t>Y</t>
        </is>
      </c>
      <c r="K800" t="inlineStr">
        <is>
          <t>saiiresorts.com</t>
        </is>
      </c>
      <c r="L800" t="inlineStr">
        <is>
          <t>official</t>
        </is>
      </c>
      <c r="M800" t="inlineStr">
        <is>
          <t>https://www.saiihotels.com/wp-content/uploads/2026/04/SAii-Daily-Sport-Activity_May-Oct-2026.pdf</t>
        </is>
      </c>
      <c r="N800" t="inlineStr">
        <is>
          <t>https://www.saiihotels.com/wp-content/uploads/2026/04/SAii-Daily-Sport-Activity_May-Oct-2026.pdf</t>
        </is>
      </c>
      <c r="O800" t="inlineStr">
        <is>
          <t>9f2a6ec6af8024f59cdf519a0dee59ee3d2b36a8bbcdd69557c8e7a512be6306</t>
        </is>
      </c>
      <c r="P800" t="inlineStr">
        <is>
          <t>library/045_saii-lagoon-maldives/excursions/2026_SAii-Daily-Sport-Activity_May-Oct-2026.pdf</t>
        </is>
      </c>
      <c r="R800" t="inlineStr">
        <is>
          <t>current</t>
        </is>
      </c>
      <c r="S800" t="inlineStr">
        <is>
          <t>N</t>
        </is>
      </c>
      <c r="T800" t="inlineStr">
        <is>
          <t>needs-review</t>
        </is>
      </c>
      <c r="U800" t="inlineStr">
        <is>
          <t>2026-10-04</t>
        </is>
      </c>
      <c r="V800" t="inlineStr">
        <is>
          <t>ambiguous match [45]</t>
        </is>
      </c>
    </row>
    <row r="801">
      <c r="A801" t="n">
        <v>45</v>
      </c>
      <c r="B801" t="inlineStr">
        <is>
          <t>Saii Lagoon Maldives</t>
        </is>
      </c>
      <c r="C801" t="inlineStr">
        <is>
          <t>excursions</t>
        </is>
      </c>
      <c r="D801" t="inlineStr">
        <is>
          <t>2026_SAii-Kids-Club-Activities_Russian.pdf</t>
        </is>
      </c>
      <c r="E801" t="n">
        <v>2026</v>
      </c>
      <c r="H801" t="n">
        <v>1</v>
      </c>
      <c r="I801" t="n">
        <v>1056</v>
      </c>
      <c r="J801" t="inlineStr">
        <is>
          <t>Y</t>
        </is>
      </c>
      <c r="K801" t="inlineStr">
        <is>
          <t>saiiresorts.com</t>
        </is>
      </c>
      <c r="L801" t="inlineStr">
        <is>
          <t>official</t>
        </is>
      </c>
      <c r="M801" t="inlineStr">
        <is>
          <t>https://www.saiihotels.com/wp-content/uploads/2026/04/SAii-Kids-Club-Activities_Russian.pdf</t>
        </is>
      </c>
      <c r="N801" t="inlineStr">
        <is>
          <t>https://www.saiihotels.com/wp-content/uploads/2026/04/SAii-Kids-Club-Activities_Russian.pdf</t>
        </is>
      </c>
      <c r="O801" t="inlineStr">
        <is>
          <t>135689565867213ce22596dd0f4e8d0c6a6a05cfa63e2e011184ead95b677a25</t>
        </is>
      </c>
      <c r="P801" t="inlineStr">
        <is>
          <t>library/045_saii-lagoon-maldives/excursions/2026_SAii-Kids-Club-Activities_Russian.pdf</t>
        </is>
      </c>
      <c r="R801" t="inlineStr">
        <is>
          <t>current</t>
        </is>
      </c>
      <c r="S801" t="inlineStr">
        <is>
          <t>N</t>
        </is>
      </c>
      <c r="T801" t="inlineStr">
        <is>
          <t>needs-review</t>
        </is>
      </c>
      <c r="U801" t="inlineStr">
        <is>
          <t>2026-10-04</t>
        </is>
      </c>
      <c r="V801" t="inlineStr">
        <is>
          <t>ambiguous match [45]</t>
        </is>
      </c>
    </row>
    <row r="802">
      <c r="A802" t="n">
        <v>45</v>
      </c>
      <c r="B802" t="inlineStr">
        <is>
          <t>Saii Lagoon Maldives</t>
        </is>
      </c>
      <c r="C802" t="inlineStr">
        <is>
          <t>excursions</t>
        </is>
      </c>
      <c r="D802" t="inlineStr">
        <is>
          <t>2026_SAii-Kids-Club-Activities_English.pdf</t>
        </is>
      </c>
      <c r="E802" t="n">
        <v>2026</v>
      </c>
      <c r="H802" t="n">
        <v>1</v>
      </c>
      <c r="I802" t="n">
        <v>1023</v>
      </c>
      <c r="J802" t="inlineStr">
        <is>
          <t>Y</t>
        </is>
      </c>
      <c r="K802" t="inlineStr">
        <is>
          <t>saiiresorts.com</t>
        </is>
      </c>
      <c r="L802" t="inlineStr">
        <is>
          <t>official</t>
        </is>
      </c>
      <c r="M802" t="inlineStr">
        <is>
          <t>https://www.saiihotels.com/wp-content/uploads/2026/04/SAii-Kids-Club-Activities_English.pdf</t>
        </is>
      </c>
      <c r="N802" t="inlineStr">
        <is>
          <t>https://www.saiihotels.com/wp-content/uploads/2026/04/SAii-Kids-Club-Activities_English.pdf</t>
        </is>
      </c>
      <c r="O802" t="inlineStr">
        <is>
          <t>e77780ea1d428faf463f77410276d1612c68422e9fdbf09cc178c7a944a8b525</t>
        </is>
      </c>
      <c r="P802" t="inlineStr">
        <is>
          <t>library/045_saii-lagoon-maldives/excursions/2026_SAii-Kids-Club-Activities_English.pdf</t>
        </is>
      </c>
      <c r="R802" t="inlineStr">
        <is>
          <t>current</t>
        </is>
      </c>
      <c r="S802" t="inlineStr">
        <is>
          <t>N</t>
        </is>
      </c>
      <c r="T802" t="inlineStr">
        <is>
          <t>needs-review</t>
        </is>
      </c>
      <c r="U802" t="inlineStr">
        <is>
          <t>2026-10-04</t>
        </is>
      </c>
      <c r="V802" t="inlineStr">
        <is>
          <t>ambiguous match [45]</t>
        </is>
      </c>
    </row>
    <row r="803">
      <c r="A803" t="n">
        <v>45</v>
      </c>
      <c r="B803" t="inlineStr">
        <is>
          <t>Saii Lagoon Maldives</t>
        </is>
      </c>
      <c r="C803" t="inlineStr">
        <is>
          <t>excursions</t>
        </is>
      </c>
      <c r="D803" t="inlineStr">
        <is>
          <t>2026_SAii-Kids-Club-Activities-3.pdf</t>
        </is>
      </c>
      <c r="E803" t="n">
        <v>2026</v>
      </c>
      <c r="H803" t="n">
        <v>1</v>
      </c>
      <c r="I803" t="n">
        <v>1023</v>
      </c>
      <c r="J803" t="inlineStr">
        <is>
          <t>Y</t>
        </is>
      </c>
      <c r="K803" t="inlineStr">
        <is>
          <t>saiiresorts.com</t>
        </is>
      </c>
      <c r="L803" t="inlineStr">
        <is>
          <t>official</t>
        </is>
      </c>
      <c r="M803" t="inlineStr">
        <is>
          <t>https://www.saiihotels.com/wp-content/uploads/2026/04/SAii-Kids-Club-Activities-3.pdf</t>
        </is>
      </c>
      <c r="N803" t="inlineStr">
        <is>
          <t>https://www.saiihotels.com/wp-content/uploads/2026/04/SAii-Kids-Club-Activities-3.pdf</t>
        </is>
      </c>
      <c r="O803" t="inlineStr">
        <is>
          <t>ddaefa7eba4f48884afbbd8c4e2c4ed038dd96bbfc9ce09e8e0db6de0489aa6c</t>
        </is>
      </c>
      <c r="P803" t="inlineStr">
        <is>
          <t>library/045_saii-lagoon-maldives/excursions/2026_SAii-Kids-Club-Activities-3.pdf</t>
        </is>
      </c>
      <c r="R803" t="inlineStr">
        <is>
          <t>current</t>
        </is>
      </c>
      <c r="S803" t="inlineStr">
        <is>
          <t>N</t>
        </is>
      </c>
      <c r="T803" t="inlineStr">
        <is>
          <t>needs-review</t>
        </is>
      </c>
      <c r="U803" t="inlineStr">
        <is>
          <t>2026-10-04</t>
        </is>
      </c>
      <c r="V803" t="inlineStr">
        <is>
          <t>ambiguous match [45]</t>
        </is>
      </c>
    </row>
    <row r="804">
      <c r="A804" t="n">
        <v>45</v>
      </c>
      <c r="B804" t="inlineStr">
        <is>
          <t>Saii Lagoon Maldives</t>
        </is>
      </c>
      <c r="C804" t="inlineStr">
        <is>
          <t>excursions</t>
        </is>
      </c>
      <c r="D804" t="inlineStr">
        <is>
          <t>2026_SAii-Kids-Club-Activities-RUSSIAN.pdf</t>
        </is>
      </c>
      <c r="E804" t="n">
        <v>2026</v>
      </c>
      <c r="H804" t="n">
        <v>1</v>
      </c>
      <c r="I804" t="n">
        <v>1056</v>
      </c>
      <c r="J804" t="inlineStr">
        <is>
          <t>Y</t>
        </is>
      </c>
      <c r="K804" t="inlineStr">
        <is>
          <t>saiiresorts.com</t>
        </is>
      </c>
      <c r="L804" t="inlineStr">
        <is>
          <t>official</t>
        </is>
      </c>
      <c r="M804" t="inlineStr">
        <is>
          <t>https://www.saiihotels.com/wp-content/uploads/2026/04/SAii-Kids-Club-Activities-RUSSIAN.pdf</t>
        </is>
      </c>
      <c r="N804" t="inlineStr">
        <is>
          <t>https://www.saiihotels.com/wp-content/uploads/2026/04/SAii-Kids-Club-Activities-RUSSIAN.pdf</t>
        </is>
      </c>
      <c r="O804" t="inlineStr">
        <is>
          <t>693ff437eb3536570fc3fd7a7c3f4765788fb696ee34238d8fdafe82380a1f9a</t>
        </is>
      </c>
      <c r="P804" t="inlineStr">
        <is>
          <t>library/045_saii-lagoon-maldives/excursions/2026_SAii-Kids-Club-Activities-RUSSIAN.pdf</t>
        </is>
      </c>
      <c r="R804" t="inlineStr">
        <is>
          <t>current</t>
        </is>
      </c>
      <c r="S804" t="inlineStr">
        <is>
          <t>N</t>
        </is>
      </c>
      <c r="T804" t="inlineStr">
        <is>
          <t>needs-review</t>
        </is>
      </c>
      <c r="U804" t="inlineStr">
        <is>
          <t>2026-10-04</t>
        </is>
      </c>
      <c r="V804" t="inlineStr">
        <is>
          <t>ambiguous match [45]</t>
        </is>
      </c>
    </row>
    <row r="805">
      <c r="A805" t="n">
        <v>45</v>
      </c>
      <c r="B805" t="inlineStr">
        <is>
          <t>Saii Lagoon Maldives</t>
        </is>
      </c>
      <c r="C805" t="inlineStr">
        <is>
          <t>excursions</t>
        </is>
      </c>
      <c r="D805" t="inlineStr">
        <is>
          <t>2026_SAii-Daily-Sport-Activity_Feb-Apr-2026.pdf</t>
        </is>
      </c>
      <c r="E805" t="n">
        <v>2026</v>
      </c>
      <c r="H805" t="n">
        <v>2</v>
      </c>
      <c r="I805" t="n">
        <v>6907</v>
      </c>
      <c r="J805" t="inlineStr">
        <is>
          <t>Y</t>
        </is>
      </c>
      <c r="K805" t="inlineStr">
        <is>
          <t>saiiresorts.com</t>
        </is>
      </c>
      <c r="L805" t="inlineStr">
        <is>
          <t>official</t>
        </is>
      </c>
      <c r="M805" t="inlineStr">
        <is>
          <t>https://www.saiihotels.com/wp-content/uploads/2026/01/SAii-Daily-Sport-Activity_Feb-Apr-2026.pdf</t>
        </is>
      </c>
      <c r="N805" t="inlineStr">
        <is>
          <t>https://www.saiihotels.com/wp-content/uploads/2026/01/SAii-Daily-Sport-Activity_Feb-Apr-2026.pdf</t>
        </is>
      </c>
      <c r="O805" t="inlineStr">
        <is>
          <t>d9fec87f8abed1d298e3d95933decd92fc6889219b863a7d683684533bac6059</t>
        </is>
      </c>
      <c r="P805" t="inlineStr">
        <is>
          <t>library/045_saii-lagoon-maldives/excursions/2026_SAii-Daily-Sport-Activity_Feb-Apr-2026.pdf</t>
        </is>
      </c>
      <c r="R805" t="inlineStr">
        <is>
          <t>current</t>
        </is>
      </c>
      <c r="S805" t="inlineStr">
        <is>
          <t>N</t>
        </is>
      </c>
      <c r="T805" t="inlineStr">
        <is>
          <t>needs-review</t>
        </is>
      </c>
      <c r="U805" t="inlineStr">
        <is>
          <t>2026-10-04</t>
        </is>
      </c>
      <c r="V805" t="inlineStr">
        <is>
          <t>ambiguous match [45]</t>
        </is>
      </c>
    </row>
    <row r="806">
      <c r="A806" t="n">
        <v>45</v>
      </c>
      <c r="B806" t="inlineStr">
        <is>
          <t>Saii Lagoon Maldives</t>
        </is>
      </c>
      <c r="C806" t="inlineStr">
        <is>
          <t>excursions</t>
        </is>
      </c>
      <c r="D806" t="inlineStr">
        <is>
          <t>2026_SAii-Kids-Club-Activities-2-compressed.pdf</t>
        </is>
      </c>
      <c r="E806" t="n">
        <v>2026</v>
      </c>
      <c r="H806" t="n">
        <v>1</v>
      </c>
      <c r="I806" t="n">
        <v>830</v>
      </c>
      <c r="J806" t="inlineStr">
        <is>
          <t>Y</t>
        </is>
      </c>
      <c r="K806" t="inlineStr">
        <is>
          <t>saiiresorts.com</t>
        </is>
      </c>
      <c r="L806" t="inlineStr">
        <is>
          <t>official</t>
        </is>
      </c>
      <c r="M806" t="inlineStr">
        <is>
          <t>https://www.saiihotels.com/wp-content/uploads/2026/01/SAii-Kids-Club-Activities-2-compressed.pdf</t>
        </is>
      </c>
      <c r="N806" t="inlineStr">
        <is>
          <t>https://www.saiihotels.com/wp-content/uploads/2026/01/SAii-Kids-Club-Activities-2-compressed.pdf</t>
        </is>
      </c>
      <c r="O806" t="inlineStr">
        <is>
          <t>38b652e567e4ac7e6fba30d3858fdea034bda9dce2845e53b4d841280c50ddbc</t>
        </is>
      </c>
      <c r="P806" t="inlineStr">
        <is>
          <t>library/045_saii-lagoon-maldives/excursions/2026_SAii-Kids-Club-Activities-2-compressed.pdf</t>
        </is>
      </c>
      <c r="R806" t="inlineStr">
        <is>
          <t>current</t>
        </is>
      </c>
      <c r="S806" t="inlineStr">
        <is>
          <t>N</t>
        </is>
      </c>
      <c r="T806" t="inlineStr">
        <is>
          <t>needs-review</t>
        </is>
      </c>
      <c r="U806" t="inlineStr">
        <is>
          <t>2026-10-04</t>
        </is>
      </c>
      <c r="V806" t="inlineStr">
        <is>
          <t>ambiguous match [45]</t>
        </is>
      </c>
    </row>
    <row r="807">
      <c r="A807" t="n">
        <v>45</v>
      </c>
      <c r="B807" t="inlineStr">
        <is>
          <t>Saii Lagoon Maldives</t>
        </is>
      </c>
      <c r="C807" t="inlineStr">
        <is>
          <t>excursions</t>
        </is>
      </c>
      <c r="D807" t="inlineStr">
        <is>
          <t>2026_SAii-Kids-Activity-Nov-Jan-2026_compressed.pdf</t>
        </is>
      </c>
      <c r="E807" t="n">
        <v>2026</v>
      </c>
      <c r="H807" t="n">
        <v>2</v>
      </c>
      <c r="I807" t="n">
        <v>1127</v>
      </c>
      <c r="J807" t="inlineStr">
        <is>
          <t>Y</t>
        </is>
      </c>
      <c r="K807" t="inlineStr">
        <is>
          <t>saiiresorts.com</t>
        </is>
      </c>
      <c r="L807" t="inlineStr">
        <is>
          <t>official</t>
        </is>
      </c>
      <c r="M807" t="inlineStr">
        <is>
          <t>https://www.saiihotels.com/wp-content/uploads/2025/11/SAii-Kids-Activity-Nov-Jan-2026_compressed.pdf</t>
        </is>
      </c>
      <c r="N807" t="inlineStr">
        <is>
          <t>https://www.saiihotels.com/wp-content/uploads/2025/11/SAii-Kids-Activity-Nov-Jan-2026_compressed.pdf</t>
        </is>
      </c>
      <c r="O807" t="inlineStr">
        <is>
          <t>ea6ccca836a44d6f07960f62477430cf3feaf0337135b1f7b2f51c39e8428ca7</t>
        </is>
      </c>
      <c r="P807" t="inlineStr">
        <is>
          <t>library/045_saii-lagoon-maldives/excursions/2026_SAii-Kids-Activity-Nov-Jan-2026_compressed.pdf</t>
        </is>
      </c>
      <c r="R807" t="inlineStr">
        <is>
          <t>current</t>
        </is>
      </c>
      <c r="S807" t="inlineStr">
        <is>
          <t>N</t>
        </is>
      </c>
      <c r="T807" t="inlineStr">
        <is>
          <t>needs-review</t>
        </is>
      </c>
      <c r="U807" t="inlineStr">
        <is>
          <t>2026-10-04</t>
        </is>
      </c>
      <c r="V807" t="inlineStr">
        <is>
          <t>ambiguous match [45]</t>
        </is>
      </c>
    </row>
    <row r="808">
      <c r="A808" t="n">
        <v>45</v>
      </c>
      <c r="B808" t="inlineStr">
        <is>
          <t>Saii Lagoon Maldives</t>
        </is>
      </c>
      <c r="C808" t="inlineStr">
        <is>
          <t>excursions</t>
        </is>
      </c>
      <c r="D808" t="inlineStr">
        <is>
          <t>2026_SAii-Daily-Sport-Activity_Nov-Jan-2026_compressed.pdf</t>
        </is>
      </c>
      <c r="E808" t="n">
        <v>2026</v>
      </c>
      <c r="H808" t="n">
        <v>2</v>
      </c>
      <c r="I808" t="n">
        <v>386</v>
      </c>
      <c r="J808" t="inlineStr">
        <is>
          <t>Y</t>
        </is>
      </c>
      <c r="K808" t="inlineStr">
        <is>
          <t>saiiresorts.com</t>
        </is>
      </c>
      <c r="L808" t="inlineStr">
        <is>
          <t>official</t>
        </is>
      </c>
      <c r="M808" t="inlineStr">
        <is>
          <t>https://www.saiihotels.com/wp-content/uploads/2025/11/SAii-Daily-Sport-Activity_Nov-Jan-2026_compressed.pdf</t>
        </is>
      </c>
      <c r="N808" t="inlineStr">
        <is>
          <t>https://www.saiihotels.com/wp-content/uploads/2025/11/SAii-Daily-Sport-Activity_Nov-Jan-2026_compressed.pdf</t>
        </is>
      </c>
      <c r="O808" t="inlineStr">
        <is>
          <t>f873ba18d414f9425e277fb3ddab3ac08dd753d5c41cd1db67df58dd7e31297e</t>
        </is>
      </c>
      <c r="P808" t="inlineStr">
        <is>
          <t>library/045_saii-lagoon-maldives/excursions/2026_SAii-Daily-Sport-Activity_Nov-Jan-2026_compressed.pdf</t>
        </is>
      </c>
      <c r="R808" t="inlineStr">
        <is>
          <t>current</t>
        </is>
      </c>
      <c r="S808" t="inlineStr">
        <is>
          <t>N</t>
        </is>
      </c>
      <c r="T808" t="inlineStr">
        <is>
          <t>needs-review</t>
        </is>
      </c>
      <c r="U808" t="inlineStr">
        <is>
          <t>2026-10-04</t>
        </is>
      </c>
      <c r="V808" t="inlineStr">
        <is>
          <t>ambiguous match [45]</t>
        </is>
      </c>
    </row>
    <row r="809">
      <c r="A809" t="n">
        <v>45</v>
      </c>
      <c r="B809" t="inlineStr">
        <is>
          <t>Saii Lagoon Maldives</t>
        </is>
      </c>
      <c r="C809" t="inlineStr">
        <is>
          <t>kids</t>
        </is>
      </c>
      <c r="D809" t="inlineStr">
        <is>
          <t>2026_SAiiKids-Summer-Camp-2026-RUSSIAN.pdf</t>
        </is>
      </c>
      <c r="E809" t="n">
        <v>2026</v>
      </c>
      <c r="H809" t="n">
        <v>24</v>
      </c>
      <c r="I809" t="n">
        <v>9580</v>
      </c>
      <c r="J809" t="inlineStr">
        <is>
          <t>Y</t>
        </is>
      </c>
      <c r="K809" t="inlineStr">
        <is>
          <t>saiiresorts.com</t>
        </is>
      </c>
      <c r="L809" t="inlineStr">
        <is>
          <t>official</t>
        </is>
      </c>
      <c r="M809" t="inlineStr">
        <is>
          <t>https://www.saiihotels.com/wp-content/uploads/2026/04/SAiiKids-Summer-Camp-2026-RUSSIAN.pdf</t>
        </is>
      </c>
      <c r="N809" t="inlineStr">
        <is>
          <t>https://www.saiihotels.com/wp-content/uploads/2026/04/SAiiKids-Summer-Camp-2026-RUSSIAN.pdf</t>
        </is>
      </c>
      <c r="O809" t="inlineStr">
        <is>
          <t>d4c82dc8d792c2db54d129a1efe39eb863bf9918b39850062845554aa3357c02</t>
        </is>
      </c>
      <c r="P809" t="inlineStr">
        <is>
          <t>library/045_saii-lagoon-maldives/kids/2026_SAiiKids-Summer-Camp-2026-RUSSIAN.pdf</t>
        </is>
      </c>
      <c r="R809" t="inlineStr">
        <is>
          <t>current</t>
        </is>
      </c>
      <c r="S809" t="inlineStr">
        <is>
          <t>Y</t>
        </is>
      </c>
      <c r="T809" t="inlineStr">
        <is>
          <t>matched</t>
        </is>
      </c>
      <c r="U809" t="inlineStr">
        <is>
          <t>2026-10-04</t>
        </is>
      </c>
      <c r="V809" t="inlineStr"/>
    </row>
    <row r="810">
      <c r="A810" t="n">
        <v>45</v>
      </c>
      <c r="B810" t="inlineStr">
        <is>
          <t>Saii Lagoon Maldives</t>
        </is>
      </c>
      <c r="C810" t="inlineStr">
        <is>
          <t>kids</t>
        </is>
      </c>
      <c r="D810" t="inlineStr">
        <is>
          <t>2026_SAiiKids-Summer-Camp-2026.pdf</t>
        </is>
      </c>
      <c r="E810" t="n">
        <v>2026</v>
      </c>
      <c r="H810" t="n">
        <v>24</v>
      </c>
      <c r="I810" t="n">
        <v>9546</v>
      </c>
      <c r="J810" t="inlineStr">
        <is>
          <t>Y</t>
        </is>
      </c>
      <c r="K810" t="inlineStr">
        <is>
          <t>saiiresorts.com</t>
        </is>
      </c>
      <c r="L810" t="inlineStr">
        <is>
          <t>official</t>
        </is>
      </c>
      <c r="M810" t="inlineStr">
        <is>
          <t>https://www.saiihotels.com/wp-content/uploads/2026/04/SAiiKids-Summer-Camp-2026.pdf</t>
        </is>
      </c>
      <c r="N810" t="inlineStr">
        <is>
          <t>https://www.saiihotels.com/wp-content/uploads/2026/04/SAiiKids-Summer-Camp-2026.pdf</t>
        </is>
      </c>
      <c r="O810" t="inlineStr">
        <is>
          <t>f52ea6bb09329e5f9b81aa87e89ac00bc9825766c511f235c1783cea65cc97e0</t>
        </is>
      </c>
      <c r="P810" t="inlineStr">
        <is>
          <t>library/045_saii-lagoon-maldives/kids/2026_SAiiKids-Summer-Camp-2026.pdf</t>
        </is>
      </c>
      <c r="R810" t="inlineStr">
        <is>
          <t>current</t>
        </is>
      </c>
      <c r="S810" t="inlineStr">
        <is>
          <t>N</t>
        </is>
      </c>
      <c r="T810" t="inlineStr">
        <is>
          <t>matched</t>
        </is>
      </c>
      <c r="U810" t="inlineStr">
        <is>
          <t>2026-10-04</t>
        </is>
      </c>
      <c r="V810" t="inlineStr"/>
    </row>
    <row r="811">
      <c r="A811" t="n">
        <v>45</v>
      </c>
      <c r="B811" t="inlineStr">
        <is>
          <t>Saii Lagoon Maldives</t>
        </is>
      </c>
      <c r="C811" t="inlineStr">
        <is>
          <t>kids</t>
        </is>
      </c>
      <c r="D811" t="inlineStr">
        <is>
          <t>2026_SAii-Kuda-Eid-2026-2.pdf</t>
        </is>
      </c>
      <c r="E811" t="n">
        <v>2026</v>
      </c>
      <c r="H811" t="n">
        <v>1</v>
      </c>
      <c r="I811" t="n">
        <v>148</v>
      </c>
      <c r="J811" t="inlineStr">
        <is>
          <t>Y</t>
        </is>
      </c>
      <c r="K811" t="inlineStr">
        <is>
          <t>saiiresorts.com</t>
        </is>
      </c>
      <c r="L811" t="inlineStr">
        <is>
          <t>official</t>
        </is>
      </c>
      <c r="M811" t="inlineStr">
        <is>
          <t>https://www.saiihotels.com/wp-content/uploads/2026/03/SAii-Kuda-Eid-2026-2.pdf</t>
        </is>
      </c>
      <c r="N811" t="inlineStr">
        <is>
          <t>https://www.saiihotels.com/wp-content/uploads/2026/03/SAii-Kuda-Eid-2026-2.pdf</t>
        </is>
      </c>
      <c r="O811" t="inlineStr">
        <is>
          <t>bcd82e85a5641b7e3697046693e79d045c8892b2c3b1a15751735c6a3528cb88</t>
        </is>
      </c>
      <c r="P811" t="inlineStr">
        <is>
          <t>library/045_saii-lagoon-maldives/kids/2026_SAii-Kuda-Eid-2026-2.pdf</t>
        </is>
      </c>
      <c r="R811" t="inlineStr">
        <is>
          <t>current</t>
        </is>
      </c>
      <c r="S811" t="inlineStr">
        <is>
          <t>N</t>
        </is>
      </c>
      <c r="T811" t="inlineStr">
        <is>
          <t>needs-review</t>
        </is>
      </c>
      <c r="U811" t="inlineStr">
        <is>
          <t>2026-10-04</t>
        </is>
      </c>
      <c r="V811" t="inlineStr">
        <is>
          <t>ambiguous match [45]</t>
        </is>
      </c>
    </row>
    <row r="812">
      <c r="A812" t="n">
        <v>45</v>
      </c>
      <c r="B812" t="inlineStr">
        <is>
          <t>Saii Lagoon Maldives</t>
        </is>
      </c>
      <c r="C812" t="inlineStr">
        <is>
          <t>kids</t>
        </is>
      </c>
      <c r="D812" t="inlineStr">
        <is>
          <t>2026_SAii-Kids-Easter-Programme-2026.pdf</t>
        </is>
      </c>
      <c r="E812" t="n">
        <v>2026</v>
      </c>
      <c r="H812" t="n">
        <v>1</v>
      </c>
      <c r="I812" t="n">
        <v>130</v>
      </c>
      <c r="J812" t="inlineStr">
        <is>
          <t>Y</t>
        </is>
      </c>
      <c r="K812" t="inlineStr">
        <is>
          <t>saiiresorts.com</t>
        </is>
      </c>
      <c r="L812" t="inlineStr">
        <is>
          <t>official</t>
        </is>
      </c>
      <c r="M812" t="inlineStr">
        <is>
          <t>https://www.saiihotels.com/wp-content/uploads/2026/03/SAii-Kids-Easter-Programme-2026.pdf</t>
        </is>
      </c>
      <c r="N812" t="inlineStr">
        <is>
          <t>https://www.saiihotels.com/wp-content/uploads/2026/03/SAii-Kids-Easter-Programme-2026.pdf</t>
        </is>
      </c>
      <c r="O812" t="inlineStr">
        <is>
          <t>60deed9cc06f3b10e6381da57a41c6569d48959293e14a1e90ad48b6c3ad3960</t>
        </is>
      </c>
      <c r="P812" t="inlineStr">
        <is>
          <t>library/045_saii-lagoon-maldives/kids/2026_SAii-Kids-Easter-Programme-2026.pdf</t>
        </is>
      </c>
      <c r="R812" t="inlineStr">
        <is>
          <t>current</t>
        </is>
      </c>
      <c r="S812" t="inlineStr">
        <is>
          <t>N</t>
        </is>
      </c>
      <c r="T812" t="inlineStr">
        <is>
          <t>needs-review</t>
        </is>
      </c>
      <c r="U812" t="inlineStr">
        <is>
          <t>2026-10-04</t>
        </is>
      </c>
      <c r="V812" t="inlineStr">
        <is>
          <t>ambiguous match [45]</t>
        </is>
      </c>
    </row>
    <row r="813">
      <c r="A813" t="n">
        <v>45</v>
      </c>
      <c r="B813" t="inlineStr">
        <is>
          <t>Saii Lagoon Maldives</t>
        </is>
      </c>
      <c r="C813" t="inlineStr">
        <is>
          <t>kids</t>
        </is>
      </c>
      <c r="D813" t="inlineStr">
        <is>
          <t>2026_SAii-Kids-Easter-Programme-2026-RUS.pdf</t>
        </is>
      </c>
      <c r="E813" t="n">
        <v>2026</v>
      </c>
      <c r="H813" t="n">
        <v>1</v>
      </c>
      <c r="I813" t="n">
        <v>310</v>
      </c>
      <c r="J813" t="inlineStr">
        <is>
          <t>Y</t>
        </is>
      </c>
      <c r="K813" t="inlineStr">
        <is>
          <t>saiiresorts.com</t>
        </is>
      </c>
      <c r="L813" t="inlineStr">
        <is>
          <t>official</t>
        </is>
      </c>
      <c r="M813" t="inlineStr">
        <is>
          <t>https://www.saiihotels.com/wp-content/uploads/2026/03/SAii-Kids-Easter-Programme-2026-RUS.pdf</t>
        </is>
      </c>
      <c r="N813" t="inlineStr">
        <is>
          <t>https://www.saiihotels.com/wp-content/uploads/2026/03/SAii-Kids-Easter-Programme-2026-RUS.pdf</t>
        </is>
      </c>
      <c r="O813" t="inlineStr">
        <is>
          <t>f53212d416f0ba66d1764030ae9184dad231a31a682256a089d750aa5a4fe0b2</t>
        </is>
      </c>
      <c r="P813" t="inlineStr">
        <is>
          <t>library/045_saii-lagoon-maldives/kids/2026_SAii-Kids-Easter-Programme-2026-RUS.pdf</t>
        </is>
      </c>
      <c r="R813" t="inlineStr">
        <is>
          <t>current</t>
        </is>
      </c>
      <c r="S813" t="inlineStr">
        <is>
          <t>N</t>
        </is>
      </c>
      <c r="T813" t="inlineStr">
        <is>
          <t>needs-review</t>
        </is>
      </c>
      <c r="U813" t="inlineStr">
        <is>
          <t>2026-10-04</t>
        </is>
      </c>
      <c r="V813" t="inlineStr">
        <is>
          <t>ambiguous match [45]</t>
        </is>
      </c>
    </row>
    <row r="814">
      <c r="A814" t="n">
        <v>45</v>
      </c>
      <c r="B814" t="inlineStr">
        <is>
          <t>Saii Lagoon Maldives</t>
        </is>
      </c>
      <c r="C814" t="inlineStr">
        <is>
          <t>kids</t>
        </is>
      </c>
      <c r="D814" t="inlineStr">
        <is>
          <t>2025_Padel-Tennis-Guest-20-12-2025.pdf</t>
        </is>
      </c>
      <c r="E814" t="n">
        <v>2025</v>
      </c>
      <c r="H814" t="n">
        <v>1</v>
      </c>
      <c r="I814" t="n">
        <v>1374</v>
      </c>
      <c r="J814" t="inlineStr">
        <is>
          <t>Y</t>
        </is>
      </c>
      <c r="K814" t="inlineStr">
        <is>
          <t>saiiresorts.com</t>
        </is>
      </c>
      <c r="L814" t="inlineStr">
        <is>
          <t>official</t>
        </is>
      </c>
      <c r="M814" t="inlineStr">
        <is>
          <t>https://www.saiihotels.com/wp-content/uploads/2025/12/Padel-Tennis-Guest-20-12-2025.pdf</t>
        </is>
      </c>
      <c r="N814" t="inlineStr">
        <is>
          <t>https://www.saiihotels.com/wp-content/uploads/2025/12/Padel-Tennis-Guest-20-12-2025.pdf</t>
        </is>
      </c>
      <c r="O814" t="inlineStr">
        <is>
          <t>fe02ed1a3075e2303248b57213f96c1e8231af4012deac7ee9e1ca40abc76f14</t>
        </is>
      </c>
      <c r="P814" t="inlineStr">
        <is>
          <t>library/045_saii-lagoon-maldives/kids/2025_Padel-Tennis-Guest-20-12-2025.pdf</t>
        </is>
      </c>
      <c r="R814" t="inlineStr">
        <is>
          <t>current</t>
        </is>
      </c>
      <c r="S814" t="inlineStr">
        <is>
          <t>N</t>
        </is>
      </c>
      <c r="T814" t="inlineStr">
        <is>
          <t>matched</t>
        </is>
      </c>
      <c r="U814" t="inlineStr">
        <is>
          <t>2026-10-04</t>
        </is>
      </c>
      <c r="V814" t="inlineStr"/>
    </row>
    <row r="815">
      <c r="A815" t="n">
        <v>45</v>
      </c>
      <c r="B815" t="inlineStr">
        <is>
          <t>Saii Lagoon Maldives</t>
        </is>
      </c>
      <c r="C815" t="inlineStr">
        <is>
          <t>villa_plans</t>
        </is>
      </c>
      <c r="D815" t="inlineStr">
        <is>
          <t>2025_SKS-SAii-Club-Mr-Tom-Yam.pdf</t>
        </is>
      </c>
      <c r="E815" t="n">
        <v>2025</v>
      </c>
      <c r="H815" t="n">
        <v>2</v>
      </c>
      <c r="I815" t="n">
        <v>113</v>
      </c>
      <c r="J815" t="inlineStr">
        <is>
          <t>Y</t>
        </is>
      </c>
      <c r="K815" t="inlineStr">
        <is>
          <t>saiiresorts.com</t>
        </is>
      </c>
      <c r="L815" t="inlineStr">
        <is>
          <t>official</t>
        </is>
      </c>
      <c r="M815" t="inlineStr">
        <is>
          <t>https://www.saiihotels.com/wp-content/uploads/2025/12/SKS-SAii-Club-Mr-Tom-Yam.pdf</t>
        </is>
      </c>
      <c r="N815" t="inlineStr">
        <is>
          <t>https://www.saiihotels.com/wp-content/uploads/2025/12/SKS-SAii-Club-Mr-Tom-Yam.pdf</t>
        </is>
      </c>
      <c r="O815" t="inlineStr">
        <is>
          <t>14702a3940169a619ae8cb9aeeb2dff5473e6f948cf888aa22cec77a8e832cca</t>
        </is>
      </c>
      <c r="P815" t="inlineStr">
        <is>
          <t>library/045_saii-lagoon-maldives/villa_plans/2025_SKS-SAii-Club-Mr-Tom-Yam.pdf</t>
        </is>
      </c>
      <c r="R815" t="inlineStr">
        <is>
          <t>current</t>
        </is>
      </c>
      <c r="S815" t="inlineStr">
        <is>
          <t>Y</t>
        </is>
      </c>
      <c r="T815" t="inlineStr">
        <is>
          <t>needs-review</t>
        </is>
      </c>
      <c r="U815" t="inlineStr">
        <is>
          <t>2026-10-04</t>
        </is>
      </c>
      <c r="V815" t="inlineStr">
        <is>
          <t>ambiguous match [45]</t>
        </is>
      </c>
    </row>
    <row r="816">
      <c r="A816" t="n">
        <v>45</v>
      </c>
      <c r="B816" t="inlineStr">
        <is>
          <t>Saii Lagoon Maldives</t>
        </is>
      </c>
      <c r="C816" t="inlineStr">
        <is>
          <t>villa_plans</t>
        </is>
      </c>
      <c r="D816" t="inlineStr">
        <is>
          <t>2025_SAii-Phi-Phi-Village-10-Reasons-Why.pdf</t>
        </is>
      </c>
      <c r="E816" t="n">
        <v>2025</v>
      </c>
      <c r="H816" t="n">
        <v>1</v>
      </c>
      <c r="I816" t="n">
        <v>1156</v>
      </c>
      <c r="J816" t="inlineStr">
        <is>
          <t>Y</t>
        </is>
      </c>
      <c r="K816" t="inlineStr">
        <is>
          <t>saiiresorts.com</t>
        </is>
      </c>
      <c r="L816" t="inlineStr">
        <is>
          <t>official</t>
        </is>
      </c>
      <c r="M816" t="inlineStr">
        <is>
          <t>https://www.saiihotels.com/wp-content/uploads/2025/08/SAii-Phi-Phi-Village-10-Reasons-Why.pdf</t>
        </is>
      </c>
      <c r="N816" t="inlineStr">
        <is>
          <t>https://www.saiihotels.com/wp-content/uploads/2025/08/SAii-Phi-Phi-Village-10-Reasons-Why.pdf</t>
        </is>
      </c>
      <c r="O816" t="inlineStr">
        <is>
          <t>62c681cf621e04e36742291e38a97ff58680880bdfcfdafda4a9ad7ce042dddd</t>
        </is>
      </c>
      <c r="P816" t="inlineStr">
        <is>
          <t>library/045_saii-lagoon-maldives/villa_plans/2025_SAii-Phi-Phi-Village-10-Reasons-Why.pdf</t>
        </is>
      </c>
      <c r="R816" t="inlineStr">
        <is>
          <t>current</t>
        </is>
      </c>
      <c r="S816" t="inlineStr">
        <is>
          <t>N</t>
        </is>
      </c>
      <c r="T816" t="inlineStr">
        <is>
          <t>needs-review</t>
        </is>
      </c>
      <c r="U816" t="inlineStr">
        <is>
          <t>2026-10-04</t>
        </is>
      </c>
      <c r="V816" t="inlineStr">
        <is>
          <t>ambiguous match [45]</t>
        </is>
      </c>
    </row>
    <row r="817">
      <c r="A817" t="n">
        <v>45</v>
      </c>
      <c r="B817" t="inlineStr">
        <is>
          <t>Saii Lagoon Maldives</t>
        </is>
      </c>
      <c r="C817" t="inlineStr">
        <is>
          <t>villa_plans</t>
        </is>
      </c>
      <c r="D817" t="inlineStr">
        <is>
          <t>2023_SAii-Phi-Phi-Village-Online-Resources.pdf</t>
        </is>
      </c>
      <c r="E817" t="n">
        <v>2023</v>
      </c>
      <c r="H817" t="n">
        <v>1</v>
      </c>
      <c r="I817" t="n">
        <v>756</v>
      </c>
      <c r="J817" t="inlineStr">
        <is>
          <t>Y</t>
        </is>
      </c>
      <c r="K817" t="inlineStr">
        <is>
          <t>saiiresorts.com</t>
        </is>
      </c>
      <c r="L817" t="inlineStr">
        <is>
          <t>official</t>
        </is>
      </c>
      <c r="M817" t="inlineStr">
        <is>
          <t>https://www.saiihotels.com/wp-content/uploads/2025/08/SAii-Phi-Phi-Village-Online-Resources.pdf</t>
        </is>
      </c>
      <c r="N817" t="inlineStr">
        <is>
          <t>https://www.saiihotels.com/wp-content/uploads/2025/08/SAii-Phi-Phi-Village-Online-Resources.pdf</t>
        </is>
      </c>
      <c r="O817" t="inlineStr">
        <is>
          <t>07fb8644329080c94dcc8944e73ec8cd2ca85d02d3939ce00fabdadf80fd5cc5</t>
        </is>
      </c>
      <c r="P817" t="inlineStr">
        <is>
          <t>library/045_saii-lagoon-maldives/villa_plans/2023_SAii-Phi-Phi-Village-Online-Resources.pdf</t>
        </is>
      </c>
      <c r="R817" t="inlineStr">
        <is>
          <t>outdated</t>
        </is>
      </c>
      <c r="S817" t="inlineStr">
        <is>
          <t>N</t>
        </is>
      </c>
      <c r="T817" t="inlineStr">
        <is>
          <t>needs-review</t>
        </is>
      </c>
      <c r="U817" t="inlineStr">
        <is>
          <t>2026-10-04</t>
        </is>
      </c>
      <c r="V817" t="inlineStr">
        <is>
          <t>ambiguous match [45]</t>
        </is>
      </c>
    </row>
    <row r="818">
      <c r="A818" t="n">
        <v>45</v>
      </c>
      <c r="B818" t="inlineStr">
        <is>
          <t>Saii Lagoon Maldives</t>
        </is>
      </c>
      <c r="C818" t="inlineStr">
        <is>
          <t>all_inclusive</t>
        </is>
      </c>
      <c r="D818" t="inlineStr">
        <is>
          <t>2026_DMC-Iftar-Event-Invitation.pdf</t>
        </is>
      </c>
      <c r="E818" t="n">
        <v>2026</v>
      </c>
      <c r="H818" t="n">
        <v>1</v>
      </c>
      <c r="I818" t="n">
        <v>1620</v>
      </c>
      <c r="J818" t="inlineStr">
        <is>
          <t>Y</t>
        </is>
      </c>
      <c r="K818" t="inlineStr">
        <is>
          <t>letsgomaldives.com</t>
        </is>
      </c>
      <c r="L818" t="inlineStr">
        <is>
          <t>dmc-agency</t>
        </is>
      </c>
      <c r="M818" t="inlineStr">
        <is>
          <t>https://letsgomaldives.com/wp-content/uploads/2026/03/DMC-Iftar-Event-Invitation.pdf</t>
        </is>
      </c>
      <c r="N818" t="inlineStr">
        <is>
          <t>https://letsgomaldives.com/wp-content/uploads/2026/03/DMC-Iftar-Event-Invitation.pdf</t>
        </is>
      </c>
      <c r="O818" t="inlineStr">
        <is>
          <t>5f4ec42314cf72a3916aaa80a6b70932a520c9d90a7c7a7fe161525095be838f</t>
        </is>
      </c>
      <c r="P818" t="inlineStr">
        <is>
          <t>library/045_saii-lagoon-maldives/all_inclusive/2026_DMC-Iftar-Event-Invitation.pdf</t>
        </is>
      </c>
      <c r="R818" t="inlineStr">
        <is>
          <t>current</t>
        </is>
      </c>
      <c r="S818" t="inlineStr">
        <is>
          <t>Y</t>
        </is>
      </c>
      <c r="T818" t="inlineStr">
        <is>
          <t>matched</t>
        </is>
      </c>
      <c r="U818" t="inlineStr">
        <is>
          <t>2026-10-04</t>
        </is>
      </c>
      <c r="V818" t="inlineStr"/>
    </row>
    <row r="819">
      <c r="A819" t="n">
        <v>45</v>
      </c>
      <c r="B819" t="inlineStr">
        <is>
          <t>Saii Lagoon Maldives</t>
        </is>
      </c>
      <c r="C819" t="inlineStr">
        <is>
          <t>all_inclusive</t>
        </is>
      </c>
      <c r="D819" t="inlineStr">
        <is>
          <t>2025_Padel-Tennis-V3.pdf</t>
        </is>
      </c>
      <c r="E819" t="n">
        <v>2025</v>
      </c>
      <c r="H819" t="n">
        <v>1</v>
      </c>
      <c r="I819" t="n">
        <v>1372</v>
      </c>
      <c r="J819" t="inlineStr">
        <is>
          <t>Y</t>
        </is>
      </c>
      <c r="K819" t="inlineStr">
        <is>
          <t>saiiresorts.com</t>
        </is>
      </c>
      <c r="L819" t="inlineStr">
        <is>
          <t>official</t>
        </is>
      </c>
      <c r="M819" t="inlineStr">
        <is>
          <t>https://www.saiihotels.com/wp-content/uploads/2025/11/Padel-Tennis-V3.pdf</t>
        </is>
      </c>
      <c r="N819" t="inlineStr">
        <is>
          <t>https://www.saiihotels.com/wp-content/uploads/2025/11/Padel-Tennis-V3.pdf</t>
        </is>
      </c>
      <c r="O819" t="inlineStr">
        <is>
          <t>ea952d4b0bb0d8c638e8f6cb2a4c5bf29dc072d58d66207527664cf09c81ec20</t>
        </is>
      </c>
      <c r="P819" t="inlineStr">
        <is>
          <t>library/045_saii-lagoon-maldives/all_inclusive/2025_Padel-Tennis-V3.pdf</t>
        </is>
      </c>
      <c r="R819" t="inlineStr">
        <is>
          <t>current</t>
        </is>
      </c>
      <c r="S819" t="inlineStr">
        <is>
          <t>N</t>
        </is>
      </c>
      <c r="T819" t="inlineStr">
        <is>
          <t>matched</t>
        </is>
      </c>
      <c r="U819" t="inlineStr">
        <is>
          <t>2026-10-04</t>
        </is>
      </c>
      <c r="V819" t="inlineStr"/>
    </row>
    <row r="820">
      <c r="A820" t="n">
        <v>45</v>
      </c>
      <c r="B820" t="inlineStr">
        <is>
          <t>Saii Lagoon Maldives</t>
        </is>
      </c>
      <c r="C820" t="inlineStr">
        <is>
          <t>sustainability</t>
        </is>
      </c>
      <c r="D820" t="inlineStr">
        <is>
          <t>2024_SAii-Green-Book.pdf</t>
        </is>
      </c>
      <c r="E820" t="n">
        <v>2024</v>
      </c>
      <c r="H820" t="n">
        <v>37</v>
      </c>
      <c r="I820" t="n">
        <v>24418</v>
      </c>
      <c r="J820" t="inlineStr">
        <is>
          <t>Y</t>
        </is>
      </c>
      <c r="K820" t="inlineStr">
        <is>
          <t>saiiresorts.com</t>
        </is>
      </c>
      <c r="L820" t="inlineStr">
        <is>
          <t>official</t>
        </is>
      </c>
      <c r="M820" t="inlineStr">
        <is>
          <t>https://www.saiihotels.com/wp-content/uploads/2025/11/SAii-Green-Book.pdf</t>
        </is>
      </c>
      <c r="N820" t="inlineStr">
        <is>
          <t>https://www.saiihotels.com/wp-content/uploads/2025/11/SAii-Green-Book.pdf</t>
        </is>
      </c>
      <c r="O820" t="inlineStr">
        <is>
          <t>4fc75daf7180ea65d68c3eeff61a122b1c670da8fb2e0b24abe87b45459b8c7c</t>
        </is>
      </c>
      <c r="P820" t="inlineStr">
        <is>
          <t>library/045_saii-lagoon-maldives/sustainability/2024_SAii-Green-Book.pdf</t>
        </is>
      </c>
      <c r="R820" t="inlineStr">
        <is>
          <t>outdated</t>
        </is>
      </c>
      <c r="S820" t="inlineStr">
        <is>
          <t>Y</t>
        </is>
      </c>
      <c r="T820" t="inlineStr">
        <is>
          <t>needs-review</t>
        </is>
      </c>
      <c r="U820" t="inlineStr">
        <is>
          <t>2026-10-04</t>
        </is>
      </c>
      <c r="V820" t="inlineStr">
        <is>
          <t>ambiguous match [45]</t>
        </is>
      </c>
    </row>
    <row r="821">
      <c r="A821" t="n">
        <v>45</v>
      </c>
      <c r="B821" t="inlineStr">
        <is>
          <t>Saii Lagoon Maldives</t>
        </is>
      </c>
      <c r="C821" t="inlineStr">
        <is>
          <t>calendar</t>
        </is>
      </c>
      <c r="D821" t="inlineStr">
        <is>
          <t>2026_SAii-SKS-Festive-Brochure-2026_Final.pdf</t>
        </is>
      </c>
      <c r="E821" t="n">
        <v>2026</v>
      </c>
      <c r="H821" t="n">
        <v>12</v>
      </c>
      <c r="I821" t="n">
        <v>3682</v>
      </c>
      <c r="J821" t="inlineStr">
        <is>
          <t>N</t>
        </is>
      </c>
      <c r="K821" t="inlineStr">
        <is>
          <t>saiiresorts.com</t>
        </is>
      </c>
      <c r="L821" t="inlineStr">
        <is>
          <t>official</t>
        </is>
      </c>
      <c r="M821" t="inlineStr">
        <is>
          <t>https://www.saiihotels.com/wp-content/uploads/2026/08/SAii-SKS-Festive-Brochure-2026_Final.pdf</t>
        </is>
      </c>
      <c r="N821" t="inlineStr">
        <is>
          <t>https://www.saiihotels.com/wp-content/uploads/2026/08/SAii-SKS-Festive-Brochure-2026_Final.pdf</t>
        </is>
      </c>
      <c r="O821" t="inlineStr">
        <is>
          <t>15ad241180e1dbb8923b632550b2aba15bed282dade13aa139300b2261a9d251</t>
        </is>
      </c>
      <c r="P821" t="inlineStr">
        <is>
          <t>library/045_saii-lagoon-maldives/calendar/2026_SAii-SKS-Festive-Brochure-2026_Final.pdf</t>
        </is>
      </c>
      <c r="R821" t="inlineStr">
        <is>
          <t>current</t>
        </is>
      </c>
      <c r="S821" t="inlineStr">
        <is>
          <t>N</t>
        </is>
      </c>
      <c r="T821" t="inlineStr">
        <is>
          <t>needs-review</t>
        </is>
      </c>
      <c r="U821" t="inlineStr">
        <is>
          <t>2026-10-04</t>
        </is>
      </c>
      <c r="V821" t="inlineStr">
        <is>
          <t>ambiguous match [45]</t>
        </is>
      </c>
    </row>
    <row r="822">
      <c r="A822" t="n">
        <v>45</v>
      </c>
      <c r="B822" t="inlineStr">
        <is>
          <t>Saii Lagoon Maldives</t>
        </is>
      </c>
      <c r="C822" t="inlineStr">
        <is>
          <t>calendar</t>
        </is>
      </c>
      <c r="D822" t="inlineStr">
        <is>
          <t>2026_SAii-Recreation-Program_IPTV.pdf</t>
        </is>
      </c>
      <c r="E822" t="n">
        <v>2026</v>
      </c>
      <c r="H822" t="n">
        <v>1</v>
      </c>
      <c r="I822" t="n">
        <v>291</v>
      </c>
      <c r="J822" t="inlineStr">
        <is>
          <t>Y</t>
        </is>
      </c>
      <c r="K822" t="inlineStr">
        <is>
          <t>saiiresorts.com</t>
        </is>
      </c>
      <c r="L822" t="inlineStr">
        <is>
          <t>official</t>
        </is>
      </c>
      <c r="M822" t="inlineStr">
        <is>
          <t>https://www.saiihotels.com/wp-content/uploads/2026/04/SAii-Recreation-Program_IPTV.pdf</t>
        </is>
      </c>
      <c r="N822" t="inlineStr">
        <is>
          <t>https://www.saiihotels.com/wp-content/uploads/2026/04/SAii-Recreation-Program_IPTV.pdf</t>
        </is>
      </c>
      <c r="O822" t="inlineStr">
        <is>
          <t>c67fbb536fad578280e0a10e672ce0e752cff1d44296ac0f31c24dc296a42de6</t>
        </is>
      </c>
      <c r="P822" t="inlineStr">
        <is>
          <t>library/045_saii-lagoon-maldives/calendar/2026_SAii-Recreation-Program_IPTV.pdf</t>
        </is>
      </c>
      <c r="R822" t="inlineStr">
        <is>
          <t>current</t>
        </is>
      </c>
      <c r="S822" t="inlineStr">
        <is>
          <t>N</t>
        </is>
      </c>
      <c r="T822" t="inlineStr">
        <is>
          <t>needs-review</t>
        </is>
      </c>
      <c r="U822" t="inlineStr">
        <is>
          <t>2026-10-04</t>
        </is>
      </c>
      <c r="V822" t="inlineStr">
        <is>
          <t>ambiguous match [45]</t>
        </is>
      </c>
    </row>
    <row r="823">
      <c r="A823" t="n">
        <v>45</v>
      </c>
      <c r="B823" t="inlineStr">
        <is>
          <t>Saii Lagoon Maldives</t>
        </is>
      </c>
      <c r="C823" t="inlineStr">
        <is>
          <t>calendar</t>
        </is>
      </c>
      <c r="D823" t="inlineStr">
        <is>
          <t>2026_SAii-Easter-Programme-2026-RUS.pdf</t>
        </is>
      </c>
      <c r="E823" t="n">
        <v>2026</v>
      </c>
      <c r="H823" t="n">
        <v>1</v>
      </c>
      <c r="I823" t="n">
        <v>1283</v>
      </c>
      <c r="J823" t="inlineStr">
        <is>
          <t>Y</t>
        </is>
      </c>
      <c r="K823" t="inlineStr">
        <is>
          <t>saiiresorts.com</t>
        </is>
      </c>
      <c r="L823" t="inlineStr">
        <is>
          <t>official</t>
        </is>
      </c>
      <c r="M823" t="inlineStr">
        <is>
          <t>https://www.saiihotels.com/wp-content/uploads/2026/03/SAii-Easter-Programme-2026-RUS.pdf</t>
        </is>
      </c>
      <c r="N823" t="inlineStr">
        <is>
          <t>https://www.saiihotels.com/wp-content/uploads/2026/03/SAii-Easter-Programme-2026-RUS.pdf</t>
        </is>
      </c>
      <c r="O823" t="inlineStr">
        <is>
          <t>4d806ea19028ea6d4743ee87b1c4a6734c273b41e4e740bb8a607d9bb84e9b4d</t>
        </is>
      </c>
      <c r="P823" t="inlineStr">
        <is>
          <t>library/045_saii-lagoon-maldives/calendar/2026_SAii-Easter-Programme-2026-RUS.pdf</t>
        </is>
      </c>
      <c r="R823" t="inlineStr">
        <is>
          <t>current</t>
        </is>
      </c>
      <c r="S823" t="inlineStr">
        <is>
          <t>N</t>
        </is>
      </c>
      <c r="T823" t="inlineStr">
        <is>
          <t>needs-review</t>
        </is>
      </c>
      <c r="U823" t="inlineStr">
        <is>
          <t>2026-10-04</t>
        </is>
      </c>
      <c r="V823" t="inlineStr">
        <is>
          <t>ambiguous match [45]</t>
        </is>
      </c>
    </row>
    <row r="824">
      <c r="A824" t="n">
        <v>45</v>
      </c>
      <c r="B824" t="inlineStr">
        <is>
          <t>Saii Lagoon Maldives</t>
        </is>
      </c>
      <c r="C824" t="inlineStr">
        <is>
          <t>calendar</t>
        </is>
      </c>
      <c r="D824" t="inlineStr">
        <is>
          <t>2026_SAii-Easter-Programme-2026.pdf</t>
        </is>
      </c>
      <c r="E824" t="n">
        <v>2026</v>
      </c>
      <c r="H824" t="n">
        <v>1</v>
      </c>
      <c r="I824" t="n">
        <v>1099</v>
      </c>
      <c r="J824" t="inlineStr">
        <is>
          <t>Y</t>
        </is>
      </c>
      <c r="K824" t="inlineStr">
        <is>
          <t>saiiresorts.com</t>
        </is>
      </c>
      <c r="L824" t="inlineStr">
        <is>
          <t>official</t>
        </is>
      </c>
      <c r="M824" t="inlineStr">
        <is>
          <t>https://www.saiihotels.com/wp-content/uploads/2026/03/SAii-Easter-Programme-2026.pdf</t>
        </is>
      </c>
      <c r="N824" t="inlineStr">
        <is>
          <t>https://www.saiihotels.com/wp-content/uploads/2026/03/SAii-Easter-Programme-2026.pdf</t>
        </is>
      </c>
      <c r="O824" t="inlineStr">
        <is>
          <t>9cee2cf844edc565f4b9bbf2a55b4d1a8aab234c4711702b61a46dd7ba256dee</t>
        </is>
      </c>
      <c r="P824" t="inlineStr">
        <is>
          <t>library/045_saii-lagoon-maldives/calendar/2026_SAii-Easter-Programme-2026.pdf</t>
        </is>
      </c>
      <c r="R824" t="inlineStr">
        <is>
          <t>current</t>
        </is>
      </c>
      <c r="S824" t="inlineStr">
        <is>
          <t>N</t>
        </is>
      </c>
      <c r="T824" t="inlineStr">
        <is>
          <t>needs-review</t>
        </is>
      </c>
      <c r="U824" t="inlineStr">
        <is>
          <t>2026-10-04</t>
        </is>
      </c>
      <c r="V824" t="inlineStr">
        <is>
          <t>ambiguous match [45]</t>
        </is>
      </c>
    </row>
    <row r="825">
      <c r="A825" t="n">
        <v>45</v>
      </c>
      <c r="B825" t="inlineStr">
        <is>
          <t>Saii Lagoon Maldives</t>
        </is>
      </c>
      <c r="C825" t="inlineStr">
        <is>
          <t>calendar</t>
        </is>
      </c>
      <c r="D825" t="inlineStr">
        <is>
          <t>2026_SAii-Chinese-New-Year-2026.pdf</t>
        </is>
      </c>
      <c r="E825" t="n">
        <v>2026</v>
      </c>
      <c r="H825" t="n">
        <v>1</v>
      </c>
      <c r="I825" t="n">
        <v>874</v>
      </c>
      <c r="J825" t="inlineStr">
        <is>
          <t>Y</t>
        </is>
      </c>
      <c r="K825" t="inlineStr">
        <is>
          <t>saiiresorts.com</t>
        </is>
      </c>
      <c r="L825" t="inlineStr">
        <is>
          <t>official</t>
        </is>
      </c>
      <c r="M825" t="inlineStr">
        <is>
          <t>https://www.saiihotels.com/wp-content/uploads/2026/01/SAii-Chinese-New-Year-2026.pdf</t>
        </is>
      </c>
      <c r="N825" t="inlineStr">
        <is>
          <t>https://www.saiihotels.com/wp-content/uploads/2026/01/SAii-Chinese-New-Year-2026.pdf</t>
        </is>
      </c>
      <c r="O825" t="inlineStr">
        <is>
          <t>ac0fae67fc5568ee4fdaca887bacda53700a8461624813990b070c277313e9ce</t>
        </is>
      </c>
      <c r="P825" t="inlineStr">
        <is>
          <t>library/045_saii-lagoon-maldives/calendar/2026_SAii-Chinese-New-Year-2026.pdf</t>
        </is>
      </c>
      <c r="R825" t="inlineStr">
        <is>
          <t>current</t>
        </is>
      </c>
      <c r="S825" t="inlineStr">
        <is>
          <t>N</t>
        </is>
      </c>
      <c r="T825" t="inlineStr">
        <is>
          <t>needs-review</t>
        </is>
      </c>
      <c r="U825" t="inlineStr">
        <is>
          <t>2026-10-04</t>
        </is>
      </c>
      <c r="V825" t="inlineStr">
        <is>
          <t>ambiguous match [45]</t>
        </is>
      </c>
    </row>
    <row r="826">
      <c r="A826" t="n">
        <v>45</v>
      </c>
      <c r="B826" t="inlineStr">
        <is>
          <t>Saii Lagoon Maldives</t>
        </is>
      </c>
      <c r="C826" t="inlineStr">
        <is>
          <t>calendar</t>
        </is>
      </c>
      <c r="D826" t="inlineStr">
        <is>
          <t>2026_SPP-Festive-brochure-25.pdf</t>
        </is>
      </c>
      <c r="E826" t="n">
        <v>2026</v>
      </c>
      <c r="H826" t="n">
        <v>13</v>
      </c>
      <c r="I826" t="n">
        <v>1785</v>
      </c>
      <c r="J826" t="inlineStr">
        <is>
          <t>Y</t>
        </is>
      </c>
      <c r="K826" t="inlineStr">
        <is>
          <t>saiiresorts.com</t>
        </is>
      </c>
      <c r="L826" t="inlineStr">
        <is>
          <t>official</t>
        </is>
      </c>
      <c r="M826" t="inlineStr">
        <is>
          <t>https://www.saiihotels.com/wp-content/uploads/2025/09/SPP-Festive-brochure-25.pdf</t>
        </is>
      </c>
      <c r="N826" t="inlineStr">
        <is>
          <t>https://www.saiihotels.com/wp-content/uploads/2025/09/SPP-Festive-brochure-25.pdf</t>
        </is>
      </c>
      <c r="O826" t="inlineStr">
        <is>
          <t>0359a3a1437436859644c228ec64f89d91e949dbe672d2572cb6d65888ccc9a9</t>
        </is>
      </c>
      <c r="P826" t="inlineStr">
        <is>
          <t>library/045_saii-lagoon-maldives/calendar/2026_SPP-Festive-brochure-25.pdf</t>
        </is>
      </c>
      <c r="R826" t="inlineStr">
        <is>
          <t>current</t>
        </is>
      </c>
      <c r="S826" t="inlineStr">
        <is>
          <t>Y</t>
        </is>
      </c>
      <c r="T826" t="inlineStr">
        <is>
          <t>needs-review</t>
        </is>
      </c>
      <c r="U826" t="inlineStr">
        <is>
          <t>2026-10-04</t>
        </is>
      </c>
      <c r="V826" t="inlineStr">
        <is>
          <t>ambiguous match [45]</t>
        </is>
      </c>
    </row>
    <row r="827">
      <c r="A827" t="n">
        <v>45</v>
      </c>
      <c r="B827" t="inlineStr">
        <is>
          <t>Saii Lagoon Maldives</t>
        </is>
      </c>
      <c r="C827" t="inlineStr">
        <is>
          <t>calendar</t>
        </is>
      </c>
      <c r="D827" t="inlineStr">
        <is>
          <t>2025_SKS-Festive-Winter-Sparkle-Brochure.pdf</t>
        </is>
      </c>
      <c r="E827" t="n">
        <v>2025</v>
      </c>
      <c r="H827" t="n">
        <v>10</v>
      </c>
      <c r="I827" t="n">
        <v>1898</v>
      </c>
      <c r="J827" t="inlineStr">
        <is>
          <t>N</t>
        </is>
      </c>
      <c r="K827" t="inlineStr">
        <is>
          <t>saiiresorts.com</t>
        </is>
      </c>
      <c r="L827" t="inlineStr">
        <is>
          <t>official</t>
        </is>
      </c>
      <c r="M827" t="inlineStr">
        <is>
          <t>https://www.saiihotels.com/wp-content/uploads/2025/09/SKS-Festive-Winter-Sparkle-Brochure.pdf</t>
        </is>
      </c>
      <c r="N827" t="inlineStr">
        <is>
          <t>https://www.saiihotels.com/wp-content/uploads/2025/09/SKS-Festive-Winter-Sparkle-Brochure.pdf</t>
        </is>
      </c>
      <c r="O827" t="inlineStr">
        <is>
          <t>7e6f606bb7341ddd6cd36797f8d1d8a0849f2e0db0cace37250a704f12d27973</t>
        </is>
      </c>
      <c r="P827" t="inlineStr">
        <is>
          <t>library/045_saii-lagoon-maldives/calendar/2025_SKS-Festive-Winter-Sparkle-Brochure.pdf</t>
        </is>
      </c>
      <c r="R827" t="inlineStr">
        <is>
          <t>current</t>
        </is>
      </c>
      <c r="S827" t="inlineStr">
        <is>
          <t>N</t>
        </is>
      </c>
      <c r="T827" t="inlineStr">
        <is>
          <t>needs-review</t>
        </is>
      </c>
      <c r="U827" t="inlineStr">
        <is>
          <t>2026-10-04</t>
        </is>
      </c>
      <c r="V827" t="inlineStr">
        <is>
          <t>ambiguous match [45]</t>
        </is>
      </c>
    </row>
    <row r="828">
      <c r="A828" t="n">
        <v>45</v>
      </c>
      <c r="B828" t="inlineStr">
        <is>
          <t>Saii Lagoon Maldives</t>
        </is>
      </c>
      <c r="C828" t="inlineStr">
        <is>
          <t>other</t>
        </is>
      </c>
      <c r="D828" t="inlineStr">
        <is>
          <t>2026_SRMDV-Stories.pdf</t>
        </is>
      </c>
      <c r="E828" t="n">
        <v>2026</v>
      </c>
      <c r="H828" t="n">
        <v>1</v>
      </c>
      <c r="I828" t="n">
        <v>387</v>
      </c>
      <c r="J828" t="inlineStr">
        <is>
          <t>N</t>
        </is>
      </c>
      <c r="K828" t="inlineStr">
        <is>
          <t>saiiresorts.com</t>
        </is>
      </c>
      <c r="L828" t="inlineStr">
        <is>
          <t>official</t>
        </is>
      </c>
      <c r="M828" t="inlineStr">
        <is>
          <t>https://www.saiihotels.com/wp-content/uploads/2026/09/SRMDV-Stories.pdf</t>
        </is>
      </c>
      <c r="N828" t="inlineStr">
        <is>
          <t>https://www.saiihotels.com/wp-content/uploads/2026/09/SRMDV-Stories.pdf</t>
        </is>
      </c>
      <c r="O828" t="inlineStr">
        <is>
          <t>c03dc7fda64c5f48944e5f85139cab73c7f82111299dc014efcf5400dd81a44f</t>
        </is>
      </c>
      <c r="P828" t="inlineStr">
        <is>
          <t>library/045_saii-lagoon-maldives/other/2026_SRMDV-Stories.pdf</t>
        </is>
      </c>
      <c r="R828" t="inlineStr">
        <is>
          <t>current</t>
        </is>
      </c>
      <c r="S828" t="inlineStr">
        <is>
          <t>N</t>
        </is>
      </c>
      <c r="T828" t="inlineStr">
        <is>
          <t>needs-review</t>
        </is>
      </c>
      <c r="U828" t="inlineStr">
        <is>
          <t>2026-10-04</t>
        </is>
      </c>
      <c r="V828" t="inlineStr">
        <is>
          <t>ambiguous match [45]</t>
        </is>
      </c>
    </row>
    <row r="829">
      <c r="A829" t="n">
        <v>45</v>
      </c>
      <c r="B829" t="inlineStr">
        <is>
          <t>Saii Lagoon Maldives</t>
        </is>
      </c>
      <c r="C829" t="inlineStr">
        <is>
          <t>other</t>
        </is>
      </c>
      <c r="D829" t="inlineStr">
        <is>
          <t>2026_SunRay_A4-Food-AllDay_04b.pdf</t>
        </is>
      </c>
      <c r="E829" t="n">
        <v>2026</v>
      </c>
      <c r="H829" t="n">
        <v>12</v>
      </c>
      <c r="I829" t="n">
        <v>130</v>
      </c>
      <c r="J829" t="inlineStr">
        <is>
          <t>Y</t>
        </is>
      </c>
      <c r="K829" t="inlineStr">
        <is>
          <t>saiiresorts.com</t>
        </is>
      </c>
      <c r="L829" t="inlineStr">
        <is>
          <t>official</t>
        </is>
      </c>
      <c r="M829" t="inlineStr">
        <is>
          <t>https://www.saiihotels.com/wp-content/uploads/2026/07/SunRay_A4-Food-AllDay_04b.pdf</t>
        </is>
      </c>
      <c r="N829" t="inlineStr">
        <is>
          <t>https://www.saiihotels.com/wp-content/uploads/2026/07/SunRay_A4-Food-AllDay_04b.pdf</t>
        </is>
      </c>
      <c r="O829" t="inlineStr">
        <is>
          <t>0fd367eefded622a6edc0f1d47615de97c801aee281a08fa2bcfe7d548090d76</t>
        </is>
      </c>
      <c r="P829" t="inlineStr">
        <is>
          <t>library/045_saii-lagoon-maldives/other/2026_SunRay_A4-Food-AllDay_04b.pdf</t>
        </is>
      </c>
      <c r="R829" t="inlineStr">
        <is>
          <t>current</t>
        </is>
      </c>
      <c r="S829" t="inlineStr">
        <is>
          <t>N</t>
        </is>
      </c>
      <c r="T829" t="inlineStr">
        <is>
          <t>needs-review</t>
        </is>
      </c>
      <c r="U829" t="inlineStr">
        <is>
          <t>2026-10-04</t>
        </is>
      </c>
      <c r="V829" t="inlineStr">
        <is>
          <t>ambiguous match [45]</t>
        </is>
      </c>
    </row>
    <row r="830">
      <c r="A830" t="n">
        <v>45</v>
      </c>
      <c r="B830" t="inlineStr">
        <is>
          <t>Saii Lagoon Maldives</t>
        </is>
      </c>
      <c r="C830" t="inlineStr">
        <is>
          <t>other</t>
        </is>
      </c>
      <c r="D830" t="inlineStr">
        <is>
          <t>2026_MARCH-Recreation-RUS.pdf</t>
        </is>
      </c>
      <c r="E830" t="n">
        <v>2026</v>
      </c>
      <c r="H830" t="n">
        <v>1</v>
      </c>
      <c r="I830" t="n">
        <v>931</v>
      </c>
      <c r="J830" t="inlineStr">
        <is>
          <t>Y</t>
        </is>
      </c>
      <c r="K830" t="inlineStr">
        <is>
          <t>saiiresorts.com</t>
        </is>
      </c>
      <c r="L830" t="inlineStr">
        <is>
          <t>official</t>
        </is>
      </c>
      <c r="M830" t="inlineStr">
        <is>
          <t>https://www.saiihotels.com/wp-content/uploads/2026/02/MARCH-Recreation-RUS.pdf</t>
        </is>
      </c>
      <c r="N830" t="inlineStr">
        <is>
          <t>https://www.saiihotels.com/wp-content/uploads/2026/02/MARCH-Recreation-RUS.pdf</t>
        </is>
      </c>
      <c r="O830" t="inlineStr">
        <is>
          <t>afaa7a9cf74d2ada0c7ceb82f8ade7a6f277963e98c34180496924d5cecc4825</t>
        </is>
      </c>
      <c r="P830" t="inlineStr">
        <is>
          <t>library/045_saii-lagoon-maldives/other/2026_MARCH-Recreation-RUS.pdf</t>
        </is>
      </c>
      <c r="R830" t="inlineStr">
        <is>
          <t>current</t>
        </is>
      </c>
      <c r="S830" t="inlineStr">
        <is>
          <t>N</t>
        </is>
      </c>
      <c r="T830" t="inlineStr">
        <is>
          <t>needs-review</t>
        </is>
      </c>
      <c r="U830" t="inlineStr">
        <is>
          <t>2026-10-04</t>
        </is>
      </c>
      <c r="V830" t="inlineStr">
        <is>
          <t>ambiguous match [45]</t>
        </is>
      </c>
    </row>
    <row r="831">
      <c r="A831" t="n">
        <v>45</v>
      </c>
      <c r="B831" t="inlineStr">
        <is>
          <t>Saii Lagoon Maldives</t>
        </is>
      </c>
      <c r="C831" t="inlineStr">
        <is>
          <t>other</t>
        </is>
      </c>
      <c r="D831" t="inlineStr">
        <is>
          <t>2026_FEB-Recreation-RUS.pdf</t>
        </is>
      </c>
      <c r="E831" t="n">
        <v>2026</v>
      </c>
      <c r="H831" t="n">
        <v>1</v>
      </c>
      <c r="I831" t="n">
        <v>1706</v>
      </c>
      <c r="J831" t="inlineStr">
        <is>
          <t>Y</t>
        </is>
      </c>
      <c r="K831" t="inlineStr">
        <is>
          <t>saiiresorts.com</t>
        </is>
      </c>
      <c r="L831" t="inlineStr">
        <is>
          <t>official</t>
        </is>
      </c>
      <c r="M831" t="inlineStr">
        <is>
          <t>https://www.saiihotels.com/wp-content/uploads/2026/01/FEB-Recreation-RUS.pdf</t>
        </is>
      </c>
      <c r="N831" t="inlineStr">
        <is>
          <t>https://www.saiihotels.com/wp-content/uploads/2026/01/FEB-Recreation-RUS.pdf</t>
        </is>
      </c>
      <c r="O831" t="inlineStr">
        <is>
          <t>55a89dd1e2c1cf48ab8ad08764e77489dbe5b9b9e0cdff24334ab269a5477192</t>
        </is>
      </c>
      <c r="P831" t="inlineStr">
        <is>
          <t>library/045_saii-lagoon-maldives/other/2026_FEB-Recreation-RUS.pdf</t>
        </is>
      </c>
      <c r="R831" t="inlineStr">
        <is>
          <t>current</t>
        </is>
      </c>
      <c r="S831" t="inlineStr">
        <is>
          <t>N</t>
        </is>
      </c>
      <c r="T831" t="inlineStr">
        <is>
          <t>needs-review</t>
        </is>
      </c>
      <c r="U831" t="inlineStr">
        <is>
          <t>2026-10-04</t>
        </is>
      </c>
      <c r="V831" t="inlineStr">
        <is>
          <t>ambiguous match [45]</t>
        </is>
      </c>
    </row>
    <row r="832">
      <c r="A832" t="n">
        <v>45</v>
      </c>
      <c r="B832" t="inlineStr">
        <is>
          <t>Saii Lagoon Maldives</t>
        </is>
      </c>
      <c r="C832" t="inlineStr">
        <is>
          <t>other</t>
        </is>
      </c>
      <c r="D832" t="inlineStr">
        <is>
          <t>2026_SLP-Feastive-2025-2026.pdf</t>
        </is>
      </c>
      <c r="E832" t="n">
        <v>2026</v>
      </c>
      <c r="H832" t="n">
        <v>18</v>
      </c>
      <c r="I832" t="n">
        <v>2180</v>
      </c>
      <c r="J832" t="inlineStr">
        <is>
          <t>N</t>
        </is>
      </c>
      <c r="K832" t="inlineStr">
        <is>
          <t>saiiresorts.com</t>
        </is>
      </c>
      <c r="L832" t="inlineStr">
        <is>
          <t>official</t>
        </is>
      </c>
      <c r="M832" t="inlineStr">
        <is>
          <t>https://www.saiihotels.com/wp-content/uploads/2025/08/SLP-Feastive-2025-2026.pdf</t>
        </is>
      </c>
      <c r="N832" t="inlineStr">
        <is>
          <t>https://www.saiihotels.com/wp-content/uploads/2025/08/SLP-Feastive-2025-2026.pdf</t>
        </is>
      </c>
      <c r="O832" t="inlineStr">
        <is>
          <t>a90fa6f5e2640f0f278bbb08ba63603613fc58d9c6c63ce88142ada03893ce25</t>
        </is>
      </c>
      <c r="P832" t="inlineStr">
        <is>
          <t>library/045_saii-lagoon-maldives/other/2026_SLP-Feastive-2025-2026.pdf</t>
        </is>
      </c>
      <c r="R832" t="inlineStr">
        <is>
          <t>current</t>
        </is>
      </c>
      <c r="S832" t="inlineStr">
        <is>
          <t>Y</t>
        </is>
      </c>
      <c r="T832" t="inlineStr">
        <is>
          <t>needs-review</t>
        </is>
      </c>
      <c r="U832" t="inlineStr">
        <is>
          <t>2026-10-04</t>
        </is>
      </c>
      <c r="V832" t="inlineStr">
        <is>
          <t>ambiguous match [45]</t>
        </is>
      </c>
    </row>
    <row r="833">
      <c r="A833" t="n">
        <v>46</v>
      </c>
      <c r="B833" t="inlineStr">
        <is>
          <t>SO/ Maldives</t>
        </is>
      </c>
      <c r="C833" t="inlineStr">
        <is>
          <t>factsheet</t>
        </is>
      </c>
      <c r="D833" t="inlineStr">
        <is>
          <t>2025_SO-Maldives-Factsheet_Eng.pdf</t>
        </is>
      </c>
      <c r="E833" t="n">
        <v>2025</v>
      </c>
      <c r="H833" t="n">
        <v>6</v>
      </c>
      <c r="I833" t="n">
        <v>7824</v>
      </c>
      <c r="J833" t="inlineStr">
        <is>
          <t>Y</t>
        </is>
      </c>
      <c r="K833" t="inlineStr">
        <is>
          <t>neoscapesmaldives.com</t>
        </is>
      </c>
      <c r="L833" t="inlineStr">
        <is>
          <t>dmc-agency</t>
        </is>
      </c>
      <c r="M833" t="inlineStr">
        <is>
          <t>https://www.neoscapesmaldives.com/wp-content/uploads/SO-Maldives-Factsheet_Eng.pdf</t>
        </is>
      </c>
      <c r="N833" t="inlineStr">
        <is>
          <t>https://www.neoscapesmaldives.com/wp-content/uploads/SO-Maldives-Factsheet_Eng.pdf</t>
        </is>
      </c>
      <c r="O833" t="inlineStr">
        <is>
          <t>0e6ac36637ec8ab0067708d7e8730953e1095293b7a3f206555bf6ed79c408df</t>
        </is>
      </c>
      <c r="P833" t="inlineStr">
        <is>
          <t>library/046_so-maldives/factsheet/2025_SO-Maldives-Factsheet_Eng.pdf</t>
        </is>
      </c>
      <c r="R833" t="inlineStr">
        <is>
          <t>current</t>
        </is>
      </c>
      <c r="S833" t="inlineStr">
        <is>
          <t>Y</t>
        </is>
      </c>
      <c r="T833" t="inlineStr">
        <is>
          <t>matched</t>
        </is>
      </c>
      <c r="U833" t="inlineStr">
        <is>
          <t>2026-10-04</t>
        </is>
      </c>
      <c r="V833" t="inlineStr"/>
    </row>
    <row r="834">
      <c r="A834" t="n">
        <v>46</v>
      </c>
      <c r="B834" t="inlineStr">
        <is>
          <t>SO/ Maldives</t>
        </is>
      </c>
      <c r="C834" t="inlineStr">
        <is>
          <t>wedding</t>
        </is>
      </c>
      <c r="D834" t="inlineStr">
        <is>
          <t>2026_SOWedding_Brochure.pdf</t>
        </is>
      </c>
      <c r="E834" t="n">
        <v>2026</v>
      </c>
      <c r="H834" t="n">
        <v>27</v>
      </c>
      <c r="I834" t="n">
        <v>18899</v>
      </c>
      <c r="J834" t="inlineStr">
        <is>
          <t>Y</t>
        </is>
      </c>
      <c r="K834" t="inlineStr">
        <is>
          <t>so-hotels.com</t>
        </is>
      </c>
      <c r="L834" t="inlineStr">
        <is>
          <t>official</t>
        </is>
      </c>
      <c r="M834" t="inlineStr">
        <is>
          <t>https://so-hotels.com/wp-content/uploads/sites/19/2026/03/SOWedding_Brochure.pdf</t>
        </is>
      </c>
      <c r="N834" t="inlineStr">
        <is>
          <t>https://so-hotels.com/wp-content/uploads/sites/19/2026/03/SOWedding_Brochure.pdf</t>
        </is>
      </c>
      <c r="O834" t="inlineStr">
        <is>
          <t>f8f3541a14093d280bc3484cc71e158f31155dc55d46f97fc23a4fdfd93227f3</t>
        </is>
      </c>
      <c r="P834" t="inlineStr">
        <is>
          <t>library/046_so-maldives/wedding/2026_SOWedding_Brochure.pdf</t>
        </is>
      </c>
      <c r="R834" t="inlineStr">
        <is>
          <t>current</t>
        </is>
      </c>
      <c r="S834" t="inlineStr">
        <is>
          <t>Y</t>
        </is>
      </c>
      <c r="T834" t="inlineStr">
        <is>
          <t>needs-review</t>
        </is>
      </c>
      <c r="U834" t="inlineStr">
        <is>
          <t>2026-10-04</t>
        </is>
      </c>
      <c r="V834" t="inlineStr">
        <is>
          <t>ambiguous match [46]</t>
        </is>
      </c>
    </row>
    <row r="835">
      <c r="A835" t="n">
        <v>46</v>
      </c>
      <c r="B835" t="inlineStr">
        <is>
          <t>SO/ Maldives</t>
        </is>
      </c>
      <c r="C835" t="inlineStr">
        <is>
          <t>wedding</t>
        </is>
      </c>
      <c r="D835" t="inlineStr">
        <is>
          <t>2025_so_maldives_meetings-occassions_weddings_wedding-brochure_1225.pdf</t>
        </is>
      </c>
      <c r="E835" t="n">
        <v>2025</v>
      </c>
      <c r="H835" t="n">
        <v>8</v>
      </c>
      <c r="I835" t="n">
        <v>2670</v>
      </c>
      <c r="J835" t="inlineStr">
        <is>
          <t>Y</t>
        </is>
      </c>
      <c r="K835" t="inlineStr">
        <is>
          <t>so-hotels.com</t>
        </is>
      </c>
      <c r="L835" t="inlineStr">
        <is>
          <t>official</t>
        </is>
      </c>
      <c r="M835" t="inlineStr">
        <is>
          <t>https://so-hotels.com/wp-content/uploads/sites/19/2025/12/so_maldives_meetings-occassions_weddings_wedding-brochure_1225.pdf</t>
        </is>
      </c>
      <c r="N835" t="inlineStr">
        <is>
          <t>https://so-hotels.com/wp-content/uploads/sites/19/2025/12/so_maldives_meetings-occassions_weddings_wedding-brochure_1225.pdf</t>
        </is>
      </c>
      <c r="O835" t="inlineStr">
        <is>
          <t>981a4d2a649feb0292c89b733debd679fd3a20361c8042036862e57a4535c432</t>
        </is>
      </c>
      <c r="P835" t="inlineStr">
        <is>
          <t>library/046_so-maldives/wedding/2025_so_maldives_meetings-occassions_weddings_wedding-brochure_1225.pdf</t>
        </is>
      </c>
      <c r="R835" t="inlineStr">
        <is>
          <t>current</t>
        </is>
      </c>
      <c r="S835" t="inlineStr">
        <is>
          <t>N</t>
        </is>
      </c>
      <c r="T835" t="inlineStr">
        <is>
          <t>matched</t>
        </is>
      </c>
      <c r="U835" t="inlineStr">
        <is>
          <t>2026-10-04</t>
        </is>
      </c>
      <c r="V835" t="inlineStr"/>
    </row>
    <row r="836">
      <c r="A836" t="n">
        <v>46</v>
      </c>
      <c r="B836" t="inlineStr">
        <is>
          <t>SO/ Maldives</t>
        </is>
      </c>
      <c r="C836" t="inlineStr">
        <is>
          <t>events</t>
        </is>
      </c>
      <c r="D836" t="inlineStr">
        <is>
          <t>2026_so_vienna_meetings-and-celebrations_brochure_DE-2026.pdf</t>
        </is>
      </c>
      <c r="E836" t="n">
        <v>2026</v>
      </c>
      <c r="H836" t="n">
        <v>14</v>
      </c>
      <c r="I836" t="n">
        <v>11870</v>
      </c>
      <c r="J836" t="inlineStr">
        <is>
          <t>Y</t>
        </is>
      </c>
      <c r="K836" t="inlineStr">
        <is>
          <t>so-hotels.com</t>
        </is>
      </c>
      <c r="L836" t="inlineStr">
        <is>
          <t>official</t>
        </is>
      </c>
      <c r="M836" t="inlineStr">
        <is>
          <t>https://so-hotels.com/wp-content/uploads/sites/19/2026/04/so_vienna_meetings-and-celebrations_brochure_DE-2026.pdf</t>
        </is>
      </c>
      <c r="N836" t="inlineStr">
        <is>
          <t>https://so-hotels.com/wp-content/uploads/sites/19/2026/04/so_vienna_meetings-and-celebrations_brochure_DE-2026.pdf</t>
        </is>
      </c>
      <c r="O836" t="inlineStr">
        <is>
          <t>eac48d9c0e88639332ae4511e7f75dd4cff234e2afd5568f192505934c215b33</t>
        </is>
      </c>
      <c r="P836" t="inlineStr">
        <is>
          <t>library/046_so-maldives/events/2026_so_vienna_meetings-and-celebrations_brochure_DE-2026.pdf</t>
        </is>
      </c>
      <c r="R836" t="inlineStr">
        <is>
          <t>current</t>
        </is>
      </c>
      <c r="S836" t="inlineStr">
        <is>
          <t>Y</t>
        </is>
      </c>
      <c r="T836" t="inlineStr">
        <is>
          <t>needs-review</t>
        </is>
      </c>
      <c r="U836" t="inlineStr">
        <is>
          <t>2026-10-04</t>
        </is>
      </c>
      <c r="V836" t="inlineStr">
        <is>
          <t>ambiguous match [46]</t>
        </is>
      </c>
    </row>
    <row r="837">
      <c r="A837" t="n">
        <v>46</v>
      </c>
      <c r="B837" t="inlineStr">
        <is>
          <t>SO/ Maldives</t>
        </is>
      </c>
      <c r="C837" t="inlineStr">
        <is>
          <t>events</t>
        </is>
      </c>
      <c r="D837" t="inlineStr">
        <is>
          <t>2026_so_vienna_meetings-and-celebrations_brochure_ENG-2026.pdf</t>
        </is>
      </c>
      <c r="E837" t="n">
        <v>2026</v>
      </c>
      <c r="H837" t="n">
        <v>14</v>
      </c>
      <c r="I837" t="n">
        <v>11858</v>
      </c>
      <c r="J837" t="inlineStr">
        <is>
          <t>Y</t>
        </is>
      </c>
      <c r="K837" t="inlineStr">
        <is>
          <t>so-hotels.com</t>
        </is>
      </c>
      <c r="L837" t="inlineStr">
        <is>
          <t>official</t>
        </is>
      </c>
      <c r="M837" t="inlineStr">
        <is>
          <t>https://so-hotels.com/wp-content/uploads/sites/19/2026/04/so_vienna_meetings-and-celebrations_brochure_ENG-2026.pdf</t>
        </is>
      </c>
      <c r="N837" t="inlineStr">
        <is>
          <t>https://so-hotels.com/wp-content/uploads/sites/19/2026/04/so_vienna_meetings-and-celebrations_brochure_ENG-2026.pdf</t>
        </is>
      </c>
      <c r="O837" t="inlineStr">
        <is>
          <t>426f96c3153f75aa0542dafb29e97a73954f747e783aac521e0dc2eaa7f77fdf</t>
        </is>
      </c>
      <c r="P837" t="inlineStr">
        <is>
          <t>library/046_so-maldives/events/2026_so_vienna_meetings-and-celebrations_brochure_ENG-2026.pdf</t>
        </is>
      </c>
      <c r="R837" t="inlineStr">
        <is>
          <t>current</t>
        </is>
      </c>
      <c r="S837" t="inlineStr">
        <is>
          <t>N</t>
        </is>
      </c>
      <c r="T837" t="inlineStr">
        <is>
          <t>needs-review</t>
        </is>
      </c>
      <c r="U837" t="inlineStr">
        <is>
          <t>2026-10-04</t>
        </is>
      </c>
      <c r="V837" t="inlineStr">
        <is>
          <t>ambiguous match [46]</t>
        </is>
      </c>
    </row>
    <row r="838">
      <c r="A838" t="n">
        <v>46</v>
      </c>
      <c r="B838" t="inlineStr">
        <is>
          <t>SO/ Maldives</t>
        </is>
      </c>
      <c r="C838" t="inlineStr">
        <is>
          <t>map</t>
        </is>
      </c>
      <c r="D838" t="inlineStr">
        <is>
          <t>2026_so_huahin_fitness_cycling_map_0226.pdf</t>
        </is>
      </c>
      <c r="E838" t="n">
        <v>2026</v>
      </c>
      <c r="H838" t="n">
        <v>2</v>
      </c>
      <c r="I838" t="n">
        <v>2330</v>
      </c>
      <c r="J838" t="inlineStr">
        <is>
          <t>Y</t>
        </is>
      </c>
      <c r="K838" t="inlineStr">
        <is>
          <t>so-hotels.com</t>
        </is>
      </c>
      <c r="L838" t="inlineStr">
        <is>
          <t>official</t>
        </is>
      </c>
      <c r="M838" t="inlineStr">
        <is>
          <t>https://so-hotels.com/wp-content/uploads/sites/19/2026/02/so_huahin_fitness_cycling_map_0226.pdf</t>
        </is>
      </c>
      <c r="N838" t="inlineStr">
        <is>
          <t>https://so-hotels.com/wp-content/uploads/sites/19/2026/02/so_huahin_fitness_cycling_map_0226.pdf</t>
        </is>
      </c>
      <c r="O838" t="inlineStr">
        <is>
          <t>c7197eecff38ad7e5cc86d4a70c2d7bf321e5b85c641326eb213636ab48e3f0a</t>
        </is>
      </c>
      <c r="P838" t="inlineStr">
        <is>
          <t>library/046_so-maldives/map/2026_so_huahin_fitness_cycling_map_0226.pdf</t>
        </is>
      </c>
      <c r="R838" t="inlineStr">
        <is>
          <t>current</t>
        </is>
      </c>
      <c r="S838" t="inlineStr">
        <is>
          <t>Y</t>
        </is>
      </c>
      <c r="T838" t="inlineStr">
        <is>
          <t>needs-review</t>
        </is>
      </c>
      <c r="U838" t="inlineStr">
        <is>
          <t>2026-10-04</t>
        </is>
      </c>
      <c r="V838" t="inlineStr">
        <is>
          <t>ambiguous match [46]</t>
        </is>
      </c>
    </row>
    <row r="839">
      <c r="A839" t="n">
        <v>46</v>
      </c>
      <c r="B839" t="inlineStr">
        <is>
          <t>SO/ Maldives</t>
        </is>
      </c>
      <c r="C839" t="inlineStr">
        <is>
          <t>map</t>
        </is>
      </c>
      <c r="D839" t="inlineStr">
        <is>
          <t>2025_so_maldives_green-key_sustainabilityy-management-plan_281025.pdf</t>
        </is>
      </c>
      <c r="E839" t="n">
        <v>2025</v>
      </c>
      <c r="H839" t="n">
        <v>12</v>
      </c>
      <c r="I839" t="n">
        <v>1542</v>
      </c>
      <c r="J839" t="inlineStr">
        <is>
          <t>Y</t>
        </is>
      </c>
      <c r="K839" t="inlineStr">
        <is>
          <t>so-hotels.com</t>
        </is>
      </c>
      <c r="L839" t="inlineStr">
        <is>
          <t>official</t>
        </is>
      </c>
      <c r="M839" t="inlineStr">
        <is>
          <t>https://so-hotels.com/wp-content/uploads/sites/19/2025/10/so_maldives_green-key_sustainabilityy-management-plan_281025.pdf</t>
        </is>
      </c>
      <c r="N839" t="inlineStr">
        <is>
          <t>https://so-hotels.com/wp-content/uploads/sites/19/2025/10/so_maldives_green-key_sustainabilityy-management-plan_281025.pdf</t>
        </is>
      </c>
      <c r="O839" t="inlineStr">
        <is>
          <t>e6ff0e7629a57767f5b5f64d516a80c31a65f28bef33ce3753235387e0a19504</t>
        </is>
      </c>
      <c r="P839" t="inlineStr">
        <is>
          <t>library/046_so-maldives/map/2025_so_maldives_green-key_sustainabilityy-management-plan_281025.pdf</t>
        </is>
      </c>
      <c r="R839" t="inlineStr">
        <is>
          <t>current</t>
        </is>
      </c>
      <c r="S839" t="inlineStr">
        <is>
          <t>N</t>
        </is>
      </c>
      <c r="T839" t="inlineStr">
        <is>
          <t>matched</t>
        </is>
      </c>
      <c r="U839" t="inlineStr">
        <is>
          <t>2026-10-04</t>
        </is>
      </c>
      <c r="V839" t="inlineStr"/>
    </row>
    <row r="840">
      <c r="A840" t="n">
        <v>46</v>
      </c>
      <c r="B840" t="inlineStr">
        <is>
          <t>SO/ Maldives</t>
        </is>
      </c>
      <c r="C840" t="inlineStr">
        <is>
          <t>map</t>
        </is>
      </c>
      <c r="D840" t="inlineStr">
        <is>
          <t>2024_SO_Maldives_Resort_Map_-March-11-2024-Updated-1.pdf</t>
        </is>
      </c>
      <c r="E840" t="n">
        <v>2024</v>
      </c>
      <c r="H840" t="n">
        <v>1</v>
      </c>
      <c r="I840" t="n">
        <v>939</v>
      </c>
      <c r="J840" t="inlineStr">
        <is>
          <t>Y</t>
        </is>
      </c>
      <c r="K840" t="inlineStr">
        <is>
          <t>neoscapesmaldives.com</t>
        </is>
      </c>
      <c r="L840" t="inlineStr">
        <is>
          <t>dmc-agency</t>
        </is>
      </c>
      <c r="M840" t="inlineStr">
        <is>
          <t>https://www.neoscapesmaldives.com/wp-content/uploads/SO_Maldives_Resort_Map_-March-11-2024-Updated-1.pdf</t>
        </is>
      </c>
      <c r="N840" t="inlineStr">
        <is>
          <t>https://www.neoscapesmaldives.com/wp-content/uploads/SO_Maldives_Resort_Map_-March-11-2024-Updated-1.pdf</t>
        </is>
      </c>
      <c r="O840" t="inlineStr">
        <is>
          <t>27e3cd9912db14d28643b1a847c348a056e3363831f3266a1db803c51a4ecdf0</t>
        </is>
      </c>
      <c r="P840" t="inlineStr">
        <is>
          <t>library/046_so-maldives/map/2024_SO_Maldives_Resort_Map_-March-11-2024-Updated-1.pdf</t>
        </is>
      </c>
      <c r="R840" t="inlineStr">
        <is>
          <t>outdated</t>
        </is>
      </c>
      <c r="S840" t="inlineStr">
        <is>
          <t>N</t>
        </is>
      </c>
      <c r="T840" t="inlineStr">
        <is>
          <t>matched</t>
        </is>
      </c>
      <c r="U840" t="inlineStr">
        <is>
          <t>2026-10-04</t>
        </is>
      </c>
      <c r="V840" t="inlineStr"/>
    </row>
    <row r="841">
      <c r="A841" t="n">
        <v>46</v>
      </c>
      <c r="B841" t="inlineStr">
        <is>
          <t>SO/ Maldives</t>
        </is>
      </c>
      <c r="C841" t="inlineStr">
        <is>
          <t>spa_menu</t>
        </is>
      </c>
      <c r="D841" t="inlineStr">
        <is>
          <t>2026_so_rasalkhaimah_spa-menu_0926.pdf</t>
        </is>
      </c>
      <c r="E841" t="n">
        <v>2026</v>
      </c>
      <c r="H841" t="n">
        <v>3</v>
      </c>
      <c r="I841" t="n">
        <v>4549</v>
      </c>
      <c r="J841" t="inlineStr">
        <is>
          <t>Y</t>
        </is>
      </c>
      <c r="K841" t="inlineStr">
        <is>
          <t>so-hotels.com</t>
        </is>
      </c>
      <c r="L841" t="inlineStr">
        <is>
          <t>official</t>
        </is>
      </c>
      <c r="M841" t="inlineStr">
        <is>
          <t>https://so-hotels.com/wp-content/uploads/sites/19/2026/09/so_rasalkhaimah_spa-menu_0926.pdf</t>
        </is>
      </c>
      <c r="N841" t="inlineStr">
        <is>
          <t>https://so-hotels.com/wp-content/uploads/sites/19/2026/09/so_rasalkhaimah_spa-menu_0926.pdf</t>
        </is>
      </c>
      <c r="O841" t="inlineStr">
        <is>
          <t>ba5e1cc447ca022d5a58b43aa8ae10ff873f96840b611284faca4c362a52c7ef</t>
        </is>
      </c>
      <c r="P841" t="inlineStr">
        <is>
          <t>library/046_so-maldives/spa_menu/2026_so_rasalkhaimah_spa-menu_0926.pdf</t>
        </is>
      </c>
      <c r="R841" t="inlineStr">
        <is>
          <t>current</t>
        </is>
      </c>
      <c r="S841" t="inlineStr">
        <is>
          <t>Y</t>
        </is>
      </c>
      <c r="T841" t="inlineStr">
        <is>
          <t>needs-review</t>
        </is>
      </c>
      <c r="U841" t="inlineStr">
        <is>
          <t>2026-10-04</t>
        </is>
      </c>
      <c r="V841" t="inlineStr">
        <is>
          <t>ambiguous match [46]</t>
        </is>
      </c>
    </row>
    <row r="842">
      <c r="A842" t="n">
        <v>46</v>
      </c>
      <c r="B842" t="inlineStr">
        <is>
          <t>SO/ Maldives</t>
        </is>
      </c>
      <c r="C842" t="inlineStr">
        <is>
          <t>dining_menu</t>
        </is>
      </c>
      <c r="D842" t="inlineStr">
        <is>
          <t>2026_uptowndubai_offers_afternoontea_menu.pdf</t>
        </is>
      </c>
      <c r="E842" t="n">
        <v>2026</v>
      </c>
      <c r="H842" t="n">
        <v>2</v>
      </c>
      <c r="I842" t="n">
        <v>438</v>
      </c>
      <c r="J842" t="inlineStr">
        <is>
          <t>N</t>
        </is>
      </c>
      <c r="K842" t="inlineStr">
        <is>
          <t>so-hotels.com</t>
        </is>
      </c>
      <c r="L842" t="inlineStr">
        <is>
          <t>official</t>
        </is>
      </c>
      <c r="M842" t="inlineStr">
        <is>
          <t>https://so-hotels.com/wp-content/uploads/sites/19/2026/09/uptowndubai_offers_afternoontea_menu.pdf</t>
        </is>
      </c>
      <c r="N842" t="inlineStr">
        <is>
          <t>https://so-hotels.com/wp-content/uploads/sites/19/2026/09/uptowndubai_offers_afternoontea_menu.pdf</t>
        </is>
      </c>
      <c r="O842" t="inlineStr">
        <is>
          <t>5977237f2c217a8f2904861957572c85e6c5ec684bc70edfd4c04b5e1ed9ff8e</t>
        </is>
      </c>
      <c r="P842" t="inlineStr">
        <is>
          <t>library/046_so-maldives/dining_menu/2026_uptowndubai_offers_afternoontea_menu.pdf</t>
        </is>
      </c>
      <c r="R842" t="inlineStr">
        <is>
          <t>current</t>
        </is>
      </c>
      <c r="S842" t="inlineStr">
        <is>
          <t>Y</t>
        </is>
      </c>
      <c r="T842" t="inlineStr">
        <is>
          <t>needs-review</t>
        </is>
      </c>
      <c r="U842" t="inlineStr">
        <is>
          <t>2026-10-04</t>
        </is>
      </c>
      <c r="V842" t="inlineStr">
        <is>
          <t>ambiguous match [46]</t>
        </is>
      </c>
    </row>
    <row r="843">
      <c r="A843" t="n">
        <v>46</v>
      </c>
      <c r="B843" t="inlineStr">
        <is>
          <t>SO/ Maldives</t>
        </is>
      </c>
      <c r="C843" t="inlineStr">
        <is>
          <t>dining_menu</t>
        </is>
      </c>
      <c r="D843" t="inlineStr">
        <is>
          <t>2026_so_uptowndubai_offers_afternoon-tea-menu.pdf</t>
        </is>
      </c>
      <c r="E843" t="n">
        <v>2026</v>
      </c>
      <c r="H843" t="n">
        <v>2</v>
      </c>
      <c r="I843" t="n">
        <v>536</v>
      </c>
      <c r="J843" t="inlineStr">
        <is>
          <t>Y</t>
        </is>
      </c>
      <c r="K843" t="inlineStr">
        <is>
          <t>so-hotels.com</t>
        </is>
      </c>
      <c r="L843" t="inlineStr">
        <is>
          <t>official</t>
        </is>
      </c>
      <c r="M843" t="inlineStr">
        <is>
          <t>https://so-hotels.com/wp-content/uploads/sites/19/2026/08/so_uptowndubai_offers_afternoon-tea-menu.pdf</t>
        </is>
      </c>
      <c r="N843" t="inlineStr">
        <is>
          <t>https://so-hotels.com/wp-content/uploads/sites/19/2026/08/so_uptowndubai_offers_afternoon-tea-menu.pdf</t>
        </is>
      </c>
      <c r="O843" t="inlineStr">
        <is>
          <t>5c9e4512312edb775fbb15b80a44f27670ec6d715dfab08802a528f9f5bdac7c</t>
        </is>
      </c>
      <c r="P843" t="inlineStr">
        <is>
          <t>library/046_so-maldives/dining_menu/2026_so_uptowndubai_offers_afternoon-tea-menu.pdf</t>
        </is>
      </c>
      <c r="R843" t="inlineStr">
        <is>
          <t>current</t>
        </is>
      </c>
      <c r="S843" t="inlineStr">
        <is>
          <t>N</t>
        </is>
      </c>
      <c r="T843" t="inlineStr">
        <is>
          <t>needs-review</t>
        </is>
      </c>
      <c r="U843" t="inlineStr">
        <is>
          <t>2026-10-04</t>
        </is>
      </c>
      <c r="V843" t="inlineStr">
        <is>
          <t>ambiguous match [46]</t>
        </is>
      </c>
    </row>
    <row r="844">
      <c r="A844" t="n">
        <v>46</v>
      </c>
      <c r="B844" t="inlineStr">
        <is>
          <t>SO/ Maldives</t>
        </is>
      </c>
      <c r="C844" t="inlineStr">
        <is>
          <t>dining_menu</t>
        </is>
      </c>
      <c r="D844" t="inlineStr">
        <is>
          <t>2026_so_auckland_offer_Pho-Yen-x-SO-menu.pdf</t>
        </is>
      </c>
      <c r="E844" t="n">
        <v>2026</v>
      </c>
      <c r="H844" t="n">
        <v>1</v>
      </c>
      <c r="I844" t="n">
        <v>442</v>
      </c>
      <c r="J844" t="inlineStr">
        <is>
          <t>Y</t>
        </is>
      </c>
      <c r="K844" t="inlineStr">
        <is>
          <t>so-hotels.com</t>
        </is>
      </c>
      <c r="L844" t="inlineStr">
        <is>
          <t>official</t>
        </is>
      </c>
      <c r="M844" t="inlineStr">
        <is>
          <t>https://so-hotels.com/wp-content/uploads/sites/19/2026/07/so_auckland_offer_Pho-Yen-x-SO-menu.pdf</t>
        </is>
      </c>
      <c r="N844" t="inlineStr">
        <is>
          <t>https://so-hotels.com/wp-content/uploads/sites/19/2026/07/so_auckland_offer_Pho-Yen-x-SO-menu.pdf</t>
        </is>
      </c>
      <c r="O844" t="inlineStr">
        <is>
          <t>40778086a7456e05b5ca31932ad23f129d62a8deba60b7920f6f072b9fe887fc</t>
        </is>
      </c>
      <c r="P844" t="inlineStr">
        <is>
          <t>library/046_so-maldives/dining_menu/2026_so_auckland_offer_Pho-Yen-x-SO-menu.pdf</t>
        </is>
      </c>
      <c r="R844" t="inlineStr">
        <is>
          <t>current</t>
        </is>
      </c>
      <c r="S844" t="inlineStr">
        <is>
          <t>N</t>
        </is>
      </c>
      <c r="T844" t="inlineStr">
        <is>
          <t>needs-review</t>
        </is>
      </c>
      <c r="U844" t="inlineStr">
        <is>
          <t>2026-10-04</t>
        </is>
      </c>
      <c r="V844" t="inlineStr">
        <is>
          <t>ambiguous match [46]</t>
        </is>
      </c>
    </row>
    <row r="845">
      <c r="A845" t="n">
        <v>46</v>
      </c>
      <c r="B845" t="inlineStr">
        <is>
          <t>SO/ Maldives</t>
        </is>
      </c>
      <c r="C845" t="inlineStr">
        <is>
          <t>dining_menu</t>
        </is>
      </c>
      <c r="D845" t="inlineStr">
        <is>
          <t>2026_so_auckland_tuhono_matariki_menu.pdf</t>
        </is>
      </c>
      <c r="E845" t="n">
        <v>2026</v>
      </c>
      <c r="H845" t="n">
        <v>1</v>
      </c>
      <c r="I845" t="n">
        <v>49</v>
      </c>
      <c r="J845" t="inlineStr">
        <is>
          <t>Y</t>
        </is>
      </c>
      <c r="K845" t="inlineStr">
        <is>
          <t>so-hotels.com</t>
        </is>
      </c>
      <c r="L845" t="inlineStr">
        <is>
          <t>official</t>
        </is>
      </c>
      <c r="M845" t="inlineStr">
        <is>
          <t>https://so-hotels.com/wp-content/uploads/sites/19/2026/06/so_auckland_tuhono_matariki_menu.pdf</t>
        </is>
      </c>
      <c r="N845" t="inlineStr">
        <is>
          <t>https://so-hotels.com/wp-content/uploads/sites/19/2026/06/so_auckland_tuhono_matariki_menu.pdf</t>
        </is>
      </c>
      <c r="O845" t="inlineStr">
        <is>
          <t>9a5b55dba32c6338fbf80a37117fc41781c15490ffc607386b55cde67c3a8f55</t>
        </is>
      </c>
      <c r="P845" t="inlineStr">
        <is>
          <t>library/046_so-maldives/dining_menu/2026_so_auckland_tuhono_matariki_menu.pdf</t>
        </is>
      </c>
      <c r="R845" t="inlineStr">
        <is>
          <t>current</t>
        </is>
      </c>
      <c r="S845" t="inlineStr">
        <is>
          <t>N</t>
        </is>
      </c>
      <c r="T845" t="inlineStr">
        <is>
          <t>needs-review</t>
        </is>
      </c>
      <c r="U845" t="inlineStr">
        <is>
          <t>2026-10-04</t>
        </is>
      </c>
      <c r="V845" t="inlineStr">
        <is>
          <t>ambiguous match [46]</t>
        </is>
      </c>
    </row>
    <row r="846">
      <c r="A846" t="n">
        <v>46</v>
      </c>
      <c r="B846" t="inlineStr">
        <is>
          <t>SO/ Maldives</t>
        </is>
      </c>
      <c r="C846" t="inlineStr">
        <is>
          <t>dining_menu</t>
        </is>
      </c>
      <c r="D846" t="inlineStr">
        <is>
          <t>2025_HISO-Rooftop-Bar-Menu-2025.pdf</t>
        </is>
      </c>
      <c r="E846" t="n">
        <v>2025</v>
      </c>
      <c r="H846" t="n">
        <v>4</v>
      </c>
      <c r="I846" t="n">
        <v>170</v>
      </c>
      <c r="J846" t="inlineStr">
        <is>
          <t>Y</t>
        </is>
      </c>
      <c r="K846" t="inlineStr">
        <is>
          <t>so-hotels.com</t>
        </is>
      </c>
      <c r="L846" t="inlineStr">
        <is>
          <t>official</t>
        </is>
      </c>
      <c r="M846" t="inlineStr">
        <is>
          <t>https://so-hotels.com/wp-content/uploads/sites/19/2023/03/HISO-Rooftop-Bar-Menu-2025.pdf</t>
        </is>
      </c>
      <c r="N846" t="inlineStr">
        <is>
          <t>https://so-hotels.com/wp-content/uploads/sites/19/2023/03/HISO-Rooftop-Bar-Menu-2025.pdf</t>
        </is>
      </c>
      <c r="O846" t="inlineStr">
        <is>
          <t>a40984b0c34c992ae2f09c6906464ef740996678e5a2073e61466e17ef8feb3e</t>
        </is>
      </c>
      <c r="P846" t="inlineStr">
        <is>
          <t>library/046_so-maldives/dining_menu/2025_HISO-Rooftop-Bar-Menu-2025.pdf</t>
        </is>
      </c>
      <c r="R846" t="inlineStr">
        <is>
          <t>current</t>
        </is>
      </c>
      <c r="S846" t="inlineStr">
        <is>
          <t>N</t>
        </is>
      </c>
      <c r="T846" t="inlineStr">
        <is>
          <t>needs-review</t>
        </is>
      </c>
      <c r="U846" t="inlineStr">
        <is>
          <t>2026-10-04</t>
        </is>
      </c>
      <c r="V846" t="inlineStr">
        <is>
          <t>ambiguous match [46]</t>
        </is>
      </c>
    </row>
    <row r="847">
      <c r="A847" t="n">
        <v>46</v>
      </c>
      <c r="B847" t="inlineStr">
        <is>
          <t>SO/ Maldives</t>
        </is>
      </c>
      <c r="C847" t="inlineStr">
        <is>
          <t>dining_menu</t>
        </is>
      </c>
      <c r="D847" t="inlineStr">
        <is>
          <t>2025_so_maldives_hadaba_food-menu_1225.pdf</t>
        </is>
      </c>
      <c r="E847" t="n">
        <v>2025</v>
      </c>
      <c r="H847" t="n">
        <v>4</v>
      </c>
      <c r="I847" t="n">
        <v>736</v>
      </c>
      <c r="J847" t="inlineStr">
        <is>
          <t>Y</t>
        </is>
      </c>
      <c r="K847" t="inlineStr">
        <is>
          <t>so-hotels.com</t>
        </is>
      </c>
      <c r="L847" t="inlineStr">
        <is>
          <t>official</t>
        </is>
      </c>
      <c r="M847" t="inlineStr">
        <is>
          <t>https://so-hotels.com/wp-content/uploads/sites/19/2024/08/so_maldives_hadaba_food-menu_1225.pdf</t>
        </is>
      </c>
      <c r="N847" t="inlineStr">
        <is>
          <t>https://so-hotels.com/wp-content/uploads/sites/19/2024/08/so_maldives_hadaba_food-menu_1225.pdf</t>
        </is>
      </c>
      <c r="O847" t="inlineStr">
        <is>
          <t>3ec89580ab5b51746392532171e7f1b877146f4466e13906f5a1ef261b6514a7</t>
        </is>
      </c>
      <c r="P847" t="inlineStr">
        <is>
          <t>library/046_so-maldives/dining_menu/2025_so_maldives_hadaba_food-menu_1225.pdf</t>
        </is>
      </c>
      <c r="R847" t="inlineStr">
        <is>
          <t>current</t>
        </is>
      </c>
      <c r="S847" t="inlineStr">
        <is>
          <t>N</t>
        </is>
      </c>
      <c r="T847" t="inlineStr">
        <is>
          <t>matched</t>
        </is>
      </c>
      <c r="U847" t="inlineStr">
        <is>
          <t>2026-10-04</t>
        </is>
      </c>
      <c r="V847" t="inlineStr"/>
    </row>
    <row r="848">
      <c r="A848" t="n">
        <v>46</v>
      </c>
      <c r="B848" t="inlineStr">
        <is>
          <t>SO/ Maldives</t>
        </is>
      </c>
      <c r="C848" t="inlineStr">
        <is>
          <t>dining_menu</t>
        </is>
      </c>
      <c r="D848" t="inlineStr">
        <is>
          <t>2025_so_maldives_hadaba_beverage-menu_1225.pdf</t>
        </is>
      </c>
      <c r="E848" t="n">
        <v>2025</v>
      </c>
      <c r="H848" t="n">
        <v>24</v>
      </c>
      <c r="I848" t="n">
        <v>2086</v>
      </c>
      <c r="J848" t="inlineStr">
        <is>
          <t>Y</t>
        </is>
      </c>
      <c r="K848" t="inlineStr">
        <is>
          <t>so-hotels.com</t>
        </is>
      </c>
      <c r="L848" t="inlineStr">
        <is>
          <t>official</t>
        </is>
      </c>
      <c r="M848" t="inlineStr">
        <is>
          <t>https://so-hotels.com/wp-content/uploads/sites/19/2024/08/so_maldives_hadaba_beverage-menu_1225.pdf</t>
        </is>
      </c>
      <c r="N848" t="inlineStr">
        <is>
          <t>https://so-hotels.com/wp-content/uploads/sites/19/2024/08/so_maldives_hadaba_beverage-menu_1225.pdf</t>
        </is>
      </c>
      <c r="O848" t="inlineStr">
        <is>
          <t>d5a1263f3c6f4ec7a58d9f170401d7b05b709c7904aa51d23e2e8aef7fb0c935</t>
        </is>
      </c>
      <c r="P848" t="inlineStr">
        <is>
          <t>library/046_so-maldives/dining_menu/2025_so_maldives_hadaba_beverage-menu_1225.pdf</t>
        </is>
      </c>
      <c r="R848" t="inlineStr">
        <is>
          <t>current</t>
        </is>
      </c>
      <c r="S848" t="inlineStr">
        <is>
          <t>N</t>
        </is>
      </c>
      <c r="T848" t="inlineStr">
        <is>
          <t>matched</t>
        </is>
      </c>
      <c r="U848" t="inlineStr">
        <is>
          <t>2026-10-04</t>
        </is>
      </c>
      <c r="V848" t="inlineStr"/>
    </row>
    <row r="849">
      <c r="A849" t="n">
        <v>46</v>
      </c>
      <c r="B849" t="inlineStr">
        <is>
          <t>SO/ Maldives</t>
        </is>
      </c>
      <c r="C849" t="inlineStr">
        <is>
          <t>dining_menu</t>
        </is>
      </c>
      <c r="D849" t="inlineStr">
        <is>
          <t>2025_so_maldives_hadaba_vegan-menu_1225.pdf</t>
        </is>
      </c>
      <c r="E849" t="n">
        <v>2025</v>
      </c>
      <c r="H849" t="n">
        <v>2</v>
      </c>
      <c r="I849" t="n">
        <v>49</v>
      </c>
      <c r="J849" t="inlineStr">
        <is>
          <t>Y</t>
        </is>
      </c>
      <c r="K849" t="inlineStr">
        <is>
          <t>so-hotels.com</t>
        </is>
      </c>
      <c r="L849" t="inlineStr">
        <is>
          <t>official</t>
        </is>
      </c>
      <c r="M849" t="inlineStr">
        <is>
          <t>https://so-hotels.com/wp-content/uploads/sites/19/2024/08/so_maldives_hadaba_vegan-menu_1225.pdf</t>
        </is>
      </c>
      <c r="N849" t="inlineStr">
        <is>
          <t>https://so-hotels.com/wp-content/uploads/sites/19/2024/08/so_maldives_hadaba_vegan-menu_1225.pdf</t>
        </is>
      </c>
      <c r="O849" t="inlineStr">
        <is>
          <t>cc82db97d6669fad3d7c84180ff0f3f34a3bbb9135258d1c1e4c9375330a3ca6</t>
        </is>
      </c>
      <c r="P849" t="inlineStr">
        <is>
          <t>library/046_so-maldives/dining_menu/2025_so_maldives_hadaba_vegan-menu_1225.pdf</t>
        </is>
      </c>
      <c r="R849" t="inlineStr">
        <is>
          <t>current</t>
        </is>
      </c>
      <c r="S849" t="inlineStr">
        <is>
          <t>N</t>
        </is>
      </c>
      <c r="T849" t="inlineStr">
        <is>
          <t>matched</t>
        </is>
      </c>
      <c r="U849" t="inlineStr">
        <is>
          <t>2026-10-04</t>
        </is>
      </c>
      <c r="V849" t="inlineStr"/>
    </row>
    <row r="850">
      <c r="A850" t="n">
        <v>46</v>
      </c>
      <c r="B850" t="inlineStr">
        <is>
          <t>SO/ Maldives</t>
        </is>
      </c>
      <c r="C850" t="inlineStr">
        <is>
          <t>dining_menu</t>
        </is>
      </c>
      <c r="D850" t="inlineStr">
        <is>
          <t>2025_so_maldives_citronelle-club_drinks-menu_1225.pdf</t>
        </is>
      </c>
      <c r="E850" t="n">
        <v>2025</v>
      </c>
      <c r="H850" t="n">
        <v>24</v>
      </c>
      <c r="I850" t="n">
        <v>1315</v>
      </c>
      <c r="J850" t="inlineStr">
        <is>
          <t>Y</t>
        </is>
      </c>
      <c r="K850" t="inlineStr">
        <is>
          <t>so-hotels.com</t>
        </is>
      </c>
      <c r="L850" t="inlineStr">
        <is>
          <t>official</t>
        </is>
      </c>
      <c r="M850" t="inlineStr">
        <is>
          <t>https://so-hotels.com/wp-content/uploads/sites/19/2024/08/so_maldives_citronelle-club_drinks-menu_1225.pdf</t>
        </is>
      </c>
      <c r="N850" t="inlineStr">
        <is>
          <t>https://so-hotels.com/wp-content/uploads/sites/19/2024/08/so_maldives_citronelle-club_drinks-menu_1225.pdf</t>
        </is>
      </c>
      <c r="O850" t="inlineStr">
        <is>
          <t>48c120bd657b72fab5a818b9c74f94afeab58acab1ec728056aec5fc09c45bef</t>
        </is>
      </c>
      <c r="P850" t="inlineStr">
        <is>
          <t>library/046_so-maldives/dining_menu/2025_so_maldives_citronelle-club_drinks-menu_1225.pdf</t>
        </is>
      </c>
      <c r="R850" t="inlineStr">
        <is>
          <t>current</t>
        </is>
      </c>
      <c r="S850" t="inlineStr">
        <is>
          <t>N</t>
        </is>
      </c>
      <c r="T850" t="inlineStr">
        <is>
          <t>matched</t>
        </is>
      </c>
      <c r="U850" t="inlineStr">
        <is>
          <t>2026-10-04</t>
        </is>
      </c>
      <c r="V850" t="inlineStr"/>
    </row>
    <row r="851">
      <c r="A851" t="n">
        <v>46</v>
      </c>
      <c r="B851" t="inlineStr">
        <is>
          <t>SO/ Maldives</t>
        </is>
      </c>
      <c r="C851" t="inlineStr">
        <is>
          <t>dining_menu</t>
        </is>
      </c>
      <c r="D851" t="inlineStr">
        <is>
          <t>2025_so_maldives_citronelle-club_indian-menu_1225.pdf</t>
        </is>
      </c>
      <c r="E851" t="n">
        <v>2025</v>
      </c>
      <c r="H851" t="n">
        <v>8</v>
      </c>
      <c r="I851" t="n">
        <v>371</v>
      </c>
      <c r="J851" t="inlineStr">
        <is>
          <t>Y</t>
        </is>
      </c>
      <c r="K851" t="inlineStr">
        <is>
          <t>so-hotels.com</t>
        </is>
      </c>
      <c r="L851" t="inlineStr">
        <is>
          <t>official</t>
        </is>
      </c>
      <c r="M851" t="inlineStr">
        <is>
          <t>https://so-hotels.com/wp-content/uploads/sites/19/2024/08/so_maldives_citronelle-club_indian-menu_1225.pdf</t>
        </is>
      </c>
      <c r="N851" t="inlineStr">
        <is>
          <t>https://so-hotels.com/wp-content/uploads/sites/19/2024/08/so_maldives_citronelle-club_indian-menu_1225.pdf</t>
        </is>
      </c>
      <c r="O851" t="inlineStr">
        <is>
          <t>20ca6e309a7130d709add9913989106d7a0a30da12f1fbd969f763b16b379e6e</t>
        </is>
      </c>
      <c r="P851" t="inlineStr">
        <is>
          <t>library/046_so-maldives/dining_menu/2025_so_maldives_citronelle-club_indian-menu_1225.pdf</t>
        </is>
      </c>
      <c r="R851" t="inlineStr">
        <is>
          <t>current</t>
        </is>
      </c>
      <c r="S851" t="inlineStr">
        <is>
          <t>N</t>
        </is>
      </c>
      <c r="T851" t="inlineStr">
        <is>
          <t>matched</t>
        </is>
      </c>
      <c r="U851" t="inlineStr">
        <is>
          <t>2026-10-04</t>
        </is>
      </c>
      <c r="V851" t="inlineStr"/>
    </row>
    <row r="852">
      <c r="A852" t="n">
        <v>46</v>
      </c>
      <c r="B852" t="inlineStr">
        <is>
          <t>SO/ Maldives</t>
        </is>
      </c>
      <c r="C852" t="inlineStr">
        <is>
          <t>dining_menu</t>
        </is>
      </c>
      <c r="D852" t="inlineStr">
        <is>
          <t>2025_so_maldives_citronelle-club_dinner-menu_1225.pdf</t>
        </is>
      </c>
      <c r="E852" t="n">
        <v>2025</v>
      </c>
      <c r="H852" t="n">
        <v>12</v>
      </c>
      <c r="I852" t="n">
        <v>614</v>
      </c>
      <c r="J852" t="inlineStr">
        <is>
          <t>Y</t>
        </is>
      </c>
      <c r="K852" t="inlineStr">
        <is>
          <t>so-hotels.com</t>
        </is>
      </c>
      <c r="L852" t="inlineStr">
        <is>
          <t>official</t>
        </is>
      </c>
      <c r="M852" t="inlineStr">
        <is>
          <t>https://so-hotels.com/wp-content/uploads/sites/19/2024/08/so_maldives_citronelle-club_dinner-menu_1225.pdf</t>
        </is>
      </c>
      <c r="N852" t="inlineStr">
        <is>
          <t>https://so-hotels.com/wp-content/uploads/sites/19/2024/08/so_maldives_citronelle-club_dinner-menu_1225.pdf</t>
        </is>
      </c>
      <c r="O852" t="inlineStr">
        <is>
          <t>4925878672d6156e5d3333ec40a34b65c30f865830886189cddeb24e3026a196</t>
        </is>
      </c>
      <c r="P852" t="inlineStr">
        <is>
          <t>library/046_so-maldives/dining_menu/2025_so_maldives_citronelle-club_dinner-menu_1225.pdf</t>
        </is>
      </c>
      <c r="R852" t="inlineStr">
        <is>
          <t>current</t>
        </is>
      </c>
      <c r="S852" t="inlineStr">
        <is>
          <t>N</t>
        </is>
      </c>
      <c r="T852" t="inlineStr">
        <is>
          <t>matched</t>
        </is>
      </c>
      <c r="U852" t="inlineStr">
        <is>
          <t>2026-10-04</t>
        </is>
      </c>
      <c r="V852" t="inlineStr"/>
    </row>
    <row r="853">
      <c r="A853" t="n">
        <v>46</v>
      </c>
      <c r="B853" t="inlineStr">
        <is>
          <t>SO/ Maldives</t>
        </is>
      </c>
      <c r="C853" t="inlineStr">
        <is>
          <t>dining_menu</t>
        </is>
      </c>
      <c r="D853" t="inlineStr">
        <is>
          <t>2025_so_maldives_citronelle-club_lunch-menu_1225.pdf</t>
        </is>
      </c>
      <c r="E853" t="n">
        <v>2025</v>
      </c>
      <c r="H853" t="n">
        <v>12</v>
      </c>
      <c r="I853" t="n">
        <v>623</v>
      </c>
      <c r="J853" t="inlineStr">
        <is>
          <t>Y</t>
        </is>
      </c>
      <c r="K853" t="inlineStr">
        <is>
          <t>so-hotels.com</t>
        </is>
      </c>
      <c r="L853" t="inlineStr">
        <is>
          <t>official</t>
        </is>
      </c>
      <c r="M853" t="inlineStr">
        <is>
          <t>https://so-hotels.com/wp-content/uploads/sites/19/2024/08/so_maldives_citronelle-club_lunch-menu_1225.pdf</t>
        </is>
      </c>
      <c r="N853" t="inlineStr">
        <is>
          <t>https://so-hotels.com/wp-content/uploads/sites/19/2024/08/so_maldives_citronelle-club_lunch-menu_1225.pdf</t>
        </is>
      </c>
      <c r="O853" t="inlineStr">
        <is>
          <t>ce5cd668d758ceac805b5028bd6301a76bbba69aea9b714d29e48fcc3183a9c4</t>
        </is>
      </c>
      <c r="P853" t="inlineStr">
        <is>
          <t>library/046_so-maldives/dining_menu/2025_so_maldives_citronelle-club_lunch-menu_1225.pdf</t>
        </is>
      </c>
      <c r="R853" t="inlineStr">
        <is>
          <t>current</t>
        </is>
      </c>
      <c r="S853" t="inlineStr">
        <is>
          <t>N</t>
        </is>
      </c>
      <c r="T853" t="inlineStr">
        <is>
          <t>matched</t>
        </is>
      </c>
      <c r="U853" t="inlineStr">
        <is>
          <t>2026-10-04</t>
        </is>
      </c>
      <c r="V853" t="inlineStr"/>
    </row>
    <row r="854">
      <c r="A854" t="n">
        <v>46</v>
      </c>
      <c r="B854" t="inlineStr">
        <is>
          <t>SO/ Maldives</t>
        </is>
      </c>
      <c r="C854" t="inlineStr">
        <is>
          <t>dining_menu</t>
        </is>
      </c>
      <c r="D854" t="inlineStr">
        <is>
          <t>2025_so_maldives_citronelle-club_breakfast-menu_1225.pdf</t>
        </is>
      </c>
      <c r="E854" t="n">
        <v>2025</v>
      </c>
      <c r="H854" t="n">
        <v>4</v>
      </c>
      <c r="I854" t="n">
        <v>297</v>
      </c>
      <c r="J854" t="inlineStr">
        <is>
          <t>Y</t>
        </is>
      </c>
      <c r="K854" t="inlineStr">
        <is>
          <t>so-hotels.com</t>
        </is>
      </c>
      <c r="L854" t="inlineStr">
        <is>
          <t>official</t>
        </is>
      </c>
      <c r="M854" t="inlineStr">
        <is>
          <t>https://so-hotels.com/wp-content/uploads/sites/19/2024/08/so_maldives_citronelle-club_breakfast-menu_1225.pdf</t>
        </is>
      </c>
      <c r="N854" t="inlineStr">
        <is>
          <t>https://so-hotels.com/wp-content/uploads/sites/19/2024/08/so_maldives_citronelle-club_breakfast-menu_1225.pdf</t>
        </is>
      </c>
      <c r="O854" t="inlineStr">
        <is>
          <t>1e550e6058a767d10a83c03ebd3efb49fcf881851c5d9c602cfb093821c1fa67</t>
        </is>
      </c>
      <c r="P854" t="inlineStr">
        <is>
          <t>library/046_so-maldives/dining_menu/2025_so_maldives_citronelle-club_breakfast-menu_1225.pdf</t>
        </is>
      </c>
      <c r="R854" t="inlineStr">
        <is>
          <t>current</t>
        </is>
      </c>
      <c r="S854" t="inlineStr">
        <is>
          <t>N</t>
        </is>
      </c>
      <c r="T854" t="inlineStr">
        <is>
          <t>matched</t>
        </is>
      </c>
      <c r="U854" t="inlineStr">
        <is>
          <t>2026-10-04</t>
        </is>
      </c>
      <c r="V854" t="inlineStr"/>
    </row>
    <row r="855">
      <c r="A855" t="n">
        <v>46</v>
      </c>
      <c r="B855" t="inlineStr">
        <is>
          <t>SO/ Maldives</t>
        </is>
      </c>
      <c r="C855" t="inlineStr">
        <is>
          <t>dining_menu</t>
        </is>
      </c>
      <c r="D855" t="inlineStr">
        <is>
          <t>2025_so_maldives_citronelle-club_kids-menu_1225.pdf</t>
        </is>
      </c>
      <c r="E855" t="n">
        <v>2025</v>
      </c>
      <c r="H855" t="n">
        <v>2</v>
      </c>
      <c r="I855" t="n">
        <v>2737</v>
      </c>
      <c r="J855" t="inlineStr">
        <is>
          <t>Y</t>
        </is>
      </c>
      <c r="K855" t="inlineStr">
        <is>
          <t>so-hotels.com</t>
        </is>
      </c>
      <c r="L855" t="inlineStr">
        <is>
          <t>official</t>
        </is>
      </c>
      <c r="M855" t="inlineStr">
        <is>
          <t>https://so-hotels.com/wp-content/uploads/sites/19/2024/08/so_maldives_citronelle-club_kids-menu_1225.pdf</t>
        </is>
      </c>
      <c r="N855" t="inlineStr">
        <is>
          <t>https://so-hotels.com/wp-content/uploads/sites/19/2024/08/so_maldives_citronelle-club_kids-menu_1225.pdf</t>
        </is>
      </c>
      <c r="O855" t="inlineStr">
        <is>
          <t>6dca8217427c55dd23d1c91769966d123bb42b44c9b3182cfebcb6940215be82</t>
        </is>
      </c>
      <c r="P855" t="inlineStr">
        <is>
          <t>library/046_so-maldives/dining_menu/2025_so_maldives_citronelle-club_kids-menu_1225.pdf</t>
        </is>
      </c>
      <c r="R855" t="inlineStr">
        <is>
          <t>current</t>
        </is>
      </c>
      <c r="S855" t="inlineStr">
        <is>
          <t>N</t>
        </is>
      </c>
      <c r="T855" t="inlineStr">
        <is>
          <t>matched</t>
        </is>
      </c>
      <c r="U855" t="inlineStr">
        <is>
          <t>2026-10-04</t>
        </is>
      </c>
      <c r="V855" t="inlineStr"/>
    </row>
    <row r="856">
      <c r="A856" t="n">
        <v>46</v>
      </c>
      <c r="B856" t="inlineStr">
        <is>
          <t>SO/ Maldives</t>
        </is>
      </c>
      <c r="C856" t="inlineStr">
        <is>
          <t>dining_menu</t>
        </is>
      </c>
      <c r="D856" t="inlineStr">
        <is>
          <t>2025_so_maldives_citronelle-club_kinds-breakfast-menu_1225.pdf</t>
        </is>
      </c>
      <c r="E856" t="n">
        <v>2025</v>
      </c>
      <c r="H856" t="n">
        <v>1</v>
      </c>
      <c r="I856" t="n">
        <v>1991</v>
      </c>
      <c r="J856" t="inlineStr">
        <is>
          <t>Y</t>
        </is>
      </c>
      <c r="K856" t="inlineStr">
        <is>
          <t>so-hotels.com</t>
        </is>
      </c>
      <c r="L856" t="inlineStr">
        <is>
          <t>official</t>
        </is>
      </c>
      <c r="M856" t="inlineStr">
        <is>
          <t>https://so-hotels.com/wp-content/uploads/sites/19/2024/08/so_maldives_citronelle-club_kinds-breakfast-menu_1225.pdf</t>
        </is>
      </c>
      <c r="N856" t="inlineStr">
        <is>
          <t>https://so-hotels.com/wp-content/uploads/sites/19/2024/08/so_maldives_citronelle-club_kinds-breakfast-menu_1225.pdf</t>
        </is>
      </c>
      <c r="O856" t="inlineStr">
        <is>
          <t>6155361af196a3ee71acf287a01891b8a0c87caeef37a6a17760991879d1a925</t>
        </is>
      </c>
      <c r="P856" t="inlineStr">
        <is>
          <t>library/046_so-maldives/dining_menu/2025_so_maldives_citronelle-club_kinds-breakfast-menu_1225.pdf</t>
        </is>
      </c>
      <c r="R856" t="inlineStr">
        <is>
          <t>current</t>
        </is>
      </c>
      <c r="S856" t="inlineStr">
        <is>
          <t>N</t>
        </is>
      </c>
      <c r="T856" t="inlineStr">
        <is>
          <t>matched</t>
        </is>
      </c>
      <c r="U856" t="inlineStr">
        <is>
          <t>2026-10-04</t>
        </is>
      </c>
      <c r="V856" t="inlineStr"/>
    </row>
    <row r="857">
      <c r="A857" t="n">
        <v>46</v>
      </c>
      <c r="B857" t="inlineStr">
        <is>
          <t>SO/ Maldives</t>
        </is>
      </c>
      <c r="C857" t="inlineStr">
        <is>
          <t>dining_menu</t>
        </is>
      </c>
      <c r="D857" t="inlineStr">
        <is>
          <t>2025_so_maldives_in-villa-dining_drinks-menu_1225.pdf</t>
        </is>
      </c>
      <c r="E857" t="n">
        <v>2025</v>
      </c>
      <c r="H857" t="n">
        <v>9</v>
      </c>
      <c r="I857" t="n">
        <v>78</v>
      </c>
      <c r="J857" t="inlineStr">
        <is>
          <t>Y</t>
        </is>
      </c>
      <c r="K857" t="inlineStr">
        <is>
          <t>so-hotels.com</t>
        </is>
      </c>
      <c r="L857" t="inlineStr">
        <is>
          <t>official</t>
        </is>
      </c>
      <c r="M857" t="inlineStr">
        <is>
          <t>https://so-hotels.com/wp-content/uploads/sites/19/2024/08/so_maldives_in-villa-dining_drinks-menu_1225.pdf</t>
        </is>
      </c>
      <c r="N857" t="inlineStr">
        <is>
          <t>https://so-hotels.com/wp-content/uploads/sites/19/2024/08/so_maldives_in-villa-dining_drinks-menu_1225.pdf</t>
        </is>
      </c>
      <c r="O857" t="inlineStr">
        <is>
          <t>c7048102ef92885861c401c4ae8d27652726ec5a1cf498a97e0351380d71504a</t>
        </is>
      </c>
      <c r="P857" t="inlineStr">
        <is>
          <t>library/046_so-maldives/dining_menu/2025_so_maldives_in-villa-dining_drinks-menu_1225.pdf</t>
        </is>
      </c>
      <c r="R857" t="inlineStr">
        <is>
          <t>current</t>
        </is>
      </c>
      <c r="S857" t="inlineStr">
        <is>
          <t>N</t>
        </is>
      </c>
      <c r="T857" t="inlineStr">
        <is>
          <t>matched</t>
        </is>
      </c>
      <c r="U857" t="inlineStr">
        <is>
          <t>2026-10-04</t>
        </is>
      </c>
      <c r="V857" t="inlineStr"/>
    </row>
    <row r="858">
      <c r="A858" t="n">
        <v>46</v>
      </c>
      <c r="B858" t="inlineStr">
        <is>
          <t>SO/ Maldives</t>
        </is>
      </c>
      <c r="C858" t="inlineStr">
        <is>
          <t>dining_menu</t>
        </is>
      </c>
      <c r="D858" t="inlineStr">
        <is>
          <t>2025_so_maldives_in-villa-dining_food-menu_1225.pdf</t>
        </is>
      </c>
      <c r="E858" t="n">
        <v>2025</v>
      </c>
      <c r="H858" t="n">
        <v>20</v>
      </c>
      <c r="I858" t="n">
        <v>190</v>
      </c>
      <c r="J858" t="inlineStr">
        <is>
          <t>Y</t>
        </is>
      </c>
      <c r="K858" t="inlineStr">
        <is>
          <t>so-hotels.com</t>
        </is>
      </c>
      <c r="L858" t="inlineStr">
        <is>
          <t>official</t>
        </is>
      </c>
      <c r="M858" t="inlineStr">
        <is>
          <t>https://so-hotels.com/wp-content/uploads/sites/19/2024/08/so_maldives_in-villa-dining_food-menu_1225.pdf</t>
        </is>
      </c>
      <c r="N858" t="inlineStr">
        <is>
          <t>https://so-hotels.com/wp-content/uploads/sites/19/2024/08/so_maldives_in-villa-dining_food-menu_1225.pdf</t>
        </is>
      </c>
      <c r="O858" t="inlineStr">
        <is>
          <t>654ca66bd438d30904e2cd5c500e908a8f1d73272c8f669c73d3006728bb4c19</t>
        </is>
      </c>
      <c r="P858" t="inlineStr">
        <is>
          <t>library/046_so-maldives/dining_menu/2025_so_maldives_in-villa-dining_food-menu_1225.pdf</t>
        </is>
      </c>
      <c r="R858" t="inlineStr">
        <is>
          <t>current</t>
        </is>
      </c>
      <c r="S858" t="inlineStr">
        <is>
          <t>N</t>
        </is>
      </c>
      <c r="T858" t="inlineStr">
        <is>
          <t>matched</t>
        </is>
      </c>
      <c r="U858" t="inlineStr">
        <is>
          <t>2026-10-04</t>
        </is>
      </c>
      <c r="V858" t="inlineStr"/>
    </row>
    <row r="859">
      <c r="A859" t="n">
        <v>46</v>
      </c>
      <c r="B859" t="inlineStr">
        <is>
          <t>SO/ Maldives</t>
        </is>
      </c>
      <c r="C859" t="inlineStr">
        <is>
          <t>dining_menu</t>
        </is>
      </c>
      <c r="D859" t="inlineStr">
        <is>
          <t>2025_so_maldives_destination-dining_1225.pdf</t>
        </is>
      </c>
      <c r="E859" t="n">
        <v>2025</v>
      </c>
      <c r="H859" t="n">
        <v>5</v>
      </c>
      <c r="I859" t="n">
        <v>3698</v>
      </c>
      <c r="J859" t="inlineStr">
        <is>
          <t>Y</t>
        </is>
      </c>
      <c r="K859" t="inlineStr">
        <is>
          <t>so-hotels.com</t>
        </is>
      </c>
      <c r="L859" t="inlineStr">
        <is>
          <t>official</t>
        </is>
      </c>
      <c r="M859" t="inlineStr">
        <is>
          <t>https://so-hotels.com/wp-content/uploads/sites/19/2024/08/so_maldives_destination-dining_1225.pdf</t>
        </is>
      </c>
      <c r="N859" t="inlineStr">
        <is>
          <t>https://so-hotels.com/wp-content/uploads/sites/19/2024/08/so_maldives_destination-dining_1225.pdf</t>
        </is>
      </c>
      <c r="O859" t="inlineStr">
        <is>
          <t>bd9619a0a7fa20e4456d49f4f4647ef26344968294adc9dcced7efa6eaa770c4</t>
        </is>
      </c>
      <c r="P859" t="inlineStr">
        <is>
          <t>library/046_so-maldives/dining_menu/2025_so_maldives_destination-dining_1225.pdf</t>
        </is>
      </c>
      <c r="R859" t="inlineStr">
        <is>
          <t>current</t>
        </is>
      </c>
      <c r="S859" t="inlineStr">
        <is>
          <t>N</t>
        </is>
      </c>
      <c r="T859" t="inlineStr">
        <is>
          <t>matched</t>
        </is>
      </c>
      <c r="U859" t="inlineStr">
        <is>
          <t>2026-10-04</t>
        </is>
      </c>
      <c r="V859" t="inlineStr"/>
    </row>
    <row r="860">
      <c r="A860" t="n">
        <v>46</v>
      </c>
      <c r="B860" t="inlineStr">
        <is>
          <t>SO/ Maldives</t>
        </is>
      </c>
      <c r="C860" t="inlineStr">
        <is>
          <t>dining_menu</t>
        </is>
      </c>
      <c r="D860" t="inlineStr">
        <is>
          <t>2025_so_maldives_floating-breakfast_1225.pdf</t>
        </is>
      </c>
      <c r="E860" t="n">
        <v>2025</v>
      </c>
      <c r="H860" t="n">
        <v>4</v>
      </c>
      <c r="I860" t="n">
        <v>4215</v>
      </c>
      <c r="J860" t="inlineStr">
        <is>
          <t>Y</t>
        </is>
      </c>
      <c r="K860" t="inlineStr">
        <is>
          <t>so-hotels.com</t>
        </is>
      </c>
      <c r="L860" t="inlineStr">
        <is>
          <t>official</t>
        </is>
      </c>
      <c r="M860" t="inlineStr">
        <is>
          <t>https://so-hotels.com/wp-content/uploads/sites/19/2024/08/so_maldives_floating-breakfast_1225.pdf</t>
        </is>
      </c>
      <c r="N860" t="inlineStr">
        <is>
          <t>https://so-hotels.com/wp-content/uploads/sites/19/2024/08/so_maldives_floating-breakfast_1225.pdf</t>
        </is>
      </c>
      <c r="O860" t="inlineStr">
        <is>
          <t>3c5683e34972a2ddffc8bec1e9537b398ee680ae510e08385285ee98ef431778</t>
        </is>
      </c>
      <c r="P860" t="inlineStr">
        <is>
          <t>library/046_so-maldives/dining_menu/2025_so_maldives_floating-breakfast_1225.pdf</t>
        </is>
      </c>
      <c r="R860" t="inlineStr">
        <is>
          <t>current</t>
        </is>
      </c>
      <c r="S860" t="inlineStr">
        <is>
          <t>N</t>
        </is>
      </c>
      <c r="T860" t="inlineStr">
        <is>
          <t>matched</t>
        </is>
      </c>
      <c r="U860" t="inlineStr">
        <is>
          <t>2026-10-04</t>
        </is>
      </c>
      <c r="V860" t="inlineStr"/>
    </row>
    <row r="861">
      <c r="A861" t="n">
        <v>46</v>
      </c>
      <c r="B861" t="inlineStr">
        <is>
          <t>SO/ Maldives</t>
        </is>
      </c>
      <c r="C861" t="inlineStr">
        <is>
          <t>dining_menu</t>
        </is>
      </c>
      <c r="D861" t="inlineStr">
        <is>
          <t>2018_so_maldives_hadaba_wine-menu_1225.pdf</t>
        </is>
      </c>
      <c r="E861" t="n">
        <v>2018</v>
      </c>
      <c r="H861" t="n">
        <v>12</v>
      </c>
      <c r="I861" t="n">
        <v>419</v>
      </c>
      <c r="J861" t="inlineStr">
        <is>
          <t>Y</t>
        </is>
      </c>
      <c r="K861" t="inlineStr">
        <is>
          <t>so-hotels.com</t>
        </is>
      </c>
      <c r="L861" t="inlineStr">
        <is>
          <t>official</t>
        </is>
      </c>
      <c r="M861" t="inlineStr">
        <is>
          <t>https://so-hotels.com/wp-content/uploads/sites/19/2024/08/so_maldives_hadaba_wine-menu_1225.pdf</t>
        </is>
      </c>
      <c r="N861" t="inlineStr">
        <is>
          <t>https://so-hotels.com/wp-content/uploads/sites/19/2024/08/so_maldives_hadaba_wine-menu_1225.pdf</t>
        </is>
      </c>
      <c r="O861" t="inlineStr">
        <is>
          <t>ffa2261bec0cff9f1a4d8d64f8bac3ad8a700e0e11cac930852550d9a8d29e82</t>
        </is>
      </c>
      <c r="P861" t="inlineStr">
        <is>
          <t>library/046_so-maldives/dining_menu/2018_so_maldives_hadaba_wine-menu_1225.pdf</t>
        </is>
      </c>
      <c r="R861" t="inlineStr">
        <is>
          <t>outdated</t>
        </is>
      </c>
      <c r="S861" t="inlineStr">
        <is>
          <t>N</t>
        </is>
      </c>
      <c r="T861" t="inlineStr">
        <is>
          <t>matched</t>
        </is>
      </c>
      <c r="U861" t="inlineStr">
        <is>
          <t>2026-10-04</t>
        </is>
      </c>
      <c r="V861" t="inlineStr"/>
    </row>
    <row r="862">
      <c r="A862" t="n">
        <v>46</v>
      </c>
      <c r="B862" t="inlineStr">
        <is>
          <t>SO/ Maldives</t>
        </is>
      </c>
      <c r="C862" t="inlineStr">
        <is>
          <t>dining_menu</t>
        </is>
      </c>
      <c r="D862" t="inlineStr">
        <is>
          <t>2018_so_maldives_citronelle-club_wine-menu_1225.pdf</t>
        </is>
      </c>
      <c r="E862" t="n">
        <v>2018</v>
      </c>
      <c r="H862" t="n">
        <v>12</v>
      </c>
      <c r="I862" t="n">
        <v>272</v>
      </c>
      <c r="J862" t="inlineStr">
        <is>
          <t>Y</t>
        </is>
      </c>
      <c r="K862" t="inlineStr">
        <is>
          <t>so-hotels.com</t>
        </is>
      </c>
      <c r="L862" t="inlineStr">
        <is>
          <t>official</t>
        </is>
      </c>
      <c r="M862" t="inlineStr">
        <is>
          <t>https://so-hotels.com/wp-content/uploads/sites/19/2024/08/so_maldives_citronelle-club_wine-menu_1225.pdf</t>
        </is>
      </c>
      <c r="N862" t="inlineStr">
        <is>
          <t>https://so-hotels.com/wp-content/uploads/sites/19/2024/08/so_maldives_citronelle-club_wine-menu_1225.pdf</t>
        </is>
      </c>
      <c r="O862" t="inlineStr">
        <is>
          <t>6396fbbb5137330a07e559222ea80984fee04b8015436d79f15b57e6d93eb0f1</t>
        </is>
      </c>
      <c r="P862" t="inlineStr">
        <is>
          <t>library/046_so-maldives/dining_menu/2018_so_maldives_citronelle-club_wine-menu_1225.pdf</t>
        </is>
      </c>
      <c r="R862" t="inlineStr">
        <is>
          <t>outdated</t>
        </is>
      </c>
      <c r="S862" t="inlineStr">
        <is>
          <t>N</t>
        </is>
      </c>
      <c r="T862" t="inlineStr">
        <is>
          <t>matched</t>
        </is>
      </c>
      <c r="U862" t="inlineStr">
        <is>
          <t>2026-10-04</t>
        </is>
      </c>
      <c r="V862" t="inlineStr"/>
    </row>
    <row r="863">
      <c r="A863" t="n">
        <v>46</v>
      </c>
      <c r="B863" t="inlineStr">
        <is>
          <t>SO/ Maldives</t>
        </is>
      </c>
      <c r="C863" t="inlineStr">
        <is>
          <t>excursions</t>
        </is>
      </c>
      <c r="D863" t="inlineStr">
        <is>
          <t>2026_so_maldives_experiences_island-discoveries_crossroads.pdf</t>
        </is>
      </c>
      <c r="E863" t="n">
        <v>2026</v>
      </c>
      <c r="H863" t="n">
        <v>1</v>
      </c>
      <c r="I863" t="n">
        <v>253</v>
      </c>
      <c r="J863" t="inlineStr">
        <is>
          <t>N</t>
        </is>
      </c>
      <c r="K863" t="inlineStr">
        <is>
          <t>so-hotels.com</t>
        </is>
      </c>
      <c r="L863" t="inlineStr">
        <is>
          <t>official</t>
        </is>
      </c>
      <c r="M863" t="inlineStr">
        <is>
          <t>https://so-hotels.com/wp-content/uploads/sites/19/2025/07/so_maldives_experiences_island-discoveries_crossroads.pdf</t>
        </is>
      </c>
      <c r="N863" t="inlineStr">
        <is>
          <t>https://so-hotels.com/wp-content/uploads/sites/19/2025/07/so_maldives_experiences_island-discoveries_crossroads.pdf</t>
        </is>
      </c>
      <c r="O863" t="inlineStr">
        <is>
          <t>b21bc08760ca90384d294774133d1c633c619e5821c737138674a4908e187697</t>
        </is>
      </c>
      <c r="P863" t="inlineStr">
        <is>
          <t>library/046_so-maldives/excursions/2026_so_maldives_experiences_island-discoveries_crossroads.pdf</t>
        </is>
      </c>
      <c r="R863" t="inlineStr">
        <is>
          <t>current</t>
        </is>
      </c>
      <c r="S863" t="inlineStr">
        <is>
          <t>Y</t>
        </is>
      </c>
      <c r="T863" t="inlineStr">
        <is>
          <t>matched</t>
        </is>
      </c>
      <c r="U863" t="inlineStr">
        <is>
          <t>2026-10-04</t>
        </is>
      </c>
      <c r="V863" t="inlineStr"/>
    </row>
    <row r="864">
      <c r="A864" t="n">
        <v>46</v>
      </c>
      <c r="B864" t="inlineStr">
        <is>
          <t>SO/ Maldives</t>
        </is>
      </c>
      <c r="C864" t="inlineStr">
        <is>
          <t>excursions</t>
        </is>
      </c>
      <c r="D864" t="inlineStr">
        <is>
          <t>2025_so_maldives_activities_photography_pricing_july2025.pdf</t>
        </is>
      </c>
      <c r="E864" t="n">
        <v>2025</v>
      </c>
      <c r="H864" t="n">
        <v>10</v>
      </c>
      <c r="I864" t="n">
        <v>8894</v>
      </c>
      <c r="J864" t="inlineStr">
        <is>
          <t>Y</t>
        </is>
      </c>
      <c r="K864" t="inlineStr">
        <is>
          <t>so-hotels.com</t>
        </is>
      </c>
      <c r="L864" t="inlineStr">
        <is>
          <t>official</t>
        </is>
      </c>
      <c r="M864" t="inlineStr">
        <is>
          <t>https://so-hotels.com/wp-content/uploads/sites/19/2025/07/so_maldives_activities_photography_pricing_july2025.pdf</t>
        </is>
      </c>
      <c r="N864" t="inlineStr">
        <is>
          <t>https://so-hotels.com/wp-content/uploads/sites/19/2025/07/so_maldives_activities_photography_pricing_july2025.pdf</t>
        </is>
      </c>
      <c r="O864" t="inlineStr">
        <is>
          <t>6390b08013057459e7bbd7b8effb1846d2cffe6da932a5644d54a4650678eae0</t>
        </is>
      </c>
      <c r="P864" t="inlineStr">
        <is>
          <t>library/046_so-maldives/excursions/2025_so_maldives_activities_photography_pricing_july2025.pdf</t>
        </is>
      </c>
      <c r="R864" t="inlineStr">
        <is>
          <t>current</t>
        </is>
      </c>
      <c r="S864" t="inlineStr">
        <is>
          <t>N</t>
        </is>
      </c>
      <c r="T864" t="inlineStr">
        <is>
          <t>matched</t>
        </is>
      </c>
      <c r="U864" t="inlineStr">
        <is>
          <t>2026-10-04</t>
        </is>
      </c>
      <c r="V864" t="inlineStr"/>
    </row>
    <row r="865">
      <c r="A865" t="n">
        <v>46</v>
      </c>
      <c r="B865" t="inlineStr">
        <is>
          <t>SO/ Maldives</t>
        </is>
      </c>
      <c r="C865" t="inlineStr">
        <is>
          <t>villa_plans</t>
        </is>
      </c>
      <c r="D865" t="inlineStr">
        <is>
          <t>2025_so_global_press-release_suites_DE.pdf</t>
        </is>
      </c>
      <c r="E865" t="n">
        <v>2025</v>
      </c>
      <c r="H865" t="n">
        <v>5</v>
      </c>
      <c r="I865" t="n">
        <v>1545</v>
      </c>
      <c r="J865" t="inlineStr">
        <is>
          <t>Y</t>
        </is>
      </c>
      <c r="K865" t="inlineStr">
        <is>
          <t>so-hotels.com</t>
        </is>
      </c>
      <c r="L865" t="inlineStr">
        <is>
          <t>official</t>
        </is>
      </c>
      <c r="M865" t="inlineStr">
        <is>
          <t>https://so-hotels.com/wp-content/uploads/sites/19/2026/02/so_global_press-release_suites_DE.pdf</t>
        </is>
      </c>
      <c r="N865" t="inlineStr">
        <is>
          <t>https://so-hotels.com/wp-content/uploads/sites/19/2026/02/so_global_press-release_suites_DE.pdf</t>
        </is>
      </c>
      <c r="O865" t="inlineStr">
        <is>
          <t>cebb8188edef2f4995885c126ab250f37aa8e133f9568ec1cf88e433cb009c67</t>
        </is>
      </c>
      <c r="P865" t="inlineStr">
        <is>
          <t>library/046_so-maldives/villa_plans/2025_so_global_press-release_suites_DE.pdf</t>
        </is>
      </c>
      <c r="R865" t="inlineStr">
        <is>
          <t>current</t>
        </is>
      </c>
      <c r="S865" t="inlineStr">
        <is>
          <t>Y</t>
        </is>
      </c>
      <c r="T865" t="inlineStr">
        <is>
          <t>matched</t>
        </is>
      </c>
      <c r="U865" t="inlineStr">
        <is>
          <t>2026-10-04</t>
        </is>
      </c>
      <c r="V865" t="inlineStr"/>
    </row>
    <row r="866">
      <c r="A866" t="n">
        <v>46</v>
      </c>
      <c r="B866" t="inlineStr">
        <is>
          <t>SO/ Maldives</t>
        </is>
      </c>
      <c r="C866" t="inlineStr">
        <is>
          <t>villa_plans</t>
        </is>
      </c>
      <c r="D866" t="inlineStr">
        <is>
          <t>2025_so_global_press-release_suites_EN.pdf</t>
        </is>
      </c>
      <c r="E866" t="n">
        <v>2025</v>
      </c>
      <c r="H866" t="n">
        <v>5</v>
      </c>
      <c r="I866" t="n">
        <v>1272</v>
      </c>
      <c r="J866" t="inlineStr">
        <is>
          <t>Y</t>
        </is>
      </c>
      <c r="K866" t="inlineStr">
        <is>
          <t>so-hotels.com</t>
        </is>
      </c>
      <c r="L866" t="inlineStr">
        <is>
          <t>official</t>
        </is>
      </c>
      <c r="M866" t="inlineStr">
        <is>
          <t>https://so-hotels.com/wp-content/uploads/sites/19/2026/02/so_global_press-release_suites_EN.pdf</t>
        </is>
      </c>
      <c r="N866" t="inlineStr">
        <is>
          <t>https://so-hotels.com/wp-content/uploads/sites/19/2026/02/so_global_press-release_suites_EN.pdf</t>
        </is>
      </c>
      <c r="O866" t="inlineStr">
        <is>
          <t>e315f9909682c162ec2bf739a619768fe3ec2dbc4180bc5945b56ffd84d721bc</t>
        </is>
      </c>
      <c r="P866" t="inlineStr">
        <is>
          <t>library/046_so-maldives/villa_plans/2025_so_global_press-release_suites_EN.pdf</t>
        </is>
      </c>
      <c r="R866" t="inlineStr">
        <is>
          <t>current</t>
        </is>
      </c>
      <c r="S866" t="inlineStr">
        <is>
          <t>N</t>
        </is>
      </c>
      <c r="T866" t="inlineStr">
        <is>
          <t>matched</t>
        </is>
      </c>
      <c r="U866" t="inlineStr">
        <is>
          <t>2026-10-04</t>
        </is>
      </c>
      <c r="V866" t="inlineStr"/>
    </row>
    <row r="867">
      <c r="A867" t="n">
        <v>46</v>
      </c>
      <c r="B867" t="inlineStr">
        <is>
          <t>SO/ Maldives</t>
        </is>
      </c>
      <c r="C867" t="inlineStr">
        <is>
          <t>all_inclusive</t>
        </is>
      </c>
      <c r="D867" t="inlineStr">
        <is>
          <t>2026_so_vienna_christmas-packages_2026_EN.pdf</t>
        </is>
      </c>
      <c r="E867" t="n">
        <v>2026</v>
      </c>
      <c r="H867" t="n">
        <v>2</v>
      </c>
      <c r="I867" t="n">
        <v>1659</v>
      </c>
      <c r="J867" t="inlineStr">
        <is>
          <t>Y</t>
        </is>
      </c>
      <c r="K867" t="inlineStr">
        <is>
          <t>so-hotels.com</t>
        </is>
      </c>
      <c r="L867" t="inlineStr">
        <is>
          <t>official</t>
        </is>
      </c>
      <c r="M867" t="inlineStr">
        <is>
          <t>https://so-hotels.com/wp-content/uploads/sites/19/2026/09/so_vienna_christmas-packages_2026_EN.pdf</t>
        </is>
      </c>
      <c r="N867" t="inlineStr">
        <is>
          <t>https://so-hotels.com/wp-content/uploads/sites/19/2026/09/so_vienna_christmas-packages_2026_EN.pdf</t>
        </is>
      </c>
      <c r="O867" t="inlineStr">
        <is>
          <t>f89f78c5cf43fb234be83b944ebb6e5a64f5357a7fbfbaa6de2ad5b9118999c6</t>
        </is>
      </c>
      <c r="P867" t="inlineStr">
        <is>
          <t>library/046_so-maldives/all_inclusive/2026_so_vienna_christmas-packages_2026_EN.pdf</t>
        </is>
      </c>
      <c r="R867" t="inlineStr">
        <is>
          <t>current</t>
        </is>
      </c>
      <c r="S867" t="inlineStr">
        <is>
          <t>Y</t>
        </is>
      </c>
      <c r="T867" t="inlineStr">
        <is>
          <t>needs-review</t>
        </is>
      </c>
      <c r="U867" t="inlineStr">
        <is>
          <t>2026-10-04</t>
        </is>
      </c>
      <c r="V867" t="inlineStr">
        <is>
          <t>ambiguous match [46]</t>
        </is>
      </c>
    </row>
    <row r="868">
      <c r="A868" t="n">
        <v>46</v>
      </c>
      <c r="B868" t="inlineStr">
        <is>
          <t>SO/ Maldives</t>
        </is>
      </c>
      <c r="C868" t="inlineStr">
        <is>
          <t>all_inclusive</t>
        </is>
      </c>
      <c r="D868" t="inlineStr">
        <is>
          <t>2026_so_vienna_christmas-packages_2026_DE.pdf</t>
        </is>
      </c>
      <c r="E868" t="n">
        <v>2026</v>
      </c>
      <c r="H868" t="n">
        <v>2</v>
      </c>
      <c r="I868" t="n">
        <v>1662</v>
      </c>
      <c r="J868" t="inlineStr">
        <is>
          <t>Y</t>
        </is>
      </c>
      <c r="K868" t="inlineStr">
        <is>
          <t>so-hotels.com</t>
        </is>
      </c>
      <c r="L868" t="inlineStr">
        <is>
          <t>official</t>
        </is>
      </c>
      <c r="M868" t="inlineStr">
        <is>
          <t>https://so-hotels.com/wp-content/uploads/sites/19/2026/09/so_vienna_christmas-packages_2026_DE.pdf</t>
        </is>
      </c>
      <c r="N868" t="inlineStr">
        <is>
          <t>https://so-hotels.com/wp-content/uploads/sites/19/2026/09/so_vienna_christmas-packages_2026_DE.pdf</t>
        </is>
      </c>
      <c r="O868" t="inlineStr">
        <is>
          <t>2fa79772459653ad31260243568a7c7ba10266bde34af755841ab8ac52f83ef3</t>
        </is>
      </c>
      <c r="P868" t="inlineStr">
        <is>
          <t>library/046_so-maldives/all_inclusive/2026_so_vienna_christmas-packages_2026_DE.pdf</t>
        </is>
      </c>
      <c r="R868" t="inlineStr">
        <is>
          <t>current</t>
        </is>
      </c>
      <c r="S868" t="inlineStr">
        <is>
          <t>N</t>
        </is>
      </c>
      <c r="T868" t="inlineStr">
        <is>
          <t>needs-review</t>
        </is>
      </c>
      <c r="U868" t="inlineStr">
        <is>
          <t>2026-10-04</t>
        </is>
      </c>
      <c r="V868" t="inlineStr">
        <is>
          <t>ambiguous match [46]</t>
        </is>
      </c>
    </row>
    <row r="869">
      <c r="A869" t="n">
        <v>46</v>
      </c>
      <c r="B869" t="inlineStr">
        <is>
          <t>SO/ Maldives</t>
        </is>
      </c>
      <c r="C869" t="inlineStr">
        <is>
          <t>all_inclusive</t>
        </is>
      </c>
      <c r="D869" t="inlineStr">
        <is>
          <t>2025_so_maldives_rampb_meal-plans_sep2025.pdf</t>
        </is>
      </c>
      <c r="E869" t="n">
        <v>2025</v>
      </c>
      <c r="H869" t="n">
        <v>1</v>
      </c>
      <c r="I869" t="n">
        <v>49</v>
      </c>
      <c r="J869" t="inlineStr">
        <is>
          <t>Y</t>
        </is>
      </c>
      <c r="K869" t="inlineStr">
        <is>
          <t>so-hotels.com</t>
        </is>
      </c>
      <c r="L869" t="inlineStr">
        <is>
          <t>official</t>
        </is>
      </c>
      <c r="M869" t="inlineStr">
        <is>
          <t>https://so-hotels.com/wp-content/uploads/sites/19/2025/09/so_maldives_rampb_meal-plans_sep2025.pdf</t>
        </is>
      </c>
      <c r="N869" t="inlineStr">
        <is>
          <t>https://so-hotels.com/wp-content/uploads/sites/19/2025/09/so_maldives_rampb_meal-plans_sep2025.pdf</t>
        </is>
      </c>
      <c r="O869" t="inlineStr">
        <is>
          <t>048c27420e302e1bc98cdddc71690ca9104faddc94e15d2bbee50d57d745e9ea</t>
        </is>
      </c>
      <c r="P869" t="inlineStr">
        <is>
          <t>library/046_so-maldives/all_inclusive/2025_so_maldives_rampb_meal-plans_sep2025.pdf</t>
        </is>
      </c>
      <c r="R869" t="inlineStr">
        <is>
          <t>current</t>
        </is>
      </c>
      <c r="S869" t="inlineStr">
        <is>
          <t>N</t>
        </is>
      </c>
      <c r="T869" t="inlineStr">
        <is>
          <t>matched</t>
        </is>
      </c>
      <c r="U869" t="inlineStr">
        <is>
          <t>2026-10-04</t>
        </is>
      </c>
      <c r="V869" t="inlineStr"/>
    </row>
    <row r="870">
      <c r="A870" t="n">
        <v>46</v>
      </c>
      <c r="B870" t="inlineStr">
        <is>
          <t>SO/ Maldives</t>
        </is>
      </c>
      <c r="C870" t="inlineStr">
        <is>
          <t>sustainability</t>
        </is>
      </c>
      <c r="D870" t="inlineStr">
        <is>
          <t>2025_so_maldives_press-release_greenglobe_EN.pdf</t>
        </is>
      </c>
      <c r="E870" t="n">
        <v>2025</v>
      </c>
      <c r="H870" t="n">
        <v>4</v>
      </c>
      <c r="I870" t="n">
        <v>297</v>
      </c>
      <c r="J870" t="inlineStr">
        <is>
          <t>Y</t>
        </is>
      </c>
      <c r="K870" t="inlineStr">
        <is>
          <t>so-hotels.com</t>
        </is>
      </c>
      <c r="L870" t="inlineStr">
        <is>
          <t>official</t>
        </is>
      </c>
      <c r="M870" t="inlineStr">
        <is>
          <t>https://so-hotels.com/wp-content/uploads/sites/19/2025/12/so_maldives_press-release_greenglobe_EN.pdf</t>
        </is>
      </c>
      <c r="N870" t="inlineStr">
        <is>
          <t>https://so-hotels.com/wp-content/uploads/sites/19/2025/12/so_maldives_press-release_greenglobe_EN.pdf</t>
        </is>
      </c>
      <c r="O870" t="inlineStr">
        <is>
          <t>406e2aac04f685a9307c76c8d76c6d256b8623be71a9f922972a31158aa9c5e6</t>
        </is>
      </c>
      <c r="P870" t="inlineStr">
        <is>
          <t>library/046_so-maldives/sustainability/2025_so_maldives_press-release_greenglobe_EN.pdf</t>
        </is>
      </c>
      <c r="R870" t="inlineStr">
        <is>
          <t>current</t>
        </is>
      </c>
      <c r="S870" t="inlineStr">
        <is>
          <t>N</t>
        </is>
      </c>
      <c r="T870" t="inlineStr">
        <is>
          <t>matched</t>
        </is>
      </c>
      <c r="U870" t="inlineStr">
        <is>
          <t>2026-10-04</t>
        </is>
      </c>
      <c r="V870" t="inlineStr"/>
    </row>
    <row r="871">
      <c r="A871" t="n">
        <v>46</v>
      </c>
      <c r="B871" t="inlineStr">
        <is>
          <t>SO/ Maldives</t>
        </is>
      </c>
      <c r="C871" t="inlineStr">
        <is>
          <t>sustainability</t>
        </is>
      </c>
      <c r="D871" t="inlineStr">
        <is>
          <t>2025_so_maldives_green-key_environmental-policy_281025.pdf</t>
        </is>
      </c>
      <c r="E871" t="n">
        <v>2025</v>
      </c>
      <c r="H871" t="n">
        <v>6</v>
      </c>
      <c r="I871" t="n">
        <v>1346</v>
      </c>
      <c r="J871" t="inlineStr">
        <is>
          <t>Y</t>
        </is>
      </c>
      <c r="K871" t="inlineStr">
        <is>
          <t>so-hotels.com</t>
        </is>
      </c>
      <c r="L871" t="inlineStr">
        <is>
          <t>official</t>
        </is>
      </c>
      <c r="M871" t="inlineStr">
        <is>
          <t>https://so-hotels.com/wp-content/uploads/sites/19/2025/10/so_maldives_green-key_environmental-policy_281025.pdf</t>
        </is>
      </c>
      <c r="N871" t="inlineStr">
        <is>
          <t>https://so-hotels.com/wp-content/uploads/sites/19/2025/10/so_maldives_green-key_environmental-policy_281025.pdf</t>
        </is>
      </c>
      <c r="O871" t="inlineStr">
        <is>
          <t>86fd81be257afedea8fb929a19316e3ba62ef609c8f8237c47d50f3ad61b803e</t>
        </is>
      </c>
      <c r="P871" t="inlineStr">
        <is>
          <t>library/046_so-maldives/sustainability/2025_so_maldives_green-key_environmental-policy_281025.pdf</t>
        </is>
      </c>
      <c r="R871" t="inlineStr">
        <is>
          <t>current</t>
        </is>
      </c>
      <c r="S871" t="inlineStr">
        <is>
          <t>Y</t>
        </is>
      </c>
      <c r="T871" t="inlineStr">
        <is>
          <t>matched</t>
        </is>
      </c>
      <c r="U871" t="inlineStr">
        <is>
          <t>2026-10-04</t>
        </is>
      </c>
      <c r="V871" t="inlineStr"/>
    </row>
    <row r="872">
      <c r="A872" t="n">
        <v>46</v>
      </c>
      <c r="B872" t="inlineStr">
        <is>
          <t>SO/ Maldives</t>
        </is>
      </c>
      <c r="C872" t="inlineStr">
        <is>
          <t>sustainability</t>
        </is>
      </c>
      <c r="D872" t="inlineStr">
        <is>
          <t>2024_Auckland_SO_Gallery_C_E_Information_2024.pdf</t>
        </is>
      </c>
      <c r="E872" t="n">
        <v>2024</v>
      </c>
      <c r="H872" t="n">
        <v>3</v>
      </c>
      <c r="I872" t="n">
        <v>1646</v>
      </c>
      <c r="J872" t="inlineStr">
        <is>
          <t>Y</t>
        </is>
      </c>
      <c r="K872" t="inlineStr">
        <is>
          <t>so-hotels.com</t>
        </is>
      </c>
      <c r="L872" t="inlineStr">
        <is>
          <t>official</t>
        </is>
      </c>
      <c r="M872" t="inlineStr">
        <is>
          <t>https://so-hotels.com/wp-content/uploads/sites/19/2024/04/Auckland_SO_Gallery_C_E_Information_2024.pdf</t>
        </is>
      </c>
      <c r="N872" t="inlineStr">
        <is>
          <t>https://so-hotels.com/wp-content/uploads/sites/19/2024/04/Auckland_SO_Gallery_C_E_Information_2024.pdf</t>
        </is>
      </c>
      <c r="O872" t="inlineStr">
        <is>
          <t>2c4e6169dd8a17e84c1a13e677eaa9bcc40770e9bb4c82242581d75027d08366</t>
        </is>
      </c>
      <c r="P872" t="inlineStr">
        <is>
          <t>library/046_so-maldives/sustainability/2024_Auckland_SO_Gallery_C_E_Information_2024.pdf</t>
        </is>
      </c>
      <c r="R872" t="inlineStr">
        <is>
          <t>outdated</t>
        </is>
      </c>
      <c r="S872" t="inlineStr">
        <is>
          <t>N</t>
        </is>
      </c>
      <c r="T872" t="inlineStr">
        <is>
          <t>needs-review</t>
        </is>
      </c>
      <c r="U872" t="inlineStr">
        <is>
          <t>2026-10-04</t>
        </is>
      </c>
      <c r="V872" t="inlineStr">
        <is>
          <t>ambiguous match [46]</t>
        </is>
      </c>
    </row>
    <row r="873">
      <c r="A873" t="n">
        <v>46</v>
      </c>
      <c r="B873" t="inlineStr">
        <is>
          <t>SO/ Maldives</t>
        </is>
      </c>
      <c r="C873" t="inlineStr">
        <is>
          <t>calendar</t>
        </is>
      </c>
      <c r="D873" t="inlineStr">
        <is>
          <t>2026_somaldives-festive_brochure-2026.pdf</t>
        </is>
      </c>
      <c r="E873" t="n">
        <v>2026</v>
      </c>
      <c r="H873" t="n">
        <v>22</v>
      </c>
      <c r="I873" t="n">
        <v>5930</v>
      </c>
      <c r="J873" t="inlineStr">
        <is>
          <t>Y</t>
        </is>
      </c>
      <c r="K873" t="inlineStr">
        <is>
          <t>so-hotels.com</t>
        </is>
      </c>
      <c r="L873" t="inlineStr">
        <is>
          <t>official</t>
        </is>
      </c>
      <c r="M873" t="inlineStr">
        <is>
          <t>https://so-hotels.com/wp-content/uploads/sites/19/2026/10/somaldives-festive_brochure-2026.pdf</t>
        </is>
      </c>
      <c r="N873" t="inlineStr">
        <is>
          <t>https://so-hotels.com/wp-content/uploads/sites/19/2026/10/somaldives-festive_brochure-2026.pdf</t>
        </is>
      </c>
      <c r="O873" t="inlineStr">
        <is>
          <t>56f1886a8423613993c4cfcf080bcec0af08a65b412c47e85ce23a3cf66cc47b</t>
        </is>
      </c>
      <c r="P873" t="inlineStr">
        <is>
          <t>library/046_so-maldives/calendar/2026_somaldives-festive_brochure-2026.pdf</t>
        </is>
      </c>
      <c r="R873" t="inlineStr">
        <is>
          <t>current</t>
        </is>
      </c>
      <c r="S873" t="inlineStr">
        <is>
          <t>Y</t>
        </is>
      </c>
      <c r="T873" t="inlineStr">
        <is>
          <t>matched</t>
        </is>
      </c>
      <c r="U873" t="inlineStr">
        <is>
          <t>2026-10-04</t>
        </is>
      </c>
      <c r="V873" t="inlineStr"/>
    </row>
    <row r="874">
      <c r="A874" t="n">
        <v>46</v>
      </c>
      <c r="B874" t="inlineStr">
        <is>
          <t>SO/ Maldives</t>
        </is>
      </c>
      <c r="C874" t="inlineStr">
        <is>
          <t>calendar</t>
        </is>
      </c>
      <c r="D874" t="inlineStr">
        <is>
          <t>2026_so_sotogrande_easter_0326_es.pdf</t>
        </is>
      </c>
      <c r="E874" t="n">
        <v>2026</v>
      </c>
      <c r="H874" t="n">
        <v>4</v>
      </c>
      <c r="I874" t="n">
        <v>407</v>
      </c>
      <c r="J874" t="inlineStr">
        <is>
          <t>Y</t>
        </is>
      </c>
      <c r="K874" t="inlineStr">
        <is>
          <t>so-hotels.com</t>
        </is>
      </c>
      <c r="L874" t="inlineStr">
        <is>
          <t>official</t>
        </is>
      </c>
      <c r="M874" t="inlineStr">
        <is>
          <t>https://so-hotels.com/wp-content/uploads/sites/19/2026/03/so_sotogrande_easter_0326_es.pdf</t>
        </is>
      </c>
      <c r="N874" t="inlineStr">
        <is>
          <t>https://so-hotels.com/wp-content/uploads/sites/19/2026/03/so_sotogrande_easter_0326_es.pdf</t>
        </is>
      </c>
      <c r="O874" t="inlineStr">
        <is>
          <t>ad2023a10600be67679d64cf7c1d846ea06af264cda1fdc245543011425cf6e4</t>
        </is>
      </c>
      <c r="P874" t="inlineStr">
        <is>
          <t>library/046_so-maldives/calendar/2026_so_sotogrande_easter_0326_es.pdf</t>
        </is>
      </c>
      <c r="R874" t="inlineStr">
        <is>
          <t>current</t>
        </is>
      </c>
      <c r="S874" t="inlineStr">
        <is>
          <t>N</t>
        </is>
      </c>
      <c r="T874" t="inlineStr">
        <is>
          <t>needs-review</t>
        </is>
      </c>
      <c r="U874" t="inlineStr">
        <is>
          <t>2026-10-04</t>
        </is>
      </c>
      <c r="V874" t="inlineStr">
        <is>
          <t>ambiguous match [46]</t>
        </is>
      </c>
    </row>
    <row r="875">
      <c r="A875" t="n">
        <v>46</v>
      </c>
      <c r="B875" t="inlineStr">
        <is>
          <t>SO/ Maldives</t>
        </is>
      </c>
      <c r="C875" t="inlineStr">
        <is>
          <t>calendar</t>
        </is>
      </c>
      <c r="D875" t="inlineStr">
        <is>
          <t>2026_so_sotogrande_easter_0326_de.pdf</t>
        </is>
      </c>
      <c r="E875" t="n">
        <v>2026</v>
      </c>
      <c r="H875" t="n">
        <v>4</v>
      </c>
      <c r="I875" t="n">
        <v>243</v>
      </c>
      <c r="J875" t="inlineStr">
        <is>
          <t>Y</t>
        </is>
      </c>
      <c r="K875" t="inlineStr">
        <is>
          <t>so-hotels.com</t>
        </is>
      </c>
      <c r="L875" t="inlineStr">
        <is>
          <t>official</t>
        </is>
      </c>
      <c r="M875" t="inlineStr">
        <is>
          <t>https://so-hotels.com/wp-content/uploads/sites/19/2026/03/so_sotogrande_easter_0326_de.pdf</t>
        </is>
      </c>
      <c r="N875" t="inlineStr">
        <is>
          <t>https://so-hotels.com/wp-content/uploads/sites/19/2026/03/so_sotogrande_easter_0326_de.pdf</t>
        </is>
      </c>
      <c r="O875" t="inlineStr">
        <is>
          <t>d044e2fd81a88d0437445551f7491c4154a111a1fb542cee67891a0faa6d7ed4</t>
        </is>
      </c>
      <c r="P875" t="inlineStr">
        <is>
          <t>library/046_so-maldives/calendar/2026_so_sotogrande_easter_0326_de.pdf</t>
        </is>
      </c>
      <c r="R875" t="inlineStr">
        <is>
          <t>current</t>
        </is>
      </c>
      <c r="S875" t="inlineStr">
        <is>
          <t>N</t>
        </is>
      </c>
      <c r="T875" t="inlineStr">
        <is>
          <t>needs-review</t>
        </is>
      </c>
      <c r="U875" t="inlineStr">
        <is>
          <t>2026-10-04</t>
        </is>
      </c>
      <c r="V875" t="inlineStr">
        <is>
          <t>ambiguous match [46]</t>
        </is>
      </c>
    </row>
    <row r="876">
      <c r="A876" t="n">
        <v>46</v>
      </c>
      <c r="B876" t="inlineStr">
        <is>
          <t>SO/ Maldives</t>
        </is>
      </c>
      <c r="C876" t="inlineStr">
        <is>
          <t>calendar</t>
        </is>
      </c>
      <c r="D876" t="inlineStr">
        <is>
          <t>2026_so_sotogrande_easter_0326_en.pdf</t>
        </is>
      </c>
      <c r="E876" t="n">
        <v>2026</v>
      </c>
      <c r="H876" t="n">
        <v>4</v>
      </c>
      <c r="I876" t="n">
        <v>215</v>
      </c>
      <c r="J876" t="inlineStr">
        <is>
          <t>Y</t>
        </is>
      </c>
      <c r="K876" t="inlineStr">
        <is>
          <t>so-hotels.com</t>
        </is>
      </c>
      <c r="L876" t="inlineStr">
        <is>
          <t>official</t>
        </is>
      </c>
      <c r="M876" t="inlineStr">
        <is>
          <t>https://so-hotels.com/wp-content/uploads/sites/19/2026/03/so_sotogrande_easter_0326_en.pdf</t>
        </is>
      </c>
      <c r="N876" t="inlineStr">
        <is>
          <t>https://so-hotels.com/wp-content/uploads/sites/19/2026/03/so_sotogrande_easter_0326_en.pdf</t>
        </is>
      </c>
      <c r="O876" t="inlineStr">
        <is>
          <t>8480ca70ee2dc7fb7b22da0f61113b26cf30695b9872250d70ff2c9e12706285</t>
        </is>
      </c>
      <c r="P876" t="inlineStr">
        <is>
          <t>library/046_so-maldives/calendar/2026_so_sotogrande_easter_0326_en.pdf</t>
        </is>
      </c>
      <c r="R876" t="inlineStr">
        <is>
          <t>current</t>
        </is>
      </c>
      <c r="S876" t="inlineStr">
        <is>
          <t>N</t>
        </is>
      </c>
      <c r="T876" t="inlineStr">
        <is>
          <t>needs-review</t>
        </is>
      </c>
      <c r="U876" t="inlineStr">
        <is>
          <t>2026-10-04</t>
        </is>
      </c>
      <c r="V876" t="inlineStr">
        <is>
          <t>ambiguous match [46]</t>
        </is>
      </c>
    </row>
    <row r="877">
      <c r="A877" t="n">
        <v>46</v>
      </c>
      <c r="B877" t="inlineStr">
        <is>
          <t>SO/ Maldives</t>
        </is>
      </c>
      <c r="C877" t="inlineStr">
        <is>
          <t>calendar</t>
        </is>
      </c>
      <c r="D877" t="inlineStr">
        <is>
          <t>2025_so_maldives_press-release_festive-2025_EN.pdf</t>
        </is>
      </c>
      <c r="E877" t="n">
        <v>2025</v>
      </c>
      <c r="H877" t="n">
        <v>3</v>
      </c>
      <c r="I877" t="n">
        <v>262</v>
      </c>
      <c r="J877" t="inlineStr">
        <is>
          <t>Y</t>
        </is>
      </c>
      <c r="K877" t="inlineStr">
        <is>
          <t>so-hotels.com</t>
        </is>
      </c>
      <c r="L877" t="inlineStr">
        <is>
          <t>official</t>
        </is>
      </c>
      <c r="M877" t="inlineStr">
        <is>
          <t>https://so-hotels.com/wp-content/uploads/sites/19/2025/12/so_maldives_press-release_festive-2025_EN.pdf</t>
        </is>
      </c>
      <c r="N877" t="inlineStr">
        <is>
          <t>https://so-hotels.com/wp-content/uploads/sites/19/2025/12/so_maldives_press-release_festive-2025_EN.pdf</t>
        </is>
      </c>
      <c r="O877" t="inlineStr">
        <is>
          <t>59f4aa7418b9781a591fd217cfe3f8b36bda0438f9dbf2d0c95e9af0f651750b</t>
        </is>
      </c>
      <c r="P877" t="inlineStr">
        <is>
          <t>library/046_so-maldives/calendar/2025_so_maldives_press-release_festive-2025_EN.pdf</t>
        </is>
      </c>
      <c r="R877" t="inlineStr">
        <is>
          <t>current</t>
        </is>
      </c>
      <c r="S877" t="inlineStr">
        <is>
          <t>N</t>
        </is>
      </c>
      <c r="T877" t="inlineStr">
        <is>
          <t>matched</t>
        </is>
      </c>
      <c r="U877" t="inlineStr">
        <is>
          <t>2026-10-04</t>
        </is>
      </c>
      <c r="V877" t="inlineStr"/>
    </row>
    <row r="878">
      <c r="A878" t="n">
        <v>46</v>
      </c>
      <c r="B878" t="inlineStr">
        <is>
          <t>SO/ Maldives</t>
        </is>
      </c>
      <c r="C878" t="inlineStr">
        <is>
          <t>calendar</t>
        </is>
      </c>
      <c r="D878" t="inlineStr">
        <is>
          <t>2025_so_ras-al-khaimah_press-release_festive-season-2025_EN.pdf</t>
        </is>
      </c>
      <c r="E878" t="n">
        <v>2025</v>
      </c>
      <c r="H878" t="n">
        <v>4</v>
      </c>
      <c r="I878" t="n">
        <v>378</v>
      </c>
      <c r="J878" t="inlineStr">
        <is>
          <t>Y</t>
        </is>
      </c>
      <c r="K878" t="inlineStr">
        <is>
          <t>so-hotels.com</t>
        </is>
      </c>
      <c r="L878" t="inlineStr">
        <is>
          <t>official</t>
        </is>
      </c>
      <c r="M878" t="inlineStr">
        <is>
          <t>https://so-hotels.com/wp-content/uploads/sites/19/2025/12/so_ras-al-khaimah_press-release_festive-season-2025_EN.pdf</t>
        </is>
      </c>
      <c r="N878" t="inlineStr">
        <is>
          <t>https://so-hotels.com/wp-content/uploads/sites/19/2025/12/so_ras-al-khaimah_press-release_festive-season-2025_EN.pdf</t>
        </is>
      </c>
      <c r="O878" t="inlineStr">
        <is>
          <t>c319478278facdd9e49a69768b731914481c71c37f0b492638be83acbf4db5ab</t>
        </is>
      </c>
      <c r="P878" t="inlineStr">
        <is>
          <t>library/046_so-maldives/calendar/2025_so_ras-al-khaimah_press-release_festive-season-2025_EN.pdf</t>
        </is>
      </c>
      <c r="R878" t="inlineStr">
        <is>
          <t>current</t>
        </is>
      </c>
      <c r="S878" t="inlineStr">
        <is>
          <t>N</t>
        </is>
      </c>
      <c r="T878" t="inlineStr">
        <is>
          <t>needs-review</t>
        </is>
      </c>
      <c r="U878" t="inlineStr">
        <is>
          <t>2026-10-04</t>
        </is>
      </c>
      <c r="V878" t="inlineStr">
        <is>
          <t>ambiguous match [46]</t>
        </is>
      </c>
    </row>
    <row r="879">
      <c r="A879" t="n">
        <v>46</v>
      </c>
      <c r="B879" t="inlineStr">
        <is>
          <t>SO/ Maldives</t>
        </is>
      </c>
      <c r="C879" t="inlineStr">
        <is>
          <t>press_kit</t>
        </is>
      </c>
      <c r="D879" t="inlineStr">
        <is>
          <t>2026_so_sotogrande_press-release_thalasso-inspired_EN.pdf</t>
        </is>
      </c>
      <c r="E879" t="n">
        <v>2026</v>
      </c>
      <c r="H879" t="n">
        <v>4</v>
      </c>
      <c r="I879" t="n">
        <v>993</v>
      </c>
      <c r="J879" t="inlineStr">
        <is>
          <t>Y</t>
        </is>
      </c>
      <c r="K879" t="inlineStr">
        <is>
          <t>so-hotels.com</t>
        </is>
      </c>
      <c r="L879" t="inlineStr">
        <is>
          <t>official</t>
        </is>
      </c>
      <c r="M879" t="inlineStr">
        <is>
          <t>https://so-hotels.com/wp-content/uploads/sites/19/2026/07/so_sotogrande_press-release_thalasso-inspired_EN.pdf</t>
        </is>
      </c>
      <c r="N879" t="inlineStr">
        <is>
          <t>https://so-hotels.com/wp-content/uploads/sites/19/2026/07/so_sotogrande_press-release_thalasso-inspired_EN.pdf</t>
        </is>
      </c>
      <c r="O879" t="inlineStr">
        <is>
          <t>b92ef9a29df81d488e3ef0215bd7b25e00df7073ef537c2e0a3c15272f8f2aea</t>
        </is>
      </c>
      <c r="P879" t="inlineStr">
        <is>
          <t>library/046_so-maldives/press_kit/2026_so_sotogrande_press-release_thalasso-inspired_EN.pdf</t>
        </is>
      </c>
      <c r="R879" t="inlineStr">
        <is>
          <t>current</t>
        </is>
      </c>
      <c r="S879" t="inlineStr">
        <is>
          <t>Y</t>
        </is>
      </c>
      <c r="T879" t="inlineStr">
        <is>
          <t>needs-review</t>
        </is>
      </c>
      <c r="U879" t="inlineStr">
        <is>
          <t>2026-10-04</t>
        </is>
      </c>
      <c r="V879" t="inlineStr">
        <is>
          <t>ambiguous match [46]</t>
        </is>
      </c>
    </row>
    <row r="880">
      <c r="A880" t="n">
        <v>46</v>
      </c>
      <c r="B880" t="inlineStr">
        <is>
          <t>SO/ Maldives</t>
        </is>
      </c>
      <c r="C880" t="inlineStr">
        <is>
          <t>press_kit</t>
        </is>
      </c>
      <c r="D880" t="inlineStr">
        <is>
          <t>2026_so_sotogrande_press-release_thalasso-inspired_DE.pdf</t>
        </is>
      </c>
      <c r="E880" t="n">
        <v>2026</v>
      </c>
      <c r="H880" t="n">
        <v>4</v>
      </c>
      <c r="I880" t="n">
        <v>1079</v>
      </c>
      <c r="J880" t="inlineStr">
        <is>
          <t>Y</t>
        </is>
      </c>
      <c r="K880" t="inlineStr">
        <is>
          <t>so-hotels.com</t>
        </is>
      </c>
      <c r="L880" t="inlineStr">
        <is>
          <t>official</t>
        </is>
      </c>
      <c r="M880" t="inlineStr">
        <is>
          <t>https://so-hotels.com/wp-content/uploads/sites/19/2026/07/so_sotogrande_press-release_thalasso-inspired_DE.pdf</t>
        </is>
      </c>
      <c r="N880" t="inlineStr">
        <is>
          <t>https://so-hotels.com/wp-content/uploads/sites/19/2026/07/so_sotogrande_press-release_thalasso-inspired_DE.pdf</t>
        </is>
      </c>
      <c r="O880" t="inlineStr">
        <is>
          <t>c12f6c04cb68ddb4db26ec3048c0a9e5402173da3597f9328de573981a33bf4e</t>
        </is>
      </c>
      <c r="P880" t="inlineStr">
        <is>
          <t>library/046_so-maldives/press_kit/2026_so_sotogrande_press-release_thalasso-inspired_DE.pdf</t>
        </is>
      </c>
      <c r="R880" t="inlineStr">
        <is>
          <t>current</t>
        </is>
      </c>
      <c r="S880" t="inlineStr">
        <is>
          <t>N</t>
        </is>
      </c>
      <c r="T880" t="inlineStr">
        <is>
          <t>needs-review</t>
        </is>
      </c>
      <c r="U880" t="inlineStr">
        <is>
          <t>2026-10-04</t>
        </is>
      </c>
      <c r="V880" t="inlineStr">
        <is>
          <t>ambiguous match [46]</t>
        </is>
      </c>
    </row>
    <row r="881">
      <c r="A881" t="n">
        <v>46</v>
      </c>
      <c r="B881" t="inlineStr">
        <is>
          <t>SO/ Maldives</t>
        </is>
      </c>
      <c r="C881" t="inlineStr">
        <is>
          <t>press_kit</t>
        </is>
      </c>
      <c r="D881" t="inlineStr">
        <is>
          <t>2026_so_sotogrande-vienna_press-release_rendl_EN.pdf</t>
        </is>
      </c>
      <c r="E881" t="n">
        <v>2026</v>
      </c>
      <c r="H881" t="n">
        <v>3</v>
      </c>
      <c r="I881" t="n">
        <v>669</v>
      </c>
      <c r="J881" t="inlineStr">
        <is>
          <t>Y</t>
        </is>
      </c>
      <c r="K881" t="inlineStr">
        <is>
          <t>so-hotels.com</t>
        </is>
      </c>
      <c r="L881" t="inlineStr">
        <is>
          <t>official</t>
        </is>
      </c>
      <c r="M881" t="inlineStr">
        <is>
          <t>https://so-hotels.com/wp-content/uploads/sites/19/2026/06/so_sotogrande-vienna_press-release_rendl_EN.pdf</t>
        </is>
      </c>
      <c r="N881" t="inlineStr">
        <is>
          <t>https://so-hotels.com/wp-content/uploads/sites/19/2026/06/so_sotogrande-vienna_press-release_rendl_EN.pdf</t>
        </is>
      </c>
      <c r="O881" t="inlineStr">
        <is>
          <t>d1d36e1c9d5ba0ef615cae71a155710b0cd361e80c4d167f94f0c682b1386a5a</t>
        </is>
      </c>
      <c r="P881" t="inlineStr">
        <is>
          <t>library/046_so-maldives/press_kit/2026_so_sotogrande-vienna_press-release_rendl_EN.pdf</t>
        </is>
      </c>
      <c r="R881" t="inlineStr">
        <is>
          <t>current</t>
        </is>
      </c>
      <c r="S881" t="inlineStr">
        <is>
          <t>N</t>
        </is>
      </c>
      <c r="T881" t="inlineStr">
        <is>
          <t>matched</t>
        </is>
      </c>
      <c r="U881" t="inlineStr">
        <is>
          <t>2026-10-04</t>
        </is>
      </c>
      <c r="V881" t="inlineStr"/>
    </row>
    <row r="882">
      <c r="A882" t="n">
        <v>46</v>
      </c>
      <c r="B882" t="inlineStr">
        <is>
          <t>SO/ Maldives</t>
        </is>
      </c>
      <c r="C882" t="inlineStr">
        <is>
          <t>press_kit</t>
        </is>
      </c>
      <c r="D882" t="inlineStr">
        <is>
          <t>2026_so_paris_press-release_j.simone_FR.pdf</t>
        </is>
      </c>
      <c r="E882" t="n">
        <v>2026</v>
      </c>
      <c r="H882" t="n">
        <v>2</v>
      </c>
      <c r="I882" t="n">
        <v>554</v>
      </c>
      <c r="J882" t="inlineStr">
        <is>
          <t>Y</t>
        </is>
      </c>
      <c r="K882" t="inlineStr">
        <is>
          <t>so-hotels.com</t>
        </is>
      </c>
      <c r="L882" t="inlineStr">
        <is>
          <t>official</t>
        </is>
      </c>
      <c r="M882" t="inlineStr">
        <is>
          <t>https://so-hotels.com/wp-content/uploads/sites/19/2026/05/so_paris_press-release_j.simone_FR.pdf</t>
        </is>
      </c>
      <c r="N882" t="inlineStr">
        <is>
          <t>https://so-hotels.com/wp-content/uploads/sites/19/2026/05/so_paris_press-release_j.simone_FR.pdf</t>
        </is>
      </c>
      <c r="O882" t="inlineStr">
        <is>
          <t>8cf08eb1a88da44d466ba51a47211f55d6cebf44432a04d1ea4e13932fa1810f</t>
        </is>
      </c>
      <c r="P882" t="inlineStr">
        <is>
          <t>library/046_so-maldives/press_kit/2026_so_paris_press-release_j.simone_FR.pdf</t>
        </is>
      </c>
      <c r="R882" t="inlineStr">
        <is>
          <t>current</t>
        </is>
      </c>
      <c r="S882" t="inlineStr">
        <is>
          <t>N</t>
        </is>
      </c>
      <c r="T882" t="inlineStr">
        <is>
          <t>needs-review</t>
        </is>
      </c>
      <c r="U882" t="inlineStr">
        <is>
          <t>2026-10-04</t>
        </is>
      </c>
      <c r="V882" t="inlineStr">
        <is>
          <t>ambiguous match [46]</t>
        </is>
      </c>
    </row>
    <row r="883">
      <c r="A883" t="n">
        <v>46</v>
      </c>
      <c r="B883" t="inlineStr">
        <is>
          <t>SO/ Maldives</t>
        </is>
      </c>
      <c r="C883" t="inlineStr">
        <is>
          <t>press_kit</t>
        </is>
      </c>
      <c r="D883" t="inlineStr">
        <is>
          <t>2026_so_ras-al-khaimah_press-releases_staycation.pdf</t>
        </is>
      </c>
      <c r="E883" t="n">
        <v>2026</v>
      </c>
      <c r="H883" t="n">
        <v>3</v>
      </c>
      <c r="I883" t="n">
        <v>2237</v>
      </c>
      <c r="J883" t="inlineStr">
        <is>
          <t>Y</t>
        </is>
      </c>
      <c r="K883" t="inlineStr">
        <is>
          <t>so-hotels.com</t>
        </is>
      </c>
      <c r="L883" t="inlineStr">
        <is>
          <t>official</t>
        </is>
      </c>
      <c r="M883" t="inlineStr">
        <is>
          <t>https://so-hotels.com/wp-content/uploads/sites/19/2026/04/so_ras-al-khaimah_press-releases_staycation.pdf</t>
        </is>
      </c>
      <c r="N883" t="inlineStr">
        <is>
          <t>https://so-hotels.com/wp-content/uploads/sites/19/2026/04/so_ras-al-khaimah_press-releases_staycation.pdf</t>
        </is>
      </c>
      <c r="O883" t="inlineStr">
        <is>
          <t>1b298f2a6ebf8b4de84f34f7146ae9788e27dfaa3cb3f6625d79c80837268289</t>
        </is>
      </c>
      <c r="P883" t="inlineStr">
        <is>
          <t>library/046_so-maldives/press_kit/2026_so_ras-al-khaimah_press-releases_staycation.pdf</t>
        </is>
      </c>
      <c r="R883" t="inlineStr">
        <is>
          <t>current</t>
        </is>
      </c>
      <c r="S883" t="inlineStr">
        <is>
          <t>N</t>
        </is>
      </c>
      <c r="T883" t="inlineStr">
        <is>
          <t>needs-review</t>
        </is>
      </c>
      <c r="U883" t="inlineStr">
        <is>
          <t>2026-10-04</t>
        </is>
      </c>
      <c r="V883" t="inlineStr">
        <is>
          <t>ambiguous match [46]</t>
        </is>
      </c>
    </row>
    <row r="884">
      <c r="A884" t="n">
        <v>46</v>
      </c>
      <c r="B884" t="inlineStr">
        <is>
          <t>SO/ Maldives</t>
        </is>
      </c>
      <c r="C884" t="inlineStr">
        <is>
          <t>press_kit</t>
        </is>
      </c>
      <c r="D884" t="inlineStr">
        <is>
          <t>2026_so_sotogrand_press-release_valentines-2026_ES.pdf</t>
        </is>
      </c>
      <c r="E884" t="n">
        <v>2026</v>
      </c>
      <c r="H884" t="n">
        <v>3</v>
      </c>
      <c r="I884" t="n">
        <v>627</v>
      </c>
      <c r="J884" t="inlineStr">
        <is>
          <t>Y</t>
        </is>
      </c>
      <c r="K884" t="inlineStr">
        <is>
          <t>so-hotels.com</t>
        </is>
      </c>
      <c r="L884" t="inlineStr">
        <is>
          <t>official</t>
        </is>
      </c>
      <c r="M884" t="inlineStr">
        <is>
          <t>https://so-hotels.com/wp-content/uploads/sites/19/2026/01/so_sotogrand_press-release_valentines-2026_ES.pdf</t>
        </is>
      </c>
      <c r="N884" t="inlineStr">
        <is>
          <t>https://so-hotels.com/wp-content/uploads/sites/19/2026/01/so_sotogrand_press-release_valentines-2026_ES.pdf</t>
        </is>
      </c>
      <c r="O884" t="inlineStr">
        <is>
          <t>5d86fa680584bd41ae66098a00f7ac15a5ab2f5dcf5d0aef4b0c4ed13551eb26</t>
        </is>
      </c>
      <c r="P884" t="inlineStr">
        <is>
          <t>library/046_so-maldives/press_kit/2026_so_sotogrand_press-release_valentines-2026_ES.pdf</t>
        </is>
      </c>
      <c r="R884" t="inlineStr">
        <is>
          <t>current</t>
        </is>
      </c>
      <c r="S884" t="inlineStr">
        <is>
          <t>N</t>
        </is>
      </c>
      <c r="T884" t="inlineStr">
        <is>
          <t>needs-review</t>
        </is>
      </c>
      <c r="U884" t="inlineStr">
        <is>
          <t>2026-10-04</t>
        </is>
      </c>
      <c r="V884" t="inlineStr">
        <is>
          <t>ambiguous match [46]</t>
        </is>
      </c>
    </row>
    <row r="885">
      <c r="A885" t="n">
        <v>46</v>
      </c>
      <c r="B885" t="inlineStr">
        <is>
          <t>SO/ Maldives</t>
        </is>
      </c>
      <c r="C885" t="inlineStr">
        <is>
          <t>press_kit</t>
        </is>
      </c>
      <c r="D885" t="inlineStr">
        <is>
          <t>2026_so_paris_press-release_galette-des-rois-2026_FR.pdf</t>
        </is>
      </c>
      <c r="E885" t="n">
        <v>2026</v>
      </c>
      <c r="H885" t="n">
        <v>1</v>
      </c>
      <c r="I885" t="n">
        <v>442</v>
      </c>
      <c r="J885" t="inlineStr">
        <is>
          <t>Y</t>
        </is>
      </c>
      <c r="K885" t="inlineStr">
        <is>
          <t>so-hotels.com</t>
        </is>
      </c>
      <c r="L885" t="inlineStr">
        <is>
          <t>official</t>
        </is>
      </c>
      <c r="M885" t="inlineStr">
        <is>
          <t>https://so-hotels.com/wp-content/uploads/sites/19/2026/01/so_paris_press-release_galette-des-rois-2026_FR.pdf</t>
        </is>
      </c>
      <c r="N885" t="inlineStr">
        <is>
          <t>https://so-hotels.com/wp-content/uploads/sites/19/2026/01/so_paris_press-release_galette-des-rois-2026_FR.pdf</t>
        </is>
      </c>
      <c r="O885" t="inlineStr">
        <is>
          <t>4a763aebde51ff4604bac182cfb2c0b7969b4e6e92a75da4daafac983f1e9cbf</t>
        </is>
      </c>
      <c r="P885" t="inlineStr">
        <is>
          <t>library/046_so-maldives/press_kit/2026_so_paris_press-release_galette-des-rois-2026_FR.pdf</t>
        </is>
      </c>
      <c r="R885" t="inlineStr">
        <is>
          <t>current</t>
        </is>
      </c>
      <c r="S885" t="inlineStr">
        <is>
          <t>N</t>
        </is>
      </c>
      <c r="T885" t="inlineStr">
        <is>
          <t>needs-review</t>
        </is>
      </c>
      <c r="U885" t="inlineStr">
        <is>
          <t>2026-10-04</t>
        </is>
      </c>
      <c r="V885" t="inlineStr">
        <is>
          <t>ambiguous match [46]</t>
        </is>
      </c>
    </row>
    <row r="886">
      <c r="A886" t="n">
        <v>46</v>
      </c>
      <c r="B886" t="inlineStr">
        <is>
          <t>SO/ Maldives</t>
        </is>
      </c>
      <c r="C886" t="inlineStr">
        <is>
          <t>press_kit</t>
        </is>
      </c>
      <c r="D886" t="inlineStr">
        <is>
          <t>2025_so_maldives_press-release_visiting-practitioner_EN.pdf</t>
        </is>
      </c>
      <c r="E886" t="n">
        <v>2025</v>
      </c>
      <c r="H886" t="n">
        <v>3</v>
      </c>
      <c r="I886" t="n">
        <v>288</v>
      </c>
      <c r="J886" t="inlineStr">
        <is>
          <t>Y</t>
        </is>
      </c>
      <c r="K886" t="inlineStr">
        <is>
          <t>so-hotels.com</t>
        </is>
      </c>
      <c r="L886" t="inlineStr">
        <is>
          <t>official</t>
        </is>
      </c>
      <c r="M886" t="inlineStr">
        <is>
          <t>https://so-hotels.com/wp-content/uploads/sites/19/2025/12/so_maldives_press-release_visiting-practitioner_EN.pdf</t>
        </is>
      </c>
      <c r="N886" t="inlineStr">
        <is>
          <t>https://so-hotels.com/wp-content/uploads/sites/19/2025/12/so_maldives_press-release_visiting-practitioner_EN.pdf</t>
        </is>
      </c>
      <c r="O886" t="inlineStr">
        <is>
          <t>088751c3034750fceba4d8dae4ebf1472f51a268f87ddec1a8cecafb78f3fe0e</t>
        </is>
      </c>
      <c r="P886" t="inlineStr">
        <is>
          <t>library/046_so-maldives/press_kit/2025_so_maldives_press-release_visiting-practitioner_EN.pdf</t>
        </is>
      </c>
      <c r="R886" t="inlineStr">
        <is>
          <t>current</t>
        </is>
      </c>
      <c r="S886" t="inlineStr">
        <is>
          <t>N</t>
        </is>
      </c>
      <c r="T886" t="inlineStr">
        <is>
          <t>matched</t>
        </is>
      </c>
      <c r="U886" t="inlineStr">
        <is>
          <t>2026-10-04</t>
        </is>
      </c>
      <c r="V886" t="inlineStr"/>
    </row>
    <row r="887">
      <c r="A887" t="n">
        <v>46</v>
      </c>
      <c r="B887" t="inlineStr">
        <is>
          <t>SO/ Maldives</t>
        </is>
      </c>
      <c r="C887" t="inlineStr">
        <is>
          <t>press_kit</t>
        </is>
      </c>
      <c r="D887" t="inlineStr">
        <is>
          <t>2025_so_maldives_press-release_award_EN.pdf</t>
        </is>
      </c>
      <c r="E887" t="n">
        <v>2025</v>
      </c>
      <c r="H887" t="n">
        <v>3</v>
      </c>
      <c r="I887" t="n">
        <v>327</v>
      </c>
      <c r="J887" t="inlineStr">
        <is>
          <t>Y</t>
        </is>
      </c>
      <c r="K887" t="inlineStr">
        <is>
          <t>so-hotels.com</t>
        </is>
      </c>
      <c r="L887" t="inlineStr">
        <is>
          <t>official</t>
        </is>
      </c>
      <c r="M887" t="inlineStr">
        <is>
          <t>https://so-hotels.com/wp-content/uploads/sites/19/2025/12/so_maldives_press-release_award_EN.pdf</t>
        </is>
      </c>
      <c r="N887" t="inlineStr">
        <is>
          <t>https://so-hotels.com/wp-content/uploads/sites/19/2025/12/so_maldives_press-release_award_EN.pdf</t>
        </is>
      </c>
      <c r="O887" t="inlineStr">
        <is>
          <t>a0a876e71c8163b16adcd9a48fd44c06e6bb62ae66e9a75fd36bf070c62622c6</t>
        </is>
      </c>
      <c r="P887" t="inlineStr">
        <is>
          <t>library/046_so-maldives/press_kit/2025_so_maldives_press-release_award_EN.pdf</t>
        </is>
      </c>
      <c r="R887" t="inlineStr">
        <is>
          <t>current</t>
        </is>
      </c>
      <c r="S887" t="inlineStr">
        <is>
          <t>N</t>
        </is>
      </c>
      <c r="T887" t="inlineStr">
        <is>
          <t>matched</t>
        </is>
      </c>
      <c r="U887" t="inlineStr">
        <is>
          <t>2026-10-04</t>
        </is>
      </c>
      <c r="V887" t="inlineStr"/>
    </row>
    <row r="888">
      <c r="A888" t="n">
        <v>46</v>
      </c>
      <c r="B888" t="inlineStr">
        <is>
          <t>SO/ Maldives</t>
        </is>
      </c>
      <c r="C888" t="inlineStr">
        <is>
          <t>press_kit</t>
        </is>
      </c>
      <c r="D888" t="inlineStr">
        <is>
          <t>2023_so_global_press-release_female-chefs_DE.pdf</t>
        </is>
      </c>
      <c r="E888" t="n">
        <v>2023</v>
      </c>
      <c r="H888" t="n">
        <v>8</v>
      </c>
      <c r="I888" t="n">
        <v>1043</v>
      </c>
      <c r="J888" t="inlineStr">
        <is>
          <t>Y</t>
        </is>
      </c>
      <c r="K888" t="inlineStr">
        <is>
          <t>so-hotels.com</t>
        </is>
      </c>
      <c r="L888" t="inlineStr">
        <is>
          <t>official</t>
        </is>
      </c>
      <c r="M888" t="inlineStr">
        <is>
          <t>https://so-hotels.com/wp-content/uploads/sites/19/2026/06/so_global_press-release_female-chefs_DE.pdf</t>
        </is>
      </c>
      <c r="N888" t="inlineStr">
        <is>
          <t>https://so-hotels.com/wp-content/uploads/sites/19/2026/06/so_global_press-release_female-chefs_DE.pdf</t>
        </is>
      </c>
      <c r="O888" t="inlineStr">
        <is>
          <t>e0502a6e7fb65d64923a1758c3dc3a090c7062f6a3504c30db1e80ca35e995e6</t>
        </is>
      </c>
      <c r="P888" t="inlineStr">
        <is>
          <t>library/046_so-maldives/press_kit/2023_so_global_press-release_female-chefs_DE.pdf</t>
        </is>
      </c>
      <c r="R888" t="inlineStr">
        <is>
          <t>outdated</t>
        </is>
      </c>
      <c r="S888" t="inlineStr">
        <is>
          <t>N</t>
        </is>
      </c>
      <c r="T888" t="inlineStr">
        <is>
          <t>matched</t>
        </is>
      </c>
      <c r="U888" t="inlineStr">
        <is>
          <t>2026-10-04</t>
        </is>
      </c>
      <c r="V888" t="inlineStr"/>
    </row>
    <row r="889">
      <c r="A889" t="n">
        <v>46</v>
      </c>
      <c r="B889" t="inlineStr">
        <is>
          <t>SO/ Maldives</t>
        </is>
      </c>
      <c r="C889" t="inlineStr">
        <is>
          <t>press_kit</t>
        </is>
      </c>
      <c r="D889" t="inlineStr">
        <is>
          <t>2023_so_global_press-release_female-chefs_EN.pdf</t>
        </is>
      </c>
      <c r="E889" t="n">
        <v>2023</v>
      </c>
      <c r="H889" t="n">
        <v>7</v>
      </c>
      <c r="I889" t="n">
        <v>2140</v>
      </c>
      <c r="J889" t="inlineStr">
        <is>
          <t>Y</t>
        </is>
      </c>
      <c r="K889" t="inlineStr">
        <is>
          <t>so-hotels.com</t>
        </is>
      </c>
      <c r="L889" t="inlineStr">
        <is>
          <t>official</t>
        </is>
      </c>
      <c r="M889" t="inlineStr">
        <is>
          <t>https://so-hotels.com/wp-content/uploads/sites/19/2026/06/so_global_press-release_female-chefs_EN.pdf</t>
        </is>
      </c>
      <c r="N889" t="inlineStr">
        <is>
          <t>https://so-hotels.com/wp-content/uploads/sites/19/2026/06/so_global_press-release_female-chefs_EN.pdf</t>
        </is>
      </c>
      <c r="O889" t="inlineStr">
        <is>
          <t>043d880d4de4c7a4093678c98b3c0072559e6d45a081c6886d41db1127070be2</t>
        </is>
      </c>
      <c r="P889" t="inlineStr">
        <is>
          <t>library/046_so-maldives/press_kit/2023_so_global_press-release_female-chefs_EN.pdf</t>
        </is>
      </c>
      <c r="R889" t="inlineStr">
        <is>
          <t>outdated</t>
        </is>
      </c>
      <c r="S889" t="inlineStr">
        <is>
          <t>N</t>
        </is>
      </c>
      <c r="T889" t="inlineStr">
        <is>
          <t>matched</t>
        </is>
      </c>
      <c r="U889" t="inlineStr">
        <is>
          <t>2026-10-04</t>
        </is>
      </c>
      <c r="V889" t="inlineStr"/>
    </row>
    <row r="890">
      <c r="A890" t="n">
        <v>48</v>
      </c>
      <c r="B890" t="inlineStr">
        <is>
          <t>Dusit Thani Maldives</t>
        </is>
      </c>
      <c r="C890" t="inlineStr">
        <is>
          <t>factsheet</t>
        </is>
      </c>
      <c r="D890" t="inlineStr">
        <is>
          <t>2026_New-Dusit-Thani-Maldives-Property-Fact-Sheet-1.pdf</t>
        </is>
      </c>
      <c r="E890" t="n">
        <v>2026</v>
      </c>
      <c r="H890" t="n">
        <v>7</v>
      </c>
      <c r="I890" t="n">
        <v>7328</v>
      </c>
      <c r="J890" t="inlineStr">
        <is>
          <t>Y</t>
        </is>
      </c>
      <c r="K890" t="inlineStr">
        <is>
          <t>neoscapesmaldives.com</t>
        </is>
      </c>
      <c r="L890" t="inlineStr">
        <is>
          <t>dmc-agency</t>
        </is>
      </c>
      <c r="M890" t="inlineStr">
        <is>
          <t>https://www.neoscapesmaldives.com/wp-content/uploads/New-Dusit-Thani-Maldives-Property-Fact-Sheet-1.pdf</t>
        </is>
      </c>
      <c r="N890" t="inlineStr">
        <is>
          <t>https://www.neoscapesmaldives.com/wp-content/uploads/New-Dusit-Thani-Maldives-Property-Fact-Sheet-1.pdf</t>
        </is>
      </c>
      <c r="O890" t="inlineStr">
        <is>
          <t>d86fc1529d55814810ad43cbb73dbdf4f6e0e66790439b2d4826209657a7ee1d</t>
        </is>
      </c>
      <c r="P890" t="inlineStr">
        <is>
          <t>library/048_dusit-thani-maldives/factsheet/2026_New-Dusit-Thani-Maldives-Property-Fact-Sheet-1.pdf</t>
        </is>
      </c>
      <c r="R890" t="inlineStr">
        <is>
          <t>current</t>
        </is>
      </c>
      <c r="S890" t="inlineStr">
        <is>
          <t>Y</t>
        </is>
      </c>
      <c r="T890" t="inlineStr">
        <is>
          <t>matched</t>
        </is>
      </c>
      <c r="U890" t="inlineStr">
        <is>
          <t>2026-10-04</t>
        </is>
      </c>
      <c r="V890" t="inlineStr"/>
    </row>
    <row r="891">
      <c r="A891" t="n">
        <v>48</v>
      </c>
      <c r="B891" t="inlineStr">
        <is>
          <t>Dusit Thani Maldives</t>
        </is>
      </c>
      <c r="C891" t="inlineStr">
        <is>
          <t>map</t>
        </is>
      </c>
      <c r="D891" t="inlineStr">
        <is>
          <t>2024_Dusit-Thani-Maldives-Island-Map.pdf</t>
        </is>
      </c>
      <c r="E891" t="n">
        <v>2024</v>
      </c>
      <c r="H891" t="n">
        <v>2</v>
      </c>
      <c r="I891" t="n">
        <v>1874</v>
      </c>
      <c r="J891" t="inlineStr">
        <is>
          <t>Y</t>
        </is>
      </c>
      <c r="K891" t="inlineStr">
        <is>
          <t>neoscapesmaldives.com</t>
        </is>
      </c>
      <c r="L891" t="inlineStr">
        <is>
          <t>dmc-agency</t>
        </is>
      </c>
      <c r="M891" t="inlineStr">
        <is>
          <t>https://www.neoscapesmaldives.com/wp-content/uploads/Dusit-Thani-Maldives-Island-Map.pdf</t>
        </is>
      </c>
      <c r="N891" t="inlineStr">
        <is>
          <t>https://www.neoscapesmaldives.com/wp-content/uploads/Dusit-Thani-Maldives-Island-Map.pdf</t>
        </is>
      </c>
      <c r="O891" t="inlineStr">
        <is>
          <t>69077361230dc32e3a2f0d4352a70f07b0048a457334f1c9920d88ecde10dcec</t>
        </is>
      </c>
      <c r="P891" t="inlineStr">
        <is>
          <t>library/048_dusit-thani-maldives/map/2024_Dusit-Thani-Maldives-Island-Map.pdf</t>
        </is>
      </c>
      <c r="R891" t="inlineStr">
        <is>
          <t>outdated</t>
        </is>
      </c>
      <c r="S891" t="inlineStr">
        <is>
          <t>Y</t>
        </is>
      </c>
      <c r="T891" t="inlineStr">
        <is>
          <t>matched</t>
        </is>
      </c>
      <c r="U891" t="inlineStr">
        <is>
          <t>2026-10-04</t>
        </is>
      </c>
      <c r="V891" t="inlineStr"/>
    </row>
    <row r="892">
      <c r="A892" t="n">
        <v>48</v>
      </c>
      <c r="B892" t="inlineStr">
        <is>
          <t>Dusit Thani Maldives</t>
        </is>
      </c>
      <c r="C892" t="inlineStr">
        <is>
          <t>calendar</t>
        </is>
      </c>
      <c r="D892" t="inlineStr">
        <is>
          <t>2026_Ocean-Carnival-Festive-Celebrations-at-Dusit-Thani-Maldives_LGM_DMC.pdf</t>
        </is>
      </c>
      <c r="E892" t="n">
        <v>2026</v>
      </c>
      <c r="H892" t="n">
        <v>14</v>
      </c>
      <c r="I892" t="n">
        <v>4501</v>
      </c>
      <c r="J892" t="inlineStr">
        <is>
          <t>Y</t>
        </is>
      </c>
      <c r="K892" t="inlineStr">
        <is>
          <t>letsgomaldives.com</t>
        </is>
      </c>
      <c r="L892" t="inlineStr">
        <is>
          <t>dmc-agency</t>
        </is>
      </c>
      <c r="M892" t="inlineStr">
        <is>
          <t>https://letsgomaldives.com/wp-content/uploads/2026/09/Ocean-Carnival-Festive-Celebrations-at-Dusit-Thani-Maldives_LGM_DMC.pdf</t>
        </is>
      </c>
      <c r="N892" t="inlineStr">
        <is>
          <t>https://letsgomaldives.com/wp-content/uploads/2026/09/Ocean-Carnival-Festive-Celebrations-at-Dusit-Thani-Maldives_LGM_DMC.pdf</t>
        </is>
      </c>
      <c r="O892" t="inlineStr">
        <is>
          <t>e7ab54484c7b0b86d515422ea4a8f5ef919a3f383ee8c68e9887b7928f2f0fb9</t>
        </is>
      </c>
      <c r="P892" t="inlineStr">
        <is>
          <t>library/048_dusit-thani-maldives/calendar/2026_Ocean-Carnival-Festive-Celebrations-at-Dusit-Thani-Maldives_LGM_DMC.pdf</t>
        </is>
      </c>
      <c r="R892" t="inlineStr">
        <is>
          <t>current</t>
        </is>
      </c>
      <c r="S892" t="inlineStr">
        <is>
          <t>N</t>
        </is>
      </c>
      <c r="T892" t="inlineStr">
        <is>
          <t>matched</t>
        </is>
      </c>
      <c r="U892" t="inlineStr">
        <is>
          <t>2026-10-04</t>
        </is>
      </c>
      <c r="V892" t="inlineStr"/>
    </row>
    <row r="893">
      <c r="A893" t="n">
        <v>48</v>
      </c>
      <c r="B893" t="inlineStr">
        <is>
          <t>Dusit Thani Maldives</t>
        </is>
      </c>
      <c r="C893" t="inlineStr">
        <is>
          <t>calendar</t>
        </is>
      </c>
      <c r="D893" t="inlineStr">
        <is>
          <t>2026_Ocean-Carnival-Festive-Celebrations-at-Dusit-Thani-Maldives_LGM.pdf</t>
        </is>
      </c>
      <c r="E893" t="n">
        <v>2026</v>
      </c>
      <c r="H893" t="n">
        <v>15</v>
      </c>
      <c r="I893" t="n">
        <v>4706</v>
      </c>
      <c r="J893" t="inlineStr">
        <is>
          <t>Y</t>
        </is>
      </c>
      <c r="K893" t="inlineStr">
        <is>
          <t>letsgomaldives.com</t>
        </is>
      </c>
      <c r="L893" t="inlineStr">
        <is>
          <t>dmc-agency</t>
        </is>
      </c>
      <c r="M893" t="inlineStr">
        <is>
          <t>https://letsgomaldives.com/wp-content/uploads/2026/09/Ocean-Carnival-Festive-Celebrations-at-Dusit-Thani-Maldives_LGM.pdf</t>
        </is>
      </c>
      <c r="N893" t="inlineStr">
        <is>
          <t>https://letsgomaldives.com/wp-content/uploads/2026/09/Ocean-Carnival-Festive-Celebrations-at-Dusit-Thani-Maldives_LGM.pdf</t>
        </is>
      </c>
      <c r="O893" t="inlineStr">
        <is>
          <t>f5ea74d2bbe83c97f96bab8a83f12d2c48d61cf182f7475bfa6c66c05557718b</t>
        </is>
      </c>
      <c r="P893" t="inlineStr">
        <is>
          <t>library/048_dusit-thani-maldives/calendar/2026_Ocean-Carnival-Festive-Celebrations-at-Dusit-Thani-Maldives_LGM.pdf</t>
        </is>
      </c>
      <c r="R893" t="inlineStr">
        <is>
          <t>current</t>
        </is>
      </c>
      <c r="S893" t="inlineStr">
        <is>
          <t>Y</t>
        </is>
      </c>
      <c r="T893" t="inlineStr">
        <is>
          <t>matched</t>
        </is>
      </c>
      <c r="U893" t="inlineStr">
        <is>
          <t>2026-10-04</t>
        </is>
      </c>
      <c r="V893" t="inlineStr"/>
    </row>
    <row r="894">
      <c r="A894" t="n">
        <v>49</v>
      </c>
      <c r="B894" t="inlineStr">
        <is>
          <t>Vakkaru Maldives</t>
        </is>
      </c>
      <c r="C894" t="inlineStr">
        <is>
          <t>factsheet</t>
        </is>
      </c>
      <c r="D894" t="inlineStr">
        <is>
          <t>2025_vakkaru-maldives-fact-sheet-2025.pdf</t>
        </is>
      </c>
      <c r="E894" t="n">
        <v>2025</v>
      </c>
      <c r="H894" t="n">
        <v>4</v>
      </c>
      <c r="I894" t="n">
        <v>4837</v>
      </c>
      <c r="J894" t="inlineStr">
        <is>
          <t>Y</t>
        </is>
      </c>
      <c r="K894" t="inlineStr">
        <is>
          <t>vakkarumaldives.com</t>
        </is>
      </c>
      <c r="L894" t="inlineStr">
        <is>
          <t>official</t>
        </is>
      </c>
      <c r="M894" t="inlineStr">
        <is>
          <t>https://www.vakkarumaldives.com/pdfs/vakkaru-maldives-fact-sheet-2025.pdf</t>
        </is>
      </c>
      <c r="N894" t="inlineStr">
        <is>
          <t>https://www.vakkarumaldives.com/pdfs/vakkaru-maldives-fact-sheet-2025.pdf</t>
        </is>
      </c>
      <c r="O894" t="inlineStr">
        <is>
          <t>67052f201fc0070794d0e44fd560216d2cb1e769fe81cf11ce2d6db19355ee9b</t>
        </is>
      </c>
      <c r="P894" t="inlineStr">
        <is>
          <t>library/049_vakkaru-maldives/factsheet/2025_vakkaru-maldives-fact-sheet-2025.pdf</t>
        </is>
      </c>
      <c r="R894" t="inlineStr">
        <is>
          <t>current</t>
        </is>
      </c>
      <c r="S894" t="inlineStr">
        <is>
          <t>Y</t>
        </is>
      </c>
      <c r="T894" t="inlineStr">
        <is>
          <t>matched</t>
        </is>
      </c>
      <c r="U894" t="inlineStr">
        <is>
          <t>2026-10-04</t>
        </is>
      </c>
      <c r="V894" t="inlineStr"/>
    </row>
    <row r="895">
      <c r="A895" t="n">
        <v>49</v>
      </c>
      <c r="B895" t="inlineStr">
        <is>
          <t>Vakkaru Maldives</t>
        </is>
      </c>
      <c r="C895" t="inlineStr">
        <is>
          <t>factsheet</t>
        </is>
      </c>
      <c r="D895" t="inlineStr">
        <is>
          <t>2022_Vakkaru-Maldives-Fact-Sheet-2022.pdf</t>
        </is>
      </c>
      <c r="E895" t="n">
        <v>2022</v>
      </c>
      <c r="H895" t="n">
        <v>4</v>
      </c>
      <c r="I895" t="n">
        <v>5306</v>
      </c>
      <c r="J895" t="inlineStr">
        <is>
          <t>Y</t>
        </is>
      </c>
      <c r="K895" t="inlineStr">
        <is>
          <t>neoscapesmaldives.com</t>
        </is>
      </c>
      <c r="L895" t="inlineStr">
        <is>
          <t>dmc-agency</t>
        </is>
      </c>
      <c r="M895" t="inlineStr">
        <is>
          <t>https://www.neoscapesmaldives.com/wp-content/uploads/Vakkaru-Maldives-Fact-Sheet-2022.pdf</t>
        </is>
      </c>
      <c r="N895" t="inlineStr">
        <is>
          <t>https://www.neoscapesmaldives.com/wp-content/uploads/Vakkaru-Maldives-Fact-Sheet-2022.pdf</t>
        </is>
      </c>
      <c r="O895" t="inlineStr">
        <is>
          <t>c65f4e4bddc0bc31a0158eee110c03dc829454d25948303ba278cac4673dafb8</t>
        </is>
      </c>
      <c r="P895" t="inlineStr">
        <is>
          <t>library/049_vakkaru-maldives/factsheet/2022_Vakkaru-Maldives-Fact-Sheet-2022.pdf</t>
        </is>
      </c>
      <c r="R895" t="inlineStr">
        <is>
          <t>outdated</t>
        </is>
      </c>
      <c r="S895" t="inlineStr">
        <is>
          <t>N</t>
        </is>
      </c>
      <c r="T895" t="inlineStr">
        <is>
          <t>matched</t>
        </is>
      </c>
      <c r="U895" t="inlineStr">
        <is>
          <t>2026-10-04</t>
        </is>
      </c>
      <c r="V895" t="inlineStr"/>
    </row>
    <row r="896">
      <c r="A896" t="n">
        <v>49</v>
      </c>
      <c r="B896" t="inlineStr">
        <is>
          <t>Vakkaru Maldives</t>
        </is>
      </c>
      <c r="C896" t="inlineStr">
        <is>
          <t>wedding</t>
        </is>
      </c>
      <c r="D896" t="inlineStr">
        <is>
          <t>2024_valentines-day-2024.pdf</t>
        </is>
      </c>
      <c r="E896" t="n">
        <v>2024</v>
      </c>
      <c r="H896" t="n">
        <v>9</v>
      </c>
      <c r="I896" t="n">
        <v>1681</v>
      </c>
      <c r="J896" t="inlineStr">
        <is>
          <t>Y</t>
        </is>
      </c>
      <c r="K896" t="inlineStr">
        <is>
          <t>vakkarumaldives.com</t>
        </is>
      </c>
      <c r="L896" t="inlineStr">
        <is>
          <t>official</t>
        </is>
      </c>
      <c r="M896" t="inlineStr">
        <is>
          <t>https://www.vakkarumaldives.com/pdfs/news/valentines-day-2024.pdf</t>
        </is>
      </c>
      <c r="N896" t="inlineStr">
        <is>
          <t>https://www.vakkarumaldives.com/pdfs/news/valentines-day-2024.pdf</t>
        </is>
      </c>
      <c r="O896" t="inlineStr">
        <is>
          <t>34fbb855253559538073f9ba8259d02fdbf2d30513fc37fbb0e595056886fbee</t>
        </is>
      </c>
      <c r="P896" t="inlineStr">
        <is>
          <t>library/049_vakkaru-maldives/wedding/2024_valentines-day-2024.pdf</t>
        </is>
      </c>
      <c r="R896" t="inlineStr">
        <is>
          <t>outdated</t>
        </is>
      </c>
      <c r="S896" t="inlineStr">
        <is>
          <t>Y</t>
        </is>
      </c>
      <c r="T896" t="inlineStr">
        <is>
          <t>matched</t>
        </is>
      </c>
      <c r="U896" t="inlineStr">
        <is>
          <t>2026-10-04</t>
        </is>
      </c>
      <c r="V896" t="inlineStr"/>
    </row>
    <row r="897">
      <c r="A897" t="n">
        <v>49</v>
      </c>
      <c r="B897" t="inlineStr">
        <is>
          <t>Vakkaru Maldives</t>
        </is>
      </c>
      <c r="C897" t="inlineStr">
        <is>
          <t>wedding</t>
        </is>
      </c>
      <c r="D897" t="inlineStr">
        <is>
          <t>2019_vakkaru-maldives-awarded-favorite-romantic-getaway.pdf</t>
        </is>
      </c>
      <c r="E897" t="n">
        <v>2019</v>
      </c>
      <c r="H897" t="n">
        <v>1</v>
      </c>
      <c r="I897" t="n">
        <v>179</v>
      </c>
      <c r="J897" t="inlineStr">
        <is>
          <t>Y</t>
        </is>
      </c>
      <c r="K897" t="inlineStr">
        <is>
          <t>vakkarumaldives.com</t>
        </is>
      </c>
      <c r="L897" t="inlineStr">
        <is>
          <t>official</t>
        </is>
      </c>
      <c r="M897" t="inlineStr">
        <is>
          <t>https://www.vakkarumaldives.com/pdfs/vakkaru-maldives-awarded-favorite-romantic-getaway.pdf</t>
        </is>
      </c>
      <c r="N897" t="inlineStr">
        <is>
          <t>https://www.vakkarumaldives.com/pdfs/vakkaru-maldives-awarded-favorite-romantic-getaway.pdf</t>
        </is>
      </c>
      <c r="O897" t="inlineStr">
        <is>
          <t>1157e46152422a1e85bd7dfbec130ef1e98bf83526c406842d2757bdcd52b407</t>
        </is>
      </c>
      <c r="P897" t="inlineStr">
        <is>
          <t>library/049_vakkaru-maldives/wedding/2019_vakkaru-maldives-awarded-favorite-romantic-getaway.pdf</t>
        </is>
      </c>
      <c r="R897" t="inlineStr">
        <is>
          <t>outdated</t>
        </is>
      </c>
      <c r="S897" t="inlineStr">
        <is>
          <t>N</t>
        </is>
      </c>
      <c r="T897" t="inlineStr">
        <is>
          <t>matched</t>
        </is>
      </c>
      <c r="U897" t="inlineStr">
        <is>
          <t>2026-10-04</t>
        </is>
      </c>
      <c r="V897" t="inlineStr"/>
    </row>
    <row r="898">
      <c r="A898" t="n">
        <v>49</v>
      </c>
      <c r="B898" t="inlineStr">
        <is>
          <t>Vakkaru Maldives</t>
        </is>
      </c>
      <c r="C898" t="inlineStr">
        <is>
          <t>map</t>
        </is>
      </c>
      <c r="D898" t="inlineStr">
        <is>
          <t>2019_Vakkaru-Maldives-Resort-Map-A4.pdf</t>
        </is>
      </c>
      <c r="E898" t="n">
        <v>2019</v>
      </c>
      <c r="H898" t="n">
        <v>1</v>
      </c>
      <c r="I898" t="n">
        <v>997</v>
      </c>
      <c r="J898" t="inlineStr">
        <is>
          <t>Y</t>
        </is>
      </c>
      <c r="K898" t="inlineStr">
        <is>
          <t>neoscapesmaldives.com</t>
        </is>
      </c>
      <c r="L898" t="inlineStr">
        <is>
          <t>dmc-agency</t>
        </is>
      </c>
      <c r="M898" t="inlineStr">
        <is>
          <t>https://www.neoscapesmaldives.com/wp-content/uploads/Vakkaru-Maldives-Resort-Map-A4.pdf</t>
        </is>
      </c>
      <c r="N898" t="inlineStr">
        <is>
          <t>https://www.neoscapesmaldives.com/wp-content/uploads/Vakkaru-Maldives-Resort-Map-A4.pdf</t>
        </is>
      </c>
      <c r="O898" t="inlineStr">
        <is>
          <t>02bbbfe2610044e789cfa6a82f8d8d0ce1514ea0bb9149849dac5d81498d66db</t>
        </is>
      </c>
      <c r="P898" t="inlineStr">
        <is>
          <t>library/049_vakkaru-maldives/map/2019_Vakkaru-Maldives-Resort-Map-A4.pdf</t>
        </is>
      </c>
      <c r="R898" t="inlineStr">
        <is>
          <t>outdated</t>
        </is>
      </c>
      <c r="S898" t="inlineStr">
        <is>
          <t>Y</t>
        </is>
      </c>
      <c r="T898" t="inlineStr">
        <is>
          <t>matched</t>
        </is>
      </c>
      <c r="U898" t="inlineStr">
        <is>
          <t>2026-10-04</t>
        </is>
      </c>
      <c r="V898" t="inlineStr"/>
    </row>
    <row r="899">
      <c r="A899" t="n">
        <v>49</v>
      </c>
      <c r="B899" t="inlineStr">
        <is>
          <t>Vakkaru Maldives</t>
        </is>
      </c>
      <c r="C899" t="inlineStr">
        <is>
          <t>spa_menu</t>
        </is>
      </c>
      <c r="D899" t="inlineStr">
        <is>
          <t>2026_merana-spa_menu_2026.pdf</t>
        </is>
      </c>
      <c r="E899" t="n">
        <v>2026</v>
      </c>
      <c r="H899" t="n">
        <v>19</v>
      </c>
      <c r="I899" t="n">
        <v>13853</v>
      </c>
      <c r="J899" t="inlineStr">
        <is>
          <t>Y</t>
        </is>
      </c>
      <c r="K899" t="inlineStr">
        <is>
          <t>vakkarumaldives.com</t>
        </is>
      </c>
      <c r="L899" t="inlineStr">
        <is>
          <t>official</t>
        </is>
      </c>
      <c r="M899" t="inlineStr">
        <is>
          <t>https://www.vakkarumaldives.com/pdfs/spa-menus/merana-spa_menu_2026.pdf</t>
        </is>
      </c>
      <c r="N899" t="inlineStr">
        <is>
          <t>https://www.vakkarumaldives.com/pdfs/spa-menus/merana-spa_menu_2026.pdf</t>
        </is>
      </c>
      <c r="O899" t="inlineStr">
        <is>
          <t>8bc6113229330843c2f207ffda9e612b393a94c2ff4c84c6d589282ede1b6c21</t>
        </is>
      </c>
      <c r="P899" t="inlineStr">
        <is>
          <t>library/049_vakkaru-maldives/spa_menu/2026_merana-spa_menu_2026.pdf</t>
        </is>
      </c>
      <c r="R899" t="inlineStr">
        <is>
          <t>current</t>
        </is>
      </c>
      <c r="S899" t="inlineStr">
        <is>
          <t>Y</t>
        </is>
      </c>
      <c r="T899" t="inlineStr">
        <is>
          <t>matched</t>
        </is>
      </c>
      <c r="U899" t="inlineStr">
        <is>
          <t>2026-10-04</t>
        </is>
      </c>
      <c r="V899" t="inlineStr"/>
    </row>
    <row r="900">
      <c r="A900" t="n">
        <v>49</v>
      </c>
      <c r="B900" t="inlineStr">
        <is>
          <t>Vakkaru Maldives</t>
        </is>
      </c>
      <c r="C900" t="inlineStr">
        <is>
          <t>spa_menu</t>
        </is>
      </c>
      <c r="D900" t="inlineStr">
        <is>
          <t>2026_merana-spa---wellness-activity-flyer---june.pdf</t>
        </is>
      </c>
      <c r="E900" t="n">
        <v>2026</v>
      </c>
      <c r="H900" t="n">
        <v>4</v>
      </c>
      <c r="I900" t="n">
        <v>11877</v>
      </c>
      <c r="J900" t="inlineStr">
        <is>
          <t>N</t>
        </is>
      </c>
      <c r="K900" t="inlineStr">
        <is>
          <t>vakkarumaldives.com</t>
        </is>
      </c>
      <c r="L900" t="inlineStr">
        <is>
          <t>official</t>
        </is>
      </c>
      <c r="M900" t="inlineStr">
        <is>
          <t>https://www.vakkarumaldives.com/pdfs/spa-menus/merana-spa---wellness-activity-flyer---june.pdf</t>
        </is>
      </c>
      <c r="N900" t="inlineStr">
        <is>
          <t>https://www.vakkarumaldives.com/pdfs/spa-menus/merana-spa---wellness-activity-flyer---june.pdf</t>
        </is>
      </c>
      <c r="O900" t="inlineStr">
        <is>
          <t>101de0f3b7451838f597ac6237b17ec22e5e03b47d6eef61415e639eb772141d</t>
        </is>
      </c>
      <c r="P900" t="inlineStr">
        <is>
          <t>library/049_vakkaru-maldives/spa_menu/2026_merana-spa---wellness-activity-flyer---june.pdf</t>
        </is>
      </c>
      <c r="R900" t="inlineStr">
        <is>
          <t>current</t>
        </is>
      </c>
      <c r="S900" t="inlineStr">
        <is>
          <t>N</t>
        </is>
      </c>
      <c r="T900" t="inlineStr">
        <is>
          <t>matched</t>
        </is>
      </c>
      <c r="U900" t="inlineStr">
        <is>
          <t>2026-10-04</t>
        </is>
      </c>
      <c r="V900" t="inlineStr"/>
    </row>
    <row r="901">
      <c r="A901" t="n">
        <v>49</v>
      </c>
      <c r="B901" t="inlineStr">
        <is>
          <t>Vakkaru Maldives</t>
        </is>
      </c>
      <c r="C901" t="inlineStr">
        <is>
          <t>spa_menu</t>
        </is>
      </c>
      <c r="D901" t="inlineStr">
        <is>
          <t>2026_merana-spa_ayurvedic-menu.pdf</t>
        </is>
      </c>
      <c r="E901" t="n">
        <v>2026</v>
      </c>
      <c r="H901" t="n">
        <v>8</v>
      </c>
      <c r="I901" t="n">
        <v>12834</v>
      </c>
      <c r="J901" t="inlineStr">
        <is>
          <t>N</t>
        </is>
      </c>
      <c r="K901" t="inlineStr">
        <is>
          <t>vakkarumaldives.com</t>
        </is>
      </c>
      <c r="L901" t="inlineStr">
        <is>
          <t>official</t>
        </is>
      </c>
      <c r="M901" t="inlineStr">
        <is>
          <t>https://www.vakkarumaldives.com/pdfs/spa-menus/merana-spa_ayurvedic-menu.pdf</t>
        </is>
      </c>
      <c r="N901" t="inlineStr">
        <is>
          <t>https://www.vakkarumaldives.com/pdfs/spa-menus/merana-spa_ayurvedic-menu.pdf</t>
        </is>
      </c>
      <c r="O901" t="inlineStr">
        <is>
          <t>36314bde8a25b7373ca62bb82ecea425c6bf51e2a858a05c389cd55dd5b9d3d3</t>
        </is>
      </c>
      <c r="P901" t="inlineStr">
        <is>
          <t>library/049_vakkaru-maldives/spa_menu/2026_merana-spa_ayurvedic-menu.pdf</t>
        </is>
      </c>
      <c r="R901" t="inlineStr">
        <is>
          <t>current</t>
        </is>
      </c>
      <c r="S901" t="inlineStr">
        <is>
          <t>N</t>
        </is>
      </c>
      <c r="T901" t="inlineStr">
        <is>
          <t>matched</t>
        </is>
      </c>
      <c r="U901" t="inlineStr">
        <is>
          <t>2026-10-04</t>
        </is>
      </c>
      <c r="V901" t="inlineStr"/>
    </row>
    <row r="902">
      <c r="A902" t="n">
        <v>49</v>
      </c>
      <c r="B902" t="inlineStr">
        <is>
          <t>Vakkaru Maldives</t>
        </is>
      </c>
      <c r="C902" t="inlineStr">
        <is>
          <t>spa_menu</t>
        </is>
      </c>
      <c r="D902" t="inlineStr">
        <is>
          <t>2026_merana-spa-wellness-activity-flyer-october-2026.pdf</t>
        </is>
      </c>
      <c r="E902" t="n">
        <v>2026</v>
      </c>
      <c r="H902" t="n">
        <v>4</v>
      </c>
      <c r="I902" t="n">
        <v>9143</v>
      </c>
      <c r="J902" t="inlineStr">
        <is>
          <t>Y</t>
        </is>
      </c>
      <c r="K902" t="inlineStr">
        <is>
          <t>vakkarumaldives.com</t>
        </is>
      </c>
      <c r="L902" t="inlineStr">
        <is>
          <t>official</t>
        </is>
      </c>
      <c r="M902" t="inlineStr">
        <is>
          <t>https://www.vakkarumaldives.com/pdfs/spa-menus/merana-spa-wellness-activity-flyer-october-2026.pdf</t>
        </is>
      </c>
      <c r="N902" t="inlineStr">
        <is>
          <t>https://www.vakkarumaldives.com/pdfs/spa-menus/merana-spa-wellness-activity-flyer-october-2026.pdf</t>
        </is>
      </c>
      <c r="O902" t="inlineStr">
        <is>
          <t>fec592001ee45fae292067cd5acdb573229af72db3ea4adc690122561fcfa8e9</t>
        </is>
      </c>
      <c r="P902" t="inlineStr">
        <is>
          <t>library/049_vakkaru-maldives/spa_menu/2026_merana-spa-wellness-activity-flyer-october-2026.pdf</t>
        </is>
      </c>
      <c r="R902" t="inlineStr">
        <is>
          <t>current</t>
        </is>
      </c>
      <c r="S902" t="inlineStr">
        <is>
          <t>N</t>
        </is>
      </c>
      <c r="T902" t="inlineStr">
        <is>
          <t>matched</t>
        </is>
      </c>
      <c r="U902" t="inlineStr">
        <is>
          <t>2026-10-04</t>
        </is>
      </c>
      <c r="V902" t="inlineStr"/>
    </row>
    <row r="903">
      <c r="A903" t="n">
        <v>49</v>
      </c>
      <c r="B903" t="inlineStr">
        <is>
          <t>Vakkaru Maldives</t>
        </is>
      </c>
      <c r="C903" t="inlineStr">
        <is>
          <t>dining_menu</t>
        </is>
      </c>
      <c r="D903" t="inlineStr">
        <is>
          <t>2026_vakku-dinner-menu-en.pdf</t>
        </is>
      </c>
      <c r="E903" t="n">
        <v>2026</v>
      </c>
      <c r="H903" t="n">
        <v>4</v>
      </c>
      <c r="I903" t="n">
        <v>1672</v>
      </c>
      <c r="J903" t="inlineStr">
        <is>
          <t>Y</t>
        </is>
      </c>
      <c r="K903" t="inlineStr">
        <is>
          <t>vakkarumaldives.com</t>
        </is>
      </c>
      <c r="L903" t="inlineStr">
        <is>
          <t>official</t>
        </is>
      </c>
      <c r="M903" t="inlineStr">
        <is>
          <t>https://www.vakkarumaldives.com/pdfs/dining-restaurant-menus/vakku-dinner-menu-en.pdf</t>
        </is>
      </c>
      <c r="N903" t="inlineStr">
        <is>
          <t>https://www.vakkarumaldives.com/pdfs/dining-restaurant-menus/vakku-dinner-menu-en.pdf</t>
        </is>
      </c>
      <c r="O903" t="inlineStr">
        <is>
          <t>5d216771d2c3f34688b729ca34326113a83c6d80f2070e2a58ffb189d0c34f1d</t>
        </is>
      </c>
      <c r="P903" t="inlineStr">
        <is>
          <t>library/049_vakkaru-maldives/dining_menu/2026_vakku-dinner-menu-en.pdf</t>
        </is>
      </c>
      <c r="R903" t="inlineStr">
        <is>
          <t>current</t>
        </is>
      </c>
      <c r="S903" t="inlineStr">
        <is>
          <t>N</t>
        </is>
      </c>
      <c r="T903" t="inlineStr">
        <is>
          <t>matched</t>
        </is>
      </c>
      <c r="U903" t="inlineStr">
        <is>
          <t>2026-10-04</t>
        </is>
      </c>
      <c r="V903" t="inlineStr"/>
    </row>
    <row r="904">
      <c r="A904" t="n">
        <v>49</v>
      </c>
      <c r="B904" t="inlineStr">
        <is>
          <t>Vakkaru Maldives</t>
        </is>
      </c>
      <c r="C904" t="inlineStr">
        <is>
          <t>dining_menu</t>
        </is>
      </c>
      <c r="D904" t="inlineStr">
        <is>
          <t>2026_isoletta-lunch.pdf</t>
        </is>
      </c>
      <c r="E904" t="n">
        <v>2026</v>
      </c>
      <c r="H904" t="n">
        <v>1</v>
      </c>
      <c r="I904" t="n">
        <v>150</v>
      </c>
      <c r="J904" t="inlineStr">
        <is>
          <t>Y</t>
        </is>
      </c>
      <c r="K904" t="inlineStr">
        <is>
          <t>vakkarumaldives.com</t>
        </is>
      </c>
      <c r="L904" t="inlineStr">
        <is>
          <t>official</t>
        </is>
      </c>
      <c r="M904" t="inlineStr">
        <is>
          <t>https://www.vakkarumaldives.com/pdfs/dining-restaurant-menus/isoletta-lunch.pdf</t>
        </is>
      </c>
      <c r="N904" t="inlineStr">
        <is>
          <t>https://www.vakkarumaldives.com/pdfs/dining-restaurant-menus/isoletta-lunch.pdf</t>
        </is>
      </c>
      <c r="O904" t="inlineStr">
        <is>
          <t>2a4b2eb995a64e3fd34b63ab34e0eab45b9f06d1d93558eee4c1fe6eaae8190b</t>
        </is>
      </c>
      <c r="P904" t="inlineStr">
        <is>
          <t>library/049_vakkaru-maldives/dining_menu/2026_isoletta-lunch.pdf</t>
        </is>
      </c>
      <c r="R904" t="inlineStr">
        <is>
          <t>current</t>
        </is>
      </c>
      <c r="S904" t="inlineStr">
        <is>
          <t>N</t>
        </is>
      </c>
      <c r="T904" t="inlineStr">
        <is>
          <t>matched</t>
        </is>
      </c>
      <c r="U904" t="inlineStr">
        <is>
          <t>2026-10-04</t>
        </is>
      </c>
      <c r="V904" t="inlineStr"/>
    </row>
    <row r="905">
      <c r="A905" t="n">
        <v>49</v>
      </c>
      <c r="B905" t="inlineStr">
        <is>
          <t>Vakkaru Maldives</t>
        </is>
      </c>
      <c r="C905" t="inlineStr">
        <is>
          <t>dining_menu</t>
        </is>
      </c>
      <c r="D905" t="inlineStr">
        <is>
          <t>2026_anguru-menu-2026.pdf</t>
        </is>
      </c>
      <c r="E905" t="n">
        <v>2026</v>
      </c>
      <c r="H905" t="n">
        <v>7</v>
      </c>
      <c r="I905" t="n">
        <v>288</v>
      </c>
      <c r="J905" t="inlineStr">
        <is>
          <t>Y</t>
        </is>
      </c>
      <c r="K905" t="inlineStr">
        <is>
          <t>vakkarumaldives.com</t>
        </is>
      </c>
      <c r="L905" t="inlineStr">
        <is>
          <t>official</t>
        </is>
      </c>
      <c r="M905" t="inlineStr">
        <is>
          <t>https://www.vakkarumaldives.com/pdfs/dining-restaurant-menus/anguru-menu-2026.pdf</t>
        </is>
      </c>
      <c r="N905" t="inlineStr">
        <is>
          <t>https://www.vakkarumaldives.com/pdfs/dining-restaurant-menus/anguru-menu-2026.pdf</t>
        </is>
      </c>
      <c r="O905" t="inlineStr">
        <is>
          <t>d031e8d78f476b9356c6c50e28af3266712f3ee5637a7f44faf2f930484e2c15</t>
        </is>
      </c>
      <c r="P905" t="inlineStr">
        <is>
          <t>library/049_vakkaru-maldives/dining_menu/2026_anguru-menu-2026.pdf</t>
        </is>
      </c>
      <c r="R905" t="inlineStr">
        <is>
          <t>current</t>
        </is>
      </c>
      <c r="S905" t="inlineStr">
        <is>
          <t>N</t>
        </is>
      </c>
      <c r="T905" t="inlineStr">
        <is>
          <t>matched</t>
        </is>
      </c>
      <c r="U905" t="inlineStr">
        <is>
          <t>2026-10-04</t>
        </is>
      </c>
      <c r="V905" t="inlineStr"/>
    </row>
    <row r="906">
      <c r="A906" t="n">
        <v>49</v>
      </c>
      <c r="B906" t="inlineStr">
        <is>
          <t>Vakkaru Maldives</t>
        </is>
      </c>
      <c r="C906" t="inlineStr">
        <is>
          <t>dining_menu</t>
        </is>
      </c>
      <c r="D906" t="inlineStr">
        <is>
          <t>2026_amaany-breakfast.pdf</t>
        </is>
      </c>
      <c r="E906" t="n">
        <v>2026</v>
      </c>
      <c r="H906" t="n">
        <v>4</v>
      </c>
      <c r="I906" t="n">
        <v>445</v>
      </c>
      <c r="J906" t="inlineStr">
        <is>
          <t>Y</t>
        </is>
      </c>
      <c r="K906" t="inlineStr">
        <is>
          <t>vakkarumaldives.com</t>
        </is>
      </c>
      <c r="L906" t="inlineStr">
        <is>
          <t>official</t>
        </is>
      </c>
      <c r="M906" t="inlineStr">
        <is>
          <t>https://www.vakkarumaldives.com/pdfs/dining-restaurant-menus/amaany-breakfast.pdf</t>
        </is>
      </c>
      <c r="N906" t="inlineStr">
        <is>
          <t>https://www.vakkarumaldives.com/pdfs/dining-restaurant-menus/amaany-breakfast.pdf</t>
        </is>
      </c>
      <c r="O906" t="inlineStr">
        <is>
          <t>0c6f6b704240972ac0a8d5082ca0919661bb370e1774c3360cd6e2509d761461</t>
        </is>
      </c>
      <c r="P906" t="inlineStr">
        <is>
          <t>library/049_vakkaru-maldives/dining_menu/2026_amaany-breakfast.pdf</t>
        </is>
      </c>
      <c r="R906" t="inlineStr">
        <is>
          <t>current</t>
        </is>
      </c>
      <c r="S906" t="inlineStr">
        <is>
          <t>N</t>
        </is>
      </c>
      <c r="T906" t="inlineStr">
        <is>
          <t>matched</t>
        </is>
      </c>
      <c r="U906" t="inlineStr">
        <is>
          <t>2026-10-04</t>
        </is>
      </c>
      <c r="V906" t="inlineStr"/>
    </row>
    <row r="907">
      <c r="A907" t="n">
        <v>49</v>
      </c>
      <c r="B907" t="inlineStr">
        <is>
          <t>Vakkaru Maldives</t>
        </is>
      </c>
      <c r="C907" t="inlineStr">
        <is>
          <t>dining_menu</t>
        </is>
      </c>
      <c r="D907" t="inlineStr">
        <is>
          <t>2026_lagoon-bar-dinner.pdf</t>
        </is>
      </c>
      <c r="E907" t="n">
        <v>2026</v>
      </c>
      <c r="H907" t="n">
        <v>16</v>
      </c>
      <c r="I907" t="n">
        <v>1101</v>
      </c>
      <c r="J907" t="inlineStr">
        <is>
          <t>Y</t>
        </is>
      </c>
      <c r="K907" t="inlineStr">
        <is>
          <t>vakkarumaldives.com</t>
        </is>
      </c>
      <c r="L907" t="inlineStr">
        <is>
          <t>official</t>
        </is>
      </c>
      <c r="M907" t="inlineStr">
        <is>
          <t>https://www.vakkarumaldives.com/pdfs/dining-restaurant-menus/lagoon-bar-dinner.pdf</t>
        </is>
      </c>
      <c r="N907" t="inlineStr">
        <is>
          <t>https://www.vakkarumaldives.com/pdfs/dining-restaurant-menus/lagoon-bar-dinner.pdf</t>
        </is>
      </c>
      <c r="O907" t="inlineStr">
        <is>
          <t>f59a86a58e238e246cb751d1253af845f7cb5e2944cb401e1d48a354c8d05eb9</t>
        </is>
      </c>
      <c r="P907" t="inlineStr">
        <is>
          <t>library/049_vakkaru-maldives/dining_menu/2026_lagoon-bar-dinner.pdf</t>
        </is>
      </c>
      <c r="R907" t="inlineStr">
        <is>
          <t>current</t>
        </is>
      </c>
      <c r="S907" t="inlineStr">
        <is>
          <t>N</t>
        </is>
      </c>
      <c r="T907" t="inlineStr">
        <is>
          <t>matched</t>
        </is>
      </c>
      <c r="U907" t="inlineStr">
        <is>
          <t>2026-10-04</t>
        </is>
      </c>
      <c r="V907" t="inlineStr"/>
    </row>
    <row r="908">
      <c r="A908" t="n">
        <v>49</v>
      </c>
      <c r="B908" t="inlineStr">
        <is>
          <t>Vakkaru Maldives</t>
        </is>
      </c>
      <c r="C908" t="inlineStr">
        <is>
          <t>dining_menu</t>
        </is>
      </c>
      <c r="D908" t="inlineStr">
        <is>
          <t>2026_cabana-bev-menu-2026.pdf</t>
        </is>
      </c>
      <c r="E908" t="n">
        <v>2026</v>
      </c>
      <c r="H908" t="n">
        <v>20</v>
      </c>
      <c r="I908" t="n">
        <v>339</v>
      </c>
      <c r="J908" t="inlineStr">
        <is>
          <t>Y</t>
        </is>
      </c>
      <c r="K908" t="inlineStr">
        <is>
          <t>vakkarumaldives.com</t>
        </is>
      </c>
      <c r="L908" t="inlineStr">
        <is>
          <t>official</t>
        </is>
      </c>
      <c r="M908" t="inlineStr">
        <is>
          <t>https://www.vakkarumaldives.com/pdfs/dining-restaurant-menus/cabana-bev-menu-2026.pdf</t>
        </is>
      </c>
      <c r="N908" t="inlineStr">
        <is>
          <t>https://www.vakkarumaldives.com/pdfs/dining-restaurant-menus/cabana-bev-menu-2026.pdf</t>
        </is>
      </c>
      <c r="O908" t="inlineStr">
        <is>
          <t>e4da792fbd5be7818df618edb5e17b44ab07396dc420ab71c84f86ea9e945872</t>
        </is>
      </c>
      <c r="P908" t="inlineStr">
        <is>
          <t>library/049_vakkaru-maldives/dining_menu/2026_cabana-bev-menu-2026.pdf</t>
        </is>
      </c>
      <c r="R908" t="inlineStr">
        <is>
          <t>current</t>
        </is>
      </c>
      <c r="S908" t="inlineStr">
        <is>
          <t>N</t>
        </is>
      </c>
      <c r="T908" t="inlineStr">
        <is>
          <t>matched</t>
        </is>
      </c>
      <c r="U908" t="inlineStr">
        <is>
          <t>2026-10-04</t>
        </is>
      </c>
      <c r="V908" t="inlineStr"/>
    </row>
    <row r="909">
      <c r="A909" t="n">
        <v>49</v>
      </c>
      <c r="B909" t="inlineStr">
        <is>
          <t>Vakkaru Maldives</t>
        </is>
      </c>
      <c r="C909" t="inlineStr">
        <is>
          <t>dining_menu</t>
        </is>
      </c>
      <c r="D909" t="inlineStr">
        <is>
          <t>2026_isoletta-dinner.pdf</t>
        </is>
      </c>
      <c r="E909" t="n">
        <v>2026</v>
      </c>
      <c r="H909" t="n">
        <v>4</v>
      </c>
      <c r="I909" t="n">
        <v>158</v>
      </c>
      <c r="J909" t="inlineStr">
        <is>
          <t>Y</t>
        </is>
      </c>
      <c r="K909" t="inlineStr">
        <is>
          <t>vakkarumaldives.com</t>
        </is>
      </c>
      <c r="L909" t="inlineStr">
        <is>
          <t>official</t>
        </is>
      </c>
      <c r="M909" t="inlineStr">
        <is>
          <t>https://www.vakkarumaldives.com/pdfs/dining-restaurant-menus/isoletta-dinner.pdf</t>
        </is>
      </c>
      <c r="N909" t="inlineStr">
        <is>
          <t>https://www.vakkarumaldives.com/pdfs/dining-restaurant-menus/isoletta-dinner.pdf</t>
        </is>
      </c>
      <c r="O909" t="inlineStr">
        <is>
          <t>4e3a69b5326e8a6ba073eb98fc977f67c135b86bc54a64cb75962a19e9dc9d92</t>
        </is>
      </c>
      <c r="P909" t="inlineStr">
        <is>
          <t>library/049_vakkaru-maldives/dining_menu/2026_isoletta-dinner.pdf</t>
        </is>
      </c>
      <c r="R909" t="inlineStr">
        <is>
          <t>current</t>
        </is>
      </c>
      <c r="S909" t="inlineStr">
        <is>
          <t>N</t>
        </is>
      </c>
      <c r="T909" t="inlineStr">
        <is>
          <t>matched</t>
        </is>
      </c>
      <c r="U909" t="inlineStr">
        <is>
          <t>2026-10-04</t>
        </is>
      </c>
      <c r="V909" t="inlineStr"/>
    </row>
    <row r="910">
      <c r="A910" t="n">
        <v>49</v>
      </c>
      <c r="B910" t="inlineStr">
        <is>
          <t>Vakkaru Maldives</t>
        </is>
      </c>
      <c r="C910" t="inlineStr">
        <is>
          <t>dining_menu</t>
        </is>
      </c>
      <c r="D910" t="inlineStr">
        <is>
          <t>2026_master-wine-list.-2026.pdf</t>
        </is>
      </c>
      <c r="E910" t="n">
        <v>2026</v>
      </c>
      <c r="H910" t="n">
        <v>37</v>
      </c>
      <c r="I910" t="n">
        <v>8706</v>
      </c>
      <c r="J910" t="inlineStr">
        <is>
          <t>N</t>
        </is>
      </c>
      <c r="K910" t="inlineStr">
        <is>
          <t>vakkarumaldives.com</t>
        </is>
      </c>
      <c r="L910" t="inlineStr">
        <is>
          <t>official</t>
        </is>
      </c>
      <c r="M910" t="inlineStr">
        <is>
          <t>https://www.vakkarumaldives.com/pdfs/dining-restaurant-menus/master-wine-list.-2026.pdf</t>
        </is>
      </c>
      <c r="N910" t="inlineStr">
        <is>
          <t>https://www.vakkarumaldives.com/pdfs/dining-restaurant-menus/master-wine-list.-2026.pdf</t>
        </is>
      </c>
      <c r="O910" t="inlineStr">
        <is>
          <t>26bca6e235e1ee0850edb1d1153b8298bff3c32e3cd690fb1c7deb00aaf7fd8f</t>
        </is>
      </c>
      <c r="P910" t="inlineStr">
        <is>
          <t>library/049_vakkaru-maldives/dining_menu/2026_master-wine-list.-2026.pdf</t>
        </is>
      </c>
      <c r="R910" t="inlineStr">
        <is>
          <t>current</t>
        </is>
      </c>
      <c r="S910" t="inlineStr">
        <is>
          <t>Y</t>
        </is>
      </c>
      <c r="T910" t="inlineStr">
        <is>
          <t>matched</t>
        </is>
      </c>
      <c r="U910" t="inlineStr">
        <is>
          <t>2026-10-04</t>
        </is>
      </c>
      <c r="V910" t="inlineStr"/>
    </row>
    <row r="911">
      <c r="A911" t="n">
        <v>49</v>
      </c>
      <c r="B911" t="inlineStr">
        <is>
          <t>Vakkaru Maldives</t>
        </is>
      </c>
      <c r="C911" t="inlineStr">
        <is>
          <t>dining_menu</t>
        </is>
      </c>
      <c r="D911" t="inlineStr">
        <is>
          <t>2026_lagoon-bar-lunch.pdf</t>
        </is>
      </c>
      <c r="E911" t="n">
        <v>2026</v>
      </c>
      <c r="H911" t="n">
        <v>20</v>
      </c>
      <c r="I911" t="n">
        <v>1129</v>
      </c>
      <c r="J911" t="inlineStr">
        <is>
          <t>Y</t>
        </is>
      </c>
      <c r="K911" t="inlineStr">
        <is>
          <t>vakkarumaldives.com</t>
        </is>
      </c>
      <c r="L911" t="inlineStr">
        <is>
          <t>official</t>
        </is>
      </c>
      <c r="M911" t="inlineStr">
        <is>
          <t>https://www.vakkarumaldives.com/pdfs/dining-restaurant-menus/lagoon-bar-lunch.pdf</t>
        </is>
      </c>
      <c r="N911" t="inlineStr">
        <is>
          <t>https://www.vakkarumaldives.com/pdfs/dining-restaurant-menus/lagoon-bar-lunch.pdf</t>
        </is>
      </c>
      <c r="O911" t="inlineStr">
        <is>
          <t>7b763cf8c883f26f4acc777df4dbe2bdc83df03d53d3a6a34c1416aeb2383daf</t>
        </is>
      </c>
      <c r="P911" t="inlineStr">
        <is>
          <t>library/049_vakkaru-maldives/dining_menu/2026_lagoon-bar-lunch.pdf</t>
        </is>
      </c>
      <c r="R911" t="inlineStr">
        <is>
          <t>current</t>
        </is>
      </c>
      <c r="S911" t="inlineStr">
        <is>
          <t>N</t>
        </is>
      </c>
      <c r="T911" t="inlineStr">
        <is>
          <t>matched</t>
        </is>
      </c>
      <c r="U911" t="inlineStr">
        <is>
          <t>2026-10-04</t>
        </is>
      </c>
      <c r="V911" t="inlineStr"/>
    </row>
    <row r="912">
      <c r="A912" t="n">
        <v>49</v>
      </c>
      <c r="B912" t="inlineStr">
        <is>
          <t>Vakkaru Maldives</t>
        </is>
      </c>
      <c r="C912" t="inlineStr">
        <is>
          <t>dining_menu</t>
        </is>
      </c>
      <c r="D912" t="inlineStr">
        <is>
          <t>2026_onu-menu.pdf</t>
        </is>
      </c>
      <c r="E912" t="n">
        <v>2026</v>
      </c>
      <c r="H912" t="n">
        <v>10</v>
      </c>
      <c r="I912" t="n">
        <v>121</v>
      </c>
      <c r="J912" t="inlineStr">
        <is>
          <t>Y</t>
        </is>
      </c>
      <c r="K912" t="inlineStr">
        <is>
          <t>vakkarumaldives.com</t>
        </is>
      </c>
      <c r="L912" t="inlineStr">
        <is>
          <t>official</t>
        </is>
      </c>
      <c r="M912" t="inlineStr">
        <is>
          <t>https://www.vakkarumaldives.com/pdfs/dining-restaurant-menus/onu-menu.pdf</t>
        </is>
      </c>
      <c r="N912" t="inlineStr">
        <is>
          <t>https://www.vakkarumaldives.com/pdfs/dining-restaurant-menus/onu-menu.pdf</t>
        </is>
      </c>
      <c r="O912" t="inlineStr">
        <is>
          <t>56962793c355c6e9dbcd3e5a4a1823b63e9fbe7c341f25723e84fa7444645f05</t>
        </is>
      </c>
      <c r="P912" t="inlineStr">
        <is>
          <t>library/049_vakkaru-maldives/dining_menu/2026_onu-menu.pdf</t>
        </is>
      </c>
      <c r="R912" t="inlineStr">
        <is>
          <t>current</t>
        </is>
      </c>
      <c r="S912" t="inlineStr">
        <is>
          <t>N</t>
        </is>
      </c>
      <c r="T912" t="inlineStr">
        <is>
          <t>matched</t>
        </is>
      </c>
      <c r="U912" t="inlineStr">
        <is>
          <t>2026-10-04</t>
        </is>
      </c>
      <c r="V912" t="inlineStr"/>
    </row>
    <row r="913">
      <c r="A913" t="n">
        <v>49</v>
      </c>
      <c r="B913" t="inlineStr">
        <is>
          <t>Vakkaru Maldives</t>
        </is>
      </c>
      <c r="C913" t="inlineStr">
        <is>
          <t>dining_menu</t>
        </is>
      </c>
      <c r="D913" t="inlineStr">
        <is>
          <t>2019_vakkaru-maldives_house-and-garden_june-2019.pdf</t>
        </is>
      </c>
      <c r="E913" t="n">
        <v>2019</v>
      </c>
      <c r="H913" t="n">
        <v>1</v>
      </c>
      <c r="I913" t="n">
        <v>115</v>
      </c>
      <c r="J913" t="inlineStr">
        <is>
          <t>Y</t>
        </is>
      </c>
      <c r="K913" t="inlineStr">
        <is>
          <t>vakkarumaldives.com</t>
        </is>
      </c>
      <c r="L913" t="inlineStr">
        <is>
          <t>official</t>
        </is>
      </c>
      <c r="M913" t="inlineStr">
        <is>
          <t>https://www.vakkarumaldives.com/pdfs/vakkaru-maldives_house-and-garden_june-2019.pdf</t>
        </is>
      </c>
      <c r="N913" t="inlineStr">
        <is>
          <t>https://www.vakkarumaldives.com/pdfs/vakkaru-maldives_house-and-garden_june-2019.pdf</t>
        </is>
      </c>
      <c r="O913" t="inlineStr">
        <is>
          <t>c460767be8bdbe150028bf01a20cc4d29d41b786dc9205a955ee531824b71749</t>
        </is>
      </c>
      <c r="P913" t="inlineStr">
        <is>
          <t>library/049_vakkaru-maldives/dining_menu/2019_vakkaru-maldives_house-and-garden_june-2019.pdf</t>
        </is>
      </c>
      <c r="R913" t="inlineStr">
        <is>
          <t>outdated</t>
        </is>
      </c>
      <c r="S913" t="inlineStr">
        <is>
          <t>N</t>
        </is>
      </c>
      <c r="T913" t="inlineStr">
        <is>
          <t>matched</t>
        </is>
      </c>
      <c r="U913" t="inlineStr">
        <is>
          <t>2026-10-04</t>
        </is>
      </c>
      <c r="V913" t="inlineStr"/>
    </row>
    <row r="914">
      <c r="A914" t="n">
        <v>49</v>
      </c>
      <c r="B914" t="inlineStr">
        <is>
          <t>Vakkaru Maldives</t>
        </is>
      </c>
      <c r="C914" t="inlineStr">
        <is>
          <t>dining_menu</t>
        </is>
      </c>
      <c r="D914" t="inlineStr">
        <is>
          <t>2019_alistair-burt-head-pastry-chef-of-harrods-london-at-vakkaru-maldives.pdf</t>
        </is>
      </c>
      <c r="E914" t="n">
        <v>2019</v>
      </c>
      <c r="H914" t="n">
        <v>3</v>
      </c>
      <c r="I914" t="n">
        <v>241</v>
      </c>
      <c r="J914" t="inlineStr">
        <is>
          <t>Y</t>
        </is>
      </c>
      <c r="K914" t="inlineStr">
        <is>
          <t>vakkarumaldives.com</t>
        </is>
      </c>
      <c r="L914" t="inlineStr">
        <is>
          <t>official</t>
        </is>
      </c>
      <c r="M914" t="inlineStr">
        <is>
          <t>https://www.vakkarumaldives.com/pdfs/alistair-burt-head-pastry-chef-of-harrods-london-at-vakkaru-maldives.pdf</t>
        </is>
      </c>
      <c r="N914" t="inlineStr">
        <is>
          <t>https://www.vakkarumaldives.com/pdfs/alistair-burt-head-pastry-chef-of-harrods-london-at-vakkaru-maldives.pdf</t>
        </is>
      </c>
      <c r="O914" t="inlineStr">
        <is>
          <t>e34a54cfb64d5ca3584f124c0ae7428b0d745985d9623df50e75eb98825f1fc2</t>
        </is>
      </c>
      <c r="P914" t="inlineStr">
        <is>
          <t>library/049_vakkaru-maldives/dining_menu/2019_alistair-burt-head-pastry-chef-of-harrods-london-at-vakkaru-maldives.pdf</t>
        </is>
      </c>
      <c r="R914" t="inlineStr">
        <is>
          <t>outdated</t>
        </is>
      </c>
      <c r="S914" t="inlineStr">
        <is>
          <t>N</t>
        </is>
      </c>
      <c r="T914" t="inlineStr">
        <is>
          <t>matched</t>
        </is>
      </c>
      <c r="U914" t="inlineStr">
        <is>
          <t>2026-10-04</t>
        </is>
      </c>
      <c r="V914" t="inlineStr"/>
    </row>
    <row r="915">
      <c r="A915" t="n">
        <v>49</v>
      </c>
      <c r="B915" t="inlineStr">
        <is>
          <t>Vakkaru Maldives</t>
        </is>
      </c>
      <c r="C915" t="inlineStr">
        <is>
          <t>excursions</t>
        </is>
      </c>
      <c r="D915" t="inlineStr">
        <is>
          <t>2026_vakkaru-maldives_parrotfish-activity-schedule.pdf</t>
        </is>
      </c>
      <c r="E915" t="n">
        <v>2026</v>
      </c>
      <c r="H915" t="n">
        <v>1</v>
      </c>
      <c r="I915" t="n">
        <v>312</v>
      </c>
      <c r="J915" t="inlineStr">
        <is>
          <t>Y</t>
        </is>
      </c>
      <c r="K915" t="inlineStr">
        <is>
          <t>vakkarumaldives.com</t>
        </is>
      </c>
      <c r="L915" t="inlineStr">
        <is>
          <t>official</t>
        </is>
      </c>
      <c r="M915" t="inlineStr">
        <is>
          <t>https://www.vakkarumaldives.com/pdfs/experience/vakkaru-maldives_parrotfish-activity-schedule.pdf</t>
        </is>
      </c>
      <c r="N915" t="inlineStr">
        <is>
          <t>https://www.vakkarumaldives.com/pdfs/experience/vakkaru-maldives_parrotfish-activity-schedule.pdf</t>
        </is>
      </c>
      <c r="O915" t="inlineStr">
        <is>
          <t>33693e7aead0bd7a9fc9f8fa03b9b18745b8af220bc469e6cf6c262df249ee5d</t>
        </is>
      </c>
      <c r="P915" t="inlineStr">
        <is>
          <t>library/049_vakkaru-maldives/excursions/2026_vakkaru-maldives_parrotfish-activity-schedule.pdf</t>
        </is>
      </c>
      <c r="R915" t="inlineStr">
        <is>
          <t>current</t>
        </is>
      </c>
      <c r="S915" t="inlineStr">
        <is>
          <t>Y</t>
        </is>
      </c>
      <c r="T915" t="inlineStr">
        <is>
          <t>matched</t>
        </is>
      </c>
      <c r="U915" t="inlineStr">
        <is>
          <t>2026-10-04</t>
        </is>
      </c>
      <c r="V915" t="inlineStr"/>
    </row>
    <row r="916">
      <c r="A916" t="n">
        <v>49</v>
      </c>
      <c r="B916" t="inlineStr">
        <is>
          <t>Vakkaru Maldives</t>
        </is>
      </c>
      <c r="C916" t="inlineStr">
        <is>
          <t>excursions</t>
        </is>
      </c>
      <c r="D916" t="inlineStr">
        <is>
          <t>2024_coconut-club-activity-schedule.pdf</t>
        </is>
      </c>
      <c r="E916" t="n">
        <v>2024</v>
      </c>
      <c r="H916" t="n">
        <v>1</v>
      </c>
      <c r="I916" t="n">
        <v>1442</v>
      </c>
      <c r="J916" t="inlineStr">
        <is>
          <t>Y</t>
        </is>
      </c>
      <c r="K916" t="inlineStr">
        <is>
          <t>vakkarumaldives.com</t>
        </is>
      </c>
      <c r="L916" t="inlineStr">
        <is>
          <t>official</t>
        </is>
      </c>
      <c r="M916" t="inlineStr">
        <is>
          <t>https://www.vakkarumaldives.com/pdfs/experience/coconut-club-activity-schedule.pdf</t>
        </is>
      </c>
      <c r="N916" t="inlineStr">
        <is>
          <t>https://www.vakkarumaldives.com/pdfs/experience/coconut-club-activity-schedule.pdf</t>
        </is>
      </c>
      <c r="O916" t="inlineStr">
        <is>
          <t>ae15c61e237d592eaa766978c7e3823f6a8ff2bc54844ff16fdd21b67fc3c2ba</t>
        </is>
      </c>
      <c r="P916" t="inlineStr">
        <is>
          <t>library/049_vakkaru-maldives/excursions/2024_coconut-club-activity-schedule.pdf</t>
        </is>
      </c>
      <c r="R916" t="inlineStr">
        <is>
          <t>outdated</t>
        </is>
      </c>
      <c r="S916" t="inlineStr">
        <is>
          <t>N</t>
        </is>
      </c>
      <c r="T916" t="inlineStr">
        <is>
          <t>matched</t>
        </is>
      </c>
      <c r="U916" t="inlineStr">
        <is>
          <t>2026-10-04</t>
        </is>
      </c>
      <c r="V916" t="inlineStr"/>
    </row>
    <row r="917">
      <c r="A917" t="n">
        <v>49</v>
      </c>
      <c r="B917" t="inlineStr">
        <is>
          <t>Vakkaru Maldives</t>
        </is>
      </c>
      <c r="C917" t="inlineStr">
        <is>
          <t>excursions</t>
        </is>
      </c>
      <c r="D917" t="inlineStr">
        <is>
          <t>2019_masterchef-marcel-thiele-brings-sustainable-and-ethical-culinary-experience.pdf</t>
        </is>
      </c>
      <c r="E917" t="n">
        <v>2019</v>
      </c>
      <c r="H917" t="n">
        <v>2</v>
      </c>
      <c r="I917" t="n">
        <v>316</v>
      </c>
      <c r="J917" t="inlineStr">
        <is>
          <t>Y</t>
        </is>
      </c>
      <c r="K917" t="inlineStr">
        <is>
          <t>vakkarumaldives.com</t>
        </is>
      </c>
      <c r="L917" t="inlineStr">
        <is>
          <t>official</t>
        </is>
      </c>
      <c r="M917" t="inlineStr">
        <is>
          <t>https://www.vakkarumaldives.com/pdfs/masterchef-marcel-thiele-brings-sustainable-and-ethical-culinary-experience.pdf</t>
        </is>
      </c>
      <c r="N917" t="inlineStr">
        <is>
          <t>https://www.vakkarumaldives.com/pdfs/masterchef-marcel-thiele-brings-sustainable-and-ethical-culinary-experience.pdf</t>
        </is>
      </c>
      <c r="O917" t="inlineStr">
        <is>
          <t>6939ba0cc049dd8a33c635a214625ed3da0476b9d9362de0962d8555e2dd6c53</t>
        </is>
      </c>
      <c r="P917" t="inlineStr">
        <is>
          <t>library/049_vakkaru-maldives/excursions/2019_masterchef-marcel-thiele-brings-sustainable-and-ethical-culinary-experience.pdf</t>
        </is>
      </c>
      <c r="R917" t="inlineStr">
        <is>
          <t>outdated</t>
        </is>
      </c>
      <c r="S917" t="inlineStr">
        <is>
          <t>N</t>
        </is>
      </c>
      <c r="T917" t="inlineStr">
        <is>
          <t>matched</t>
        </is>
      </c>
      <c r="U917" t="inlineStr">
        <is>
          <t>2026-10-04</t>
        </is>
      </c>
      <c r="V917" t="inlineStr"/>
    </row>
    <row r="918">
      <c r="A918" t="n">
        <v>49</v>
      </c>
      <c r="B918" t="inlineStr">
        <is>
          <t>Vakkaru Maldives</t>
        </is>
      </c>
      <c r="C918" t="inlineStr">
        <is>
          <t>excursions</t>
        </is>
      </c>
      <c r="D918" t="inlineStr">
        <is>
          <t>2019_hack-your-21st-century-digitised-body.pdf</t>
        </is>
      </c>
      <c r="E918" t="n">
        <v>2019</v>
      </c>
      <c r="H918" t="n">
        <v>3</v>
      </c>
      <c r="I918" t="n">
        <v>86</v>
      </c>
      <c r="J918" t="inlineStr">
        <is>
          <t>Y</t>
        </is>
      </c>
      <c r="K918" t="inlineStr">
        <is>
          <t>vakkarumaldives.com</t>
        </is>
      </c>
      <c r="L918" t="inlineStr">
        <is>
          <t>official</t>
        </is>
      </c>
      <c r="M918" t="inlineStr">
        <is>
          <t>https://www.vakkarumaldives.com/pdfs/hack-your-21st-century-digitised-body.pdf</t>
        </is>
      </c>
      <c r="N918" t="inlineStr">
        <is>
          <t>https://www.vakkarumaldives.com/pdfs/hack-your-21st-century-digitised-body.pdf</t>
        </is>
      </c>
      <c r="O918" t="inlineStr">
        <is>
          <t>9855f325c6a7783ac96cf03c86381982a86f136b70709ada40afdaaff2aec6f2</t>
        </is>
      </c>
      <c r="P918" t="inlineStr">
        <is>
          <t>library/049_vakkaru-maldives/excursions/2019_hack-your-21st-century-digitised-body.pdf</t>
        </is>
      </c>
      <c r="R918" t="inlineStr">
        <is>
          <t>outdated</t>
        </is>
      </c>
      <c r="S918" t="inlineStr">
        <is>
          <t>N</t>
        </is>
      </c>
      <c r="T918" t="inlineStr">
        <is>
          <t>matched</t>
        </is>
      </c>
      <c r="U918" t="inlineStr">
        <is>
          <t>2026-10-04</t>
        </is>
      </c>
      <c r="V918" t="inlineStr"/>
    </row>
    <row r="919">
      <c r="A919" t="n">
        <v>49</v>
      </c>
      <c r="B919" t="inlineStr">
        <is>
          <t>Vakkaru Maldives</t>
        </is>
      </c>
      <c r="C919" t="inlineStr">
        <is>
          <t>villa_plans</t>
        </is>
      </c>
      <c r="D919" t="inlineStr">
        <is>
          <t>2017_vakkaru-maldives-a-timeless-sanctuary-in-unesco-biosphere-reserve.pdf</t>
        </is>
      </c>
      <c r="E919" t="n">
        <v>2017</v>
      </c>
      <c r="H919" t="n">
        <v>1</v>
      </c>
      <c r="I919" t="n">
        <v>164</v>
      </c>
      <c r="J919" t="inlineStr">
        <is>
          <t>Y</t>
        </is>
      </c>
      <c r="K919" t="inlineStr">
        <is>
          <t>vakkarumaldives.com</t>
        </is>
      </c>
      <c r="L919" t="inlineStr">
        <is>
          <t>official</t>
        </is>
      </c>
      <c r="M919" t="inlineStr">
        <is>
          <t>https://www.vakkarumaldives.com/pdfs/vakkaru-maldives-a-timeless-sanctuary-in-unesco-biosphere-reserve.pdf</t>
        </is>
      </c>
      <c r="N919" t="inlineStr">
        <is>
          <t>https://www.vakkarumaldives.com/pdfs/vakkaru-maldives-a-timeless-sanctuary-in-unesco-biosphere-reserve.pdf</t>
        </is>
      </c>
      <c r="O919" t="inlineStr">
        <is>
          <t>1e0b0b7cba52e1718c39435249a03b00e16ddf47369ae219fe50e433fd4e2d0a</t>
        </is>
      </c>
      <c r="P919" t="inlineStr">
        <is>
          <t>library/049_vakkaru-maldives/villa_plans/2017_vakkaru-maldives-a-timeless-sanctuary-in-unesco-biosphere-reserve.pdf</t>
        </is>
      </c>
      <c r="R919" t="inlineStr">
        <is>
          <t>outdated</t>
        </is>
      </c>
      <c r="S919" t="inlineStr">
        <is>
          <t>Y</t>
        </is>
      </c>
      <c r="T919" t="inlineStr">
        <is>
          <t>matched</t>
        </is>
      </c>
      <c r="U919" t="inlineStr">
        <is>
          <t>2026-10-04</t>
        </is>
      </c>
      <c r="V919" t="inlineStr"/>
    </row>
    <row r="920">
      <c r="A920" t="n">
        <v>49</v>
      </c>
      <c r="B920" t="inlineStr">
        <is>
          <t>Vakkaru Maldives</t>
        </is>
      </c>
      <c r="C920" t="inlineStr">
        <is>
          <t>all_inclusive</t>
        </is>
      </c>
      <c r="D920" t="inlineStr">
        <is>
          <t>2019_vakkaru-maldives-irish-daily-mail-22.07.2019.pdf</t>
        </is>
      </c>
      <c r="E920" t="n">
        <v>2019</v>
      </c>
      <c r="H920" t="n">
        <v>2</v>
      </c>
      <c r="I920" t="n">
        <v>3791</v>
      </c>
      <c r="J920" t="inlineStr">
        <is>
          <t>Y</t>
        </is>
      </c>
      <c r="K920" t="inlineStr">
        <is>
          <t>vakkarumaldives.com</t>
        </is>
      </c>
      <c r="L920" t="inlineStr">
        <is>
          <t>official</t>
        </is>
      </c>
      <c r="M920" t="inlineStr">
        <is>
          <t>https://www.vakkarumaldives.com/pdfs/vakkaru-maldives-irish-daily-mail-22.07.2019.pdf</t>
        </is>
      </c>
      <c r="N920" t="inlineStr">
        <is>
          <t>https://www.vakkarumaldives.com/pdfs/vakkaru-maldives-irish-daily-mail-22.07.2019.pdf</t>
        </is>
      </c>
      <c r="O920" t="inlineStr">
        <is>
          <t>4a0a83e9328aa2ee8cd043286af22163812a22c46c1bc00c5957bb85777dd8a6</t>
        </is>
      </c>
      <c r="P920" t="inlineStr">
        <is>
          <t>library/049_vakkaru-maldives/all_inclusive/2019_vakkaru-maldives-irish-daily-mail-22.07.2019.pdf</t>
        </is>
      </c>
      <c r="R920" t="inlineStr">
        <is>
          <t>outdated</t>
        </is>
      </c>
      <c r="S920" t="inlineStr">
        <is>
          <t>Y</t>
        </is>
      </c>
      <c r="T920" t="inlineStr">
        <is>
          <t>matched</t>
        </is>
      </c>
      <c r="U920" t="inlineStr">
        <is>
          <t>2026-10-04</t>
        </is>
      </c>
      <c r="V920" t="inlineStr"/>
    </row>
    <row r="921">
      <c r="A921" t="n">
        <v>49</v>
      </c>
      <c r="B921" t="inlineStr">
        <is>
          <t>Vakkaru Maldives</t>
        </is>
      </c>
      <c r="C921" t="inlineStr">
        <is>
          <t>calendar</t>
        </is>
      </c>
      <c r="D921" t="inlineStr">
        <is>
          <t>2024_easter-brochure-2024.pdf</t>
        </is>
      </c>
      <c r="E921" t="n">
        <v>2024</v>
      </c>
      <c r="H921" t="n">
        <v>11</v>
      </c>
      <c r="I921" t="n">
        <v>6279</v>
      </c>
      <c r="J921" t="inlineStr">
        <is>
          <t>Y</t>
        </is>
      </c>
      <c r="K921" t="inlineStr">
        <is>
          <t>vakkarumaldives.com</t>
        </is>
      </c>
      <c r="L921" t="inlineStr">
        <is>
          <t>official</t>
        </is>
      </c>
      <c r="M921" t="inlineStr">
        <is>
          <t>https://www.vakkarumaldives.com/pdfs/news/easter-brochure-2024.pdf</t>
        </is>
      </c>
      <c r="N921" t="inlineStr">
        <is>
          <t>https://www.vakkarumaldives.com/pdfs/news/easter-brochure-2024.pdf</t>
        </is>
      </c>
      <c r="O921" t="inlineStr">
        <is>
          <t>a6ad756880e9627fc46d5e58f64bde2f7c40d46fe4ab79dc468683fa18538de9</t>
        </is>
      </c>
      <c r="P921" t="inlineStr">
        <is>
          <t>library/049_vakkaru-maldives/calendar/2024_easter-brochure-2024.pdf</t>
        </is>
      </c>
      <c r="R921" t="inlineStr">
        <is>
          <t>outdated</t>
        </is>
      </c>
      <c r="S921" t="inlineStr">
        <is>
          <t>Y</t>
        </is>
      </c>
      <c r="T921" t="inlineStr">
        <is>
          <t>matched</t>
        </is>
      </c>
      <c r="U921" t="inlineStr">
        <is>
          <t>2026-10-04</t>
        </is>
      </c>
      <c r="V921" t="inlineStr"/>
    </row>
    <row r="922">
      <c r="A922" t="n">
        <v>49</v>
      </c>
      <c r="B922" t="inlineStr">
        <is>
          <t>Vakkaru Maldives</t>
        </is>
      </c>
      <c r="C922" t="inlineStr">
        <is>
          <t>calendar</t>
        </is>
      </c>
      <c r="D922" t="inlineStr">
        <is>
          <t>2023_five-days-in-wonderland-easter-celebration-2023.pdf</t>
        </is>
      </c>
      <c r="E922" t="n">
        <v>2023</v>
      </c>
      <c r="H922" t="n">
        <v>11</v>
      </c>
      <c r="I922" t="n">
        <v>4786</v>
      </c>
      <c r="J922" t="inlineStr">
        <is>
          <t>N</t>
        </is>
      </c>
      <c r="K922" t="inlineStr">
        <is>
          <t>vakkarumaldives.com</t>
        </is>
      </c>
      <c r="L922" t="inlineStr">
        <is>
          <t>official</t>
        </is>
      </c>
      <c r="M922" t="inlineStr">
        <is>
          <t>https://www.vakkarumaldives.com/pdfs/news/five-days-in-wonderland-easter-celebration-2023.pdf</t>
        </is>
      </c>
      <c r="N922" t="inlineStr">
        <is>
          <t>https://www.vakkarumaldives.com/pdfs/news/five-days-in-wonderland-easter-celebration-2023.pdf</t>
        </is>
      </c>
      <c r="O922" t="inlineStr">
        <is>
          <t>b2ca01b7cb44a3f413d5d2c3f9dbebc492a890ccd6e827d0bf21eb7e2b9c25a9</t>
        </is>
      </c>
      <c r="P922" t="inlineStr">
        <is>
          <t>library/049_vakkaru-maldives/calendar/2023_five-days-in-wonderland-easter-celebration-2023.pdf</t>
        </is>
      </c>
      <c r="R922" t="inlineStr">
        <is>
          <t>outdated</t>
        </is>
      </c>
      <c r="S922" t="inlineStr">
        <is>
          <t>N</t>
        </is>
      </c>
      <c r="T922" t="inlineStr">
        <is>
          <t>matched</t>
        </is>
      </c>
      <c r="U922" t="inlineStr">
        <is>
          <t>2026-10-04</t>
        </is>
      </c>
      <c r="V922" t="inlineStr"/>
    </row>
    <row r="923">
      <c r="A923" t="n">
        <v>49</v>
      </c>
      <c r="B923" t="inlineStr">
        <is>
          <t>Vakkaru Maldives</t>
        </is>
      </c>
      <c r="C923" t="inlineStr">
        <is>
          <t>calendar</t>
        </is>
      </c>
      <c r="D923" t="inlineStr">
        <is>
          <t>2023_Press-release-International-Womens-Day-Programmes-2023.pdf</t>
        </is>
      </c>
      <c r="E923" t="n">
        <v>2023</v>
      </c>
      <c r="H923" t="n">
        <v>1</v>
      </c>
      <c r="I923" t="n">
        <v>298</v>
      </c>
      <c r="J923" t="inlineStr">
        <is>
          <t>Y</t>
        </is>
      </c>
      <c r="K923" t="inlineStr">
        <is>
          <t>letsgomaldives.com</t>
        </is>
      </c>
      <c r="L923" t="inlineStr">
        <is>
          <t>dmc-agency</t>
        </is>
      </c>
      <c r="M923" t="inlineStr">
        <is>
          <t>https://letsgomaldives.com/wp-content/uploads/2023/02/Press-release-International-Womens-Day-Programmes-2023.pdf</t>
        </is>
      </c>
      <c r="N923" t="inlineStr">
        <is>
          <t>https://letsgomaldives.com/wp-content/uploads/2023/02/Press-release-International-Womens-Day-Programmes-2023.pdf</t>
        </is>
      </c>
      <c r="O923" t="inlineStr">
        <is>
          <t>c09fdbbb49c762edcb65cfd392e44458600730a1b6d400b0b89131720be2b5e6</t>
        </is>
      </c>
      <c r="P923" t="inlineStr">
        <is>
          <t>library/049_vakkaru-maldives/calendar/2023_Press-release-International-Womens-Day-Programmes-2023.pdf</t>
        </is>
      </c>
      <c r="R923" t="inlineStr">
        <is>
          <t>outdated</t>
        </is>
      </c>
      <c r="S923" t="inlineStr">
        <is>
          <t>N</t>
        </is>
      </c>
      <c r="T923" t="inlineStr">
        <is>
          <t>matched</t>
        </is>
      </c>
      <c r="U923" t="inlineStr">
        <is>
          <t>2026-10-04</t>
        </is>
      </c>
      <c r="V923" t="inlineStr"/>
    </row>
    <row r="924">
      <c r="A924" t="n">
        <v>49</v>
      </c>
      <c r="B924" t="inlineStr">
        <is>
          <t>Vakkaru Maldives</t>
        </is>
      </c>
      <c r="C924" t="inlineStr">
        <is>
          <t>brochure</t>
        </is>
      </c>
      <c r="D924" t="inlineStr">
        <is>
          <t>2026_vakkaru-maldives---splash-brochure.pdf</t>
        </is>
      </c>
      <c r="E924" t="n">
        <v>2026</v>
      </c>
      <c r="H924" t="n">
        <v>19</v>
      </c>
      <c r="I924" t="n">
        <v>16945</v>
      </c>
      <c r="J924" t="inlineStr">
        <is>
          <t>Y</t>
        </is>
      </c>
      <c r="K924" t="inlineStr">
        <is>
          <t>vakkarumaldives.com</t>
        </is>
      </c>
      <c r="L924" t="inlineStr">
        <is>
          <t>official</t>
        </is>
      </c>
      <c r="M924" t="inlineStr">
        <is>
          <t>https://www.vakkarumaldives.com/pdfs/splash/vakkaru-maldives---splash-brochure.pdf</t>
        </is>
      </c>
      <c r="N924" t="inlineStr">
        <is>
          <t>https://www.vakkarumaldives.com/pdfs/splash/vakkaru-maldives---splash-brochure.pdf</t>
        </is>
      </c>
      <c r="O924" t="inlineStr">
        <is>
          <t>e31dc6751d734d50c1d742abd82101000c619b2e90dd60d51b447c315bc46325</t>
        </is>
      </c>
      <c r="P924" t="inlineStr">
        <is>
          <t>library/049_vakkaru-maldives/brochure/2026_vakkaru-maldives---splash-brochure.pdf</t>
        </is>
      </c>
      <c r="R924" t="inlineStr">
        <is>
          <t>current</t>
        </is>
      </c>
      <c r="S924" t="inlineStr">
        <is>
          <t>Y</t>
        </is>
      </c>
      <c r="T924" t="inlineStr">
        <is>
          <t>matched</t>
        </is>
      </c>
      <c r="U924" t="inlineStr">
        <is>
          <t>2026-10-04</t>
        </is>
      </c>
      <c r="V924" t="inlineStr"/>
    </row>
    <row r="925">
      <c r="A925" t="n">
        <v>49</v>
      </c>
      <c r="B925" t="inlineStr">
        <is>
          <t>Vakkaru Maldives</t>
        </is>
      </c>
      <c r="C925" t="inlineStr">
        <is>
          <t>brochure</t>
        </is>
      </c>
      <c r="D925" t="inlineStr">
        <is>
          <t>2026_splash-catalogue.pdf</t>
        </is>
      </c>
      <c r="E925" t="n">
        <v>2026</v>
      </c>
      <c r="H925" t="n">
        <v>19</v>
      </c>
      <c r="I925" t="n">
        <v>12236</v>
      </c>
      <c r="J925" t="inlineStr">
        <is>
          <t>Y</t>
        </is>
      </c>
      <c r="K925" t="inlineStr">
        <is>
          <t>vakkarumaldives.com</t>
        </is>
      </c>
      <c r="L925" t="inlineStr">
        <is>
          <t>official</t>
        </is>
      </c>
      <c r="M925" t="inlineStr">
        <is>
          <t>https://www.vakkarumaldives.com/pdfs/splash/splash-catalogue.pdf</t>
        </is>
      </c>
      <c r="N925" t="inlineStr">
        <is>
          <t>https://www.vakkarumaldives.com/pdfs/splash/splash-catalogue.pdf</t>
        </is>
      </c>
      <c r="O925" t="inlineStr">
        <is>
          <t>47d2e9f0414867e32e2149b4d2ddf145b380e94a34503ab05e9f09f8bc80f405</t>
        </is>
      </c>
      <c r="P925" t="inlineStr">
        <is>
          <t>library/049_vakkaru-maldives/brochure/2026_splash-catalogue.pdf</t>
        </is>
      </c>
      <c r="R925" t="inlineStr">
        <is>
          <t>current</t>
        </is>
      </c>
      <c r="S925" t="inlineStr">
        <is>
          <t>N</t>
        </is>
      </c>
      <c r="T925" t="inlineStr">
        <is>
          <t>matched</t>
        </is>
      </c>
      <c r="U925" t="inlineStr">
        <is>
          <t>2026-10-04</t>
        </is>
      </c>
      <c r="V925" t="inlineStr"/>
    </row>
    <row r="926">
      <c r="A926" t="n">
        <v>49</v>
      </c>
      <c r="B926" t="inlineStr">
        <is>
          <t>Vakkaru Maldives</t>
        </is>
      </c>
      <c r="C926" t="inlineStr">
        <is>
          <t>brochure</t>
        </is>
      </c>
      <c r="D926" t="inlineStr">
        <is>
          <t>2025_meet-our-resident-tennis-pro.pdf</t>
        </is>
      </c>
      <c r="E926" t="n">
        <v>2025</v>
      </c>
      <c r="H926" t="n">
        <v>1</v>
      </c>
      <c r="I926" t="n">
        <v>1191</v>
      </c>
      <c r="J926" t="inlineStr">
        <is>
          <t>Y</t>
        </is>
      </c>
      <c r="K926" t="inlineStr">
        <is>
          <t>vakkarumaldives.com</t>
        </is>
      </c>
      <c r="L926" t="inlineStr">
        <is>
          <t>official</t>
        </is>
      </c>
      <c r="M926" t="inlineStr">
        <is>
          <t>https://www.vakkarumaldives.com/pdfs/news/meet-our-resident-tennis-pro.pdf</t>
        </is>
      </c>
      <c r="N926" t="inlineStr">
        <is>
          <t>https://www.vakkarumaldives.com/pdfs/news/meet-our-resident-tennis-pro.pdf</t>
        </is>
      </c>
      <c r="O926" t="inlineStr">
        <is>
          <t>f2aaa29c39887af167731404bb970dfb0e6310806b57469588a277ccbe9db7cd</t>
        </is>
      </c>
      <c r="P926" t="inlineStr">
        <is>
          <t>library/049_vakkaru-maldives/brochure/2025_meet-our-resident-tennis-pro.pdf</t>
        </is>
      </c>
      <c r="R926" t="inlineStr">
        <is>
          <t>current</t>
        </is>
      </c>
      <c r="S926" t="inlineStr">
        <is>
          <t>N</t>
        </is>
      </c>
      <c r="T926" t="inlineStr">
        <is>
          <t>matched</t>
        </is>
      </c>
      <c r="U926" t="inlineStr">
        <is>
          <t>2026-10-04</t>
        </is>
      </c>
      <c r="V926" t="inlineStr"/>
    </row>
    <row r="927">
      <c r="A927" t="n">
        <v>49</v>
      </c>
      <c r="B927" t="inlineStr">
        <is>
          <t>Vakkaru Maldives</t>
        </is>
      </c>
      <c r="C927" t="inlineStr">
        <is>
          <t>press_kit</t>
        </is>
      </c>
      <c r="D927" t="inlineStr">
        <is>
          <t>2022_press-release-work-well-at-vakkaru-maldives.pdf</t>
        </is>
      </c>
      <c r="E927" t="n">
        <v>2022</v>
      </c>
      <c r="H927" t="n">
        <v>3</v>
      </c>
      <c r="I927" t="n">
        <v>283</v>
      </c>
      <c r="J927" t="inlineStr">
        <is>
          <t>Y</t>
        </is>
      </c>
      <c r="K927" t="inlineStr">
        <is>
          <t>vakkarumaldives.com</t>
        </is>
      </c>
      <c r="L927" t="inlineStr">
        <is>
          <t>official</t>
        </is>
      </c>
      <c r="M927" t="inlineStr">
        <is>
          <t>https://www.vakkarumaldives.com/pdfs/press-release-work-well-at-vakkaru-maldives.pdf</t>
        </is>
      </c>
      <c r="N927" t="inlineStr">
        <is>
          <t>https://www.vakkarumaldives.com/pdfs/press-release-work-well-at-vakkaru-maldives.pdf</t>
        </is>
      </c>
      <c r="O927" t="inlineStr">
        <is>
          <t>6f7a95fd1ae0e0bf05cefacdd7747a82487d3f8db116830796dcd1f65e22bba4</t>
        </is>
      </c>
      <c r="P927" t="inlineStr">
        <is>
          <t>library/049_vakkaru-maldives/press_kit/2022_press-release-work-well-at-vakkaru-maldives.pdf</t>
        </is>
      </c>
      <c r="R927" t="inlineStr">
        <is>
          <t>outdated</t>
        </is>
      </c>
      <c r="S927" t="inlineStr">
        <is>
          <t>Y</t>
        </is>
      </c>
      <c r="T927" t="inlineStr">
        <is>
          <t>matched</t>
        </is>
      </c>
      <c r="U927" t="inlineStr">
        <is>
          <t>2026-10-04</t>
        </is>
      </c>
      <c r="V927" t="inlineStr"/>
    </row>
    <row r="928">
      <c r="A928" t="n">
        <v>49</v>
      </c>
      <c r="B928" t="inlineStr">
        <is>
          <t>Vakkaru Maldives</t>
        </is>
      </c>
      <c r="C928" t="inlineStr">
        <is>
          <t>other</t>
        </is>
      </c>
      <c r="D928" t="inlineStr">
        <is>
          <t>2019_vakkaru-maldives-gq-middle-east-july-2019.pdf</t>
        </is>
      </c>
      <c r="E928" t="n">
        <v>2019</v>
      </c>
      <c r="H928" t="n">
        <v>1</v>
      </c>
      <c r="I928" t="n">
        <v>1299</v>
      </c>
      <c r="J928" t="inlineStr">
        <is>
          <t>N</t>
        </is>
      </c>
      <c r="K928" t="inlineStr">
        <is>
          <t>vakkarumaldives.com</t>
        </is>
      </c>
      <c r="L928" t="inlineStr">
        <is>
          <t>official</t>
        </is>
      </c>
      <c r="M928" t="inlineStr">
        <is>
          <t>https://www.vakkarumaldives.com/pdfs/vakkaru-maldives-gq-middle-east-july-2019.pdf</t>
        </is>
      </c>
      <c r="N928" t="inlineStr">
        <is>
          <t>https://www.vakkarumaldives.com/pdfs/vakkaru-maldives-gq-middle-east-july-2019.pdf</t>
        </is>
      </c>
      <c r="O928" t="inlineStr">
        <is>
          <t>b88f6f1e4b01ec0d47ddd073131ddfa8b9ab900ab1dc1f52e254fbd1cb9d2a5f</t>
        </is>
      </c>
      <c r="P928" t="inlineStr">
        <is>
          <t>library/049_vakkaru-maldives/other/2019_vakkaru-maldives-gq-middle-east-july-2019.pdf</t>
        </is>
      </c>
      <c r="R928" t="inlineStr">
        <is>
          <t>outdated</t>
        </is>
      </c>
      <c r="S928" t="inlineStr">
        <is>
          <t>Y</t>
        </is>
      </c>
      <c r="T928" t="inlineStr">
        <is>
          <t>matched</t>
        </is>
      </c>
      <c r="U928" t="inlineStr">
        <is>
          <t>2026-10-04</t>
        </is>
      </c>
      <c r="V928" t="inlineStr"/>
    </row>
    <row r="929">
      <c r="A929" t="n">
        <v>50</v>
      </c>
      <c r="B929" t="inlineStr">
        <is>
          <t>Sun Siyam Olhuveli Maldives</t>
        </is>
      </c>
      <c r="C929" t="inlineStr">
        <is>
          <t>factsheet</t>
        </is>
      </c>
      <c r="D929" t="inlineStr">
        <is>
          <t>2026_factsheet-olhuveli-2026-aug.pdf</t>
        </is>
      </c>
      <c r="E929" t="n">
        <v>2026</v>
      </c>
      <c r="H929" t="n">
        <v>6</v>
      </c>
      <c r="I929" t="n">
        <v>3873</v>
      </c>
      <c r="J929" t="inlineStr">
        <is>
          <t>Y</t>
        </is>
      </c>
      <c r="K929" t="inlineStr">
        <is>
          <t>sunsiyam.com</t>
        </is>
      </c>
      <c r="L929" t="inlineStr">
        <is>
          <t>official</t>
        </is>
      </c>
      <c r="M929" t="inlineStr">
        <is>
          <t>https://www.sunsiyam.com/media/21sbkbn1/factsheet-olhuveli-2026-aug.pdf</t>
        </is>
      </c>
      <c r="N929" t="inlineStr">
        <is>
          <t>https://www.sunsiyam.com/media/21sbkbn1/factsheet-olhuveli-2026-aug.pdf</t>
        </is>
      </c>
      <c r="O929" t="inlineStr">
        <is>
          <t>f50eb309028ad3f1bb33cb542779b910b6205aab398a2983c8d2e377f5181753</t>
        </is>
      </c>
      <c r="P929" t="inlineStr">
        <is>
          <t>library/050_sun-siyam-olhuveli-maldives/factsheet/2026_factsheet-olhuveli-2026-aug.pdf</t>
        </is>
      </c>
      <c r="R929" t="inlineStr">
        <is>
          <t>current</t>
        </is>
      </c>
      <c r="S929" t="inlineStr">
        <is>
          <t>Y</t>
        </is>
      </c>
      <c r="T929" t="inlineStr">
        <is>
          <t>matched</t>
        </is>
      </c>
      <c r="U929" t="inlineStr">
        <is>
          <t>2026-10-04</t>
        </is>
      </c>
      <c r="V929" t="inlineStr"/>
    </row>
    <row r="930">
      <c r="A930" t="n">
        <v>50</v>
      </c>
      <c r="B930" t="inlineStr">
        <is>
          <t>Sun Siyam Olhuveli Maldives</t>
        </is>
      </c>
      <c r="C930" t="inlineStr">
        <is>
          <t>factsheet</t>
        </is>
      </c>
      <c r="D930" t="inlineStr">
        <is>
          <t>2025_SSO-Factsheet-EN-24_25.pdf</t>
        </is>
      </c>
      <c r="E930" t="n">
        <v>2025</v>
      </c>
      <c r="H930" t="n">
        <v>8</v>
      </c>
      <c r="I930" t="n">
        <v>6395</v>
      </c>
      <c r="J930" t="inlineStr">
        <is>
          <t>Y</t>
        </is>
      </c>
      <c r="K930" t="inlineStr">
        <is>
          <t>neoscapesmaldives.com</t>
        </is>
      </c>
      <c r="L930" t="inlineStr">
        <is>
          <t>dmc-agency</t>
        </is>
      </c>
      <c r="M930" t="inlineStr">
        <is>
          <t>https://www.neoscapesmaldives.com/wp-content/uploads/SSO-Factsheet-EN-24_25.pdf</t>
        </is>
      </c>
      <c r="N930" t="inlineStr">
        <is>
          <t>https://www.neoscapesmaldives.com/wp-content/uploads/SSO-Factsheet-EN-24_25.pdf</t>
        </is>
      </c>
      <c r="O930" t="inlineStr">
        <is>
          <t>bc4d4ab79d193e794992d6039a71d757a1624de8729c483523445fb7c9b5fb8a</t>
        </is>
      </c>
      <c r="P930" t="inlineStr">
        <is>
          <t>library/050_sun-siyam-olhuveli-maldives/factsheet/2025_SSO-Factsheet-EN-24_25.pdf</t>
        </is>
      </c>
      <c r="R930" t="inlineStr">
        <is>
          <t>current</t>
        </is>
      </c>
      <c r="S930" t="inlineStr">
        <is>
          <t>N</t>
        </is>
      </c>
      <c r="T930" t="inlineStr">
        <is>
          <t>matched</t>
        </is>
      </c>
      <c r="U930" t="inlineStr">
        <is>
          <t>2026-10-04</t>
        </is>
      </c>
      <c r="V930" t="inlineStr"/>
    </row>
    <row r="931">
      <c r="A931" t="n">
        <v>50</v>
      </c>
      <c r="B931" t="inlineStr">
        <is>
          <t>Sun Siyam Olhuveli Maldives</t>
        </is>
      </c>
      <c r="C931" t="inlineStr">
        <is>
          <t>wedding</t>
        </is>
      </c>
      <c r="D931" t="inlineStr">
        <is>
          <t>2025_Olhuveli-Dream-Romance-Map-2025-A4-updated-March-2025-final.pdf</t>
        </is>
      </c>
      <c r="E931" t="n">
        <v>2025</v>
      </c>
      <c r="H931" t="n">
        <v>1</v>
      </c>
      <c r="I931" t="n">
        <v>1402</v>
      </c>
      <c r="J931" t="inlineStr">
        <is>
          <t>Y</t>
        </is>
      </c>
      <c r="K931" t="inlineStr">
        <is>
          <t>neoscapesmaldives.com</t>
        </is>
      </c>
      <c r="L931" t="inlineStr">
        <is>
          <t>dmc-agency</t>
        </is>
      </c>
      <c r="M931" t="inlineStr">
        <is>
          <t>https://www.neoscapesmaldives.com/wp-content/uploads/Olhuveli-Dream-Romance-Map-2025-A4-updated-March-2025-final.pdf</t>
        </is>
      </c>
      <c r="N931" t="inlineStr">
        <is>
          <t>https://www.neoscapesmaldives.com/wp-content/uploads/Olhuveli-Dream-Romance-Map-2025-A4-updated-March-2025-final.pdf</t>
        </is>
      </c>
      <c r="O931" t="inlineStr">
        <is>
          <t>d94f08ae682fb7ef4313b135e49359396380dca469d5069dbaaa074e1e0c5a2c</t>
        </is>
      </c>
      <c r="P931" t="inlineStr">
        <is>
          <t>library/050_sun-siyam-olhuveli-maldives/wedding/2025_Olhuveli-Dream-Romance-Map-2025-A4-updated-March-2025-final.pdf</t>
        </is>
      </c>
      <c r="R931" t="inlineStr">
        <is>
          <t>current</t>
        </is>
      </c>
      <c r="S931" t="inlineStr">
        <is>
          <t>N</t>
        </is>
      </c>
      <c r="T931" t="inlineStr">
        <is>
          <t>matched</t>
        </is>
      </c>
      <c r="U931" t="inlineStr">
        <is>
          <t>2026-10-04</t>
        </is>
      </c>
      <c r="V931" t="inlineStr"/>
    </row>
    <row r="932">
      <c r="A932" t="n">
        <v>50</v>
      </c>
      <c r="B932" t="inlineStr">
        <is>
          <t>Sun Siyam Olhuveli Maldives</t>
        </is>
      </c>
      <c r="C932" t="inlineStr">
        <is>
          <t>wedding</t>
        </is>
      </c>
      <c r="D932" t="inlineStr">
        <is>
          <t>2025_ultimate-honeymoon-olhuveli.pdf</t>
        </is>
      </c>
      <c r="E932" t="n">
        <v>2025</v>
      </c>
      <c r="H932" t="n">
        <v>1</v>
      </c>
      <c r="I932" t="n">
        <v>488</v>
      </c>
      <c r="J932" t="inlineStr">
        <is>
          <t>Y</t>
        </is>
      </c>
      <c r="K932" t="inlineStr">
        <is>
          <t>sunsiyam.com</t>
        </is>
      </c>
      <c r="L932" t="inlineStr">
        <is>
          <t>official</t>
        </is>
      </c>
      <c r="M932" t="inlineStr">
        <is>
          <t>https://www.sunsiyam.com/media/030ixlp0/ultimate-honeymoon-olhuveli.pdf</t>
        </is>
      </c>
      <c r="N932" t="inlineStr">
        <is>
          <t>https://www.sunsiyam.com/media/030ixlp0/ultimate-honeymoon-olhuveli.pdf</t>
        </is>
      </c>
      <c r="O932" t="inlineStr">
        <is>
          <t>097c393c7adfde6f171ea163df404911599aa7bc916b859502687512bdb0a25e</t>
        </is>
      </c>
      <c r="P932" t="inlineStr">
        <is>
          <t>library/050_sun-siyam-olhuveli-maldives/wedding/2025_ultimate-honeymoon-olhuveli.pdf</t>
        </is>
      </c>
      <c r="R932" t="inlineStr">
        <is>
          <t>current</t>
        </is>
      </c>
      <c r="S932" t="inlineStr">
        <is>
          <t>N</t>
        </is>
      </c>
      <c r="T932" t="inlineStr">
        <is>
          <t>matched</t>
        </is>
      </c>
      <c r="U932" t="inlineStr">
        <is>
          <t>2026-10-04</t>
        </is>
      </c>
      <c r="V932" t="inlineStr"/>
    </row>
    <row r="933">
      <c r="A933" t="n">
        <v>50</v>
      </c>
      <c r="B933" t="inlineStr">
        <is>
          <t>Sun Siyam Olhuveli Maldives</t>
        </is>
      </c>
      <c r="C933" t="inlineStr">
        <is>
          <t>wedding</t>
        </is>
      </c>
      <c r="D933" t="inlineStr">
        <is>
          <t>2025_wedding-package-ssom-2024-2025-direct.pdf</t>
        </is>
      </c>
      <c r="E933" t="n">
        <v>2025</v>
      </c>
      <c r="H933" t="n">
        <v>5</v>
      </c>
      <c r="I933" t="n">
        <v>1152</v>
      </c>
      <c r="J933" t="inlineStr">
        <is>
          <t>Y</t>
        </is>
      </c>
      <c r="K933" t="inlineStr">
        <is>
          <t>sunsiyam.com</t>
        </is>
      </c>
      <c r="L933" t="inlineStr">
        <is>
          <t>official</t>
        </is>
      </c>
      <c r="M933" t="inlineStr">
        <is>
          <t>https://www.sunsiyam.com/media/g0lnezdr/wedding-package-ssom-2024-2025-direct.pdf</t>
        </is>
      </c>
      <c r="N933" t="inlineStr">
        <is>
          <t>https://www.sunsiyam.com/media/g0lnezdr/wedding-package-ssom-2024-2025-direct.pdf</t>
        </is>
      </c>
      <c r="O933" t="inlineStr">
        <is>
          <t>67aca7879a174215314a3c61589ce238675fb88aff30092a594319cc7ed6f504</t>
        </is>
      </c>
      <c r="P933" t="inlineStr">
        <is>
          <t>library/050_sun-siyam-olhuveli-maldives/wedding/2025_wedding-package-ssom-2024-2025-direct.pdf</t>
        </is>
      </c>
      <c r="R933" t="inlineStr">
        <is>
          <t>current</t>
        </is>
      </c>
      <c r="S933" t="inlineStr">
        <is>
          <t>Y</t>
        </is>
      </c>
      <c r="T933" t="inlineStr">
        <is>
          <t>matched</t>
        </is>
      </c>
      <c r="U933" t="inlineStr">
        <is>
          <t>2026-10-04</t>
        </is>
      </c>
      <c r="V933" t="inlineStr"/>
    </row>
    <row r="934">
      <c r="A934" t="n">
        <v>50</v>
      </c>
      <c r="B934" t="inlineStr">
        <is>
          <t>Sun Siyam Olhuveli Maldives</t>
        </is>
      </c>
      <c r="C934" t="inlineStr">
        <is>
          <t>events</t>
        </is>
      </c>
      <c r="D934" t="inlineStr">
        <is>
          <t>2026_ssr-mice-digital-book-2026.pdf</t>
        </is>
      </c>
      <c r="E934" t="n">
        <v>2026</v>
      </c>
      <c r="H934" t="n">
        <v>41</v>
      </c>
      <c r="I934" t="n">
        <v>16453</v>
      </c>
      <c r="J934" t="inlineStr">
        <is>
          <t>Y</t>
        </is>
      </c>
      <c r="K934" t="inlineStr">
        <is>
          <t>sunsiyam.com</t>
        </is>
      </c>
      <c r="L934" t="inlineStr">
        <is>
          <t>official</t>
        </is>
      </c>
      <c r="M934" t="inlineStr">
        <is>
          <t>https://www.sunsiyam.com/media/gkhhf31k/ssr-mice-digital-book-2026.pdf</t>
        </is>
      </c>
      <c r="N934" t="inlineStr">
        <is>
          <t>https://www.sunsiyam.com/media/gkhhf31k/ssr-mice-digital-book-2026.pdf</t>
        </is>
      </c>
      <c r="O934" t="inlineStr">
        <is>
          <t>f9dcb3093e7316ffee44745d052077703323f60e421c7054f83b4f083096fbf7</t>
        </is>
      </c>
      <c r="P934" t="inlineStr">
        <is>
          <t>library/050_sun-siyam-olhuveli-maldives/events/2026_ssr-mice-digital-book-2026.pdf</t>
        </is>
      </c>
      <c r="R934" t="inlineStr">
        <is>
          <t>current</t>
        </is>
      </c>
      <c r="S934" t="inlineStr">
        <is>
          <t>Y</t>
        </is>
      </c>
      <c r="T934" t="inlineStr">
        <is>
          <t>needs-review</t>
        </is>
      </c>
      <c r="U934" t="inlineStr">
        <is>
          <t>2026-10-04</t>
        </is>
      </c>
      <c r="V934" t="inlineStr">
        <is>
          <t>ambiguous match [50]</t>
        </is>
      </c>
    </row>
    <row r="935">
      <c r="A935" t="n">
        <v>50</v>
      </c>
      <c r="B935" t="inlineStr">
        <is>
          <t>Sun Siyam Olhuveli Maldives</t>
        </is>
      </c>
      <c r="C935" t="inlineStr">
        <is>
          <t>map</t>
        </is>
      </c>
      <c r="D935" t="inlineStr">
        <is>
          <t>2026_sso-ai-meal-plan-2026.pdf</t>
        </is>
      </c>
      <c r="E935" t="n">
        <v>2026</v>
      </c>
      <c r="H935" t="n">
        <v>2</v>
      </c>
      <c r="I935" t="n">
        <v>1227</v>
      </c>
      <c r="J935" t="inlineStr">
        <is>
          <t>Y</t>
        </is>
      </c>
      <c r="K935" t="inlineStr">
        <is>
          <t>sunsiyam.com</t>
        </is>
      </c>
      <c r="L935" t="inlineStr">
        <is>
          <t>official</t>
        </is>
      </c>
      <c r="M935" t="inlineStr">
        <is>
          <t>https://www.sunsiyam.com/media/qiflblcy/sso-ai-meal-plan-2026.pdf</t>
        </is>
      </c>
      <c r="N935" t="inlineStr">
        <is>
          <t>https://www.sunsiyam.com/media/qiflblcy/sso-ai-meal-plan-2026.pdf</t>
        </is>
      </c>
      <c r="O935" t="inlineStr">
        <is>
          <t>156f64e78ffe8549120077c88ab7b18d1ff4521667e37aa98e91f1559291e514</t>
        </is>
      </c>
      <c r="P935" t="inlineStr">
        <is>
          <t>library/050_sun-siyam-olhuveli-maldives/map/2026_sso-ai-meal-plan-2026.pdf</t>
        </is>
      </c>
      <c r="R935" t="inlineStr">
        <is>
          <t>current</t>
        </is>
      </c>
      <c r="S935" t="inlineStr">
        <is>
          <t>Y</t>
        </is>
      </c>
      <c r="T935" t="inlineStr">
        <is>
          <t>needs-review</t>
        </is>
      </c>
      <c r="U935" t="inlineStr">
        <is>
          <t>2026-10-04</t>
        </is>
      </c>
      <c r="V935" t="inlineStr">
        <is>
          <t>ambiguous match [50]</t>
        </is>
      </c>
    </row>
    <row r="936">
      <c r="A936" t="n">
        <v>50</v>
      </c>
      <c r="B936" t="inlineStr">
        <is>
          <t>Sun Siyam Olhuveli Maldives</t>
        </is>
      </c>
      <c r="C936" t="inlineStr">
        <is>
          <t>spa_menu</t>
        </is>
      </c>
      <c r="D936" t="inlineStr">
        <is>
          <t>2025_sso-repeater-guest-entitlements-2025pdf.pdf</t>
        </is>
      </c>
      <c r="E936" t="n">
        <v>2025</v>
      </c>
      <c r="H936" t="n">
        <v>1</v>
      </c>
      <c r="I936" t="n">
        <v>280</v>
      </c>
      <c r="J936" t="inlineStr">
        <is>
          <t>Y</t>
        </is>
      </c>
      <c r="K936" t="inlineStr">
        <is>
          <t>sunsiyam.com</t>
        </is>
      </c>
      <c r="L936" t="inlineStr">
        <is>
          <t>official</t>
        </is>
      </c>
      <c r="M936" t="inlineStr">
        <is>
          <t>https://www.sunsiyam.com/media/sluirhj5/sso-repeater-guest-entitlements-2025pdf.pdf</t>
        </is>
      </c>
      <c r="N936" t="inlineStr">
        <is>
          <t>https://www.sunsiyam.com/media/sluirhj5/sso-repeater-guest-entitlements-2025pdf.pdf</t>
        </is>
      </c>
      <c r="O936" t="inlineStr">
        <is>
          <t>a889d79f11c2bfb24942f234dfa659d628ece332b9ee996520fbac77f173186e</t>
        </is>
      </c>
      <c r="P936" t="inlineStr">
        <is>
          <t>library/050_sun-siyam-olhuveli-maldives/spa_menu/2025_sso-repeater-guest-entitlements-2025pdf.pdf</t>
        </is>
      </c>
      <c r="R936" t="inlineStr">
        <is>
          <t>current</t>
        </is>
      </c>
      <c r="S936" t="inlineStr">
        <is>
          <t>Y</t>
        </is>
      </c>
      <c r="T936" t="inlineStr">
        <is>
          <t>matched</t>
        </is>
      </c>
      <c r="U936" t="inlineStr">
        <is>
          <t>2026-10-04</t>
        </is>
      </c>
      <c r="V936" t="inlineStr"/>
    </row>
    <row r="937">
      <c r="A937" t="n">
        <v>50</v>
      </c>
      <c r="B937" t="inlineStr">
        <is>
          <t>Sun Siyam Olhuveli Maldives</t>
        </is>
      </c>
      <c r="C937" t="inlineStr">
        <is>
          <t>dive_prices</t>
        </is>
      </c>
      <c r="D937" t="inlineStr">
        <is>
          <t>2026_oktoberfest-sun-siyam-olhuveli-sep-2026.pdf</t>
        </is>
      </c>
      <c r="E937" t="n">
        <v>2026</v>
      </c>
      <c r="H937" t="n">
        <v>9</v>
      </c>
      <c r="I937" t="n">
        <v>3374</v>
      </c>
      <c r="J937" t="inlineStr">
        <is>
          <t>Y</t>
        </is>
      </c>
      <c r="K937" t="inlineStr">
        <is>
          <t>sunsiyam.com</t>
        </is>
      </c>
      <c r="L937" t="inlineStr">
        <is>
          <t>official</t>
        </is>
      </c>
      <c r="M937" t="inlineStr">
        <is>
          <t>https://www.sunsiyam.com/media/ijlfprg1/oktoberfest-sun-siyam-olhuveli-sep-2026.pdf</t>
        </is>
      </c>
      <c r="N937" t="inlineStr">
        <is>
          <t>https://www.sunsiyam.com/media/ijlfprg1/oktoberfest-sun-siyam-olhuveli-sep-2026.pdf</t>
        </is>
      </c>
      <c r="O937" t="inlineStr">
        <is>
          <t>250434470e9bc2babf3146574e4e55c6b8e4c4b8019b22c4eac9a98cc42204ac</t>
        </is>
      </c>
      <c r="P937" t="inlineStr">
        <is>
          <t>library/050_sun-siyam-olhuveli-maldives/dive_prices/2026_oktoberfest-sun-siyam-olhuveli-sep-2026.pdf</t>
        </is>
      </c>
      <c r="R937" t="inlineStr">
        <is>
          <t>current</t>
        </is>
      </c>
      <c r="S937" t="inlineStr">
        <is>
          <t>Y</t>
        </is>
      </c>
      <c r="T937" t="inlineStr">
        <is>
          <t>matched</t>
        </is>
      </c>
      <c r="U937" t="inlineStr">
        <is>
          <t>2026-10-04</t>
        </is>
      </c>
      <c r="V937" t="inlineStr"/>
    </row>
    <row r="938">
      <c r="A938" t="n">
        <v>50</v>
      </c>
      <c r="B938" t="inlineStr">
        <is>
          <t>Sun Siyam Olhuveli Maldives</t>
        </is>
      </c>
      <c r="C938" t="inlineStr">
        <is>
          <t>excursions</t>
        </is>
      </c>
      <c r="D938" t="inlineStr">
        <is>
          <t>2026_Sun-Siyam-Olhuveli.pdf</t>
        </is>
      </c>
      <c r="E938" t="n">
        <v>2026</v>
      </c>
      <c r="H938" t="n">
        <v>8</v>
      </c>
      <c r="I938" t="n">
        <v>1752</v>
      </c>
      <c r="J938" t="inlineStr">
        <is>
          <t>Y</t>
        </is>
      </c>
      <c r="K938" t="inlineStr">
        <is>
          <t>letsgomaldives.com</t>
        </is>
      </c>
      <c r="L938" t="inlineStr">
        <is>
          <t>dmc-agency</t>
        </is>
      </c>
      <c r="M938" t="inlineStr">
        <is>
          <t>https://letsgomaldives.com/wp-content/uploads/2026/08/Sun-Siyam-Olhuveli.pdf</t>
        </is>
      </c>
      <c r="N938" t="inlineStr">
        <is>
          <t>https://letsgomaldives.com/wp-content/uploads/2026/08/Sun-Siyam-Olhuveli.pdf</t>
        </is>
      </c>
      <c r="O938" t="inlineStr">
        <is>
          <t>269a958155194a97a7f6df5c771a5b1779ddb90a3f2baec822c07303154fa407</t>
        </is>
      </c>
      <c r="P938" t="inlineStr">
        <is>
          <t>library/050_sun-siyam-olhuveli-maldives/excursions/2026_Sun-Siyam-Olhuveli.pdf</t>
        </is>
      </c>
      <c r="R938" t="inlineStr">
        <is>
          <t>current</t>
        </is>
      </c>
      <c r="S938" t="inlineStr">
        <is>
          <t>Y</t>
        </is>
      </c>
      <c r="T938" t="inlineStr">
        <is>
          <t>matched</t>
        </is>
      </c>
      <c r="U938" t="inlineStr">
        <is>
          <t>2026-10-04</t>
        </is>
      </c>
      <c r="V938" t="inlineStr"/>
    </row>
    <row r="939">
      <c r="A939" t="n">
        <v>50</v>
      </c>
      <c r="B939" t="inlineStr">
        <is>
          <t>Sun Siyam Olhuveli Maldives</t>
        </is>
      </c>
      <c r="C939" t="inlineStr">
        <is>
          <t>calendar</t>
        </is>
      </c>
      <c r="D939" t="inlineStr">
        <is>
          <t>2027_carnival-of-the-isles-festive-programme-2026-2027.pdf</t>
        </is>
      </c>
      <c r="E939" t="n">
        <v>2027</v>
      </c>
      <c r="H939" t="n">
        <v>8</v>
      </c>
      <c r="I939" t="n">
        <v>1959</v>
      </c>
      <c r="J939" t="inlineStr">
        <is>
          <t>Y</t>
        </is>
      </c>
      <c r="K939" t="inlineStr">
        <is>
          <t>sunsiyam.com</t>
        </is>
      </c>
      <c r="L939" t="inlineStr">
        <is>
          <t>official</t>
        </is>
      </c>
      <c r="M939" t="inlineStr">
        <is>
          <t>https://www.sunsiyam.com/media/zirlx1ub/carnival-of-the-isles-festive-programme-2026-2027.pdf</t>
        </is>
      </c>
      <c r="N939" t="inlineStr">
        <is>
          <t>https://www.sunsiyam.com/media/zirlx1ub/carnival-of-the-isles-festive-programme-2026-2027.pdf</t>
        </is>
      </c>
      <c r="O939" t="inlineStr">
        <is>
          <t>0272b572afe1931b3d94391262a27a3dc1e6f92fd92f9df5f0c0f14bfe26dada</t>
        </is>
      </c>
      <c r="P939" t="inlineStr">
        <is>
          <t>library/050_sun-siyam-olhuveli-maldives/calendar/2027_carnival-of-the-isles-festive-programme-2026-2027.pdf</t>
        </is>
      </c>
      <c r="R939" t="inlineStr">
        <is>
          <t>current</t>
        </is>
      </c>
      <c r="S939" t="inlineStr">
        <is>
          <t>Y</t>
        </is>
      </c>
      <c r="T939" t="inlineStr">
        <is>
          <t>matched</t>
        </is>
      </c>
      <c r="U939" t="inlineStr">
        <is>
          <t>2026-10-04</t>
        </is>
      </c>
      <c r="V939" t="inlineStr"/>
    </row>
    <row r="940">
      <c r="A940" t="n">
        <v>50</v>
      </c>
      <c r="B940" t="inlineStr">
        <is>
          <t>Sun Siyam Olhuveli Maldives</t>
        </is>
      </c>
      <c r="C940" t="inlineStr">
        <is>
          <t>calendar</t>
        </is>
      </c>
      <c r="D940" t="inlineStr">
        <is>
          <t>2026_olhuveli-festive-26-27.pdf</t>
        </is>
      </c>
      <c r="E940" t="n">
        <v>2026</v>
      </c>
      <c r="H940" t="n">
        <v>8</v>
      </c>
      <c r="I940" t="n">
        <v>1953</v>
      </c>
      <c r="J940" t="inlineStr">
        <is>
          <t>Y</t>
        </is>
      </c>
      <c r="K940" t="inlineStr">
        <is>
          <t>sunsiyam.com</t>
        </is>
      </c>
      <c r="L940" t="inlineStr">
        <is>
          <t>official</t>
        </is>
      </c>
      <c r="M940" t="inlineStr">
        <is>
          <t>https://www.sunsiyam.com/media/qljd5bsk/olhuveli-festive-26-27.pdf</t>
        </is>
      </c>
      <c r="N940" t="inlineStr">
        <is>
          <t>https://www.sunsiyam.com/media/qljd5bsk/olhuveli-festive-26-27.pdf</t>
        </is>
      </c>
      <c r="O940" t="inlineStr">
        <is>
          <t>9e8aab48377b8c2008cb2e22119420055bec5f787dc18a33e9a0bbd55bfd1068</t>
        </is>
      </c>
      <c r="P940" t="inlineStr">
        <is>
          <t>library/050_sun-siyam-olhuveli-maldives/calendar/2026_olhuveli-festive-26-27.pdf</t>
        </is>
      </c>
      <c r="R940" t="inlineStr">
        <is>
          <t>current</t>
        </is>
      </c>
      <c r="S940" t="inlineStr">
        <is>
          <t>N</t>
        </is>
      </c>
      <c r="T940" t="inlineStr">
        <is>
          <t>matched</t>
        </is>
      </c>
      <c r="U940" t="inlineStr">
        <is>
          <t>2026-10-04</t>
        </is>
      </c>
      <c r="V940" t="inlineStr"/>
    </row>
    <row r="941">
      <c r="A941" t="n">
        <v>50</v>
      </c>
      <c r="B941" t="inlineStr">
        <is>
          <t>Sun Siyam Olhuveli Maldives</t>
        </is>
      </c>
      <c r="C941" t="inlineStr">
        <is>
          <t>calendar</t>
        </is>
      </c>
      <c r="D941" t="inlineStr">
        <is>
          <t>2022_Festive-Brochure-2022_Back-to-the-80s_Sun-Siyam-Olhuveli-Maldives.pdf</t>
        </is>
      </c>
      <c r="E941" t="n">
        <v>2022</v>
      </c>
      <c r="H941" t="n">
        <v>22</v>
      </c>
      <c r="I941" t="n">
        <v>8064</v>
      </c>
      <c r="J941" t="inlineStr">
        <is>
          <t>Y</t>
        </is>
      </c>
      <c r="K941" t="inlineStr">
        <is>
          <t>letsgomaldives.com</t>
        </is>
      </c>
      <c r="L941" t="inlineStr">
        <is>
          <t>dmc-agency</t>
        </is>
      </c>
      <c r="M941" t="inlineStr">
        <is>
          <t>https://letsgomaldives.com/wp-content/uploads/2022/12/Festive-Brochure-2022_Back-to-the-80s_Sun-Siyam-Olhuveli-Maldives.pdf</t>
        </is>
      </c>
      <c r="N941" t="inlineStr">
        <is>
          <t>https://letsgomaldives.com/wp-content/uploads/2022/12/Festive-Brochure-2022_Back-to-the-80s_Sun-Siyam-Olhuveli-Maldives.pdf</t>
        </is>
      </c>
      <c r="O941" t="inlineStr">
        <is>
          <t>c886dbdf472385d3e517c4ed2785aff217f89f0364f7b842a850a85b0669b88d</t>
        </is>
      </c>
      <c r="P941" t="inlineStr">
        <is>
          <t>library/050_sun-siyam-olhuveli-maldives/calendar/2022_Festive-Brochure-2022_Back-to-the-80s_Sun-Siyam-Olhuveli-Maldives.pdf</t>
        </is>
      </c>
      <c r="R941" t="inlineStr">
        <is>
          <t>outdated</t>
        </is>
      </c>
      <c r="S941" t="inlineStr">
        <is>
          <t>N</t>
        </is>
      </c>
      <c r="T941" t="inlineStr">
        <is>
          <t>matched</t>
        </is>
      </c>
      <c r="U941" t="inlineStr">
        <is>
          <t>2026-10-04</t>
        </is>
      </c>
      <c r="V941" t="inlineStr"/>
    </row>
    <row r="942">
      <c r="A942" t="n">
        <v>50</v>
      </c>
      <c r="B942" t="inlineStr">
        <is>
          <t>Sun Siyam Olhuveli Maldives</t>
        </is>
      </c>
      <c r="C942" t="inlineStr">
        <is>
          <t>other</t>
        </is>
      </c>
      <c r="D942" t="inlineStr">
        <is>
          <t>2023_olhuveli-photography.pdf</t>
        </is>
      </c>
      <c r="E942" t="n">
        <v>2023</v>
      </c>
      <c r="H942" t="n">
        <v>1</v>
      </c>
      <c r="I942" t="n">
        <v>947</v>
      </c>
      <c r="J942" t="inlineStr">
        <is>
          <t>N</t>
        </is>
      </c>
      <c r="K942" t="inlineStr">
        <is>
          <t>sunsiyam.com</t>
        </is>
      </c>
      <c r="L942" t="inlineStr">
        <is>
          <t>official</t>
        </is>
      </c>
      <c r="M942" t="inlineStr">
        <is>
          <t>https://www.sunsiyam.com/media/0eimmztw/olhuveli-photography.pdf</t>
        </is>
      </c>
      <c r="N942" t="inlineStr">
        <is>
          <t>https://www.sunsiyam.com/media/0eimmztw/olhuveli-photography.pdf</t>
        </is>
      </c>
      <c r="O942" t="inlineStr">
        <is>
          <t>1ed15ab0c3251e4e42ec1a999a0f646a57e8951a35313af2d18d65b1694565ea</t>
        </is>
      </c>
      <c r="P942" t="inlineStr">
        <is>
          <t>library/050_sun-siyam-olhuveli-maldives/other/2023_olhuveli-photography.pdf</t>
        </is>
      </c>
      <c r="R942" t="inlineStr">
        <is>
          <t>outdated</t>
        </is>
      </c>
      <c r="S942" t="inlineStr">
        <is>
          <t>Y</t>
        </is>
      </c>
      <c r="T942" t="inlineStr">
        <is>
          <t>matched</t>
        </is>
      </c>
      <c r="U942" t="inlineStr">
        <is>
          <t>2026-10-04</t>
        </is>
      </c>
      <c r="V942" t="inlineStr"/>
    </row>
    <row r="943">
      <c r="A943" t="n">
        <v>51</v>
      </c>
      <c r="B943" t="inlineStr">
        <is>
          <t>Emerald Maldives Resort &amp; Spa Fasmendho</t>
        </is>
      </c>
      <c r="C943" t="inlineStr">
        <is>
          <t>map</t>
        </is>
      </c>
      <c r="D943" t="inlineStr">
        <is>
          <t>2025_68de48e4e56f6c18c495e7aa_1025Sustainability Management Plan 2025.pdf</t>
        </is>
      </c>
      <c r="E943" t="n">
        <v>2025</v>
      </c>
      <c r="H943" t="n">
        <v>18</v>
      </c>
      <c r="I943" t="n">
        <v>2173</v>
      </c>
      <c r="J943" t="inlineStr">
        <is>
          <t>Y</t>
        </is>
      </c>
      <c r="K943" t="inlineStr">
        <is>
          <t>emerald-maldives.com</t>
        </is>
      </c>
      <c r="L943" t="inlineStr">
        <is>
          <t>official</t>
        </is>
      </c>
      <c r="M943" t="inlineStr">
        <is>
          <t>https://cdn.prod.website-files.com/5d39ad82040fc87640dfdea6/68de48e4e56f6c18c495e7aa_1025Sustainability%20Management%20Plan%202025.pdf</t>
        </is>
      </c>
      <c r="N943" t="inlineStr">
        <is>
          <t>https://cdn.prod.website-files.com/5d39ad82040fc87640dfdea6/68de48e4e56f6c18c495e7aa_1025Sustainability%20Management%20Plan%202025.pdf</t>
        </is>
      </c>
      <c r="O943" t="inlineStr">
        <is>
          <t>8fc06a74e4797b757eaede7ae4f4a4909711b1a008f68061a20c182326b7590d</t>
        </is>
      </c>
      <c r="P943" t="inlineStr">
        <is>
          <t>library/051_emerald-maldives-resort-spa-fasmendho/map/2025_68de48e4e56f6c18c495e7aa_1025Sustainability Management Plan 2025.pdf</t>
        </is>
      </c>
      <c r="R943" t="inlineStr">
        <is>
          <t>current</t>
        </is>
      </c>
      <c r="S943" t="inlineStr">
        <is>
          <t>Y</t>
        </is>
      </c>
      <c r="T943" t="inlineStr">
        <is>
          <t>matched</t>
        </is>
      </c>
      <c r="U943" t="inlineStr">
        <is>
          <t>2026-10-04</t>
        </is>
      </c>
      <c r="V943" t="inlineStr"/>
    </row>
    <row r="944">
      <c r="A944" t="n">
        <v>51</v>
      </c>
      <c r="B944" t="inlineStr">
        <is>
          <t>Emerald Maldives Resort &amp; Spa Fasmendho</t>
        </is>
      </c>
      <c r="C944" t="inlineStr">
        <is>
          <t>map</t>
        </is>
      </c>
      <c r="D944" t="inlineStr">
        <is>
          <t>2024_66f3c09417c35eb3202534f7_Sustainability Management Plan.pdf</t>
        </is>
      </c>
      <c r="E944" t="n">
        <v>2024</v>
      </c>
      <c r="H944" t="n">
        <v>12</v>
      </c>
      <c r="I944" t="n">
        <v>797</v>
      </c>
      <c r="J944" t="inlineStr">
        <is>
          <t>Y</t>
        </is>
      </c>
      <c r="K944" t="inlineStr">
        <is>
          <t>emerald-maldives.com</t>
        </is>
      </c>
      <c r="L944" t="inlineStr">
        <is>
          <t>official</t>
        </is>
      </c>
      <c r="M944" t="inlineStr">
        <is>
          <t>https://cdn.prod.website-files.com/5d39ad82040fc87640dfdea6/66f3c09417c35eb3202534f7_Sustainability%20Management%20Plan.pdf</t>
        </is>
      </c>
      <c r="N944" t="inlineStr">
        <is>
          <t>https://cdn.prod.website-files.com/5d39ad82040fc87640dfdea6/66f3c09417c35eb3202534f7_Sustainability%20Management%20Plan.pdf</t>
        </is>
      </c>
      <c r="O944" t="inlineStr">
        <is>
          <t>1527380602649ce190d9a0f422b3b74f7c637b812c546d6782b6d44787bd1687</t>
        </is>
      </c>
      <c r="P944" t="inlineStr">
        <is>
          <t>library/051_emerald-maldives-resort-spa-fasmendho/map/2024_66f3c09417c35eb3202534f7_Sustainability Management Plan.pdf</t>
        </is>
      </c>
      <c r="R944" t="inlineStr">
        <is>
          <t>outdated</t>
        </is>
      </c>
      <c r="S944" t="inlineStr">
        <is>
          <t>N</t>
        </is>
      </c>
      <c r="T944" t="inlineStr">
        <is>
          <t>matched</t>
        </is>
      </c>
      <c r="U944" t="inlineStr">
        <is>
          <t>2026-10-04</t>
        </is>
      </c>
      <c r="V944" t="inlineStr"/>
    </row>
    <row r="945">
      <c r="A945" t="n">
        <v>51</v>
      </c>
      <c r="B945" t="inlineStr">
        <is>
          <t>Emerald Maldives Resort &amp; Spa Fasmendho</t>
        </is>
      </c>
      <c r="C945" t="inlineStr">
        <is>
          <t>map</t>
        </is>
      </c>
      <c r="D945" t="inlineStr">
        <is>
          <t>2019_RESORT-MAP-Emerald-Maldives-Resort-Spa.pdf</t>
        </is>
      </c>
      <c r="E945" t="n">
        <v>2019</v>
      </c>
      <c r="H945" t="n">
        <v>1</v>
      </c>
      <c r="I945" t="n">
        <v>6925</v>
      </c>
      <c r="J945" t="inlineStr">
        <is>
          <t>N</t>
        </is>
      </c>
      <c r="K945" t="inlineStr">
        <is>
          <t>neoscapesmaldives.com</t>
        </is>
      </c>
      <c r="L945" t="inlineStr">
        <is>
          <t>dmc-agency</t>
        </is>
      </c>
      <c r="M945" t="inlineStr">
        <is>
          <t>https://www.neoscapesmaldives.com/wp-content/uploads/RESORT-MAP-Emerald-Maldives-Resort-Spa.pdf</t>
        </is>
      </c>
      <c r="N945" t="inlineStr">
        <is>
          <t>https://www.neoscapesmaldives.com/wp-content/uploads/RESORT-MAP-Emerald-Maldives-Resort-Spa.pdf</t>
        </is>
      </c>
      <c r="O945" t="inlineStr">
        <is>
          <t>2f62bb255e3426202acc666107a62d9a886d4d070b75e1eb5b81c100f7691aea</t>
        </is>
      </c>
      <c r="P945" t="inlineStr">
        <is>
          <t>library/051_emerald-maldives-resort-spa-fasmendho/map/2019_RESORT-MAP-Emerald-Maldives-Resort-Spa.pdf</t>
        </is>
      </c>
      <c r="R945" t="inlineStr">
        <is>
          <t>outdated</t>
        </is>
      </c>
      <c r="S945" t="inlineStr">
        <is>
          <t>N</t>
        </is>
      </c>
      <c r="T945" t="inlineStr">
        <is>
          <t>matched</t>
        </is>
      </c>
      <c r="U945" t="inlineStr">
        <is>
          <t>2026-10-04</t>
        </is>
      </c>
      <c r="V945" t="inlineStr"/>
    </row>
    <row r="946">
      <c r="A946" t="n">
        <v>51</v>
      </c>
      <c r="B946" t="inlineStr">
        <is>
          <t>Emerald Maldives Resort &amp; Spa Fasmendho</t>
        </is>
      </c>
      <c r="C946" t="inlineStr">
        <is>
          <t>spa_menu</t>
        </is>
      </c>
      <c r="D946" t="inlineStr">
        <is>
          <t>2022_671234c24998a4c8b7f21fb3_The Emerald Spa Menu - English.pdf</t>
        </is>
      </c>
      <c r="E946" t="n">
        <v>2022</v>
      </c>
      <c r="H946" t="n">
        <v>19</v>
      </c>
      <c r="I946" t="n">
        <v>4467</v>
      </c>
      <c r="J946" t="inlineStr">
        <is>
          <t>Y</t>
        </is>
      </c>
      <c r="K946" t="inlineStr">
        <is>
          <t>emerald-maldives.com</t>
        </is>
      </c>
      <c r="L946" t="inlineStr">
        <is>
          <t>official</t>
        </is>
      </c>
      <c r="M946" t="inlineStr">
        <is>
          <t>https://cdn.prod.website-files.com/5d39ad82040fc87640dfdea6/671234c24998a4c8b7f21fb3_The%20Emerald%20Spa%20Menu%20-%20English.pdf</t>
        </is>
      </c>
      <c r="N946" t="inlineStr">
        <is>
          <t>https://cdn.prod.website-files.com/5d39ad82040fc87640dfdea6/671234c24998a4c8b7f21fb3_The%20Emerald%20Spa%20Menu%20-%20English.pdf</t>
        </is>
      </c>
      <c r="O946" t="inlineStr">
        <is>
          <t>244219d845acfe78218a5d7836a0e7bdcedcd56529afa2e3d215ca7b883d0a28</t>
        </is>
      </c>
      <c r="P946" t="inlineStr">
        <is>
          <t>library/051_emerald-maldives-resort-spa-fasmendho/spa_menu/2022_671234c24998a4c8b7f21fb3_The Emerald Spa Menu - English.pdf</t>
        </is>
      </c>
      <c r="R946" t="inlineStr">
        <is>
          <t>outdated</t>
        </is>
      </c>
      <c r="S946" t="inlineStr">
        <is>
          <t>Y</t>
        </is>
      </c>
      <c r="T946" t="inlineStr">
        <is>
          <t>matched</t>
        </is>
      </c>
      <c r="U946" t="inlineStr">
        <is>
          <t>2026-10-04</t>
        </is>
      </c>
      <c r="V946" t="inlineStr"/>
    </row>
    <row r="947">
      <c r="A947" t="n">
        <v>51</v>
      </c>
      <c r="B947" t="inlineStr">
        <is>
          <t>Emerald Maldives Resort &amp; Spa Fasmendho</t>
        </is>
      </c>
      <c r="C947" t="inlineStr">
        <is>
          <t>spa_menu</t>
        </is>
      </c>
      <c r="D947" t="inlineStr">
        <is>
          <t>2020_5e54fe6ad58b3ebfa8196023_E-Brochure Emerald Maldives Resort _ Spa_ENG.pdf</t>
        </is>
      </c>
      <c r="E947" t="n">
        <v>2020</v>
      </c>
      <c r="H947" t="n">
        <v>6</v>
      </c>
      <c r="I947" t="n">
        <v>9654</v>
      </c>
      <c r="J947" t="inlineStr">
        <is>
          <t>Y</t>
        </is>
      </c>
      <c r="K947" t="inlineStr">
        <is>
          <t>emerald-maldives.com</t>
        </is>
      </c>
      <c r="L947" t="inlineStr">
        <is>
          <t>official</t>
        </is>
      </c>
      <c r="M947" t="inlineStr">
        <is>
          <t>https://cdn.prod.website-files.com/5d39ad82040fc87640dfdea6/5e54fe6ad58b3ebfa8196023_E-Brochure%20Emerald%20Maldives%20Resort%20%26%20Spa_ENG.pdf</t>
        </is>
      </c>
      <c r="N947" t="inlineStr">
        <is>
          <t>https://cdn.prod.website-files.com/5d39ad82040fc87640dfdea6/5e54fe6ad58b3ebfa8196023_E-Brochure%20Emerald%20Maldives%20Resort%20%26%20Spa_ENG.pdf</t>
        </is>
      </c>
      <c r="O947" t="inlineStr">
        <is>
          <t>3396619bd98e608fb00ee8b9d27528e6954f5f2c807ee49819def7f5aad3aa37</t>
        </is>
      </c>
      <c r="P947" t="inlineStr">
        <is>
          <t>library/051_emerald-maldives-resort-spa-fasmendho/spa_menu/2020_5e54fe6ad58b3ebfa8196023_E-Brochure Emerald Maldives Resort _ Spa_ENG.pdf</t>
        </is>
      </c>
      <c r="R947" t="inlineStr">
        <is>
          <t>outdated</t>
        </is>
      </c>
      <c r="S947" t="inlineStr">
        <is>
          <t>N</t>
        </is>
      </c>
      <c r="T947" t="inlineStr">
        <is>
          <t>matched</t>
        </is>
      </c>
      <c r="U947" t="inlineStr">
        <is>
          <t>2026-10-04</t>
        </is>
      </c>
      <c r="V947" t="inlineStr"/>
    </row>
    <row r="948">
      <c r="A948" t="n">
        <v>51</v>
      </c>
      <c r="B948" t="inlineStr">
        <is>
          <t>Emerald Maldives Resort &amp; Spa Fasmendho</t>
        </is>
      </c>
      <c r="C948" t="inlineStr">
        <is>
          <t>spa_menu</t>
        </is>
      </c>
      <c r="D948" t="inlineStr">
        <is>
          <t>2020_5f9af74736f0d92cf9f20498_GBAC-STAR-Announcement-Emerald Maldives Resort _ Spa-Accredited.pdf</t>
        </is>
      </c>
      <c r="E948" t="n">
        <v>2020</v>
      </c>
      <c r="H948" t="n">
        <v>3</v>
      </c>
      <c r="I948" t="n">
        <v>192</v>
      </c>
      <c r="J948" t="inlineStr">
        <is>
          <t>Y</t>
        </is>
      </c>
      <c r="K948" t="inlineStr">
        <is>
          <t>emerald-maldives.com</t>
        </is>
      </c>
      <c r="L948" t="inlineStr">
        <is>
          <t>official</t>
        </is>
      </c>
      <c r="M948" t="inlineStr">
        <is>
          <t>https://cdn.prod.website-files.com/5d39ad82040fc87640dfdea6/5f9af74736f0d92cf9f20498_GBAC-STAR-Announcement-Emerald%20Maldives%20Resort%20%26%20Spa-Accredited.pdf</t>
        </is>
      </c>
      <c r="N948" t="inlineStr">
        <is>
          <t>https://cdn.prod.website-files.com/5d39ad82040fc87640dfdea6/5f9af74736f0d92cf9f20498_GBAC-STAR-Announcement-Emerald%20Maldives%20Resort%20%26%20Spa-Accredited.pdf</t>
        </is>
      </c>
      <c r="O948" t="inlineStr">
        <is>
          <t>5a10d8c59fa03efaf888f2444db8e518522ac784615d1b4d1a6183d26c1af478</t>
        </is>
      </c>
      <c r="P948" t="inlineStr">
        <is>
          <t>library/051_emerald-maldives-resort-spa-fasmendho/spa_menu/2020_5f9af74736f0d92cf9f20498_GBAC-STAR-Announcement-Emerald Maldives Resort _ Spa-Accredited.pdf</t>
        </is>
      </c>
      <c r="R948" t="inlineStr">
        <is>
          <t>outdated</t>
        </is>
      </c>
      <c r="S948" t="inlineStr">
        <is>
          <t>N</t>
        </is>
      </c>
      <c r="T948" t="inlineStr">
        <is>
          <t>matched</t>
        </is>
      </c>
      <c r="U948" t="inlineStr">
        <is>
          <t>2026-10-04</t>
        </is>
      </c>
      <c r="V948" t="inlineStr"/>
    </row>
    <row r="949">
      <c r="A949" t="n">
        <v>51</v>
      </c>
      <c r="B949" t="inlineStr">
        <is>
          <t>Emerald Maldives Resort &amp; Spa Fasmendho</t>
        </is>
      </c>
      <c r="C949" t="inlineStr">
        <is>
          <t>spa_menu</t>
        </is>
      </c>
      <c r="D949" t="inlineStr">
        <is>
          <t>2019_E-Brochure-Emerald-Maldives-Resort-Spa.pdf</t>
        </is>
      </c>
      <c r="E949" t="n">
        <v>2019</v>
      </c>
      <c r="H949" t="n">
        <v>6</v>
      </c>
      <c r="I949" t="n">
        <v>5941</v>
      </c>
      <c r="J949" t="inlineStr">
        <is>
          <t>Y</t>
        </is>
      </c>
      <c r="K949" t="inlineStr">
        <is>
          <t>neoscapesmaldives.com</t>
        </is>
      </c>
      <c r="L949" t="inlineStr">
        <is>
          <t>dmc-agency</t>
        </is>
      </c>
      <c r="M949" t="inlineStr">
        <is>
          <t>https://www.neoscapesmaldives.com/wp-content/uploads/E-Brochure-Emerald-Maldives-Resort-Spa.pdf</t>
        </is>
      </c>
      <c r="N949" t="inlineStr">
        <is>
          <t>https://www.neoscapesmaldives.com/wp-content/uploads/E-Brochure-Emerald-Maldives-Resort-Spa.pdf</t>
        </is>
      </c>
      <c r="O949" t="inlineStr">
        <is>
          <t>f48a3cd3ac31b72f34f40918acbce5fe47e3f0f45448f09ecca0a689c540f82f</t>
        </is>
      </c>
      <c r="P949" t="inlineStr">
        <is>
          <t>library/051_emerald-maldives-resort-spa-fasmendho/spa_menu/2019_E-Brochure-Emerald-Maldives-Resort-Spa.pdf</t>
        </is>
      </c>
      <c r="R949" t="inlineStr">
        <is>
          <t>outdated</t>
        </is>
      </c>
      <c r="S949" t="inlineStr">
        <is>
          <t>N</t>
        </is>
      </c>
      <c r="T949" t="inlineStr">
        <is>
          <t>matched</t>
        </is>
      </c>
      <c r="U949" t="inlineStr">
        <is>
          <t>2026-10-04</t>
        </is>
      </c>
      <c r="V949" t="inlineStr"/>
    </row>
    <row r="950">
      <c r="A950" t="n">
        <v>51</v>
      </c>
      <c r="B950" t="inlineStr">
        <is>
          <t>Emerald Maldives Resort &amp; Spa Fasmendho</t>
        </is>
      </c>
      <c r="C950" t="inlineStr">
        <is>
          <t>spa_menu</t>
        </is>
      </c>
      <c r="D950" t="inlineStr">
        <is>
          <t>2019_5dca9dce4d247fddde806ddc_The Emerald Spa Menu Price List.pdf</t>
        </is>
      </c>
      <c r="E950" t="n">
        <v>2019</v>
      </c>
      <c r="H950" t="n">
        <v>13</v>
      </c>
      <c r="I950" t="n">
        <v>3891</v>
      </c>
      <c r="J950" t="inlineStr">
        <is>
          <t>Y</t>
        </is>
      </c>
      <c r="K950" t="inlineStr">
        <is>
          <t>emerald-maldives.com</t>
        </is>
      </c>
      <c r="L950" t="inlineStr">
        <is>
          <t>official</t>
        </is>
      </c>
      <c r="M950" t="inlineStr">
        <is>
          <t>https://global-uploads.webflow.com/5d39ad82040fc87640dfdea6/5dca9dce4d247fddde806ddc_The%20Emerald%20Spa%20Menu%20Price%20List.pdf</t>
        </is>
      </c>
      <c r="N950" t="inlineStr">
        <is>
          <t>https://global-uploads.webflow.com/5d39ad82040fc87640dfdea6/5dca9dce4d247fddde806ddc_The%20Emerald%20Spa%20Menu%20Price%20List.pdf</t>
        </is>
      </c>
      <c r="O950" t="inlineStr">
        <is>
          <t>d8096e724c606540eaaea3a1cf9eae6a4cb78b235c57bac5f424de2efe5646d7</t>
        </is>
      </c>
      <c r="P950" t="inlineStr">
        <is>
          <t>library/051_emerald-maldives-resort-spa-fasmendho/spa_menu/2019_5dca9dce4d247fddde806ddc_The Emerald Spa Menu Price List.pdf</t>
        </is>
      </c>
      <c r="R950" t="inlineStr">
        <is>
          <t>outdated</t>
        </is>
      </c>
      <c r="S950" t="inlineStr">
        <is>
          <t>N</t>
        </is>
      </c>
      <c r="T950" t="inlineStr">
        <is>
          <t>needs-review</t>
        </is>
      </c>
      <c r="U950" t="inlineStr">
        <is>
          <t>2026-10-04</t>
        </is>
      </c>
      <c r="V950" t="inlineStr">
        <is>
          <t>ambiguous match [51]</t>
        </is>
      </c>
    </row>
    <row r="951">
      <c r="A951" t="n">
        <v>51</v>
      </c>
      <c r="B951" t="inlineStr">
        <is>
          <t>Emerald Maldives Resort &amp; Spa Fasmendho</t>
        </is>
      </c>
      <c r="C951" t="inlineStr">
        <is>
          <t>dive_prices</t>
        </is>
      </c>
      <c r="D951" t="inlineStr">
        <is>
          <t>2026_69e9c7ea3f1ba46570ef6d9d_PriceList_2026_Fasmendhoo_070426.pdf</t>
        </is>
      </c>
      <c r="E951" t="n">
        <v>2026</v>
      </c>
      <c r="H951" t="n">
        <v>4</v>
      </c>
      <c r="I951" t="n">
        <v>282</v>
      </c>
      <c r="J951" t="inlineStr">
        <is>
          <t>Y</t>
        </is>
      </c>
      <c r="K951" t="inlineStr">
        <is>
          <t>emerald-maldives.com</t>
        </is>
      </c>
      <c r="L951" t="inlineStr">
        <is>
          <t>official</t>
        </is>
      </c>
      <c r="M951" t="inlineStr">
        <is>
          <t>https://cdn.prod.website-files.com/5d39ad82040fc87640dfdea6/69e9c7ea3f1ba46570ef6d9d_PriceList_2026_Fasmendhoo_070426.pdf</t>
        </is>
      </c>
      <c r="N951" t="inlineStr">
        <is>
          <t>https://cdn.prod.website-files.com/5d39ad82040fc87640dfdea6/69e9c7ea3f1ba46570ef6d9d_PriceList_2026_Fasmendhoo_070426.pdf</t>
        </is>
      </c>
      <c r="O951" t="inlineStr">
        <is>
          <t>234602fa8d29e825c24be7b3dfa916c7c4602bf6b0a13b49bf492dfc696c9d10</t>
        </is>
      </c>
      <c r="P951" t="inlineStr">
        <is>
          <t>library/051_emerald-maldives-resort-spa-fasmendho/dive_prices/2026_69e9c7ea3f1ba46570ef6d9d_PriceList_2026_Fasmendhoo_070426.pdf</t>
        </is>
      </c>
      <c r="R951" t="inlineStr">
        <is>
          <t>current</t>
        </is>
      </c>
      <c r="S951" t="inlineStr">
        <is>
          <t>Y</t>
        </is>
      </c>
      <c r="T951" t="inlineStr">
        <is>
          <t>matched</t>
        </is>
      </c>
      <c r="U951" t="inlineStr">
        <is>
          <t>2026-10-04</t>
        </is>
      </c>
      <c r="V951" t="inlineStr"/>
    </row>
    <row r="952">
      <c r="A952" t="n">
        <v>51</v>
      </c>
      <c r="B952" t="inlineStr">
        <is>
          <t>Emerald Maldives Resort &amp; Spa Fasmendho</t>
        </is>
      </c>
      <c r="C952" t="inlineStr">
        <is>
          <t>villa_plans</t>
        </is>
      </c>
      <c r="D952" t="inlineStr">
        <is>
          <t>2022_63b307cb52015469ab1c64f5_MALDIVE_WEB-ING-NOV2022.pdf</t>
        </is>
      </c>
      <c r="E952" t="n">
        <v>2022</v>
      </c>
      <c r="H952" t="n">
        <v>6</v>
      </c>
      <c r="I952" t="n">
        <v>6994</v>
      </c>
      <c r="J952" t="inlineStr">
        <is>
          <t>Y</t>
        </is>
      </c>
      <c r="K952" t="inlineStr">
        <is>
          <t>emerald-maldives.com</t>
        </is>
      </c>
      <c r="L952" t="inlineStr">
        <is>
          <t>official</t>
        </is>
      </c>
      <c r="M952" t="inlineStr">
        <is>
          <t>https://cdn.prod.website-files.com/5d39ad82040fc87640dfdea6/63b307cb52015469ab1c64f5_MALDIVE_WEB-ING-NOV2022.pdf</t>
        </is>
      </c>
      <c r="N952" t="inlineStr">
        <is>
          <t>https://cdn.prod.website-files.com/5d39ad82040fc87640dfdea6/63b307cb52015469ab1c64f5_MALDIVE_WEB-ING-NOV2022.pdf</t>
        </is>
      </c>
      <c r="O952" t="inlineStr">
        <is>
          <t>bbc409b71a191f6684e52430083ba415ba3caa503a363a23fcf036d199088b6d</t>
        </is>
      </c>
      <c r="P952" t="inlineStr">
        <is>
          <t>library/051_emerald-maldives-resort-spa-fasmendho/villa_plans/2022_63b307cb52015469ab1c64f5_MALDIVE_WEB-ING-NOV2022.pdf</t>
        </is>
      </c>
      <c r="R952" t="inlineStr">
        <is>
          <t>outdated</t>
        </is>
      </c>
      <c r="S952" t="inlineStr">
        <is>
          <t>Y</t>
        </is>
      </c>
      <c r="T952" t="inlineStr">
        <is>
          <t>needs-review</t>
        </is>
      </c>
      <c r="U952" t="inlineStr">
        <is>
          <t>2026-10-04</t>
        </is>
      </c>
      <c r="V952" t="inlineStr">
        <is>
          <t>ambiguous match [51]</t>
        </is>
      </c>
    </row>
    <row r="953">
      <c r="A953" t="n">
        <v>51</v>
      </c>
      <c r="B953" t="inlineStr">
        <is>
          <t>Emerald Maldives Resort &amp; Spa Fasmendho</t>
        </is>
      </c>
      <c r="C953" t="inlineStr">
        <is>
          <t>all_inclusive</t>
        </is>
      </c>
      <c r="D953" t="inlineStr">
        <is>
          <t>2020_6242d361af5d5510091fc463_DELUXE ALL INCLUSIVE PACKAGE_EN.pdf</t>
        </is>
      </c>
      <c r="E953" t="n">
        <v>2020</v>
      </c>
      <c r="H953" t="n">
        <v>3</v>
      </c>
      <c r="I953" t="n">
        <v>1942</v>
      </c>
      <c r="J953" t="inlineStr">
        <is>
          <t>Y</t>
        </is>
      </c>
      <c r="K953" t="inlineStr">
        <is>
          <t>emerald-maldives.com</t>
        </is>
      </c>
      <c r="L953" t="inlineStr">
        <is>
          <t>official</t>
        </is>
      </c>
      <c r="M953" t="inlineStr">
        <is>
          <t>https://cdn.prod.website-files.com/5d39ad82040fc87640dfdea6/6242d361af5d5510091fc463_DELUXE%20ALL%20INCLUSIVE%20PACKAGE_EN.pdf</t>
        </is>
      </c>
      <c r="N953" t="inlineStr">
        <is>
          <t>https://cdn.prod.website-files.com/5d39ad82040fc87640dfdea6/6242d361af5d5510091fc463_DELUXE%20ALL%20INCLUSIVE%20PACKAGE_EN.pdf</t>
        </is>
      </c>
      <c r="O953" t="inlineStr">
        <is>
          <t>5ad1f57d9d4bd73161ce70a424db1f803693ec08a12ee5aeb5377e31a4d5ba4a</t>
        </is>
      </c>
      <c r="P953" t="inlineStr">
        <is>
          <t>library/051_emerald-maldives-resort-spa-fasmendho/all_inclusive/2020_6242d361af5d5510091fc463_DELUXE ALL INCLUSIVE PACKAGE_EN.pdf</t>
        </is>
      </c>
      <c r="R953" t="inlineStr">
        <is>
          <t>outdated</t>
        </is>
      </c>
      <c r="S953" t="inlineStr">
        <is>
          <t>Y</t>
        </is>
      </c>
      <c r="T953" t="inlineStr">
        <is>
          <t>matched</t>
        </is>
      </c>
      <c r="U953" t="inlineStr">
        <is>
          <t>2026-10-04</t>
        </is>
      </c>
      <c r="V953" t="inlineStr"/>
    </row>
    <row r="954">
      <c r="A954" t="n">
        <v>51</v>
      </c>
      <c r="B954" t="inlineStr">
        <is>
          <t>Emerald Maldives Resort &amp; Spa Fasmendho</t>
        </is>
      </c>
      <c r="C954" t="inlineStr">
        <is>
          <t>sustainability</t>
        </is>
      </c>
      <c r="D954" t="inlineStr">
        <is>
          <t>2025_68de48caa2449afd6503a063_1025Environmental Policy 2025.pdf</t>
        </is>
      </c>
      <c r="E954" t="n">
        <v>2025</v>
      </c>
      <c r="H954" t="n">
        <v>8</v>
      </c>
      <c r="I954" t="n">
        <v>3578</v>
      </c>
      <c r="J954" t="inlineStr">
        <is>
          <t>Y</t>
        </is>
      </c>
      <c r="K954" t="inlineStr">
        <is>
          <t>emerald-maldives.com</t>
        </is>
      </c>
      <c r="L954" t="inlineStr">
        <is>
          <t>official</t>
        </is>
      </c>
      <c r="M954" t="inlineStr">
        <is>
          <t>https://cdn.prod.website-files.com/5d39ad82040fc87640dfdea6/68de48caa2449afd6503a063_1025Environmental%20Policy%202025.pdf</t>
        </is>
      </c>
      <c r="N954" t="inlineStr">
        <is>
          <t>https://cdn.prod.website-files.com/5d39ad82040fc87640dfdea6/68de48caa2449afd6503a063_1025Environmental%20Policy%202025.pdf</t>
        </is>
      </c>
      <c r="O954" t="inlineStr">
        <is>
          <t>1ab8afc385d59a3cff4e453f566903a6cb0ebf85393daa76087d722d9727541e</t>
        </is>
      </c>
      <c r="P954" t="inlineStr">
        <is>
          <t>library/051_emerald-maldives-resort-spa-fasmendho/sustainability/2025_68de48caa2449afd6503a063_1025Environmental Policy 2025.pdf</t>
        </is>
      </c>
      <c r="R954" t="inlineStr">
        <is>
          <t>current</t>
        </is>
      </c>
      <c r="S954" t="inlineStr">
        <is>
          <t>N</t>
        </is>
      </c>
      <c r="T954" t="inlineStr">
        <is>
          <t>matched</t>
        </is>
      </c>
      <c r="U954" t="inlineStr">
        <is>
          <t>2026-10-04</t>
        </is>
      </c>
      <c r="V954" t="inlineStr"/>
    </row>
    <row r="955">
      <c r="A955" t="n">
        <v>51</v>
      </c>
      <c r="B955" t="inlineStr">
        <is>
          <t>Emerald Maldives Resort &amp; Spa Fasmendho</t>
        </is>
      </c>
      <c r="C955" t="inlineStr">
        <is>
          <t>sustainability</t>
        </is>
      </c>
      <c r="D955" t="inlineStr">
        <is>
          <t>2025_68d546d244c9242c98cd58c6_09025Annual Sustainability Report _24-_25.pdf</t>
        </is>
      </c>
      <c r="E955" t="n">
        <v>2025</v>
      </c>
      <c r="H955" t="n">
        <v>21</v>
      </c>
      <c r="I955" t="n">
        <v>2596</v>
      </c>
      <c r="J955" t="inlineStr">
        <is>
          <t>Y</t>
        </is>
      </c>
      <c r="K955" t="inlineStr">
        <is>
          <t>emerald-maldives.com</t>
        </is>
      </c>
      <c r="L955" t="inlineStr">
        <is>
          <t>official</t>
        </is>
      </c>
      <c r="M955" t="inlineStr">
        <is>
          <t>https://cdn.prod.website-files.com/5d39ad82040fc87640dfdea6/68d546d244c9242c98cd58c6_09025Annual%20Sustainability%20Report%20%2724-%2725.pdf</t>
        </is>
      </c>
      <c r="N955" t="inlineStr">
        <is>
          <t>https://cdn.prod.website-files.com/5d39ad82040fc87640dfdea6/68d546d244c9242c98cd58c6_09025Annual%20Sustainability%20Report%20%2724-%2725.pdf</t>
        </is>
      </c>
      <c r="O955" t="inlineStr">
        <is>
          <t>c7bb3d22661ac771f5b638cff1bea96e6959506305545424fdd413e03e3d5e02</t>
        </is>
      </c>
      <c r="P955" t="inlineStr">
        <is>
          <t>library/051_emerald-maldives-resort-spa-fasmendho/sustainability/2025_68d546d244c9242c98cd58c6_09025Annual Sustainability Report _24-_25.pdf</t>
        </is>
      </c>
      <c r="R955" t="inlineStr">
        <is>
          <t>current</t>
        </is>
      </c>
      <c r="S955" t="inlineStr">
        <is>
          <t>Y</t>
        </is>
      </c>
      <c r="T955" t="inlineStr">
        <is>
          <t>matched</t>
        </is>
      </c>
      <c r="U955" t="inlineStr">
        <is>
          <t>2026-10-04</t>
        </is>
      </c>
      <c r="V955" t="inlineStr"/>
    </row>
    <row r="956">
      <c r="A956" t="n">
        <v>51</v>
      </c>
      <c r="B956" t="inlineStr">
        <is>
          <t>Emerald Maldives Resort &amp; Spa Fasmendho</t>
        </is>
      </c>
      <c r="C956" t="inlineStr">
        <is>
          <t>sustainability</t>
        </is>
      </c>
      <c r="D956" t="inlineStr">
        <is>
          <t>2024_68e763ff50d7502382de2f1c_Green Globe Policy V.1.724.pdf</t>
        </is>
      </c>
      <c r="E956" t="n">
        <v>2024</v>
      </c>
      <c r="H956" t="n">
        <v>14</v>
      </c>
      <c r="I956" t="n">
        <v>1130</v>
      </c>
      <c r="J956" t="inlineStr">
        <is>
          <t>Y</t>
        </is>
      </c>
      <c r="K956" t="inlineStr">
        <is>
          <t>emerald-maldives.com</t>
        </is>
      </c>
      <c r="L956" t="inlineStr">
        <is>
          <t>official</t>
        </is>
      </c>
      <c r="M956" t="inlineStr">
        <is>
          <t>https://cdn.prod.website-files.com/5d39ad82040fc87640dfdea6/68e763ff50d7502382de2f1c_Green%20Globe%20Policy%20V.1.724.pdf</t>
        </is>
      </c>
      <c r="N956" t="inlineStr">
        <is>
          <t>https://cdn.prod.website-files.com/5d39ad82040fc87640dfdea6/68e763ff50d7502382de2f1c_Green%20Globe%20Policy%20V.1.724.pdf | https://cdn.prod.website-files.com/614dd23228b0182a7ae09c18/68e7c73e6c30b00f6d99bfcb_Green%20Globe%20Policy%20V.1.724.pdf</t>
        </is>
      </c>
      <c r="O956" t="inlineStr">
        <is>
          <t>d087f04e2297dc9cd9d9d3bf4906c8c1088b942bbcd3bf8514902f08ccf3432a</t>
        </is>
      </c>
      <c r="P956" t="inlineStr">
        <is>
          <t>library/051_emerald-maldives-resort-spa-fasmendho/sustainability/2024_68e763ff50d7502382de2f1c_Green Globe Policy V.1.724.pdf</t>
        </is>
      </c>
      <c r="R956" t="inlineStr">
        <is>
          <t>outdated</t>
        </is>
      </c>
      <c r="S956" t="inlineStr">
        <is>
          <t>N</t>
        </is>
      </c>
      <c r="T956" t="inlineStr">
        <is>
          <t>needs-review</t>
        </is>
      </c>
      <c r="U956" t="inlineStr">
        <is>
          <t>2026-10-04</t>
        </is>
      </c>
      <c r="V956" t="inlineStr">
        <is>
          <t>ambiguous match [51]</t>
        </is>
      </c>
    </row>
    <row r="957">
      <c r="A957" t="n">
        <v>51</v>
      </c>
      <c r="B957" t="inlineStr">
        <is>
          <t>Emerald Maldives Resort &amp; Spa Fasmendho</t>
        </is>
      </c>
      <c r="C957" t="inlineStr">
        <is>
          <t>sustainability</t>
        </is>
      </c>
      <c r="D957" t="inlineStr">
        <is>
          <t>2024_66f3c097816be8fdac1879d4_Environmental Policy.pdf</t>
        </is>
      </c>
      <c r="E957" t="n">
        <v>2024</v>
      </c>
      <c r="H957" t="n">
        <v>12</v>
      </c>
      <c r="I957" t="n">
        <v>792</v>
      </c>
      <c r="J957" t="inlineStr">
        <is>
          <t>Y</t>
        </is>
      </c>
      <c r="K957" t="inlineStr">
        <is>
          <t>emerald-maldives.com</t>
        </is>
      </c>
      <c r="L957" t="inlineStr">
        <is>
          <t>official</t>
        </is>
      </c>
      <c r="M957" t="inlineStr">
        <is>
          <t>https://cdn.prod.website-files.com/5d39ad82040fc87640dfdea6/66f3c097816be8fdac1879d4_Environmental%20Policy.pdf</t>
        </is>
      </c>
      <c r="N957" t="inlineStr">
        <is>
          <t>https://cdn.prod.website-files.com/5d39ad82040fc87640dfdea6/66f3c097816be8fdac1879d4_Environmental%20Policy.pdf</t>
        </is>
      </c>
      <c r="O957" t="inlineStr">
        <is>
          <t>2797e98ca84a219c54ad037b49cfb0fa49b7a722c3baad3a3b76333aa28f06f0</t>
        </is>
      </c>
      <c r="P957" t="inlineStr">
        <is>
          <t>library/051_emerald-maldives-resort-spa-fasmendho/sustainability/2024_66f3c097816be8fdac1879d4_Environmental Policy.pdf</t>
        </is>
      </c>
      <c r="R957" t="inlineStr">
        <is>
          <t>outdated</t>
        </is>
      </c>
      <c r="S957" t="inlineStr">
        <is>
          <t>N</t>
        </is>
      </c>
      <c r="T957" t="inlineStr">
        <is>
          <t>matched</t>
        </is>
      </c>
      <c r="U957" t="inlineStr">
        <is>
          <t>2026-10-04</t>
        </is>
      </c>
      <c r="V957" t="inlineStr"/>
    </row>
    <row r="958">
      <c r="A958" t="n">
        <v>51</v>
      </c>
      <c r="B958" t="inlineStr">
        <is>
          <t>Emerald Maldives Resort &amp; Spa Fasmendho</t>
        </is>
      </c>
      <c r="C958" t="inlineStr">
        <is>
          <t>sustainability</t>
        </is>
      </c>
      <c r="D958" t="inlineStr">
        <is>
          <t>2012_68de48d59a836f9927674fdc_1025Green Book.pdf</t>
        </is>
      </c>
      <c r="E958" t="n">
        <v>2012</v>
      </c>
      <c r="H958" t="n">
        <v>32</v>
      </c>
      <c r="I958" t="n">
        <v>2857</v>
      </c>
      <c r="J958" t="inlineStr">
        <is>
          <t>Y</t>
        </is>
      </c>
      <c r="K958" t="inlineStr">
        <is>
          <t>emerald-maldives.com</t>
        </is>
      </c>
      <c r="L958" t="inlineStr">
        <is>
          <t>official</t>
        </is>
      </c>
      <c r="M958" t="inlineStr">
        <is>
          <t>https://cdn.prod.website-files.com/5d39ad82040fc87640dfdea6/68de48d59a836f9927674fdc_1025Green%20Book.pdf</t>
        </is>
      </c>
      <c r="N958" t="inlineStr">
        <is>
          <t>https://cdn.prod.website-files.com/5d39ad82040fc87640dfdea6/68de48d59a836f9927674fdc_1025Green%20Book.pdf</t>
        </is>
      </c>
      <c r="O958" t="inlineStr">
        <is>
          <t>a2f898fa66987b071531e2088f9b820b1889fe4b8a54dd3f9b6935db2870b078</t>
        </is>
      </c>
      <c r="P958" t="inlineStr">
        <is>
          <t>library/051_emerald-maldives-resort-spa-fasmendho/sustainability/2012_68de48d59a836f9927674fdc_1025Green Book.pdf</t>
        </is>
      </c>
      <c r="R958" t="inlineStr">
        <is>
          <t>outdated</t>
        </is>
      </c>
      <c r="S958" t="inlineStr">
        <is>
          <t>N</t>
        </is>
      </c>
      <c r="T958" t="inlineStr">
        <is>
          <t>matched</t>
        </is>
      </c>
      <c r="U958" t="inlineStr">
        <is>
          <t>2026-10-04</t>
        </is>
      </c>
      <c r="V958" t="inlineStr"/>
    </row>
    <row r="959">
      <c r="A959" t="n">
        <v>51</v>
      </c>
      <c r="B959" t="inlineStr">
        <is>
          <t>Emerald Maldives Resort &amp; Spa Fasmendho</t>
        </is>
      </c>
      <c r="C959" t="inlineStr">
        <is>
          <t>brochure</t>
        </is>
      </c>
      <c r="D959" t="inlineStr">
        <is>
          <t>2026_6994537c7086e11ff13c63a5_Emerald Maldives Brochure Web.pdf</t>
        </is>
      </c>
      <c r="E959" t="n">
        <v>2026</v>
      </c>
      <c r="H959" t="n">
        <v>6</v>
      </c>
      <c r="I959" t="n">
        <v>7632</v>
      </c>
      <c r="J959" t="inlineStr">
        <is>
          <t>Y</t>
        </is>
      </c>
      <c r="K959" t="inlineStr">
        <is>
          <t>emerald-maldives.com</t>
        </is>
      </c>
      <c r="L959" t="inlineStr">
        <is>
          <t>official</t>
        </is>
      </c>
      <c r="M959" t="inlineStr">
        <is>
          <t>https://cdn.prod.website-files.com/5d39ad82040fc87640dfdea6/6994537c7086e11ff13c63a5_Emerald%20Maldives%20Brochure%20Web.pdf</t>
        </is>
      </c>
      <c r="N959" t="inlineStr">
        <is>
          <t>https://cdn.prod.website-files.com/5d39ad82040fc87640dfdea6/6994537c7086e11ff13c63a5_Emerald%20Maldives%20Brochure%20Web.pdf</t>
        </is>
      </c>
      <c r="O959" t="inlineStr">
        <is>
          <t>a2c6b7e99e9db29d2c6651b81e71fde84de006e77e0c5c4da0cd82fdb734fb82</t>
        </is>
      </c>
      <c r="P959" t="inlineStr">
        <is>
          <t>library/051_emerald-maldives-resort-spa-fasmendho/brochure/2026_6994537c7086e11ff13c63a5_Emerald Maldives Brochure Web.pdf</t>
        </is>
      </c>
      <c r="R959" t="inlineStr">
        <is>
          <t>current</t>
        </is>
      </c>
      <c r="S959" t="inlineStr">
        <is>
          <t>Y</t>
        </is>
      </c>
      <c r="T959" t="inlineStr">
        <is>
          <t>matched</t>
        </is>
      </c>
      <c r="U959" t="inlineStr">
        <is>
          <t>2026-10-04</t>
        </is>
      </c>
      <c r="V959" t="inlineStr"/>
    </row>
    <row r="960">
      <c r="A960" t="n">
        <v>51</v>
      </c>
      <c r="B960" t="inlineStr">
        <is>
          <t>Emerald Maldives Resort &amp; Spa Fasmendho</t>
        </is>
      </c>
      <c r="C960" t="inlineStr">
        <is>
          <t>other</t>
        </is>
      </c>
      <c r="D960" t="inlineStr">
        <is>
          <t>2026_6a0f27eb6e46406ad3c05d11_EMRS SUMMER 2026.pdf</t>
        </is>
      </c>
      <c r="E960" t="n">
        <v>2026</v>
      </c>
      <c r="H960" t="n">
        <v>12</v>
      </c>
      <c r="I960" t="n">
        <v>5679</v>
      </c>
      <c r="J960" t="inlineStr">
        <is>
          <t>N</t>
        </is>
      </c>
      <c r="K960" t="inlineStr">
        <is>
          <t>emerald-maldives.com</t>
        </is>
      </c>
      <c r="L960" t="inlineStr">
        <is>
          <t>official</t>
        </is>
      </c>
      <c r="M960" t="inlineStr">
        <is>
          <t>https://cdn.prod.website-files.com/5d39ad82040fc87640dfdea6/6a0f27eb6e46406ad3c05d11_EMRS%20SUMMER%202026.pdf</t>
        </is>
      </c>
      <c r="N960" t="inlineStr">
        <is>
          <t>https://cdn.prod.website-files.com/5d39ad82040fc87640dfdea6/6a0f27eb6e46406ad3c05d11_EMRS%20SUMMER%202026.pdf</t>
        </is>
      </c>
      <c r="O960" t="inlineStr">
        <is>
          <t>213a322e798804430c387a4728468d7597fcac79888c3cf36d2420322c9e11b3</t>
        </is>
      </c>
      <c r="P960" t="inlineStr">
        <is>
          <t>library/051_emerald-maldives-resort-spa-fasmendho/other/2026_6a0f27eb6e46406ad3c05d11_EMRS SUMMER 2026.pdf</t>
        </is>
      </c>
      <c r="R960" t="inlineStr">
        <is>
          <t>current</t>
        </is>
      </c>
      <c r="S960" t="inlineStr">
        <is>
          <t>Y</t>
        </is>
      </c>
      <c r="T960" t="inlineStr">
        <is>
          <t>needs-review</t>
        </is>
      </c>
      <c r="U960" t="inlineStr">
        <is>
          <t>2026-10-04</t>
        </is>
      </c>
      <c r="V960" t="inlineStr">
        <is>
          <t>ambiguous match [51]</t>
        </is>
      </c>
    </row>
    <row r="961">
      <c r="A961" t="n">
        <v>52</v>
      </c>
      <c r="B961" t="inlineStr">
        <is>
          <t>Eri Maldives</t>
        </is>
      </c>
      <c r="C961" t="inlineStr">
        <is>
          <t>factsheet</t>
        </is>
      </c>
      <c r="D961" t="inlineStr">
        <is>
          <t>2026_Eri Maldives - Factsheet _7_.pdf</t>
        </is>
      </c>
      <c r="E961" t="n">
        <v>2026</v>
      </c>
      <c r="H961" t="n">
        <v>5</v>
      </c>
      <c r="I961" t="n">
        <v>7367</v>
      </c>
      <c r="J961" t="inlineStr">
        <is>
          <t>Y</t>
        </is>
      </c>
      <c r="K961" t="inlineStr">
        <is>
          <t>pulse.dash.app</t>
        </is>
      </c>
      <c r="L961" t="inlineStr">
        <is>
          <t>brand-cdn</t>
        </is>
      </c>
      <c r="M961"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1"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1" t="inlineStr">
        <is>
          <t>315313490f59e31a8b33c7e6c2798f030d9c809be5b2865ad0c9aa1e5eba2825</t>
        </is>
      </c>
      <c r="P961" t="inlineStr">
        <is>
          <t>library/052_eri-maldives/factsheet/2026_Eri Maldives - Factsheet _7_.pdf</t>
        </is>
      </c>
      <c r="R961" t="inlineStr">
        <is>
          <t>current</t>
        </is>
      </c>
      <c r="S961" t="inlineStr">
        <is>
          <t>Y</t>
        </is>
      </c>
      <c r="T961" t="inlineStr">
        <is>
          <t>matched</t>
        </is>
      </c>
      <c r="U961" t="inlineStr">
        <is>
          <t>2026-10-04</t>
        </is>
      </c>
      <c r="V961" t="inlineStr"/>
    </row>
    <row r="962">
      <c r="A962" t="n">
        <v>52</v>
      </c>
      <c r="B962" t="inlineStr">
        <is>
          <t>Eri Maldives</t>
        </is>
      </c>
      <c r="C962" t="inlineStr">
        <is>
          <t>factsheet</t>
        </is>
      </c>
      <c r="D962" t="inlineStr">
        <is>
          <t>2024_Furaveri-Maldives_Factsheet_Rev24102024.pdf</t>
        </is>
      </c>
      <c r="E962" t="n">
        <v>2024</v>
      </c>
      <c r="H962" t="n">
        <v>4</v>
      </c>
      <c r="I962" t="n">
        <v>5097</v>
      </c>
      <c r="J962" t="inlineStr">
        <is>
          <t>Y</t>
        </is>
      </c>
      <c r="K962" t="inlineStr">
        <is>
          <t>neoscapesmaldives.com</t>
        </is>
      </c>
      <c r="L962" t="inlineStr">
        <is>
          <t>dmc-agency</t>
        </is>
      </c>
      <c r="M962" t="inlineStr">
        <is>
          <t>https://www.neoscapesmaldives.com/wp-content/uploads/Furaveri-Maldives_Factsheet_Rev24102024.pdf</t>
        </is>
      </c>
      <c r="N962" t="inlineStr">
        <is>
          <t>https://www.neoscapesmaldives.com/wp-content/uploads/Furaveri-Maldives_Factsheet_Rev24102024.pdf</t>
        </is>
      </c>
      <c r="O962" t="inlineStr">
        <is>
          <t>88875b7fa1a627ab3b37d995eed0ab329dae77543570ee1459e9d39136740cb0</t>
        </is>
      </c>
      <c r="P962" t="inlineStr">
        <is>
          <t>library/052_eri-maldives/factsheet/2024_Furaveri-Maldives_Factsheet_Rev24102024.pdf</t>
        </is>
      </c>
      <c r="R962" t="inlineStr">
        <is>
          <t>outdated</t>
        </is>
      </c>
      <c r="S962" t="inlineStr">
        <is>
          <t>N</t>
        </is>
      </c>
      <c r="T962" t="inlineStr">
        <is>
          <t>matched</t>
        </is>
      </c>
      <c r="U962" t="inlineStr">
        <is>
          <t>2026-10-04</t>
        </is>
      </c>
      <c r="V962" t="inlineStr"/>
    </row>
    <row r="963">
      <c r="A963" t="n">
        <v>52</v>
      </c>
      <c r="B963" t="inlineStr">
        <is>
          <t>Eri Maldives</t>
        </is>
      </c>
      <c r="C963" t="inlineStr">
        <is>
          <t>wedding</t>
        </is>
      </c>
      <c r="D963" t="inlineStr">
        <is>
          <t>2026_Eri - Renewal of Vows Package.pdf</t>
        </is>
      </c>
      <c r="E963" t="n">
        <v>2026</v>
      </c>
      <c r="H963" t="n">
        <v>14</v>
      </c>
      <c r="I963" t="n">
        <v>44731</v>
      </c>
      <c r="J963" t="inlineStr">
        <is>
          <t>Y</t>
        </is>
      </c>
      <c r="K963" t="inlineStr">
        <is>
          <t>pulse.dash.app</t>
        </is>
      </c>
      <c r="L963" t="inlineStr">
        <is>
          <t>brand-cdn</t>
        </is>
      </c>
      <c r="M963"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3"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3" t="inlineStr">
        <is>
          <t>6c902cd5eeab0d6a8578d56c8e70b543fb7d479fde0c3b20a08f3f24910efb3e</t>
        </is>
      </c>
      <c r="P963" t="inlineStr">
        <is>
          <t>library/052_eri-maldives/wedding/2026_Eri - Renewal of Vows Package.pdf</t>
        </is>
      </c>
      <c r="R963" t="inlineStr">
        <is>
          <t>current</t>
        </is>
      </c>
      <c r="S963" t="inlineStr">
        <is>
          <t>Y</t>
        </is>
      </c>
      <c r="T963" t="inlineStr">
        <is>
          <t>matched</t>
        </is>
      </c>
      <c r="U963" t="inlineStr">
        <is>
          <t>2026-10-04</t>
        </is>
      </c>
      <c r="V963" t="inlineStr"/>
    </row>
    <row r="964">
      <c r="A964" t="n">
        <v>52</v>
      </c>
      <c r="B964" t="inlineStr">
        <is>
          <t>Eri Maldives</t>
        </is>
      </c>
      <c r="C964" t="inlineStr">
        <is>
          <t>map</t>
        </is>
      </c>
      <c r="D964" t="inlineStr">
        <is>
          <t>2026_ERI-MAP-NEW-202_AUG.pdf</t>
        </is>
      </c>
      <c r="E964" t="n">
        <v>2026</v>
      </c>
      <c r="H964" t="n">
        <v>1</v>
      </c>
      <c r="I964" t="n">
        <v>16049</v>
      </c>
      <c r="J964" t="inlineStr">
        <is>
          <t>N</t>
        </is>
      </c>
      <c r="K964" t="inlineStr">
        <is>
          <t>pulse.dash.app</t>
        </is>
      </c>
      <c r="L964" t="inlineStr">
        <is>
          <t>brand-cdn</t>
        </is>
      </c>
      <c r="M964"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4"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4" t="inlineStr">
        <is>
          <t>e9eccbc90da703b426741141fdb48830b20283f124e4330961d4446882cd3e22</t>
        </is>
      </c>
      <c r="P964" t="inlineStr">
        <is>
          <t>library/052_eri-maldives/map/2026_ERI-MAP-NEW-202_AUG.pdf</t>
        </is>
      </c>
      <c r="R964" t="inlineStr">
        <is>
          <t>current</t>
        </is>
      </c>
      <c r="S964" t="inlineStr">
        <is>
          <t>Y</t>
        </is>
      </c>
      <c r="T964" t="inlineStr">
        <is>
          <t>matched</t>
        </is>
      </c>
      <c r="U964" t="inlineStr">
        <is>
          <t>2026-10-04</t>
        </is>
      </c>
      <c r="V964" t="inlineStr"/>
    </row>
    <row r="965">
      <c r="A965" t="n">
        <v>52</v>
      </c>
      <c r="B965" t="inlineStr">
        <is>
          <t>Eri Maldives</t>
        </is>
      </c>
      <c r="C965" t="inlineStr">
        <is>
          <t>map</t>
        </is>
      </c>
      <c r="D965" t="inlineStr">
        <is>
          <t>2024_Island_map_updated-27.10.2024.pdf</t>
        </is>
      </c>
      <c r="E965" t="n">
        <v>2024</v>
      </c>
      <c r="H965" t="n">
        <v>1</v>
      </c>
      <c r="I965" t="n">
        <v>3145</v>
      </c>
      <c r="J965" t="inlineStr">
        <is>
          <t>N</t>
        </is>
      </c>
      <c r="K965" t="inlineStr">
        <is>
          <t>neoscapesmaldives.com</t>
        </is>
      </c>
      <c r="L965" t="inlineStr">
        <is>
          <t>dmc-agency</t>
        </is>
      </c>
      <c r="M965" t="inlineStr">
        <is>
          <t>https://www.neoscapesmaldives.com/wp-content/uploads/Island_map_updated-27.10.2024.pdf</t>
        </is>
      </c>
      <c r="N965" t="inlineStr">
        <is>
          <t>https://www.neoscapesmaldives.com/wp-content/uploads/Island_map_updated-27.10.2024.pdf</t>
        </is>
      </c>
      <c r="O965" t="inlineStr">
        <is>
          <t>1f717f13dd083a65b0d27e67432378bcb6702900f269b4083311f668ab67720c</t>
        </is>
      </c>
      <c r="P965" t="inlineStr">
        <is>
          <t>library/052_eri-maldives/map/2024_Island_map_updated-27.10.2024.pdf</t>
        </is>
      </c>
      <c r="R965" t="inlineStr">
        <is>
          <t>outdated</t>
        </is>
      </c>
      <c r="S965" t="inlineStr">
        <is>
          <t>N</t>
        </is>
      </c>
      <c r="T965" t="inlineStr">
        <is>
          <t>needs-review</t>
        </is>
      </c>
      <c r="U965" t="inlineStr">
        <is>
          <t>2026-10-04</t>
        </is>
      </c>
      <c r="V965" t="inlineStr">
        <is>
          <t>ambiguous match [52]</t>
        </is>
      </c>
    </row>
    <row r="966">
      <c r="A966" t="n">
        <v>52</v>
      </c>
      <c r="B966" t="inlineStr">
        <is>
          <t>Eri Maldives</t>
        </is>
      </c>
      <c r="C966" t="inlineStr">
        <is>
          <t>spa_menu</t>
        </is>
      </c>
      <c r="D966" t="inlineStr">
        <is>
          <t>2026_Eri - Eskape Spa Temporary Menu.pdf</t>
        </is>
      </c>
      <c r="E966" t="n">
        <v>2026</v>
      </c>
      <c r="H966" t="n">
        <v>3</v>
      </c>
      <c r="I966" t="n">
        <v>120</v>
      </c>
      <c r="J966" t="inlineStr">
        <is>
          <t>Y</t>
        </is>
      </c>
      <c r="K966" t="inlineStr">
        <is>
          <t>pulse.dash.app</t>
        </is>
      </c>
      <c r="L966" t="inlineStr">
        <is>
          <t>brand-cdn</t>
        </is>
      </c>
      <c r="M966"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6"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6" t="inlineStr">
        <is>
          <t>934f28aab00ba527e65e0def6aa14cc32a8844c01506fed7f070ccde67decaba</t>
        </is>
      </c>
      <c r="P966" t="inlineStr">
        <is>
          <t>library/052_eri-maldives/spa_menu/2026_Eri - Eskape Spa Temporary Menu.pdf</t>
        </is>
      </c>
      <c r="R966" t="inlineStr">
        <is>
          <t>current</t>
        </is>
      </c>
      <c r="S966" t="inlineStr">
        <is>
          <t>Y</t>
        </is>
      </c>
      <c r="T966" t="inlineStr">
        <is>
          <t>matched</t>
        </is>
      </c>
      <c r="U966" t="inlineStr">
        <is>
          <t>2026-10-04</t>
        </is>
      </c>
      <c r="V966" t="inlineStr"/>
    </row>
    <row r="967">
      <c r="A967" t="n">
        <v>52</v>
      </c>
      <c r="B967" t="inlineStr">
        <is>
          <t>Eri Maldives</t>
        </is>
      </c>
      <c r="C967" t="inlineStr">
        <is>
          <t>spa_menu</t>
        </is>
      </c>
      <c r="D967" t="inlineStr">
        <is>
          <t>2026_Eri Maldives Sales Kit _5_.pdf</t>
        </is>
      </c>
      <c r="E967" t="n">
        <v>2026</v>
      </c>
      <c r="H967" t="n">
        <v>1</v>
      </c>
      <c r="I967" t="n">
        <v>565</v>
      </c>
      <c r="J967" t="inlineStr">
        <is>
          <t>Y</t>
        </is>
      </c>
      <c r="K967" t="inlineStr">
        <is>
          <t>pulse.dash.app</t>
        </is>
      </c>
      <c r="L967" t="inlineStr">
        <is>
          <t>brand-cdn</t>
        </is>
      </c>
      <c r="M967"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7"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7" t="inlineStr">
        <is>
          <t>0f5bf1a8489f172c6d87739b1c5b199ecc116e1ce13b4f3543635b43e4e5ba72</t>
        </is>
      </c>
      <c r="P967" t="inlineStr">
        <is>
          <t>library/052_eri-maldives/spa_menu/2026_Eri Maldives Sales Kit _5_.pdf</t>
        </is>
      </c>
      <c r="R967" t="inlineStr">
        <is>
          <t>current</t>
        </is>
      </c>
      <c r="S967" t="inlineStr">
        <is>
          <t>N</t>
        </is>
      </c>
      <c r="T967" t="inlineStr">
        <is>
          <t>matched</t>
        </is>
      </c>
      <c r="U967" t="inlineStr">
        <is>
          <t>2026-10-04</t>
        </is>
      </c>
      <c r="V967" t="inlineStr"/>
    </row>
    <row r="968">
      <c r="A968" t="n">
        <v>52</v>
      </c>
      <c r="B968" t="inlineStr">
        <is>
          <t>Eri Maldives</t>
        </is>
      </c>
      <c r="C968" t="inlineStr">
        <is>
          <t>dining_menu</t>
        </is>
      </c>
      <c r="D968" t="inlineStr">
        <is>
          <t>2026_Eri - Destination Dining Menu _3_.pdf</t>
        </is>
      </c>
      <c r="E968" t="n">
        <v>2026</v>
      </c>
      <c r="H968" t="n">
        <v>5</v>
      </c>
      <c r="I968" t="n">
        <v>3471</v>
      </c>
      <c r="J968" t="inlineStr">
        <is>
          <t>Y</t>
        </is>
      </c>
      <c r="K968" t="inlineStr">
        <is>
          <t>pulse.dash.app</t>
        </is>
      </c>
      <c r="L968" t="inlineStr">
        <is>
          <t>brand-cdn</t>
        </is>
      </c>
      <c r="M968"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8"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8" t="inlineStr">
        <is>
          <t>374c95703ea47e581105fe0076a8abed551aab37b634167c9caf23f0354ba926</t>
        </is>
      </c>
      <c r="P968" t="inlineStr">
        <is>
          <t>library/052_eri-maldives/dining_menu/2026_Eri - Destination Dining Menu _3_.pdf</t>
        </is>
      </c>
      <c r="R968" t="inlineStr">
        <is>
          <t>current</t>
        </is>
      </c>
      <c r="S968" t="inlineStr">
        <is>
          <t>Y</t>
        </is>
      </c>
      <c r="T968" t="inlineStr">
        <is>
          <t>matched</t>
        </is>
      </c>
      <c r="U968" t="inlineStr">
        <is>
          <t>2026-10-04</t>
        </is>
      </c>
      <c r="V968" t="inlineStr"/>
    </row>
    <row r="969">
      <c r="A969" t="n">
        <v>52</v>
      </c>
      <c r="B969" t="inlineStr">
        <is>
          <t>Eri Maldives</t>
        </is>
      </c>
      <c r="C969" t="inlineStr">
        <is>
          <t>dining_menu</t>
        </is>
      </c>
      <c r="D969" t="inlineStr">
        <is>
          <t>2026_Eri - Beach Shack Menu _2_.pdf</t>
        </is>
      </c>
      <c r="E969" t="n">
        <v>2026</v>
      </c>
      <c r="H969" t="n">
        <v>2</v>
      </c>
      <c r="I969" t="n">
        <v>155</v>
      </c>
      <c r="J969" t="inlineStr">
        <is>
          <t>Y</t>
        </is>
      </c>
      <c r="K969" t="inlineStr">
        <is>
          <t>pulse.dash.app</t>
        </is>
      </c>
      <c r="L969" t="inlineStr">
        <is>
          <t>brand-cdn</t>
        </is>
      </c>
      <c r="M969"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9"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9" t="inlineStr">
        <is>
          <t>4de60aee7857b1b8c75929e4e02eacff27225658ab1f395c4bb1646d003849d5</t>
        </is>
      </c>
      <c r="P969" t="inlineStr">
        <is>
          <t>library/052_eri-maldives/dining_menu/2026_Eri - Beach Shack Menu _2_.pdf</t>
        </is>
      </c>
      <c r="R969" t="inlineStr">
        <is>
          <t>current</t>
        </is>
      </c>
      <c r="S969" t="inlineStr">
        <is>
          <t>N</t>
        </is>
      </c>
      <c r="T969" t="inlineStr">
        <is>
          <t>matched</t>
        </is>
      </c>
      <c r="U969" t="inlineStr">
        <is>
          <t>2026-10-04</t>
        </is>
      </c>
      <c r="V969" t="inlineStr"/>
    </row>
    <row r="970">
      <c r="A970" t="n">
        <v>52</v>
      </c>
      <c r="B970" t="inlineStr">
        <is>
          <t>Eri Maldives</t>
        </is>
      </c>
      <c r="C970" t="inlineStr">
        <is>
          <t>dining_menu</t>
        </is>
      </c>
      <c r="D970" t="inlineStr">
        <is>
          <t>2026_Eri - Sip _ Dip Menu _2_.pdf</t>
        </is>
      </c>
      <c r="E970" t="n">
        <v>2026</v>
      </c>
      <c r="H970" t="n">
        <v>4</v>
      </c>
      <c r="I970" t="n">
        <v>322</v>
      </c>
      <c r="J970" t="inlineStr">
        <is>
          <t>Y</t>
        </is>
      </c>
      <c r="K970" t="inlineStr">
        <is>
          <t>pulse.dash.app</t>
        </is>
      </c>
      <c r="L970" t="inlineStr">
        <is>
          <t>brand-cdn</t>
        </is>
      </c>
      <c r="M970"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0"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0" t="inlineStr">
        <is>
          <t>a30039efaa2b5a37bdb5f2ed009a1233680157edece3fae3fae66617d8a97dbb</t>
        </is>
      </c>
      <c r="P970" t="inlineStr">
        <is>
          <t>library/052_eri-maldives/dining_menu/2026_Eri - Sip _ Dip Menu _2_.pdf</t>
        </is>
      </c>
      <c r="R970" t="inlineStr">
        <is>
          <t>current</t>
        </is>
      </c>
      <c r="S970" t="inlineStr">
        <is>
          <t>N</t>
        </is>
      </c>
      <c r="T970" t="inlineStr">
        <is>
          <t>matched</t>
        </is>
      </c>
      <c r="U970" t="inlineStr">
        <is>
          <t>2026-10-04</t>
        </is>
      </c>
      <c r="V970" t="inlineStr"/>
    </row>
    <row r="971">
      <c r="A971" t="n">
        <v>52</v>
      </c>
      <c r="B971" t="inlineStr">
        <is>
          <t>Eri Maldives</t>
        </is>
      </c>
      <c r="C971" t="inlineStr">
        <is>
          <t>dining_menu</t>
        </is>
      </c>
      <c r="D971" t="inlineStr">
        <is>
          <t>2025_Eri in-villa dining menu _1_.pdf</t>
        </is>
      </c>
      <c r="E971" t="n">
        <v>2025</v>
      </c>
      <c r="H971" t="n">
        <v>4</v>
      </c>
      <c r="I971" t="n">
        <v>869</v>
      </c>
      <c r="J971" t="inlineStr">
        <is>
          <t>Y</t>
        </is>
      </c>
      <c r="K971" t="inlineStr">
        <is>
          <t>pulse.dash.app</t>
        </is>
      </c>
      <c r="L971" t="inlineStr">
        <is>
          <t>brand-cdn</t>
        </is>
      </c>
      <c r="M971"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1"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1" t="inlineStr">
        <is>
          <t>81f8b6b4eaeedbfcdd5c99d6d14a6257f52ad973a141afb6636ccd2bb926379d</t>
        </is>
      </c>
      <c r="P971" t="inlineStr">
        <is>
          <t>library/052_eri-maldives/dining_menu/2025_Eri in-villa dining menu _1_.pdf</t>
        </is>
      </c>
      <c r="R971" t="inlineStr">
        <is>
          <t>current</t>
        </is>
      </c>
      <c r="S971" t="inlineStr">
        <is>
          <t>N</t>
        </is>
      </c>
      <c r="T971" t="inlineStr">
        <is>
          <t>matched</t>
        </is>
      </c>
      <c r="U971" t="inlineStr">
        <is>
          <t>2026-10-04</t>
        </is>
      </c>
      <c r="V971" t="inlineStr"/>
    </row>
    <row r="972">
      <c r="A972" t="n">
        <v>52</v>
      </c>
      <c r="B972" t="inlineStr">
        <is>
          <t>Eri Maldives</t>
        </is>
      </c>
      <c r="C972" t="inlineStr">
        <is>
          <t>dining_menu</t>
        </is>
      </c>
      <c r="D972" t="inlineStr">
        <is>
          <t>2023_Eri - Wine Menu _1_.pdf</t>
        </is>
      </c>
      <c r="E972" t="n">
        <v>2023</v>
      </c>
      <c r="H972" t="n">
        <v>10</v>
      </c>
      <c r="I972" t="n">
        <v>303</v>
      </c>
      <c r="J972" t="inlineStr">
        <is>
          <t>Y</t>
        </is>
      </c>
      <c r="K972" t="inlineStr">
        <is>
          <t>pulse.dash.app</t>
        </is>
      </c>
      <c r="L972" t="inlineStr">
        <is>
          <t>brand-cdn</t>
        </is>
      </c>
      <c r="M972"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2"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2" t="inlineStr">
        <is>
          <t>f6fdb86de46e468ff3eb0419b0446bf97b70a5c4b43f43b99720ed16f1d8c855</t>
        </is>
      </c>
      <c r="P972" t="inlineStr">
        <is>
          <t>library/052_eri-maldives/dining_menu/2023_Eri - Wine Menu _1_.pdf</t>
        </is>
      </c>
      <c r="R972" t="inlineStr">
        <is>
          <t>outdated</t>
        </is>
      </c>
      <c r="S972" t="inlineStr">
        <is>
          <t>N</t>
        </is>
      </c>
      <c r="T972" t="inlineStr">
        <is>
          <t>matched</t>
        </is>
      </c>
      <c r="U972" t="inlineStr">
        <is>
          <t>2026-10-04</t>
        </is>
      </c>
      <c r="V972" t="inlineStr"/>
    </row>
    <row r="973">
      <c r="A973" t="n">
        <v>52</v>
      </c>
      <c r="B973" t="inlineStr">
        <is>
          <t>Eri Maldives</t>
        </is>
      </c>
      <c r="C973" t="inlineStr">
        <is>
          <t>dive_prices</t>
        </is>
      </c>
      <c r="D973" t="inlineStr">
        <is>
          <t>2026_Eri - Eurodive Price List.pdf</t>
        </is>
      </c>
      <c r="E973" t="n">
        <v>2026</v>
      </c>
      <c r="H973" t="n">
        <v>14</v>
      </c>
      <c r="I973" t="n">
        <v>3944</v>
      </c>
      <c r="J973" t="inlineStr">
        <is>
          <t>Y</t>
        </is>
      </c>
      <c r="K973" t="inlineStr">
        <is>
          <t>pulse.dash.app</t>
        </is>
      </c>
      <c r="L973" t="inlineStr">
        <is>
          <t>brand-cdn</t>
        </is>
      </c>
      <c r="M973"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3"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3" t="inlineStr">
        <is>
          <t>f016ae30e60684d3c4cd4a64be16040a377e956c8930a1f2ebdaf8732b316993</t>
        </is>
      </c>
      <c r="P973" t="inlineStr">
        <is>
          <t>library/052_eri-maldives/dive_prices/2026_Eri - Eurodive Price List.pdf</t>
        </is>
      </c>
      <c r="R973" t="inlineStr">
        <is>
          <t>current</t>
        </is>
      </c>
      <c r="S973" t="inlineStr">
        <is>
          <t>Y</t>
        </is>
      </c>
      <c r="T973" t="inlineStr">
        <is>
          <t>matched</t>
        </is>
      </c>
      <c r="U973" t="inlineStr">
        <is>
          <t>2026-10-04</t>
        </is>
      </c>
      <c r="V973" t="inlineStr"/>
    </row>
    <row r="974">
      <c r="A974" t="n">
        <v>52</v>
      </c>
      <c r="B974" t="inlineStr">
        <is>
          <t>Eri Maldives</t>
        </is>
      </c>
      <c r="C974" t="inlineStr">
        <is>
          <t>dive_prices</t>
        </is>
      </c>
      <c r="D974" t="inlineStr">
        <is>
          <t>2025_Eri - Snap Price List 2025 _1_.pdf</t>
        </is>
      </c>
      <c r="E974" t="n">
        <v>2025</v>
      </c>
      <c r="H974" t="n">
        <v>8</v>
      </c>
      <c r="I974" t="n">
        <v>3130</v>
      </c>
      <c r="J974" t="inlineStr">
        <is>
          <t>Y</t>
        </is>
      </c>
      <c r="K974" t="inlineStr">
        <is>
          <t>pulse.dash.app</t>
        </is>
      </c>
      <c r="L974" t="inlineStr">
        <is>
          <t>brand-cdn</t>
        </is>
      </c>
      <c r="M974"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4"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4" t="inlineStr">
        <is>
          <t>d5ee5ac871ea2a63c43b2a727d99b8c564e7702b3946b61c4581ef6b28ad1895</t>
        </is>
      </c>
      <c r="P974" t="inlineStr">
        <is>
          <t>library/052_eri-maldives/dive_prices/2025_Eri - Snap Price List 2025 _1_.pdf</t>
        </is>
      </c>
      <c r="R974" t="inlineStr">
        <is>
          <t>current</t>
        </is>
      </c>
      <c r="S974" t="inlineStr">
        <is>
          <t>N</t>
        </is>
      </c>
      <c r="T974" t="inlineStr">
        <is>
          <t>matched</t>
        </is>
      </c>
      <c r="U974" t="inlineStr">
        <is>
          <t>2026-10-04</t>
        </is>
      </c>
      <c r="V974" t="inlineStr"/>
    </row>
    <row r="975">
      <c r="A975" t="n">
        <v>52</v>
      </c>
      <c r="B975" t="inlineStr">
        <is>
          <t>Eri Maldives</t>
        </is>
      </c>
      <c r="C975" t="inlineStr">
        <is>
          <t>excursions</t>
        </is>
      </c>
      <c r="D975" t="inlineStr">
        <is>
          <t>2025_Eri - Excursions Posters _1_ _1_.pdf</t>
        </is>
      </c>
      <c r="E975" t="n">
        <v>2025</v>
      </c>
      <c r="H975" t="n">
        <v>8</v>
      </c>
      <c r="I975" t="n">
        <v>11785</v>
      </c>
      <c r="J975" t="inlineStr">
        <is>
          <t>Y</t>
        </is>
      </c>
      <c r="K975" t="inlineStr">
        <is>
          <t>pulse.dash.app</t>
        </is>
      </c>
      <c r="L975" t="inlineStr">
        <is>
          <t>brand-cdn</t>
        </is>
      </c>
      <c r="M975"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5"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5" t="inlineStr">
        <is>
          <t>558e710f04e4c4b44ab8ab10e95b75ac7fdf1d0409e1cae4153108e4ab392f1d</t>
        </is>
      </c>
      <c r="P975" t="inlineStr">
        <is>
          <t>library/052_eri-maldives/excursions/2025_Eri - Excursions Posters _1_ _1_.pdf</t>
        </is>
      </c>
      <c r="R975" t="inlineStr">
        <is>
          <t>current</t>
        </is>
      </c>
      <c r="S975" t="inlineStr">
        <is>
          <t>Y</t>
        </is>
      </c>
      <c r="T975" t="inlineStr">
        <is>
          <t>matched</t>
        </is>
      </c>
      <c r="U975" t="inlineStr">
        <is>
          <t>2026-10-04</t>
        </is>
      </c>
      <c r="V975" t="inlineStr"/>
    </row>
    <row r="976">
      <c r="A976" t="n">
        <v>52</v>
      </c>
      <c r="B976" t="inlineStr">
        <is>
          <t>Eri Maldives</t>
        </is>
      </c>
      <c r="C976" t="inlineStr">
        <is>
          <t>all_inclusive</t>
        </is>
      </c>
      <c r="D976" t="inlineStr">
        <is>
          <t>2028_Furaveri-Maldives-_Premium-All-Inclusive_2027-2028.pdf</t>
        </is>
      </c>
      <c r="E976" t="n">
        <v>2028</v>
      </c>
      <c r="H976" t="n">
        <v>4</v>
      </c>
      <c r="I976" t="n">
        <v>1752</v>
      </c>
      <c r="J976" t="inlineStr">
        <is>
          <t>Y</t>
        </is>
      </c>
      <c r="K976" t="inlineStr">
        <is>
          <t>letsgomaldives.com</t>
        </is>
      </c>
      <c r="L976" t="inlineStr">
        <is>
          <t>dmc-agency</t>
        </is>
      </c>
      <c r="M976" t="inlineStr">
        <is>
          <t>https://letsgomaldives.com/wp-content/uploads/2026/09/Furaveri-Maldives-_Premium-All-Inclusive_2027-2028.pdf</t>
        </is>
      </c>
      <c r="N976" t="inlineStr">
        <is>
          <t>https://letsgomaldives.com/wp-content/uploads/2026/09/Furaveri-Maldives-_Premium-All-Inclusive_2027-2028.pdf</t>
        </is>
      </c>
      <c r="O976" t="inlineStr">
        <is>
          <t>b6b861ee7a171d7af34a5c2d6f8e2ff2769a89eb501542d24bc8b39fac3c84a6</t>
        </is>
      </c>
      <c r="P976" t="inlineStr">
        <is>
          <t>library/052_eri-maldives/all_inclusive/2028_Furaveri-Maldives-_Premium-All-Inclusive_2027-2028.pdf</t>
        </is>
      </c>
      <c r="R976" t="inlineStr">
        <is>
          <t>current</t>
        </is>
      </c>
      <c r="S976" t="inlineStr">
        <is>
          <t>Y</t>
        </is>
      </c>
      <c r="T976" t="inlineStr">
        <is>
          <t>matched</t>
        </is>
      </c>
      <c r="U976" t="inlineStr">
        <is>
          <t>2026-10-04</t>
        </is>
      </c>
      <c r="V976" t="inlineStr"/>
    </row>
    <row r="977">
      <c r="A977" t="n">
        <v>52</v>
      </c>
      <c r="B977" t="inlineStr">
        <is>
          <t>Eri Maldives</t>
        </is>
      </c>
      <c r="C977" t="inlineStr">
        <is>
          <t>brochure</t>
        </is>
      </c>
      <c r="D977" t="inlineStr">
        <is>
          <t>2026_Eri - Brochure - 2026 _2_.pdf</t>
        </is>
      </c>
      <c r="E977" t="n">
        <v>2026</v>
      </c>
      <c r="H977" t="n">
        <v>29</v>
      </c>
      <c r="I977" t="n">
        <v>32368</v>
      </c>
      <c r="J977" t="inlineStr">
        <is>
          <t>Y</t>
        </is>
      </c>
      <c r="K977" t="inlineStr">
        <is>
          <t>pulse.dash.app</t>
        </is>
      </c>
      <c r="L977" t="inlineStr">
        <is>
          <t>brand-cdn</t>
        </is>
      </c>
      <c r="M977"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7"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7" t="inlineStr">
        <is>
          <t>817883bbe4edd5af1e667afe54132822b753d4df15bbacadfe2034b294510261</t>
        </is>
      </c>
      <c r="P977" t="inlineStr">
        <is>
          <t>library/052_eri-maldives/brochure/2026_Eri - Brochure - 2026 _2_.pdf</t>
        </is>
      </c>
      <c r="R977" t="inlineStr">
        <is>
          <t>current</t>
        </is>
      </c>
      <c r="S977" t="inlineStr">
        <is>
          <t>Y</t>
        </is>
      </c>
      <c r="T977" t="inlineStr">
        <is>
          <t>matched</t>
        </is>
      </c>
      <c r="U977" t="inlineStr">
        <is>
          <t>2026-10-04</t>
        </is>
      </c>
      <c r="V977" t="inlineStr"/>
    </row>
    <row r="978">
      <c r="A978" t="n">
        <v>54</v>
      </c>
      <c r="B978" t="inlineStr">
        <is>
          <t>Emerald Faarufushi Resort &amp; Spa</t>
        </is>
      </c>
      <c r="C978" t="inlineStr">
        <is>
          <t>map</t>
        </is>
      </c>
      <c r="D978" t="inlineStr">
        <is>
          <t>2026_Emerald-Faarufushi-Resort-Spa-map.pdf</t>
        </is>
      </c>
      <c r="E978" t="n">
        <v>2026</v>
      </c>
      <c r="H978" t="n">
        <v>1</v>
      </c>
      <c r="I978" t="n">
        <v>539</v>
      </c>
      <c r="J978" t="inlineStr">
        <is>
          <t>N</t>
        </is>
      </c>
      <c r="K978" t="inlineStr">
        <is>
          <t>neoscapesmaldives.com</t>
        </is>
      </c>
      <c r="L978" t="inlineStr">
        <is>
          <t>dmc-agency</t>
        </is>
      </c>
      <c r="M978" t="inlineStr">
        <is>
          <t>https://www.neoscapesmaldives.com/wp-content/uploads/Emerald-Faarufushi-Resort-Spa-map.pdf</t>
        </is>
      </c>
      <c r="N978" t="inlineStr">
        <is>
          <t>https://www.neoscapesmaldives.com/wp-content/uploads/Emerald-Faarufushi-Resort-Spa-map.pdf</t>
        </is>
      </c>
      <c r="O978" t="inlineStr">
        <is>
          <t>de54b0639ce0774502822b10eda7a92544ee288900131a338b6d6bb78ea5096b</t>
        </is>
      </c>
      <c r="P978" t="inlineStr">
        <is>
          <t>library/054_emerald-faarufushi-resort-spa/map/2026_Emerald-Faarufushi-Resort-Spa-map.pdf</t>
        </is>
      </c>
      <c r="R978" t="inlineStr">
        <is>
          <t>current</t>
        </is>
      </c>
      <c r="S978" t="inlineStr">
        <is>
          <t>N</t>
        </is>
      </c>
      <c r="T978" t="inlineStr">
        <is>
          <t>matched</t>
        </is>
      </c>
      <c r="U978" t="inlineStr">
        <is>
          <t>2026-10-04</t>
        </is>
      </c>
      <c r="V978" t="inlineStr"/>
    </row>
    <row r="979">
      <c r="A979" t="n">
        <v>54</v>
      </c>
      <c r="B979" t="inlineStr">
        <is>
          <t>Emerald Faarufushi Resort &amp; Spa</t>
        </is>
      </c>
      <c r="C979" t="inlineStr">
        <is>
          <t>map</t>
        </is>
      </c>
      <c r="D979" t="inlineStr">
        <is>
          <t>2026_6aaa4bfb2a3a2eeaf42f7422_v2EFRS Sustainability Management Plan 2026.pdf</t>
        </is>
      </c>
      <c r="E979" t="n">
        <v>2026</v>
      </c>
      <c r="H979" t="n">
        <v>17</v>
      </c>
      <c r="I979" t="n">
        <v>2602</v>
      </c>
      <c r="J979" t="inlineStr">
        <is>
          <t>Y</t>
        </is>
      </c>
      <c r="K979" t="inlineStr">
        <is>
          <t>emerald-faarufushi.com</t>
        </is>
      </c>
      <c r="L979" t="inlineStr">
        <is>
          <t>official</t>
        </is>
      </c>
      <c r="M979" t="inlineStr">
        <is>
          <t>https://cdn.prod.website-files.com/614dd23228b0182a7ae09c18/6aaa4bfb2a3a2eeaf42f7422_v2EFRS%20Sustainability%20Management%20Plan%202026.pdf</t>
        </is>
      </c>
      <c r="N979" t="inlineStr">
        <is>
          <t>https://cdn.prod.website-files.com/614dd23228b0182a7ae09c18/6aaa4bfb2a3a2eeaf42f7422_v2EFRS%20Sustainability%20Management%20Plan%202026.pdf</t>
        </is>
      </c>
      <c r="O979" t="inlineStr">
        <is>
          <t>b6fa3fcfc24341ab016e93116bbf6293403e3ae861a5800f6ed182d2e799b60d</t>
        </is>
      </c>
      <c r="P979" t="inlineStr">
        <is>
          <t>library/054_emerald-faarufushi-resort-spa/map/2026_6aaa4bfb2a3a2eeaf42f7422_v2EFRS Sustainability Management Plan 2026.pdf</t>
        </is>
      </c>
      <c r="R979" t="inlineStr">
        <is>
          <t>current</t>
        </is>
      </c>
      <c r="S979" t="inlineStr">
        <is>
          <t>Y</t>
        </is>
      </c>
      <c r="T979" t="inlineStr">
        <is>
          <t>matched</t>
        </is>
      </c>
      <c r="U979" t="inlineStr">
        <is>
          <t>2026-10-04</t>
        </is>
      </c>
      <c r="V979" t="inlineStr"/>
    </row>
    <row r="980">
      <c r="A980" t="n">
        <v>54</v>
      </c>
      <c r="B980" t="inlineStr">
        <is>
          <t>Emerald Faarufushi Resort &amp; Spa</t>
        </is>
      </c>
      <c r="C980" t="inlineStr">
        <is>
          <t>map</t>
        </is>
      </c>
      <c r="D980" t="inlineStr">
        <is>
          <t>2025_68dbb2e81249cc4efa8d0f6a_09EFRS Sustainability Management Plan 2025 Revised.pdf</t>
        </is>
      </c>
      <c r="E980" t="n">
        <v>2025</v>
      </c>
      <c r="H980" t="n">
        <v>12</v>
      </c>
      <c r="I980" t="n">
        <v>413</v>
      </c>
      <c r="J980" t="inlineStr">
        <is>
          <t>Y</t>
        </is>
      </c>
      <c r="K980" t="inlineStr">
        <is>
          <t>emerald-faarufushi.com</t>
        </is>
      </c>
      <c r="L980" t="inlineStr">
        <is>
          <t>official</t>
        </is>
      </c>
      <c r="M980" t="inlineStr">
        <is>
          <t>https://cdn.prod.website-files.com/614dd23228b0182a7ae09c18/68dbb2e81249cc4efa8d0f6a_09EFRS%20Sustainability%20Management%20Plan%202025%20Revised.pdf</t>
        </is>
      </c>
      <c r="N980" t="inlineStr">
        <is>
          <t>https://cdn.prod.website-files.com/614dd23228b0182a7ae09c18/68dbb2e81249cc4efa8d0f6a_09EFRS%20Sustainability%20Management%20Plan%202025%20Revised.pdf</t>
        </is>
      </c>
      <c r="O980" t="inlineStr">
        <is>
          <t>7c9e91f03a6f35d4e7114873b9952b67c51dd7351c4a2226e5d9557db1f2a0ea</t>
        </is>
      </c>
      <c r="P980" t="inlineStr">
        <is>
          <t>library/054_emerald-faarufushi-resort-spa/map/2025_68dbb2e81249cc4efa8d0f6a_09EFRS Sustainability Management Plan 2025 Revised.pdf</t>
        </is>
      </c>
      <c r="R980" t="inlineStr">
        <is>
          <t>current</t>
        </is>
      </c>
      <c r="S980" t="inlineStr">
        <is>
          <t>N</t>
        </is>
      </c>
      <c r="T980" t="inlineStr">
        <is>
          <t>matched</t>
        </is>
      </c>
      <c r="U980" t="inlineStr">
        <is>
          <t>2026-10-04</t>
        </is>
      </c>
      <c r="V980" t="inlineStr"/>
    </row>
    <row r="981">
      <c r="A981" t="n">
        <v>54</v>
      </c>
      <c r="B981" t="inlineStr">
        <is>
          <t>Emerald Faarufushi Resort &amp; Spa</t>
        </is>
      </c>
      <c r="C981" t="inlineStr">
        <is>
          <t>spa_menu</t>
        </is>
      </c>
      <c r="D981" t="inlineStr">
        <is>
          <t>2025_67d7e2f846395f12f2368f6d_03.25The Emerald Spa Menu Emerald Faarufushi Resort _ Spa.pdf</t>
        </is>
      </c>
      <c r="E981" t="n">
        <v>2025</v>
      </c>
      <c r="H981" t="n">
        <v>21</v>
      </c>
      <c r="I981" t="n">
        <v>1825</v>
      </c>
      <c r="J981" t="inlineStr">
        <is>
          <t>Y</t>
        </is>
      </c>
      <c r="K981" t="inlineStr">
        <is>
          <t>emerald-faarufushi.com</t>
        </is>
      </c>
      <c r="L981" t="inlineStr">
        <is>
          <t>official</t>
        </is>
      </c>
      <c r="M981" t="inlineStr">
        <is>
          <t>https://cdn.prod.website-files.com/614dd23228b0182a7ae09c18/67d7e2f846395f12f2368f6d_03.25The%20Emerald%20Spa%20Menu%20Emerald%20Faarufushi%20Resort%20%26%20Spa.pdf</t>
        </is>
      </c>
      <c r="N981" t="inlineStr">
        <is>
          <t>https://cdn.prod.website-files.com/614dd23228b0182a7ae09c18/67d7e2f846395f12f2368f6d_03.25The%20Emerald%20Spa%20Menu%20Emerald%20Faarufushi%20Resort%20%26%20Spa.pdf</t>
        </is>
      </c>
      <c r="O981" t="inlineStr">
        <is>
          <t>0a27370e26cb635c90b7516960b1e30d2d330c67f4b82603d8ce71b411c6ad46</t>
        </is>
      </c>
      <c r="P981" t="inlineStr">
        <is>
          <t>library/054_emerald-faarufushi-resort-spa/spa_menu/2025_67d7e2f846395f12f2368f6d_03.25The Emerald Spa Menu Emerald Faarufushi Resort _ Spa.pdf</t>
        </is>
      </c>
      <c r="R981" t="inlineStr">
        <is>
          <t>current</t>
        </is>
      </c>
      <c r="S981" t="inlineStr">
        <is>
          <t>Y</t>
        </is>
      </c>
      <c r="T981" t="inlineStr">
        <is>
          <t>matched</t>
        </is>
      </c>
      <c r="U981" t="inlineStr">
        <is>
          <t>2026-10-04</t>
        </is>
      </c>
      <c r="V981" t="inlineStr"/>
    </row>
    <row r="982">
      <c r="A982" t="n">
        <v>54</v>
      </c>
      <c r="B982" t="inlineStr">
        <is>
          <t>Emerald Faarufushi Resort &amp; Spa</t>
        </is>
      </c>
      <c r="C982" t="inlineStr">
        <is>
          <t>spa_menu</t>
        </is>
      </c>
      <c r="D982" t="inlineStr">
        <is>
          <t>2022_6242d62770076bb85d28df10_E-Brochure Emerald Faarufushi Resort _ Spa_ENG.pdf</t>
        </is>
      </c>
      <c r="E982" t="n">
        <v>2022</v>
      </c>
      <c r="H982" t="n">
        <v>4</v>
      </c>
      <c r="I982" t="n">
        <v>8269</v>
      </c>
      <c r="J982" t="inlineStr">
        <is>
          <t>Y</t>
        </is>
      </c>
      <c r="K982" t="inlineStr">
        <is>
          <t>emerald-faarufushi.com</t>
        </is>
      </c>
      <c r="L982" t="inlineStr">
        <is>
          <t>official</t>
        </is>
      </c>
      <c r="M982" t="inlineStr">
        <is>
          <t>https://cdn.prod.website-files.com/614dd23228b0182a7ae09c18/6242d62770076bb85d28df10_E-Brochure%20Emerald%20Faarufushi%20Resort%20%26%20Spa_ENG.pdf</t>
        </is>
      </c>
      <c r="N982" t="inlineStr">
        <is>
          <t>https://cdn.prod.website-files.com/614dd23228b0182a7ae09c18/6242d62770076bb85d28df10_E-Brochure%20Emerald%20Faarufushi%20Resort%20%26%20Spa_ENG.pdf</t>
        </is>
      </c>
      <c r="O982" t="inlineStr">
        <is>
          <t>b06c1028f0e9c834258f29f88672406313d31605bd9ba5f4729a98bc7c01dcfe</t>
        </is>
      </c>
      <c r="P982" t="inlineStr">
        <is>
          <t>library/054_emerald-faarufushi-resort-spa/spa_menu/2022_6242d62770076bb85d28df10_E-Brochure Emerald Faarufushi Resort _ Spa_ENG.pdf</t>
        </is>
      </c>
      <c r="R982" t="inlineStr">
        <is>
          <t>outdated</t>
        </is>
      </c>
      <c r="S982" t="inlineStr">
        <is>
          <t>N</t>
        </is>
      </c>
      <c r="T982" t="inlineStr">
        <is>
          <t>matched</t>
        </is>
      </c>
      <c r="U982" t="inlineStr">
        <is>
          <t>2026-10-04</t>
        </is>
      </c>
      <c r="V982" t="inlineStr"/>
    </row>
    <row r="983">
      <c r="A983" t="n">
        <v>54</v>
      </c>
      <c r="B983" t="inlineStr">
        <is>
          <t>Emerald Faarufushi Resort &amp; Spa</t>
        </is>
      </c>
      <c r="C983" t="inlineStr">
        <is>
          <t>dive_prices</t>
        </is>
      </c>
      <c r="D983" t="inlineStr">
        <is>
          <t>2023_671236c0675bb0d2c5ac8504_Farufushi DC _amp_ WS PRICE LIST from 08.04.2023.pdf</t>
        </is>
      </c>
      <c r="E983" t="n">
        <v>2023</v>
      </c>
      <c r="H983" t="n">
        <v>6</v>
      </c>
      <c r="I983" t="n">
        <v>287</v>
      </c>
      <c r="J983" t="inlineStr">
        <is>
          <t>Y</t>
        </is>
      </c>
      <c r="K983" t="inlineStr">
        <is>
          <t>emerald-faarufushi.com</t>
        </is>
      </c>
      <c r="L983" t="inlineStr">
        <is>
          <t>official</t>
        </is>
      </c>
      <c r="M983" t="inlineStr">
        <is>
          <t>https://cdn.prod.website-files.com/614dd23228b0182a7ae09c18/671236c0675bb0d2c5ac8504_Farufushi%20DC%20%26amp%3B%20WS%20PRICE%20LIST%20from%2008.04.2023.pdf</t>
        </is>
      </c>
      <c r="N983" t="inlineStr">
        <is>
          <t>https://cdn.prod.website-files.com/614dd23228b0182a7ae09c18/671236c0675bb0d2c5ac8504_Farufushi%20DC%20%26amp%3B%20WS%20PRICE%20LIST%20from%2008.04.2023.pdf</t>
        </is>
      </c>
      <c r="O983" t="inlineStr">
        <is>
          <t>44f6cb078182f20e59fe432736cd84997177f0533ce7c677fabb3698999b000e</t>
        </is>
      </c>
      <c r="P983" t="inlineStr">
        <is>
          <t>library/054_emerald-faarufushi-resort-spa/dive_prices/2023_671236c0675bb0d2c5ac8504_Farufushi DC _amp_ WS PRICE LIST from 08.04.2023.pdf</t>
        </is>
      </c>
      <c r="R983" t="inlineStr">
        <is>
          <t>outdated</t>
        </is>
      </c>
      <c r="S983" t="inlineStr">
        <is>
          <t>Y</t>
        </is>
      </c>
      <c r="T983" t="inlineStr">
        <is>
          <t>needs-review</t>
        </is>
      </c>
      <c r="U983" t="inlineStr">
        <is>
          <t>2026-10-04</t>
        </is>
      </c>
      <c r="V983" t="inlineStr">
        <is>
          <t>ambiguous match [54]</t>
        </is>
      </c>
    </row>
    <row r="984">
      <c r="A984" t="n">
        <v>54</v>
      </c>
      <c r="B984" t="inlineStr">
        <is>
          <t>Emerald Faarufushi Resort &amp; Spa</t>
        </is>
      </c>
      <c r="C984" t="inlineStr">
        <is>
          <t>all_inclusive</t>
        </is>
      </c>
      <c r="D984" t="inlineStr">
        <is>
          <t>2025_68a5899fa91a1971564ee4e4_082025Emerald Faarufushi Deluxe All-Inclusive Package_EN.pdf</t>
        </is>
      </c>
      <c r="E984" t="n">
        <v>2025</v>
      </c>
      <c r="H984" t="n">
        <v>2</v>
      </c>
      <c r="I984" t="n">
        <v>2592</v>
      </c>
      <c r="J984" t="inlineStr">
        <is>
          <t>Y</t>
        </is>
      </c>
      <c r="K984" t="inlineStr">
        <is>
          <t>emerald-faarufushi.com</t>
        </is>
      </c>
      <c r="L984" t="inlineStr">
        <is>
          <t>official</t>
        </is>
      </c>
      <c r="M984" t="inlineStr">
        <is>
          <t>https://cdn.prod.website-files.com/614dd23228b0182a7ae09c18/68a5899fa91a1971564ee4e4_082025Emerald%20Faarufushi%20Deluxe%20All-Inclusive%20Package_EN.pdf</t>
        </is>
      </c>
      <c r="N984" t="inlineStr">
        <is>
          <t>https://cdn.prod.website-files.com/614dd23228b0182a7ae09c18/68a5899fa91a1971564ee4e4_082025Emerald%20Faarufushi%20Deluxe%20All-Inclusive%20Package_EN.pdf</t>
        </is>
      </c>
      <c r="O984" t="inlineStr">
        <is>
          <t>1b28efdc3626186e868bbe6703251451851102fd104ea08902b2206e387bb6c5</t>
        </is>
      </c>
      <c r="P984" t="inlineStr">
        <is>
          <t>library/054_emerald-faarufushi-resort-spa/all_inclusive/2025_68a5899fa91a1971564ee4e4_082025Emerald Faarufushi Deluxe All-Inclusive Package_EN.pdf</t>
        </is>
      </c>
      <c r="R984" t="inlineStr">
        <is>
          <t>current</t>
        </is>
      </c>
      <c r="S984" t="inlineStr">
        <is>
          <t>Y</t>
        </is>
      </c>
      <c r="T984" t="inlineStr">
        <is>
          <t>matched</t>
        </is>
      </c>
      <c r="U984" t="inlineStr">
        <is>
          <t>2026-10-04</t>
        </is>
      </c>
      <c r="V984" t="inlineStr"/>
    </row>
    <row r="985">
      <c r="A985" t="n">
        <v>54</v>
      </c>
      <c r="B985" t="inlineStr">
        <is>
          <t>Emerald Faarufushi Resort &amp; Spa</t>
        </is>
      </c>
      <c r="C985" t="inlineStr">
        <is>
          <t>all_inclusive</t>
        </is>
      </c>
      <c r="D985" t="inlineStr">
        <is>
          <t>2022_6242d6821001acc11caed847_Emerald Faarufushi Deluxe All-Inclusive Package_EN.pdf</t>
        </is>
      </c>
      <c r="E985" t="n">
        <v>2022</v>
      </c>
      <c r="H985" t="n">
        <v>2</v>
      </c>
      <c r="I985" t="n">
        <v>3841</v>
      </c>
      <c r="J985" t="inlineStr">
        <is>
          <t>Y</t>
        </is>
      </c>
      <c r="K985" t="inlineStr">
        <is>
          <t>emerald-faarufushi.com</t>
        </is>
      </c>
      <c r="L985" t="inlineStr">
        <is>
          <t>official</t>
        </is>
      </c>
      <c r="M985" t="inlineStr">
        <is>
          <t>https://cdn.prod.website-files.com/614dd23228b0182a7ae09c18/6242d6821001acc11caed847_Emerald%20Faarufushi%20Deluxe%20All-Inclusive%20Package_EN.pdf</t>
        </is>
      </c>
      <c r="N985" t="inlineStr">
        <is>
          <t>https://cdn.prod.website-files.com/614dd23228b0182a7ae09c18/6242d6821001acc11caed847_Emerald%20Faarufushi%20Deluxe%20All-Inclusive%20Package_EN.pdf</t>
        </is>
      </c>
      <c r="O985" t="inlineStr">
        <is>
          <t>7d750b7f6235e3b1a8ab9114a97923494b4c878b82938f91c9509bae4e7ca839</t>
        </is>
      </c>
      <c r="P985" t="inlineStr">
        <is>
          <t>library/054_emerald-faarufushi-resort-spa/all_inclusive/2022_6242d6821001acc11caed847_Emerald Faarufushi Deluxe All-Inclusive Package_EN.pdf</t>
        </is>
      </c>
      <c r="R985" t="inlineStr">
        <is>
          <t>outdated</t>
        </is>
      </c>
      <c r="S985" t="inlineStr">
        <is>
          <t>N</t>
        </is>
      </c>
      <c r="T985" t="inlineStr">
        <is>
          <t>matched</t>
        </is>
      </c>
      <c r="U985" t="inlineStr">
        <is>
          <t>2026-10-04</t>
        </is>
      </c>
      <c r="V985" t="inlineStr"/>
    </row>
    <row r="986">
      <c r="A986" t="n">
        <v>54</v>
      </c>
      <c r="B986" t="inlineStr">
        <is>
          <t>Emerald Faarufushi Resort &amp; Spa</t>
        </is>
      </c>
      <c r="C986" t="inlineStr">
        <is>
          <t>sustainability</t>
        </is>
      </c>
      <c r="D986" t="inlineStr">
        <is>
          <t>2025_6aa3f6fe58c728c6831b9ec2_EO-003 EFRS Environmental Policy 092026.pdf</t>
        </is>
      </c>
      <c r="E986" t="n">
        <v>2025</v>
      </c>
      <c r="H986" t="n">
        <v>7</v>
      </c>
      <c r="I986" t="n">
        <v>443</v>
      </c>
      <c r="J986" t="inlineStr">
        <is>
          <t>Y</t>
        </is>
      </c>
      <c r="K986" t="inlineStr">
        <is>
          <t>emerald-faarufushi.com</t>
        </is>
      </c>
      <c r="L986" t="inlineStr">
        <is>
          <t>official</t>
        </is>
      </c>
      <c r="M986" t="inlineStr">
        <is>
          <t>https://cdn.prod.website-files.com/614dd23228b0182a7ae09c18/6aa3f6fe58c728c6831b9ec2_EO-003%20EFRS%20Environmental%20Policy%20092026.pdf</t>
        </is>
      </c>
      <c r="N986" t="inlineStr">
        <is>
          <t>https://cdn.prod.website-files.com/614dd23228b0182a7ae09c18/6aa3f6fe58c728c6831b9ec2_EO-003%20EFRS%20Environmental%20Policy%20092026.pdf</t>
        </is>
      </c>
      <c r="O986" t="inlineStr">
        <is>
          <t>13592de27d074593b59106438c0cfcb7b752cf8603ee3c12c0b5eeda4464942e</t>
        </is>
      </c>
      <c r="P986" t="inlineStr">
        <is>
          <t>library/054_emerald-faarufushi-resort-spa/sustainability/2025_6aa3f6fe58c728c6831b9ec2_EO-003 EFRS Environmental Policy 092026.pdf</t>
        </is>
      </c>
      <c r="R986" t="inlineStr">
        <is>
          <t>current</t>
        </is>
      </c>
      <c r="S986" t="inlineStr">
        <is>
          <t>Y</t>
        </is>
      </c>
      <c r="T986" t="inlineStr">
        <is>
          <t>matched</t>
        </is>
      </c>
      <c r="U986" t="inlineStr">
        <is>
          <t>2026-10-04</t>
        </is>
      </c>
      <c r="V986" t="inlineStr"/>
    </row>
    <row r="987">
      <c r="A987" t="n">
        <v>54</v>
      </c>
      <c r="B987" t="inlineStr">
        <is>
          <t>Emerald Faarufushi Resort &amp; Spa</t>
        </is>
      </c>
      <c r="C987" t="inlineStr">
        <is>
          <t>sustainability</t>
        </is>
      </c>
      <c r="D987" t="inlineStr">
        <is>
          <t>2025_68dbb2f366767a441c648abf_09EFRS Environmental Policy 2025.pdf</t>
        </is>
      </c>
      <c r="E987" t="n">
        <v>2025</v>
      </c>
      <c r="H987" t="n">
        <v>6</v>
      </c>
      <c r="I987" t="n">
        <v>391</v>
      </c>
      <c r="J987" t="inlineStr">
        <is>
          <t>Y</t>
        </is>
      </c>
      <c r="K987" t="inlineStr">
        <is>
          <t>emerald-faarufushi.com</t>
        </is>
      </c>
      <c r="L987" t="inlineStr">
        <is>
          <t>official</t>
        </is>
      </c>
      <c r="M987" t="inlineStr">
        <is>
          <t>https://cdn.prod.website-files.com/614dd23228b0182a7ae09c18/68dbb2f366767a441c648abf_09EFRS%20Environmental%20Policy%202025.pdf</t>
        </is>
      </c>
      <c r="N987" t="inlineStr">
        <is>
          <t>https://cdn.prod.website-files.com/614dd23228b0182a7ae09c18/68dbb2f366767a441c648abf_09EFRS%20Environmental%20Policy%202025.pdf</t>
        </is>
      </c>
      <c r="O987" t="inlineStr">
        <is>
          <t>461564d428fb3c2302b76341892f685df2210ce95fe0081960dae911733ed40a</t>
        </is>
      </c>
      <c r="P987" t="inlineStr">
        <is>
          <t>library/054_emerald-faarufushi-resort-spa/sustainability/2025_68dbb2f366767a441c648abf_09EFRS Environmental Policy 2025.pdf</t>
        </is>
      </c>
      <c r="R987" t="inlineStr">
        <is>
          <t>current</t>
        </is>
      </c>
      <c r="S987" t="inlineStr">
        <is>
          <t>N</t>
        </is>
      </c>
      <c r="T987" t="inlineStr">
        <is>
          <t>matched</t>
        </is>
      </c>
      <c r="U987" t="inlineStr">
        <is>
          <t>2026-10-04</t>
        </is>
      </c>
      <c r="V987" t="inlineStr"/>
    </row>
    <row r="988">
      <c r="A988" t="n">
        <v>54</v>
      </c>
      <c r="B988" t="inlineStr">
        <is>
          <t>Emerald Faarufushi Resort &amp; Spa</t>
        </is>
      </c>
      <c r="C988" t="inlineStr">
        <is>
          <t>brochure</t>
        </is>
      </c>
      <c r="D988" t="inlineStr">
        <is>
          <t>2025_Emerald-Faarufushi-Brochure-Web.pdf</t>
        </is>
      </c>
      <c r="E988" t="n">
        <v>2025</v>
      </c>
      <c r="H988" t="n">
        <v>4</v>
      </c>
      <c r="I988" t="n">
        <v>9463</v>
      </c>
      <c r="J988" t="inlineStr">
        <is>
          <t>Y</t>
        </is>
      </c>
      <c r="K988" t="inlineStr">
        <is>
          <t>neoscapesmaldives.com</t>
        </is>
      </c>
      <c r="L988" t="inlineStr">
        <is>
          <t>dmc-agency</t>
        </is>
      </c>
      <c r="M988" t="inlineStr">
        <is>
          <t>https://www.neoscapesmaldives.com/wp-content/uploads/Emerald-Faarufushi-Brochure-Web.pdf</t>
        </is>
      </c>
      <c r="N988" t="inlineStr">
        <is>
          <t>https://www.neoscapesmaldives.com/wp-content/uploads/Emerald-Faarufushi-Brochure-Web.pdf</t>
        </is>
      </c>
      <c r="O988" t="inlineStr">
        <is>
          <t>9d5c2421c5642204879003dbd9b93d0ecf4ab227de2532078a3540e1c8f6d297</t>
        </is>
      </c>
      <c r="P988" t="inlineStr">
        <is>
          <t>library/054_emerald-faarufushi-resort-spa/brochure/2025_Emerald-Faarufushi-Brochure-Web.pdf</t>
        </is>
      </c>
      <c r="R988" t="inlineStr">
        <is>
          <t>current</t>
        </is>
      </c>
      <c r="S988" t="inlineStr">
        <is>
          <t>Y</t>
        </is>
      </c>
      <c r="T988" t="inlineStr">
        <is>
          <t>matched</t>
        </is>
      </c>
      <c r="U988" t="inlineStr">
        <is>
          <t>2026-10-04</t>
        </is>
      </c>
      <c r="V988" t="inlineStr"/>
    </row>
    <row r="989">
      <c r="A989" t="n">
        <v>54</v>
      </c>
      <c r="B989" t="inlineStr">
        <is>
          <t>Emerald Faarufushi Resort &amp; Spa</t>
        </is>
      </c>
      <c r="C989" t="inlineStr">
        <is>
          <t>brochure</t>
        </is>
      </c>
      <c r="D989" t="inlineStr">
        <is>
          <t>2023_68baa377da7cf0f48a728e12_Emerald Faarufushi Brochure Web.pdf</t>
        </is>
      </c>
      <c r="E989" t="n">
        <v>2023</v>
      </c>
      <c r="H989" t="n">
        <v>4</v>
      </c>
      <c r="I989" t="n">
        <v>5987</v>
      </c>
      <c r="J989" t="inlineStr">
        <is>
          <t>Y</t>
        </is>
      </c>
      <c r="K989" t="inlineStr">
        <is>
          <t>emerald-faarufushi.com</t>
        </is>
      </c>
      <c r="L989" t="inlineStr">
        <is>
          <t>official</t>
        </is>
      </c>
      <c r="M989" t="inlineStr">
        <is>
          <t>https://cdn.prod.website-files.com/614dd23228b0182a7ae09c18/68baa377da7cf0f48a728e12_Emerald%20Faarufushi%20Brochure%20Web.pdf</t>
        </is>
      </c>
      <c r="N989" t="inlineStr">
        <is>
          <t>https://cdn.prod.website-files.com/614dd23228b0182a7ae09c18/68baa377da7cf0f48a728e12_Emerald%20Faarufushi%20Brochure%20Web.pdf</t>
        </is>
      </c>
      <c r="O989" t="inlineStr">
        <is>
          <t>488a93066e17ccc0ddf41887a0980fb92347cb2716e695d49e903298f4560804</t>
        </is>
      </c>
      <c r="P989" t="inlineStr">
        <is>
          <t>library/054_emerald-faarufushi-resort-spa/brochure/2023_68baa377da7cf0f48a728e12_Emerald Faarufushi Brochure Web.pdf</t>
        </is>
      </c>
      <c r="R989" t="inlineStr">
        <is>
          <t>outdated</t>
        </is>
      </c>
      <c r="S989" t="inlineStr">
        <is>
          <t>N</t>
        </is>
      </c>
      <c r="T989" t="inlineStr">
        <is>
          <t>matched</t>
        </is>
      </c>
      <c r="U989" t="inlineStr">
        <is>
          <t>2026-10-04</t>
        </is>
      </c>
      <c r="V989" t="inlineStr"/>
    </row>
    <row r="990">
      <c r="A990" t="n">
        <v>54</v>
      </c>
      <c r="B990" t="inlineStr">
        <is>
          <t>Emerald Faarufushi Resort &amp; Spa</t>
        </is>
      </c>
      <c r="C990" t="inlineStr">
        <is>
          <t>press_kit</t>
        </is>
      </c>
      <c r="D990" t="inlineStr">
        <is>
          <t>2026_69f86682118d573ca5b3cfc4_EFRS Summer 2026 ver3_compressed.pdf</t>
        </is>
      </c>
      <c r="E990" t="n">
        <v>2026</v>
      </c>
      <c r="H990" t="n">
        <v>15</v>
      </c>
      <c r="I990" t="n">
        <v>1889</v>
      </c>
      <c r="J990" t="inlineStr">
        <is>
          <t>Y</t>
        </is>
      </c>
      <c r="K990" t="inlineStr">
        <is>
          <t>emerald-faarufushi.com</t>
        </is>
      </c>
      <c r="L990" t="inlineStr">
        <is>
          <t>official</t>
        </is>
      </c>
      <c r="M990" t="inlineStr">
        <is>
          <t>https://cdn.prod.website-files.com/614dd23228b0182a7ae09c18/69f86682118d573ca5b3cfc4_EFRS%20Summer%202026%20ver3_compressed.pdf</t>
        </is>
      </c>
      <c r="N990" t="inlineStr">
        <is>
          <t>https://cdn.prod.website-files.com/614dd23228b0182a7ae09c18/69f86682118d573ca5b3cfc4_EFRS%20Summer%202026%20ver3_compressed.pdf</t>
        </is>
      </c>
      <c r="O990" t="inlineStr">
        <is>
          <t>50a21a4b5cdad8187210d7565a2d68794f4b73e52fae5bd31e0d05ca11a4ee8d</t>
        </is>
      </c>
      <c r="P990" t="inlineStr">
        <is>
          <t>library/054_emerald-faarufushi-resort-spa/press_kit/2026_69f86682118d573ca5b3cfc4_EFRS Summer 2026 ver3_compressed.pdf</t>
        </is>
      </c>
      <c r="R990" t="inlineStr">
        <is>
          <t>current</t>
        </is>
      </c>
      <c r="S990" t="inlineStr">
        <is>
          <t>Y</t>
        </is>
      </c>
      <c r="T990" t="inlineStr">
        <is>
          <t>matched</t>
        </is>
      </c>
      <c r="U990" t="inlineStr">
        <is>
          <t>2026-10-04</t>
        </is>
      </c>
      <c r="V990" t="inlineStr"/>
    </row>
    <row r="991">
      <c r="A991" t="n">
        <v>56</v>
      </c>
      <c r="B991" t="inlineStr">
        <is>
          <t>Four Seasons Resort Maldives at Kuda Huraa</t>
        </is>
      </c>
      <c r="C991" t="inlineStr">
        <is>
          <t>map</t>
        </is>
      </c>
      <c r="D991" t="inlineStr">
        <is>
          <t>2019_KH-Resort-map_v2.pdf</t>
        </is>
      </c>
      <c r="E991" t="n">
        <v>2019</v>
      </c>
      <c r="H991" t="n">
        <v>1</v>
      </c>
      <c r="I991" t="n">
        <v>111</v>
      </c>
      <c r="J991" t="inlineStr">
        <is>
          <t>N</t>
        </is>
      </c>
      <c r="K991" t="inlineStr">
        <is>
          <t>neoscapesmaldives.com</t>
        </is>
      </c>
      <c r="L991" t="inlineStr">
        <is>
          <t>dmc-agency</t>
        </is>
      </c>
      <c r="M991" t="inlineStr">
        <is>
          <t>https://neoscapesmaldives.com/wp-content/uploads/KH-Resort-map_v2.pdf</t>
        </is>
      </c>
      <c r="N991" t="inlineStr">
        <is>
          <t>https://neoscapesmaldives.com/wp-content/uploads/KH-Resort-map_v2.pdf</t>
        </is>
      </c>
      <c r="O991" t="inlineStr">
        <is>
          <t>886d7ec92945303122fb6af664be6dc58cce72aad2f5d6ab3f4d314c507e8475</t>
        </is>
      </c>
      <c r="P991" t="inlineStr">
        <is>
          <t>library/056_four-seasons-resort-maldives-at-kuda-huraa/map/2019_KH-Resort-map_v2.pdf</t>
        </is>
      </c>
      <c r="R991" t="inlineStr">
        <is>
          <t>outdated</t>
        </is>
      </c>
      <c r="S991" t="inlineStr">
        <is>
          <t>Y</t>
        </is>
      </c>
      <c r="T991" t="inlineStr">
        <is>
          <t>needs-review</t>
        </is>
      </c>
      <c r="U991" t="inlineStr">
        <is>
          <t>2026-10-04</t>
        </is>
      </c>
      <c r="V991" t="inlineStr">
        <is>
          <t>ambiguous match [56]</t>
        </is>
      </c>
    </row>
    <row r="992">
      <c r="A992" t="n">
        <v>56</v>
      </c>
      <c r="B992" t="inlineStr">
        <is>
          <t>Four Seasons Resort Maldives at Kuda Huraa</t>
        </is>
      </c>
      <c r="C992" t="inlineStr">
        <is>
          <t>spa_menu</t>
        </is>
      </c>
      <c r="D992" t="inlineStr">
        <is>
          <t>2019_facts-1.pdf</t>
        </is>
      </c>
      <c r="E992" t="n">
        <v>2019</v>
      </c>
      <c r="H992" t="n">
        <v>5</v>
      </c>
      <c r="I992" t="n">
        <v>132</v>
      </c>
      <c r="J992" t="inlineStr">
        <is>
          <t>Y</t>
        </is>
      </c>
      <c r="K992" t="inlineStr">
        <is>
          <t>neoscapesmaldives.com</t>
        </is>
      </c>
      <c r="L992" t="inlineStr">
        <is>
          <t>dmc-agency</t>
        </is>
      </c>
      <c r="M992" t="inlineStr">
        <is>
          <t>https://neoscapesmaldives.com/wp-content/uploads/facts-1.pdf</t>
        </is>
      </c>
      <c r="N992" t="inlineStr">
        <is>
          <t>https://neoscapesmaldives.com/wp-content/uploads/facts-1.pdf</t>
        </is>
      </c>
      <c r="O992" t="inlineStr">
        <is>
          <t>69ef29f4b98fbddfcf7e54cd28848e5841a32e712da9e330dae7fd44ed795c34</t>
        </is>
      </c>
      <c r="P992" t="inlineStr">
        <is>
          <t>library/056_four-seasons-resort-maldives-at-kuda-huraa/spa_menu/2019_facts-1.pdf</t>
        </is>
      </c>
      <c r="R992" t="inlineStr">
        <is>
          <t>outdated</t>
        </is>
      </c>
      <c r="S992" t="inlineStr">
        <is>
          <t>Y</t>
        </is>
      </c>
      <c r="T992" t="inlineStr">
        <is>
          <t>matched</t>
        </is>
      </c>
      <c r="U992" t="inlineStr">
        <is>
          <t>2026-10-04</t>
        </is>
      </c>
      <c r="V992" t="inlineStr"/>
    </row>
    <row r="993">
      <c r="A993" t="n">
        <v>57</v>
      </c>
      <c r="B993" t="inlineStr">
        <is>
          <t>Fushifaru Maldives</t>
        </is>
      </c>
      <c r="C993" t="inlineStr">
        <is>
          <t>calendar</t>
        </is>
      </c>
      <c r="D993" t="inlineStr">
        <is>
          <t>2024_Easter-2024-Programme-Fushifaru-Maldives-mail-version-v2.pdf</t>
        </is>
      </c>
      <c r="E993" t="n">
        <v>2024</v>
      </c>
      <c r="H993" t="n">
        <v>1</v>
      </c>
      <c r="I993" t="n">
        <v>2508</v>
      </c>
      <c r="J993" t="inlineStr">
        <is>
          <t>Y</t>
        </is>
      </c>
      <c r="K993" t="inlineStr">
        <is>
          <t>letsgomaldives.com</t>
        </is>
      </c>
      <c r="L993" t="inlineStr">
        <is>
          <t>dmc-agency</t>
        </is>
      </c>
      <c r="M993" t="inlineStr">
        <is>
          <t>https://letsgomaldives.com/wp-content/uploads/2024/03/Easter-2024-Programme-Fushifaru-Maldives-mail-version-v2.pdf</t>
        </is>
      </c>
      <c r="N993" t="inlineStr">
        <is>
          <t>https://letsgomaldives.com/wp-content/uploads/2024/03/Easter-2024-Programme-Fushifaru-Maldives-mail-version-v2.pdf</t>
        </is>
      </c>
      <c r="O993" t="inlineStr">
        <is>
          <t>2e953233bee928296e97a20d2e6ed7a8cb7cb356421348abfdfe7a9ee1c35cf8</t>
        </is>
      </c>
      <c r="P993" t="inlineStr">
        <is>
          <t>library/057_fushifaru-maldives/calendar/2024_Easter-2024-Programme-Fushifaru-Maldives-mail-version-v2.pdf</t>
        </is>
      </c>
      <c r="R993" t="inlineStr">
        <is>
          <t>outdated</t>
        </is>
      </c>
      <c r="S993" t="inlineStr">
        <is>
          <t>Y</t>
        </is>
      </c>
      <c r="T993" t="inlineStr">
        <is>
          <t>matched</t>
        </is>
      </c>
      <c r="U993" t="inlineStr">
        <is>
          <t>2026-10-04</t>
        </is>
      </c>
      <c r="V993" t="inlineStr"/>
    </row>
    <row r="994">
      <c r="A994" t="n">
        <v>58</v>
      </c>
      <c r="B994" t="inlineStr">
        <is>
          <t>Sirru Fen Fushi</t>
        </is>
      </c>
      <c r="C994" t="inlineStr">
        <is>
          <t>factsheet</t>
        </is>
      </c>
      <c r="D994" t="inlineStr">
        <is>
          <t>2023_Fairmont-Maldives-Fact-Sheet-2023.pdf</t>
        </is>
      </c>
      <c r="E994" t="n">
        <v>2023</v>
      </c>
      <c r="H994" t="n">
        <v>4</v>
      </c>
      <c r="I994" t="n">
        <v>7587</v>
      </c>
      <c r="J994" t="inlineStr">
        <is>
          <t>Y</t>
        </is>
      </c>
      <c r="K994" t="inlineStr">
        <is>
          <t>neoscapesmaldives.com</t>
        </is>
      </c>
      <c r="L994" t="inlineStr">
        <is>
          <t>dmc-agency</t>
        </is>
      </c>
      <c r="M994" t="inlineStr">
        <is>
          <t>https://www.neoscapesmaldives.com/wp-content/uploads/Fairmont-Maldives-Fact-Sheet-2023.pdf</t>
        </is>
      </c>
      <c r="N994" t="inlineStr">
        <is>
          <t>https://www.neoscapesmaldives.com/wp-content/uploads/Fairmont-Maldives-Fact-Sheet-2023.pdf</t>
        </is>
      </c>
      <c r="O994" t="inlineStr">
        <is>
          <t>95b0d873e7b016c64b8ad963f230d7698811b6f42e0cd05163e5af0ad7e4db45</t>
        </is>
      </c>
      <c r="P994" t="inlineStr">
        <is>
          <t>library/058_sirru-fen-fushi/factsheet/2023_Fairmont-Maldives-Fact-Sheet-2023.pdf</t>
        </is>
      </c>
      <c r="R994" t="inlineStr">
        <is>
          <t>outdated</t>
        </is>
      </c>
      <c r="S994" t="inlineStr">
        <is>
          <t>Y</t>
        </is>
      </c>
      <c r="T994" t="inlineStr">
        <is>
          <t>matched</t>
        </is>
      </c>
      <c r="U994" t="inlineStr">
        <is>
          <t>2026-10-04</t>
        </is>
      </c>
      <c r="V994" t="inlineStr"/>
    </row>
    <row r="995">
      <c r="A995" t="n">
        <v>58</v>
      </c>
      <c r="B995" t="inlineStr">
        <is>
          <t>Sirru Fen Fushi</t>
        </is>
      </c>
      <c r="C995" t="inlineStr">
        <is>
          <t>map</t>
        </is>
      </c>
      <c r="D995" t="inlineStr">
        <is>
          <t>2019_Fairmont-Maldives_ISLAND-MAP.pdf</t>
        </is>
      </c>
      <c r="E995" t="n">
        <v>2019</v>
      </c>
      <c r="H995" t="n">
        <v>2</v>
      </c>
      <c r="I995" t="n">
        <v>587</v>
      </c>
      <c r="J995" t="inlineStr">
        <is>
          <t>Y</t>
        </is>
      </c>
      <c r="K995" t="inlineStr">
        <is>
          <t>neoscapesmaldives.com</t>
        </is>
      </c>
      <c r="L995" t="inlineStr">
        <is>
          <t>dmc-agency</t>
        </is>
      </c>
      <c r="M995" t="inlineStr">
        <is>
          <t>https://neoscapesmaldives.com/wp-content/uploads/Fairmont-Maldives_ISLAND-MAP.pdf</t>
        </is>
      </c>
      <c r="N995" t="inlineStr">
        <is>
          <t>https://neoscapesmaldives.com/wp-content/uploads/Fairmont-Maldives_ISLAND-MAP.pdf</t>
        </is>
      </c>
      <c r="O995" t="inlineStr">
        <is>
          <t>946ebdb30c501805f96a120b3ba9d573e1ae802c6aad798f76c699bbeeb41e8e</t>
        </is>
      </c>
      <c r="P995" t="inlineStr">
        <is>
          <t>library/058_sirru-fen-fushi/map/2019_Fairmont-Maldives_ISLAND-MAP.pdf</t>
        </is>
      </c>
      <c r="R995" t="inlineStr">
        <is>
          <t>outdated</t>
        </is>
      </c>
      <c r="S995" t="inlineStr">
        <is>
          <t>Y</t>
        </is>
      </c>
      <c r="T995" t="inlineStr">
        <is>
          <t>matched</t>
        </is>
      </c>
      <c r="U995" t="inlineStr">
        <is>
          <t>2026-10-04</t>
        </is>
      </c>
      <c r="V995" t="inlineStr"/>
    </row>
    <row r="996">
      <c r="A996" t="n">
        <v>58</v>
      </c>
      <c r="B996" t="inlineStr">
        <is>
          <t>Sirru Fen Fushi</t>
        </is>
      </c>
      <c r="C996" t="inlineStr">
        <is>
          <t>dive_prices</t>
        </is>
      </c>
      <c r="D996" t="inlineStr">
        <is>
          <t>2026_Eid-Al-Fitr-Sirru-Fen-Fushi.pdf</t>
        </is>
      </c>
      <c r="E996" t="n">
        <v>2026</v>
      </c>
      <c r="H996" t="n">
        <v>4</v>
      </c>
      <c r="I996" t="n">
        <v>1786</v>
      </c>
      <c r="J996" t="inlineStr">
        <is>
          <t>Y</t>
        </is>
      </c>
      <c r="K996" t="inlineStr">
        <is>
          <t>letsgomaldives.com</t>
        </is>
      </c>
      <c r="L996" t="inlineStr">
        <is>
          <t>dmc-agency</t>
        </is>
      </c>
      <c r="M996" t="inlineStr">
        <is>
          <t>https://letsgomaldives.com/wp-content/uploads/2026/03/Eid-Al-Fitr-Sirru-Fen-Fushi.pdf</t>
        </is>
      </c>
      <c r="N996" t="inlineStr">
        <is>
          <t>https://letsgomaldives.com/wp-content/uploads/2026/03/Eid-Al-Fitr-Sirru-Fen-Fushi.pdf</t>
        </is>
      </c>
      <c r="O996" t="inlineStr">
        <is>
          <t>f8e36ed8b2a130c6af4db1dc19326c537f5e2d8485113ea210152db88d2de7c5</t>
        </is>
      </c>
      <c r="P996" t="inlineStr">
        <is>
          <t>library/058_sirru-fen-fushi/dive_prices/2026_Eid-Al-Fitr-Sirru-Fen-Fushi.pdf</t>
        </is>
      </c>
      <c r="R996" t="inlineStr">
        <is>
          <t>current</t>
        </is>
      </c>
      <c r="S996" t="inlineStr">
        <is>
          <t>Y</t>
        </is>
      </c>
      <c r="T996" t="inlineStr">
        <is>
          <t>matched</t>
        </is>
      </c>
      <c r="U996" t="inlineStr">
        <is>
          <t>2026-10-04</t>
        </is>
      </c>
      <c r="V996" t="inlineStr"/>
    </row>
    <row r="997">
      <c r="A997" t="n">
        <v>58</v>
      </c>
      <c r="B997" t="inlineStr">
        <is>
          <t>Sirru Fen Fushi</t>
        </is>
      </c>
      <c r="C997" t="inlineStr">
        <is>
          <t>dive_prices</t>
        </is>
      </c>
      <c r="D997" t="inlineStr">
        <is>
          <t>2019_Fairmont-Maldives_House-Reef-Snorkeling-and-Diving-Spots.pdf</t>
        </is>
      </c>
      <c r="E997" t="n">
        <v>2019</v>
      </c>
      <c r="H997" t="n">
        <v>1</v>
      </c>
      <c r="I997" t="n">
        <v>2652</v>
      </c>
      <c r="J997" t="inlineStr">
        <is>
          <t>Y</t>
        </is>
      </c>
      <c r="K997" t="inlineStr">
        <is>
          <t>neoscapesmaldives.com</t>
        </is>
      </c>
      <c r="L997" t="inlineStr">
        <is>
          <t>dmc-agency</t>
        </is>
      </c>
      <c r="M997" t="inlineStr">
        <is>
          <t>https://neoscapesmaldives.com/wp-content/uploads/Fairmont-Maldives_House-Reef-Snorkeling-and-Diving-Spots.pdf</t>
        </is>
      </c>
      <c r="N997" t="inlineStr">
        <is>
          <t>https://neoscapesmaldives.com/wp-content/uploads/Fairmont-Maldives_House-Reef-Snorkeling-and-Diving-Spots.pdf</t>
        </is>
      </c>
      <c r="O997" t="inlineStr">
        <is>
          <t>11d63d7fee0ca273862e1d69367f0e8d0251256413d4818c92c59871d808e01a</t>
        </is>
      </c>
      <c r="P997" t="inlineStr">
        <is>
          <t>library/058_sirru-fen-fushi/dive_prices/2019_Fairmont-Maldives_House-Reef-Snorkeling-and-Diving-Spots.pdf</t>
        </is>
      </c>
      <c r="R997" t="inlineStr">
        <is>
          <t>outdated</t>
        </is>
      </c>
      <c r="S997" t="inlineStr">
        <is>
          <t>N</t>
        </is>
      </c>
      <c r="T997" t="inlineStr">
        <is>
          <t>matched</t>
        </is>
      </c>
      <c r="U997" t="inlineStr">
        <is>
          <t>2026-10-04</t>
        </is>
      </c>
      <c r="V997" t="inlineStr"/>
    </row>
    <row r="998">
      <c r="A998" t="n">
        <v>59</v>
      </c>
      <c r="B998" t="inlineStr">
        <is>
          <t>Jumeirah Maldives Olhahali Island</t>
        </is>
      </c>
      <c r="C998" t="inlineStr">
        <is>
          <t>factsheet</t>
        </is>
      </c>
      <c r="D998" t="inlineStr">
        <is>
          <t>2025_Jumeirah-Olhahali-Island-Resort-Factsheet-2025.pdf</t>
        </is>
      </c>
      <c r="E998" t="n">
        <v>2025</v>
      </c>
      <c r="H998" t="n">
        <v>12</v>
      </c>
      <c r="I998" t="n">
        <v>2725</v>
      </c>
      <c r="J998" t="inlineStr">
        <is>
          <t>Y</t>
        </is>
      </c>
      <c r="K998" t="inlineStr">
        <is>
          <t>neoscapesmaldives.com</t>
        </is>
      </c>
      <c r="L998" t="inlineStr">
        <is>
          <t>dmc-agency</t>
        </is>
      </c>
      <c r="M998" t="inlineStr">
        <is>
          <t>https://www.neoscapesmaldives.com/wp-content/uploads/Jumeirah-Olhahali-Island-Resort-Factsheet-2025.pdf</t>
        </is>
      </c>
      <c r="N998" t="inlineStr">
        <is>
          <t>https://www.neoscapesmaldives.com/wp-content/uploads/Jumeirah-Olhahali-Island-Resort-Factsheet-2025.pdf</t>
        </is>
      </c>
      <c r="O998" t="inlineStr">
        <is>
          <t>c8c77201ac7ffb8a45a206ffad81786cd9387ba91b6368abceec973ad76d3324</t>
        </is>
      </c>
      <c r="P998" t="inlineStr">
        <is>
          <t>library/059_jumeirah-maldives-olhahali-island/factsheet/2025_Jumeirah-Olhahali-Island-Resort-Factsheet-2025.pdf</t>
        </is>
      </c>
      <c r="R998" t="inlineStr">
        <is>
          <t>current</t>
        </is>
      </c>
      <c r="S998" t="inlineStr">
        <is>
          <t>Y</t>
        </is>
      </c>
      <c r="T998" t="inlineStr">
        <is>
          <t>matched</t>
        </is>
      </c>
      <c r="U998" t="inlineStr">
        <is>
          <t>2026-10-04</t>
        </is>
      </c>
      <c r="V998" t="inlineStr"/>
    </row>
    <row r="999">
      <c r="A999" t="n">
        <v>59</v>
      </c>
      <c r="B999" t="inlineStr">
        <is>
          <t>Jumeirah Maldives Olhahali Island</t>
        </is>
      </c>
      <c r="C999" t="inlineStr">
        <is>
          <t>map</t>
        </is>
      </c>
      <c r="D999" t="inlineStr">
        <is>
          <t>2025_Jumeirah-Olhahali-Island-Resort-Map-2025.pdf</t>
        </is>
      </c>
      <c r="E999" t="n">
        <v>2025</v>
      </c>
      <c r="H999" t="n">
        <v>1</v>
      </c>
      <c r="I999" t="n">
        <v>1365</v>
      </c>
      <c r="J999" t="inlineStr">
        <is>
          <t>N</t>
        </is>
      </c>
      <c r="K999" t="inlineStr">
        <is>
          <t>neoscapesmaldives.com</t>
        </is>
      </c>
      <c r="L999" t="inlineStr">
        <is>
          <t>dmc-agency</t>
        </is>
      </c>
      <c r="M999" t="inlineStr">
        <is>
          <t>https://www.neoscapesmaldives.com/wp-content/uploads/Jumeirah-Olhahali-Island-Resort-Map-2025.pdf</t>
        </is>
      </c>
      <c r="N999" t="inlineStr">
        <is>
          <t>https://www.neoscapesmaldives.com/wp-content/uploads/Jumeirah-Olhahali-Island-Resort-Map-2025.pdf</t>
        </is>
      </c>
      <c r="O999" t="inlineStr">
        <is>
          <t>667731aeb3ed1a2d21b0cc02be030bc99acafd760e81deae59b7ee7f697b556a</t>
        </is>
      </c>
      <c r="P999" t="inlineStr">
        <is>
          <t>library/059_jumeirah-maldives-olhahali-island/map/2025_Jumeirah-Olhahali-Island-Resort-Map-2025.pdf</t>
        </is>
      </c>
      <c r="R999" t="inlineStr">
        <is>
          <t>current</t>
        </is>
      </c>
      <c r="S999" t="inlineStr">
        <is>
          <t>Y</t>
        </is>
      </c>
      <c r="T999" t="inlineStr">
        <is>
          <t>matched</t>
        </is>
      </c>
      <c r="U999" t="inlineStr">
        <is>
          <t>2026-10-04</t>
        </is>
      </c>
      <c r="V999" t="inlineStr"/>
    </row>
    <row r="1000">
      <c r="A1000" t="n">
        <v>59</v>
      </c>
      <c r="B1000" t="inlineStr">
        <is>
          <t>Jumeirah Maldives Olhahali Island</t>
        </is>
      </c>
      <c r="C1000" t="inlineStr">
        <is>
          <t>spa_menu</t>
        </is>
      </c>
      <c r="D1000" t="inlineStr">
        <is>
          <t>2022_mggoe5ku.pdf</t>
        </is>
      </c>
      <c r="E1000" t="n">
        <v>2022</v>
      </c>
      <c r="H1000" t="n">
        <v>28</v>
      </c>
      <c r="I1000" t="n">
        <v>1031</v>
      </c>
      <c r="J1000" t="inlineStr">
        <is>
          <t>Y</t>
        </is>
      </c>
      <c r="K1000" t="inlineStr">
        <is>
          <t>secretparadise.mv</t>
        </is>
      </c>
      <c r="L1000" t="inlineStr">
        <is>
          <t>dmc-agency</t>
        </is>
      </c>
      <c r="M1000" t="inlineStr">
        <is>
          <t>https://visitmaldives.s3.amazonaws.com/KqrvXKqg/mggoe5ku.pdf</t>
        </is>
      </c>
      <c r="N1000" t="inlineStr">
        <is>
          <t>https://visitmaldives.s3.amazonaws.com/KqrvXKqg/mggoe5ku.pdf</t>
        </is>
      </c>
      <c r="O1000" t="inlineStr">
        <is>
          <t>fbd7f9df946140e337ce1a230970bf503624d0a795da3e4b45af4cb1c8c50213</t>
        </is>
      </c>
      <c r="P1000" t="inlineStr">
        <is>
          <t>library/059_jumeirah-maldives-olhahali-island/spa_menu/2022_mggoe5ku.pdf</t>
        </is>
      </c>
      <c r="R1000" t="inlineStr">
        <is>
          <t>outdated</t>
        </is>
      </c>
      <c r="S1000" t="inlineStr">
        <is>
          <t>Y</t>
        </is>
      </c>
      <c r="T1000" t="inlineStr">
        <is>
          <t>needs-review</t>
        </is>
      </c>
      <c r="U1000" t="inlineStr">
        <is>
          <t>2026-10-04</t>
        </is>
      </c>
      <c r="V1000" t="inlineStr">
        <is>
          <t>ambiguous match [59, 133, 27, 41, 171, 50, 110, 44, 19]</t>
        </is>
      </c>
    </row>
    <row r="1001">
      <c r="A1001" t="n">
        <v>133</v>
      </c>
      <c r="B1001" t="inlineStr">
        <is>
          <t>Oblu By Atmosphere at Helengeli</t>
        </is>
      </c>
      <c r="C1001" t="inlineStr">
        <is>
          <t>spa_menu</t>
        </is>
      </c>
      <c r="D1001" t="inlineStr">
        <is>
          <t>2022_mggoe5ku.pdf</t>
        </is>
      </c>
      <c r="E1001" t="n">
        <v>2022</v>
      </c>
      <c r="H1001" t="n">
        <v>28</v>
      </c>
      <c r="I1001" t="n">
        <v>1031</v>
      </c>
      <c r="J1001" t="inlineStr">
        <is>
          <t>Y</t>
        </is>
      </c>
      <c r="K1001" t="inlineStr">
        <is>
          <t>secretparadise.mv</t>
        </is>
      </c>
      <c r="L1001" t="inlineStr">
        <is>
          <t>dmc-agency</t>
        </is>
      </c>
      <c r="M1001" t="inlineStr">
        <is>
          <t>https://visitmaldives.s3.amazonaws.com/KqrvXKqg/mggoe5ku.pdf</t>
        </is>
      </c>
      <c r="N1001" t="inlineStr">
        <is>
          <t>https://visitmaldives.s3.amazonaws.com/KqrvXKqg/mggoe5ku.pdf</t>
        </is>
      </c>
      <c r="O1001" t="inlineStr">
        <is>
          <t>fbd7f9df946140e337ce1a230970bf503624d0a795da3e4b45af4cb1c8c50213</t>
        </is>
      </c>
      <c r="P1001" t="inlineStr">
        <is>
          <t>library/059_jumeirah-maldives-olhahali-island/spa_menu/2022_mggoe5ku.pdf</t>
        </is>
      </c>
      <c r="R1001" t="inlineStr">
        <is>
          <t>outdated</t>
        </is>
      </c>
      <c r="S1001" t="inlineStr">
        <is>
          <t>Y</t>
        </is>
      </c>
      <c r="T1001" t="inlineStr">
        <is>
          <t>needs-review</t>
        </is>
      </c>
      <c r="U1001" t="inlineStr">
        <is>
          <t>2026-10-04</t>
        </is>
      </c>
      <c r="V1001" t="inlineStr">
        <is>
          <t>ambiguous match [59, 133, 27, 41, 171, 50, 110, 44, 19]</t>
        </is>
      </c>
    </row>
    <row r="1002">
      <c r="A1002" t="n">
        <v>27</v>
      </c>
      <c r="B1002" t="inlineStr">
        <is>
          <t>Grand Park Kodhipparu Maldives</t>
        </is>
      </c>
      <c r="C1002" t="inlineStr">
        <is>
          <t>spa_menu</t>
        </is>
      </c>
      <c r="D1002" t="inlineStr">
        <is>
          <t>2022_mggoe5ku.pdf</t>
        </is>
      </c>
      <c r="E1002" t="n">
        <v>2022</v>
      </c>
      <c r="H1002" t="n">
        <v>28</v>
      </c>
      <c r="I1002" t="n">
        <v>1031</v>
      </c>
      <c r="J1002" t="inlineStr">
        <is>
          <t>Y</t>
        </is>
      </c>
      <c r="K1002" t="inlineStr">
        <is>
          <t>secretparadise.mv</t>
        </is>
      </c>
      <c r="L1002" t="inlineStr">
        <is>
          <t>dmc-agency</t>
        </is>
      </c>
      <c r="M1002" t="inlineStr">
        <is>
          <t>https://visitmaldives.s3.amazonaws.com/KqrvXKqg/mggoe5ku.pdf</t>
        </is>
      </c>
      <c r="N1002" t="inlineStr">
        <is>
          <t>https://visitmaldives.s3.amazonaws.com/KqrvXKqg/mggoe5ku.pdf</t>
        </is>
      </c>
      <c r="O1002" t="inlineStr">
        <is>
          <t>fbd7f9df946140e337ce1a230970bf503624d0a795da3e4b45af4cb1c8c50213</t>
        </is>
      </c>
      <c r="P1002" t="inlineStr">
        <is>
          <t>library/059_jumeirah-maldives-olhahali-island/spa_menu/2022_mggoe5ku.pdf</t>
        </is>
      </c>
      <c r="R1002" t="inlineStr">
        <is>
          <t>outdated</t>
        </is>
      </c>
      <c r="S1002" t="inlineStr">
        <is>
          <t>Y</t>
        </is>
      </c>
      <c r="T1002" t="inlineStr">
        <is>
          <t>needs-review</t>
        </is>
      </c>
      <c r="U1002" t="inlineStr">
        <is>
          <t>2026-10-04</t>
        </is>
      </c>
      <c r="V1002" t="inlineStr">
        <is>
          <t>ambiguous match [59, 133, 27, 41, 171, 50, 110, 44, 19]</t>
        </is>
      </c>
    </row>
    <row r="1003">
      <c r="A1003" t="n">
        <v>41</v>
      </c>
      <c r="B1003" t="inlineStr">
        <is>
          <t>Ozen By Atmosphere At Maadhoo</t>
        </is>
      </c>
      <c r="C1003" t="inlineStr">
        <is>
          <t>spa_menu</t>
        </is>
      </c>
      <c r="D1003" t="inlineStr">
        <is>
          <t>2022_mggoe5ku.pdf</t>
        </is>
      </c>
      <c r="E1003" t="n">
        <v>2022</v>
      </c>
      <c r="H1003" t="n">
        <v>28</v>
      </c>
      <c r="I1003" t="n">
        <v>1031</v>
      </c>
      <c r="J1003" t="inlineStr">
        <is>
          <t>Y</t>
        </is>
      </c>
      <c r="K1003" t="inlineStr">
        <is>
          <t>secretparadise.mv</t>
        </is>
      </c>
      <c r="L1003" t="inlineStr">
        <is>
          <t>dmc-agency</t>
        </is>
      </c>
      <c r="M1003" t="inlineStr">
        <is>
          <t>https://visitmaldives.s3.amazonaws.com/KqrvXKqg/mggoe5ku.pdf</t>
        </is>
      </c>
      <c r="N1003" t="inlineStr">
        <is>
          <t>https://visitmaldives.s3.amazonaws.com/KqrvXKqg/mggoe5ku.pdf</t>
        </is>
      </c>
      <c r="O1003" t="inlineStr">
        <is>
          <t>fbd7f9df946140e337ce1a230970bf503624d0a795da3e4b45af4cb1c8c50213</t>
        </is>
      </c>
      <c r="P1003" t="inlineStr">
        <is>
          <t>library/059_jumeirah-maldives-olhahali-island/spa_menu/2022_mggoe5ku.pdf</t>
        </is>
      </c>
      <c r="R1003" t="inlineStr">
        <is>
          <t>outdated</t>
        </is>
      </c>
      <c r="S1003" t="inlineStr">
        <is>
          <t>Y</t>
        </is>
      </c>
      <c r="T1003" t="inlineStr">
        <is>
          <t>needs-review</t>
        </is>
      </c>
      <c r="U1003" t="inlineStr">
        <is>
          <t>2026-10-04</t>
        </is>
      </c>
      <c r="V1003" t="inlineStr">
        <is>
          <t>ambiguous match [59, 133, 27, 41, 171, 50, 110, 44, 19]</t>
        </is>
      </c>
    </row>
    <row r="1004">
      <c r="A1004" t="n">
        <v>171</v>
      </c>
      <c r="B1004" t="inlineStr">
        <is>
          <t>Velaa Private Island Maldives</t>
        </is>
      </c>
      <c r="C1004" t="inlineStr">
        <is>
          <t>spa_menu</t>
        </is>
      </c>
      <c r="D1004" t="inlineStr">
        <is>
          <t>2022_mggoe5ku.pdf</t>
        </is>
      </c>
      <c r="E1004" t="n">
        <v>2022</v>
      </c>
      <c r="H1004" t="n">
        <v>28</v>
      </c>
      <c r="I1004" t="n">
        <v>1031</v>
      </c>
      <c r="J1004" t="inlineStr">
        <is>
          <t>Y</t>
        </is>
      </c>
      <c r="K1004" t="inlineStr">
        <is>
          <t>secretparadise.mv</t>
        </is>
      </c>
      <c r="L1004" t="inlineStr">
        <is>
          <t>dmc-agency</t>
        </is>
      </c>
      <c r="M1004" t="inlineStr">
        <is>
          <t>https://visitmaldives.s3.amazonaws.com/KqrvXKqg/mggoe5ku.pdf</t>
        </is>
      </c>
      <c r="N1004" t="inlineStr">
        <is>
          <t>https://visitmaldives.s3.amazonaws.com/KqrvXKqg/mggoe5ku.pdf</t>
        </is>
      </c>
      <c r="O1004" t="inlineStr">
        <is>
          <t>fbd7f9df946140e337ce1a230970bf503624d0a795da3e4b45af4cb1c8c50213</t>
        </is>
      </c>
      <c r="P1004" t="inlineStr">
        <is>
          <t>library/059_jumeirah-maldives-olhahali-island/spa_menu/2022_mggoe5ku.pdf</t>
        </is>
      </c>
      <c r="R1004" t="inlineStr">
        <is>
          <t>outdated</t>
        </is>
      </c>
      <c r="S1004" t="inlineStr">
        <is>
          <t>Y</t>
        </is>
      </c>
      <c r="T1004" t="inlineStr">
        <is>
          <t>needs-review</t>
        </is>
      </c>
      <c r="U1004" t="inlineStr">
        <is>
          <t>2026-10-04</t>
        </is>
      </c>
      <c r="V1004" t="inlineStr">
        <is>
          <t>ambiguous match [59, 133, 27, 41, 171, 50, 110, 44, 19]</t>
        </is>
      </c>
    </row>
    <row r="1005">
      <c r="A1005" t="n">
        <v>50</v>
      </c>
      <c r="B1005" t="inlineStr">
        <is>
          <t>Sun Siyam Olhuveli Maldives</t>
        </is>
      </c>
      <c r="C1005" t="inlineStr">
        <is>
          <t>spa_menu</t>
        </is>
      </c>
      <c r="D1005" t="inlineStr">
        <is>
          <t>2022_mggoe5ku.pdf</t>
        </is>
      </c>
      <c r="E1005" t="n">
        <v>2022</v>
      </c>
      <c r="H1005" t="n">
        <v>28</v>
      </c>
      <c r="I1005" t="n">
        <v>1031</v>
      </c>
      <c r="J1005" t="inlineStr">
        <is>
          <t>Y</t>
        </is>
      </c>
      <c r="K1005" t="inlineStr">
        <is>
          <t>secretparadise.mv</t>
        </is>
      </c>
      <c r="L1005" t="inlineStr">
        <is>
          <t>dmc-agency</t>
        </is>
      </c>
      <c r="M1005" t="inlineStr">
        <is>
          <t>https://visitmaldives.s3.amazonaws.com/KqrvXKqg/mggoe5ku.pdf</t>
        </is>
      </c>
      <c r="N1005" t="inlineStr">
        <is>
          <t>https://visitmaldives.s3.amazonaws.com/KqrvXKqg/mggoe5ku.pdf</t>
        </is>
      </c>
      <c r="O1005" t="inlineStr">
        <is>
          <t>fbd7f9df946140e337ce1a230970bf503624d0a795da3e4b45af4cb1c8c50213</t>
        </is>
      </c>
      <c r="P1005" t="inlineStr">
        <is>
          <t>library/059_jumeirah-maldives-olhahali-island/spa_menu/2022_mggoe5ku.pdf</t>
        </is>
      </c>
      <c r="R1005" t="inlineStr">
        <is>
          <t>outdated</t>
        </is>
      </c>
      <c r="S1005" t="inlineStr">
        <is>
          <t>Y</t>
        </is>
      </c>
      <c r="T1005" t="inlineStr">
        <is>
          <t>needs-review</t>
        </is>
      </c>
      <c r="U1005" t="inlineStr">
        <is>
          <t>2026-10-04</t>
        </is>
      </c>
      <c r="V1005" t="inlineStr">
        <is>
          <t>ambiguous match [59, 133, 27, 41, 171, 50, 110, 44, 19]</t>
        </is>
      </c>
    </row>
    <row r="1006">
      <c r="A1006" t="n">
        <v>110</v>
      </c>
      <c r="B1006" t="inlineStr">
        <is>
          <t>Furaveri Island Resort &amp; Spa</t>
        </is>
      </c>
      <c r="C1006" t="inlineStr">
        <is>
          <t>spa_menu</t>
        </is>
      </c>
      <c r="D1006" t="inlineStr">
        <is>
          <t>2022_mggoe5ku.pdf</t>
        </is>
      </c>
      <c r="E1006" t="n">
        <v>2022</v>
      </c>
      <c r="H1006" t="n">
        <v>28</v>
      </c>
      <c r="I1006" t="n">
        <v>1031</v>
      </c>
      <c r="J1006" t="inlineStr">
        <is>
          <t>Y</t>
        </is>
      </c>
      <c r="K1006" t="inlineStr">
        <is>
          <t>secretparadise.mv</t>
        </is>
      </c>
      <c r="L1006" t="inlineStr">
        <is>
          <t>dmc-agency</t>
        </is>
      </c>
      <c r="M1006" t="inlineStr">
        <is>
          <t>https://visitmaldives.s3.amazonaws.com/KqrvXKqg/mggoe5ku.pdf</t>
        </is>
      </c>
      <c r="N1006" t="inlineStr">
        <is>
          <t>https://visitmaldives.s3.amazonaws.com/KqrvXKqg/mggoe5ku.pdf</t>
        </is>
      </c>
      <c r="O1006" t="inlineStr">
        <is>
          <t>fbd7f9df946140e337ce1a230970bf503624d0a795da3e4b45af4cb1c8c50213</t>
        </is>
      </c>
      <c r="P1006" t="inlineStr">
        <is>
          <t>library/059_jumeirah-maldives-olhahali-island/spa_menu/2022_mggoe5ku.pdf</t>
        </is>
      </c>
      <c r="R1006" t="inlineStr">
        <is>
          <t>outdated</t>
        </is>
      </c>
      <c r="S1006" t="inlineStr">
        <is>
          <t>Y</t>
        </is>
      </c>
      <c r="T1006" t="inlineStr">
        <is>
          <t>needs-review</t>
        </is>
      </c>
      <c r="U1006" t="inlineStr">
        <is>
          <t>2026-10-04</t>
        </is>
      </c>
      <c r="V1006" t="inlineStr">
        <is>
          <t>ambiguous match [59, 133, 27, 41, 171, 50, 110, 44, 19]</t>
        </is>
      </c>
    </row>
    <row r="1007">
      <c r="A1007" t="n">
        <v>44</v>
      </c>
      <c r="B1007" t="inlineStr">
        <is>
          <t>Hard Rock Hotel Maldives</t>
        </is>
      </c>
      <c r="C1007" t="inlineStr">
        <is>
          <t>spa_menu</t>
        </is>
      </c>
      <c r="D1007" t="inlineStr">
        <is>
          <t>2022_mggoe5ku.pdf</t>
        </is>
      </c>
      <c r="E1007" t="n">
        <v>2022</v>
      </c>
      <c r="H1007" t="n">
        <v>28</v>
      </c>
      <c r="I1007" t="n">
        <v>1031</v>
      </c>
      <c r="J1007" t="inlineStr">
        <is>
          <t>Y</t>
        </is>
      </c>
      <c r="K1007" t="inlineStr">
        <is>
          <t>secretparadise.mv</t>
        </is>
      </c>
      <c r="L1007" t="inlineStr">
        <is>
          <t>dmc-agency</t>
        </is>
      </c>
      <c r="M1007" t="inlineStr">
        <is>
          <t>https://visitmaldives.s3.amazonaws.com/KqrvXKqg/mggoe5ku.pdf</t>
        </is>
      </c>
      <c r="N1007" t="inlineStr">
        <is>
          <t>https://visitmaldives.s3.amazonaws.com/KqrvXKqg/mggoe5ku.pdf</t>
        </is>
      </c>
      <c r="O1007" t="inlineStr">
        <is>
          <t>fbd7f9df946140e337ce1a230970bf503624d0a795da3e4b45af4cb1c8c50213</t>
        </is>
      </c>
      <c r="P1007" t="inlineStr">
        <is>
          <t>library/059_jumeirah-maldives-olhahali-island/spa_menu/2022_mggoe5ku.pdf</t>
        </is>
      </c>
      <c r="R1007" t="inlineStr">
        <is>
          <t>outdated</t>
        </is>
      </c>
      <c r="S1007" t="inlineStr">
        <is>
          <t>Y</t>
        </is>
      </c>
      <c r="T1007" t="inlineStr">
        <is>
          <t>needs-review</t>
        </is>
      </c>
      <c r="U1007" t="inlineStr">
        <is>
          <t>2026-10-04</t>
        </is>
      </c>
      <c r="V1007" t="inlineStr">
        <is>
          <t>ambiguous match [59, 133, 27, 41, 171, 50, 110, 44, 19]</t>
        </is>
      </c>
    </row>
    <row r="1008">
      <c r="A1008" t="n">
        <v>19</v>
      </c>
      <c r="B1008" t="inlineStr">
        <is>
          <t>The Residence Maldives</t>
        </is>
      </c>
      <c r="C1008" t="inlineStr">
        <is>
          <t>spa_menu</t>
        </is>
      </c>
      <c r="D1008" t="inlineStr">
        <is>
          <t>2022_mggoe5ku.pdf</t>
        </is>
      </c>
      <c r="E1008" t="n">
        <v>2022</v>
      </c>
      <c r="H1008" t="n">
        <v>28</v>
      </c>
      <c r="I1008" t="n">
        <v>1031</v>
      </c>
      <c r="J1008" t="inlineStr">
        <is>
          <t>Y</t>
        </is>
      </c>
      <c r="K1008" t="inlineStr">
        <is>
          <t>secretparadise.mv</t>
        </is>
      </c>
      <c r="L1008" t="inlineStr">
        <is>
          <t>dmc-agency</t>
        </is>
      </c>
      <c r="M1008" t="inlineStr">
        <is>
          <t>https://visitmaldives.s3.amazonaws.com/KqrvXKqg/mggoe5ku.pdf</t>
        </is>
      </c>
      <c r="N1008" t="inlineStr">
        <is>
          <t>https://visitmaldives.s3.amazonaws.com/KqrvXKqg/mggoe5ku.pdf</t>
        </is>
      </c>
      <c r="O1008" t="inlineStr">
        <is>
          <t>fbd7f9df946140e337ce1a230970bf503624d0a795da3e4b45af4cb1c8c50213</t>
        </is>
      </c>
      <c r="P1008" t="inlineStr">
        <is>
          <t>library/059_jumeirah-maldives-olhahali-island/spa_menu/2022_mggoe5ku.pdf</t>
        </is>
      </c>
      <c r="R1008" t="inlineStr">
        <is>
          <t>outdated</t>
        </is>
      </c>
      <c r="S1008" t="inlineStr">
        <is>
          <t>Y</t>
        </is>
      </c>
      <c r="T1008" t="inlineStr">
        <is>
          <t>needs-review</t>
        </is>
      </c>
      <c r="U1008" t="inlineStr">
        <is>
          <t>2026-10-04</t>
        </is>
      </c>
      <c r="V1008" t="inlineStr">
        <is>
          <t>ambiguous match [59, 133, 27, 41, 171, 50, 110, 44, 19]</t>
        </is>
      </c>
    </row>
    <row r="1009">
      <c r="A1009" t="n">
        <v>59</v>
      </c>
      <c r="B1009" t="inlineStr">
        <is>
          <t>Jumeirah Maldives Olhahali Island</t>
        </is>
      </c>
      <c r="C1009" t="inlineStr">
        <is>
          <t>calendar</t>
        </is>
      </c>
      <c r="D1009" t="inlineStr">
        <is>
          <t>2026_Jumeirah-Olhahali-Island-From-Seasons-to-Stories-Eid-Al-Fitr-2026-1.pdf</t>
        </is>
      </c>
      <c r="E1009" t="n">
        <v>2026</v>
      </c>
      <c r="H1009" t="n">
        <v>9</v>
      </c>
      <c r="I1009" t="n">
        <v>4663</v>
      </c>
      <c r="J1009" t="inlineStr">
        <is>
          <t>Y</t>
        </is>
      </c>
      <c r="K1009" t="inlineStr">
        <is>
          <t>letsgomaldives.com</t>
        </is>
      </c>
      <c r="L1009" t="inlineStr">
        <is>
          <t>dmc-agency</t>
        </is>
      </c>
      <c r="M1009" t="inlineStr">
        <is>
          <t>https://letsgomaldives.com/wp-content/uploads/2026/03/Jumeirah-Olhahali-Island-From-Seasons-to-Stories-Eid-Al-Fitr-2026-1.pdf</t>
        </is>
      </c>
      <c r="N1009" t="inlineStr">
        <is>
          <t>https://letsgomaldives.com/wp-content/uploads/2026/03/Jumeirah-Olhahali-Island-From-Seasons-to-Stories-Eid-Al-Fitr-2026-1.pdf</t>
        </is>
      </c>
      <c r="O1009" t="inlineStr">
        <is>
          <t>c5bf3218684c18e0f335e03d62b30fecd8e4330853b00b07dfae7bec4355d53b</t>
        </is>
      </c>
      <c r="P1009" t="inlineStr">
        <is>
          <t>library/059_jumeirah-maldives-olhahali-island/calendar/2026_Jumeirah-Olhahali-Island-From-Seasons-to-Stories-Eid-Al-Fitr-2026-1.pdf</t>
        </is>
      </c>
      <c r="R1009" t="inlineStr">
        <is>
          <t>current</t>
        </is>
      </c>
      <c r="S1009" t="inlineStr">
        <is>
          <t>Y</t>
        </is>
      </c>
      <c r="T1009" t="inlineStr">
        <is>
          <t>matched</t>
        </is>
      </c>
      <c r="U1009" t="inlineStr">
        <is>
          <t>2026-10-04</t>
        </is>
      </c>
      <c r="V1009" t="inlineStr"/>
    </row>
    <row r="1010">
      <c r="A1010" t="n">
        <v>59</v>
      </c>
      <c r="B1010" t="inlineStr">
        <is>
          <t>Jumeirah Maldives Olhahali Island</t>
        </is>
      </c>
      <c r="C1010" t="inlineStr">
        <is>
          <t>calendar</t>
        </is>
      </c>
      <c r="D1010" t="inlineStr">
        <is>
          <t>2026_Jumeirah-Olhahali-Island-From-Seasons-to-Stories-Easter-2026.pdf</t>
        </is>
      </c>
      <c r="E1010" t="n">
        <v>2026</v>
      </c>
      <c r="H1010" t="n">
        <v>9</v>
      </c>
      <c r="I1010" t="n">
        <v>4559</v>
      </c>
      <c r="J1010" t="inlineStr">
        <is>
          <t>Y</t>
        </is>
      </c>
      <c r="K1010" t="inlineStr">
        <is>
          <t>letsgomaldives.com</t>
        </is>
      </c>
      <c r="L1010" t="inlineStr">
        <is>
          <t>dmc-agency</t>
        </is>
      </c>
      <c r="M1010" t="inlineStr">
        <is>
          <t>https://letsgomaldives.com/wp-content/uploads/2026/02/Jumeirah-Olhahali-Island-From-Seasons-to-Stories-Easter-2026.pdf</t>
        </is>
      </c>
      <c r="N1010" t="inlineStr">
        <is>
          <t>https://letsgomaldives.com/wp-content/uploads/2026/02/Jumeirah-Olhahali-Island-From-Seasons-to-Stories-Easter-2026.pdf | https://letsgomaldives.com/wp-content/uploads/2026/02/Jumeirah-Olhahali-Island-From-Seasons-to-Stories-Easter-2026-1.pdf</t>
        </is>
      </c>
      <c r="O1010" t="inlineStr">
        <is>
          <t>72a7d0af942602a86e14324ca55fb154aacbc001ce3aa011952b065aa1dd3b6d</t>
        </is>
      </c>
      <c r="P1010" t="inlineStr">
        <is>
          <t>library/059_jumeirah-maldives-olhahali-island/calendar/2026_Jumeirah-Olhahali-Island-From-Seasons-to-Stories-Easter-2026.pdf</t>
        </is>
      </c>
      <c r="R1010" t="inlineStr">
        <is>
          <t>current</t>
        </is>
      </c>
      <c r="S1010" t="inlineStr">
        <is>
          <t>N</t>
        </is>
      </c>
      <c r="T1010" t="inlineStr">
        <is>
          <t>matched</t>
        </is>
      </c>
      <c r="U1010" t="inlineStr">
        <is>
          <t>2026-10-04</t>
        </is>
      </c>
      <c r="V1010" t="inlineStr"/>
    </row>
    <row r="1011">
      <c r="A1011" t="n">
        <v>62</v>
      </c>
      <c r="B1011" t="inlineStr">
        <is>
          <t>Cora Cora Maldives</t>
        </is>
      </c>
      <c r="C1011" t="inlineStr">
        <is>
          <t>factsheet</t>
        </is>
      </c>
      <c r="D1011" t="inlineStr">
        <is>
          <t>2021_CCM-Factsheet.pdf</t>
        </is>
      </c>
      <c r="E1011" t="n">
        <v>2021</v>
      </c>
      <c r="H1011" t="n">
        <v>6</v>
      </c>
      <c r="I1011" t="n">
        <v>3244</v>
      </c>
      <c r="J1011" t="inlineStr">
        <is>
          <t>Y</t>
        </is>
      </c>
      <c r="K1011" t="inlineStr">
        <is>
          <t>neoscapesmaldives.com</t>
        </is>
      </c>
      <c r="L1011" t="inlineStr">
        <is>
          <t>dmc-agency</t>
        </is>
      </c>
      <c r="M1011" t="inlineStr">
        <is>
          <t>https://www.neoscapesmaldives.com/wp-content/uploads/CCM-Factsheet.pdf</t>
        </is>
      </c>
      <c r="N1011" t="inlineStr">
        <is>
          <t>https://www.neoscapesmaldives.com/wp-content/uploads/CCM-Factsheet.pdf</t>
        </is>
      </c>
      <c r="O1011" t="inlineStr">
        <is>
          <t>bfebc8900b4aadfa732e6be0148afb0e00bc85ed19cc2abebfc0aa9e3bd9d4a0</t>
        </is>
      </c>
      <c r="P1011" t="inlineStr">
        <is>
          <t>library/062_cora-cora-maldives/factsheet/2021_CCM-Factsheet.pdf</t>
        </is>
      </c>
      <c r="R1011" t="inlineStr">
        <is>
          <t>outdated</t>
        </is>
      </c>
      <c r="S1011" t="inlineStr">
        <is>
          <t>Y</t>
        </is>
      </c>
      <c r="T1011" t="inlineStr">
        <is>
          <t>matched</t>
        </is>
      </c>
      <c r="U1011" t="inlineStr">
        <is>
          <t>2026-10-04</t>
        </is>
      </c>
      <c r="V1011" t="inlineStr"/>
    </row>
    <row r="1012">
      <c r="A1012" t="n">
        <v>62</v>
      </c>
      <c r="B1012" t="inlineStr">
        <is>
          <t>Cora Cora Maldives</t>
        </is>
      </c>
      <c r="C1012" t="inlineStr">
        <is>
          <t>map</t>
        </is>
      </c>
      <c r="D1012" t="inlineStr">
        <is>
          <t>2025_CCM-Island-Map-1.pdf</t>
        </is>
      </c>
      <c r="E1012" t="n">
        <v>2025</v>
      </c>
      <c r="H1012" t="n">
        <v>1</v>
      </c>
      <c r="I1012" t="n">
        <v>4089</v>
      </c>
      <c r="J1012" t="inlineStr">
        <is>
          <t>Y</t>
        </is>
      </c>
      <c r="K1012" t="inlineStr">
        <is>
          <t>neoscapesmaldives.com</t>
        </is>
      </c>
      <c r="L1012" t="inlineStr">
        <is>
          <t>dmc-agency</t>
        </is>
      </c>
      <c r="M1012" t="inlineStr">
        <is>
          <t>https://www.neoscapesmaldives.com/wp-content/uploads/CCM-Island-Map-1.pdf</t>
        </is>
      </c>
      <c r="N1012" t="inlineStr">
        <is>
          <t>https://www.neoscapesmaldives.com/wp-content/uploads/CCM-Island-Map-1.pdf</t>
        </is>
      </c>
      <c r="O1012" t="inlineStr">
        <is>
          <t>f112acf98761e0a94073f473ab2831c8889a8beb662b33b10ab243b1dd079e40</t>
        </is>
      </c>
      <c r="P1012" t="inlineStr">
        <is>
          <t>library/062_cora-cora-maldives/map/2025_CCM-Island-Map-1.pdf</t>
        </is>
      </c>
      <c r="R1012" t="inlineStr">
        <is>
          <t>current</t>
        </is>
      </c>
      <c r="S1012" t="inlineStr">
        <is>
          <t>Y</t>
        </is>
      </c>
      <c r="T1012" t="inlineStr">
        <is>
          <t>needs-review</t>
        </is>
      </c>
      <c r="U1012" t="inlineStr">
        <is>
          <t>2026-10-04</t>
        </is>
      </c>
      <c r="V1012" t="inlineStr">
        <is>
          <t>ambiguous match [62]</t>
        </is>
      </c>
    </row>
    <row r="1013">
      <c r="A1013" t="n">
        <v>64</v>
      </c>
      <c r="B1013" t="inlineStr">
        <is>
          <t>Radisson Blu Resort Maldives</t>
        </is>
      </c>
      <c r="C1013" t="inlineStr">
        <is>
          <t>map</t>
        </is>
      </c>
      <c r="D1013" t="inlineStr">
        <is>
          <t>2025_Radisson-Blu-Resort-Maldives-Map.pdf</t>
        </is>
      </c>
      <c r="E1013" t="n">
        <v>2025</v>
      </c>
      <c r="H1013" t="n">
        <v>1</v>
      </c>
      <c r="I1013" t="n">
        <v>1626</v>
      </c>
      <c r="J1013" t="inlineStr">
        <is>
          <t>N</t>
        </is>
      </c>
      <c r="K1013" t="inlineStr">
        <is>
          <t>neoscapesmaldives.com</t>
        </is>
      </c>
      <c r="L1013" t="inlineStr">
        <is>
          <t>dmc-agency</t>
        </is>
      </c>
      <c r="M1013" t="inlineStr">
        <is>
          <t>https://www.neoscapesmaldives.com/wp-content/uploads/Radisson-Blu-Resort-Maldives-Map.pdf</t>
        </is>
      </c>
      <c r="N1013" t="inlineStr">
        <is>
          <t>https://www.neoscapesmaldives.com/wp-content/uploads/Radisson-Blu-Resort-Maldives-Map.pdf</t>
        </is>
      </c>
      <c r="O1013" t="inlineStr">
        <is>
          <t>c10fee1c9d082243c2bddfb507906931224783e01b343539dc499fac550401a9</t>
        </is>
      </c>
      <c r="P1013" t="inlineStr">
        <is>
          <t>library/064_radisson-blu-resort-maldives/map/2025_Radisson-Blu-Resort-Maldives-Map.pdf</t>
        </is>
      </c>
      <c r="R1013" t="inlineStr">
        <is>
          <t>current</t>
        </is>
      </c>
      <c r="S1013" t="inlineStr">
        <is>
          <t>Y</t>
        </is>
      </c>
      <c r="T1013" t="inlineStr">
        <is>
          <t>matched</t>
        </is>
      </c>
      <c r="U1013" t="inlineStr">
        <is>
          <t>2026-10-04</t>
        </is>
      </c>
      <c r="V1013" t="inlineStr"/>
    </row>
    <row r="1014">
      <c r="A1014" t="n">
        <v>64</v>
      </c>
      <c r="B1014" t="inlineStr">
        <is>
          <t>Radisson Blu Resort Maldives</t>
        </is>
      </c>
      <c r="C1014" t="inlineStr">
        <is>
          <t>dining_menu</t>
        </is>
      </c>
      <c r="D1014" t="inlineStr">
        <is>
          <t>2026_Radisson-Blu-Resort-Maldives_Eid_2026.pdf</t>
        </is>
      </c>
      <c r="E1014" t="n">
        <v>2026</v>
      </c>
      <c r="H1014" t="n">
        <v>7</v>
      </c>
      <c r="I1014" t="n">
        <v>1887</v>
      </c>
      <c r="J1014" t="inlineStr">
        <is>
          <t>Y</t>
        </is>
      </c>
      <c r="K1014" t="inlineStr">
        <is>
          <t>letsgomaldives.com</t>
        </is>
      </c>
      <c r="L1014" t="inlineStr">
        <is>
          <t>dmc-agency</t>
        </is>
      </c>
      <c r="M1014" t="inlineStr">
        <is>
          <t>https://letsgomaldives.com/wp-content/uploads/2026/03/Radisson-Blu-Resort-Maldives_Eid_2026.pdf</t>
        </is>
      </c>
      <c r="N1014" t="inlineStr">
        <is>
          <t>https://letsgomaldives.com/wp-content/uploads/2026/03/Radisson-Blu-Resort-Maldives_Eid_2026.pdf</t>
        </is>
      </c>
      <c r="O1014" t="inlineStr">
        <is>
          <t>c6a36f4b605af85708e564503ff20bf9c509fb33e216c405070a0ab96e3154f1</t>
        </is>
      </c>
      <c r="P1014" t="inlineStr">
        <is>
          <t>library/064_radisson-blu-resort-maldives/dining_menu/2026_Radisson-Blu-Resort-Maldives_Eid_2026.pdf</t>
        </is>
      </c>
      <c r="R1014" t="inlineStr">
        <is>
          <t>current</t>
        </is>
      </c>
      <c r="S1014" t="inlineStr">
        <is>
          <t>Y</t>
        </is>
      </c>
      <c r="T1014" t="inlineStr">
        <is>
          <t>matched</t>
        </is>
      </c>
      <c r="U1014" t="inlineStr">
        <is>
          <t>2026-10-04</t>
        </is>
      </c>
      <c r="V1014" t="inlineStr"/>
    </row>
    <row r="1015">
      <c r="A1015" t="n">
        <v>64</v>
      </c>
      <c r="B1015" t="inlineStr">
        <is>
          <t>Radisson Blu Resort Maldives</t>
        </is>
      </c>
      <c r="C1015" t="inlineStr">
        <is>
          <t>press_kit</t>
        </is>
      </c>
      <c r="D1015" t="inlineStr">
        <is>
          <t>2025_Radisson-Blu-Resort-Maldives-August_2025_Newsletter.pdf</t>
        </is>
      </c>
      <c r="E1015" t="n">
        <v>2025</v>
      </c>
      <c r="H1015" t="n">
        <v>19</v>
      </c>
      <c r="I1015" t="n">
        <v>5207</v>
      </c>
      <c r="J1015" t="inlineStr">
        <is>
          <t>Y</t>
        </is>
      </c>
      <c r="K1015" t="inlineStr">
        <is>
          <t>neoscapesmaldives.com</t>
        </is>
      </c>
      <c r="L1015" t="inlineStr">
        <is>
          <t>dmc-agency</t>
        </is>
      </c>
      <c r="M1015" t="inlineStr">
        <is>
          <t>https://www.neoscapesmaldives.com/wp-content/uploads/Radisson-Blu-Resort-Maldives-August_2025_Newsletter.pdf</t>
        </is>
      </c>
      <c r="N1015" t="inlineStr">
        <is>
          <t>https://www.neoscapesmaldives.com/wp-content/uploads/Radisson-Blu-Resort-Maldives-August_2025_Newsletter.pdf</t>
        </is>
      </c>
      <c r="O1015" t="inlineStr">
        <is>
          <t>8ff781ac63a437375958d4b57280baf47c0566379eaaa77c18e9105aee4ddae8</t>
        </is>
      </c>
      <c r="P1015" t="inlineStr">
        <is>
          <t>library/064_radisson-blu-resort-maldives/press_kit/2025_Radisson-Blu-Resort-Maldives-August_2025_Newsletter.pdf</t>
        </is>
      </c>
      <c r="R1015" t="inlineStr">
        <is>
          <t>current</t>
        </is>
      </c>
      <c r="S1015" t="inlineStr">
        <is>
          <t>Y</t>
        </is>
      </c>
      <c r="T1015" t="inlineStr">
        <is>
          <t>matched</t>
        </is>
      </c>
      <c r="U1015" t="inlineStr">
        <is>
          <t>2026-10-04</t>
        </is>
      </c>
      <c r="V1015" t="inlineStr"/>
    </row>
    <row r="1016">
      <c r="A1016" t="n">
        <v>65</v>
      </c>
      <c r="B1016" t="inlineStr">
        <is>
          <t>Cheval Blanc Randheli</t>
        </is>
      </c>
      <c r="C1016" t="inlineStr">
        <is>
          <t>factsheet</t>
        </is>
      </c>
      <c r="D1016" t="inlineStr">
        <is>
          <t>2026_Cheval-Blanc-Randheli.pdf</t>
        </is>
      </c>
      <c r="E1016" t="n">
        <v>2026</v>
      </c>
      <c r="H1016" t="n">
        <v>11</v>
      </c>
      <c r="I1016" t="n">
        <v>3310</v>
      </c>
      <c r="J1016" t="inlineStr">
        <is>
          <t>Y</t>
        </is>
      </c>
      <c r="K1016" t="inlineStr">
        <is>
          <t>awesomegetawaymaldives.com</t>
        </is>
      </c>
      <c r="L1016" t="inlineStr">
        <is>
          <t>dmc-agency</t>
        </is>
      </c>
      <c r="M1016" t="inlineStr">
        <is>
          <t>https://awesomegetawaymaldives.com/wp-content/uploads/2026/04/Cheval-Blanc-Randheli.pdf</t>
        </is>
      </c>
      <c r="N1016" t="inlineStr">
        <is>
          <t>https://awesomegetawaymaldives.com/wp-content/uploads/2026/04/Cheval-Blanc-Randheli.pdf</t>
        </is>
      </c>
      <c r="O1016" t="inlineStr">
        <is>
          <t>19bcabfe121338a66562a2686e728162afbf3aec62021288562390cd83dfacfe</t>
        </is>
      </c>
      <c r="P1016" t="inlineStr">
        <is>
          <t>library/065_cheval-blanc-randheli/factsheet/2026_Cheval-Blanc-Randheli.pdf</t>
        </is>
      </c>
      <c r="R1016" t="inlineStr">
        <is>
          <t>current</t>
        </is>
      </c>
      <c r="S1016" t="inlineStr">
        <is>
          <t>Y</t>
        </is>
      </c>
      <c r="T1016" t="inlineStr">
        <is>
          <t>matched</t>
        </is>
      </c>
      <c r="U1016" t="inlineStr">
        <is>
          <t>2026-10-04</t>
        </is>
      </c>
      <c r="V1016" t="inlineStr"/>
    </row>
    <row r="1017">
      <c r="A1017" t="n">
        <v>65</v>
      </c>
      <c r="B1017" t="inlineStr">
        <is>
          <t>Cheval Blanc Randheli</t>
        </is>
      </c>
      <c r="C1017" t="inlineStr">
        <is>
          <t>factsheet</t>
        </is>
      </c>
      <c r="D1017" t="inlineStr">
        <is>
          <t>2022_Cheval-Blanc-Randheli-Factsheet.pdf</t>
        </is>
      </c>
      <c r="E1017" t="n">
        <v>2022</v>
      </c>
      <c r="H1017" t="n">
        <v>2</v>
      </c>
      <c r="I1017" t="n">
        <v>580</v>
      </c>
      <c r="J1017" t="inlineStr">
        <is>
          <t>Y</t>
        </is>
      </c>
      <c r="K1017" t="inlineStr">
        <is>
          <t>neoscapesmaldives.com</t>
        </is>
      </c>
      <c r="L1017" t="inlineStr">
        <is>
          <t>dmc-agency</t>
        </is>
      </c>
      <c r="M1017" t="inlineStr">
        <is>
          <t>https://www.neoscapesmaldives.com/wp-content/uploads/Cheval-Blanc-Randheli-Factsheet.pdf</t>
        </is>
      </c>
      <c r="N1017" t="inlineStr">
        <is>
          <t>https://www.neoscapesmaldives.com/wp-content/uploads/Cheval-Blanc-Randheli-Factsheet.pdf</t>
        </is>
      </c>
      <c r="O1017" t="inlineStr">
        <is>
          <t>81c625ad9c4f4b1ec792543edfadd11e873430a9bca9a7742fee85bd9a094d6e</t>
        </is>
      </c>
      <c r="P1017" t="inlineStr">
        <is>
          <t>library/065_cheval-blanc-randheli/factsheet/2022_Cheval-Blanc-Randheli-Factsheet.pdf</t>
        </is>
      </c>
      <c r="R1017" t="inlineStr">
        <is>
          <t>outdated</t>
        </is>
      </c>
      <c r="S1017" t="inlineStr">
        <is>
          <t>N</t>
        </is>
      </c>
      <c r="T1017" t="inlineStr">
        <is>
          <t>matched</t>
        </is>
      </c>
      <c r="U1017" t="inlineStr">
        <is>
          <t>2026-10-04</t>
        </is>
      </c>
      <c r="V1017" t="inlineStr"/>
    </row>
    <row r="1018">
      <c r="A1018" t="n">
        <v>65</v>
      </c>
      <c r="B1018" t="inlineStr">
        <is>
          <t>Cheval Blanc Randheli</t>
        </is>
      </c>
      <c r="C1018" t="inlineStr">
        <is>
          <t>factsheet</t>
        </is>
      </c>
      <c r="D1018" t="inlineStr">
        <is>
          <t>2018_Cheval-Blanc-Randheli-Factsheet-EN.pdf</t>
        </is>
      </c>
      <c r="E1018" t="n">
        <v>2018</v>
      </c>
      <c r="H1018" t="n">
        <v>2</v>
      </c>
      <c r="I1018" t="n">
        <v>455</v>
      </c>
      <c r="J1018" t="inlineStr">
        <is>
          <t>Y</t>
        </is>
      </c>
      <c r="K1018" t="inlineStr">
        <is>
          <t>neoscapesmaldives.com</t>
        </is>
      </c>
      <c r="L1018" t="inlineStr">
        <is>
          <t>dmc-agency</t>
        </is>
      </c>
      <c r="M1018" t="inlineStr">
        <is>
          <t>https://www.neoscapesmaldives.com/wp-content/uploads/Cheval-Blanc-Randheli-Factsheet-EN.pdf</t>
        </is>
      </c>
      <c r="N1018" t="inlineStr">
        <is>
          <t>https://www.neoscapesmaldives.com/wp-content/uploads/Cheval-Blanc-Randheli-Factsheet-EN.pdf</t>
        </is>
      </c>
      <c r="O1018" t="inlineStr">
        <is>
          <t>7c210e865fef54f915e2599c9be10457f80352a37ebe68f24dfa4696f1becffc</t>
        </is>
      </c>
      <c r="P1018" t="inlineStr">
        <is>
          <t>library/065_cheval-blanc-randheli/factsheet/2018_Cheval-Blanc-Randheli-Factsheet-EN.pdf</t>
        </is>
      </c>
      <c r="R1018" t="inlineStr">
        <is>
          <t>outdated</t>
        </is>
      </c>
      <c r="S1018" t="inlineStr">
        <is>
          <t>N</t>
        </is>
      </c>
      <c r="T1018" t="inlineStr">
        <is>
          <t>matched</t>
        </is>
      </c>
      <c r="U1018" t="inlineStr">
        <is>
          <t>2026-10-04</t>
        </is>
      </c>
      <c r="V1018" t="inlineStr"/>
    </row>
    <row r="1019">
      <c r="A1019" t="n">
        <v>66</v>
      </c>
      <c r="B1019" t="inlineStr">
        <is>
          <t>Como Maalifushi</t>
        </is>
      </c>
      <c r="C1019" t="inlineStr">
        <is>
          <t>factsheet</t>
        </is>
      </c>
      <c r="D1019" t="inlineStr">
        <is>
          <t>2019_COMO-Maalifushi-Fact-Sheet.pdf</t>
        </is>
      </c>
      <c r="E1019" t="n">
        <v>2019</v>
      </c>
      <c r="H1019" t="n">
        <v>11</v>
      </c>
      <c r="I1019" t="n">
        <v>7349</v>
      </c>
      <c r="J1019" t="inlineStr">
        <is>
          <t>Y</t>
        </is>
      </c>
      <c r="K1019" t="inlineStr">
        <is>
          <t>neoscapesmaldives.com</t>
        </is>
      </c>
      <c r="L1019" t="inlineStr">
        <is>
          <t>dmc-agency</t>
        </is>
      </c>
      <c r="M1019" t="inlineStr">
        <is>
          <t>https://neoscapesmaldives.com/wp-content/uploads/COMO-Maalifushi-Fact-Sheet.pdf</t>
        </is>
      </c>
      <c r="N1019" t="inlineStr">
        <is>
          <t>https://neoscapesmaldives.com/wp-content/uploads/COMO-Maalifushi-Fact-Sheet.pdf</t>
        </is>
      </c>
      <c r="O1019" t="inlineStr">
        <is>
          <t>6bd9c06a4d43e0772ad94b315a1f5fcf24fc750da311f6fa85ef20a4de19cf72</t>
        </is>
      </c>
      <c r="P1019" t="inlineStr">
        <is>
          <t>library/066_como-maalifushi/factsheet/2019_COMO-Maalifushi-Fact-Sheet.pdf</t>
        </is>
      </c>
      <c r="R1019" t="inlineStr">
        <is>
          <t>outdated</t>
        </is>
      </c>
      <c r="S1019" t="inlineStr">
        <is>
          <t>Y</t>
        </is>
      </c>
      <c r="T1019" t="inlineStr">
        <is>
          <t>matched</t>
        </is>
      </c>
      <c r="U1019" t="inlineStr">
        <is>
          <t>2026-10-04</t>
        </is>
      </c>
      <c r="V1019" t="inlineStr"/>
    </row>
    <row r="1020">
      <c r="A1020" t="n">
        <v>66</v>
      </c>
      <c r="B1020" t="inlineStr">
        <is>
          <t>Como Maalifushi</t>
        </is>
      </c>
      <c r="C1020" t="inlineStr">
        <is>
          <t>map</t>
        </is>
      </c>
      <c r="D1020" t="inlineStr">
        <is>
          <t>2019_COMO-Maalifushi-Island-Map.pdf</t>
        </is>
      </c>
      <c r="E1020" t="n">
        <v>2019</v>
      </c>
      <c r="H1020" t="n">
        <v>1</v>
      </c>
      <c r="I1020" t="n">
        <v>2478</v>
      </c>
      <c r="J1020" t="inlineStr">
        <is>
          <t>N</t>
        </is>
      </c>
      <c r="K1020" t="inlineStr">
        <is>
          <t>neoscapesmaldives.com</t>
        </is>
      </c>
      <c r="L1020" t="inlineStr">
        <is>
          <t>dmc-agency</t>
        </is>
      </c>
      <c r="M1020" t="inlineStr">
        <is>
          <t>https://neoscapesmaldives.com/wp-content/uploads/COMO-Maalifushi-Island-Map.pdf</t>
        </is>
      </c>
      <c r="N1020" t="inlineStr">
        <is>
          <t>https://neoscapesmaldives.com/wp-content/uploads/COMO-Maalifushi-Island-Map.pdf</t>
        </is>
      </c>
      <c r="O1020" t="inlineStr">
        <is>
          <t>c624bc434b81d21b74c779a88daaaa59299ec07e2153fb2e25b59353e6b552f9</t>
        </is>
      </c>
      <c r="P1020" t="inlineStr">
        <is>
          <t>library/066_como-maalifushi/map/2019_COMO-Maalifushi-Island-Map.pdf</t>
        </is>
      </c>
      <c r="R1020" t="inlineStr">
        <is>
          <t>outdated</t>
        </is>
      </c>
      <c r="S1020" t="inlineStr">
        <is>
          <t>Y</t>
        </is>
      </c>
      <c r="T1020" t="inlineStr">
        <is>
          <t>matched</t>
        </is>
      </c>
      <c r="U1020" t="inlineStr">
        <is>
          <t>2026-10-04</t>
        </is>
      </c>
      <c r="V1020" t="inlineStr"/>
    </row>
    <row r="1021">
      <c r="A1021" t="n">
        <v>67</v>
      </c>
      <c r="B1021" t="inlineStr">
        <is>
          <t>Waldorf Astoria Maldives Ithaafushi</t>
        </is>
      </c>
      <c r="C1021" t="inlineStr">
        <is>
          <t>factsheet</t>
        </is>
      </c>
      <c r="D1021" t="inlineStr">
        <is>
          <t>2025_Fact-Sheet.pdf</t>
        </is>
      </c>
      <c r="E1021" t="n">
        <v>2025</v>
      </c>
      <c r="H1021" t="n">
        <v>4</v>
      </c>
      <c r="I1021" t="n">
        <v>2535</v>
      </c>
      <c r="J1021" t="inlineStr">
        <is>
          <t>Y</t>
        </is>
      </c>
      <c r="K1021" t="inlineStr">
        <is>
          <t>neoscapesmaldives.com</t>
        </is>
      </c>
      <c r="L1021" t="inlineStr">
        <is>
          <t>dmc-agency</t>
        </is>
      </c>
      <c r="M1021" t="inlineStr">
        <is>
          <t>https://www.neoscapesmaldives.com/wp-content/uploads/Fact-Sheet.pdf</t>
        </is>
      </c>
      <c r="N1021" t="inlineStr">
        <is>
          <t>https://www.neoscapesmaldives.com/wp-content/uploads/Fact-Sheet.pdf</t>
        </is>
      </c>
      <c r="O1021" t="inlineStr">
        <is>
          <t>5c8a537273268db7a5b28cd9627a7d1816482746ea564d1e2a10379497b7c68b</t>
        </is>
      </c>
      <c r="P1021" t="inlineStr">
        <is>
          <t>library/067_waldorf-astoria-maldives-ithaafushi/factsheet/2025_Fact-Sheet.pdf</t>
        </is>
      </c>
      <c r="R1021" t="inlineStr">
        <is>
          <t>current</t>
        </is>
      </c>
      <c r="S1021" t="inlineStr">
        <is>
          <t>Y</t>
        </is>
      </c>
      <c r="T1021" t="inlineStr">
        <is>
          <t>matched</t>
        </is>
      </c>
      <c r="U1021" t="inlineStr">
        <is>
          <t>2026-10-04</t>
        </is>
      </c>
      <c r="V1021" t="inlineStr"/>
    </row>
    <row r="1022">
      <c r="A1022" t="n">
        <v>67</v>
      </c>
      <c r="B1022" t="inlineStr">
        <is>
          <t>Waldorf Astoria Maldives Ithaafushi</t>
        </is>
      </c>
      <c r="C1022" t="inlineStr">
        <is>
          <t>factsheet</t>
        </is>
      </c>
      <c r="D1022" t="inlineStr">
        <is>
          <t>2023_Ithaafushi-The-Private-Island-Fact-Sheet_2023-1.pdf</t>
        </is>
      </c>
      <c r="E1022" t="n">
        <v>2023</v>
      </c>
      <c r="H1022" t="n">
        <v>4</v>
      </c>
      <c r="I1022" t="n">
        <v>1461</v>
      </c>
      <c r="J1022" t="inlineStr">
        <is>
          <t>Y</t>
        </is>
      </c>
      <c r="K1022" t="inlineStr">
        <is>
          <t>neoscapesmaldives.com</t>
        </is>
      </c>
      <c r="L1022" t="inlineStr">
        <is>
          <t>dmc-agency</t>
        </is>
      </c>
      <c r="M1022" t="inlineStr">
        <is>
          <t>https://www.neoscapesmaldives.com/wp-content/uploads/Ithaafushi-The-Private-Island-Fact-Sheet_2023-1.pdf</t>
        </is>
      </c>
      <c r="N1022" t="inlineStr">
        <is>
          <t>https://www.neoscapesmaldives.com/wp-content/uploads/Ithaafushi-The-Private-Island-Fact-Sheet_2023-1.pdf</t>
        </is>
      </c>
      <c r="O1022" t="inlineStr">
        <is>
          <t>945fbbf8ddba937f77a96c1dc6156751567e529418c97ad92cddbce9020e2cac</t>
        </is>
      </c>
      <c r="P1022" t="inlineStr">
        <is>
          <t>library/067_waldorf-astoria-maldives-ithaafushi/factsheet/2023_Ithaafushi-The-Private-Island-Fact-Sheet_2023-1.pdf</t>
        </is>
      </c>
      <c r="R1022" t="inlineStr">
        <is>
          <t>outdated</t>
        </is>
      </c>
      <c r="S1022" t="inlineStr">
        <is>
          <t>N</t>
        </is>
      </c>
      <c r="T1022" t="inlineStr">
        <is>
          <t>matched</t>
        </is>
      </c>
      <c r="U1022" t="inlineStr">
        <is>
          <t>2026-10-04</t>
        </is>
      </c>
      <c r="V1022" t="inlineStr"/>
    </row>
    <row r="1023">
      <c r="A1023" t="n">
        <v>67</v>
      </c>
      <c r="B1023" t="inlineStr">
        <is>
          <t>Waldorf Astoria Maldives Ithaafushi</t>
        </is>
      </c>
      <c r="C1023" t="inlineStr">
        <is>
          <t>map</t>
        </is>
      </c>
      <c r="D1023" t="inlineStr">
        <is>
          <t>2025_Resort-Map-1.pdf</t>
        </is>
      </c>
      <c r="E1023" t="n">
        <v>2025</v>
      </c>
      <c r="H1023" t="n">
        <v>1</v>
      </c>
      <c r="I1023" t="n">
        <v>4106</v>
      </c>
      <c r="J1023" t="inlineStr">
        <is>
          <t>Y</t>
        </is>
      </c>
      <c r="K1023" t="inlineStr">
        <is>
          <t>neoscapesmaldives.com</t>
        </is>
      </c>
      <c r="L1023" t="inlineStr">
        <is>
          <t>dmc-agency</t>
        </is>
      </c>
      <c r="M1023" t="inlineStr">
        <is>
          <t>https://www.neoscapesmaldives.com/wp-content/uploads/Resort-Map-1.pdf</t>
        </is>
      </c>
      <c r="N1023" t="inlineStr">
        <is>
          <t>https://www.neoscapesmaldives.com/wp-content/uploads/Resort-Map-1.pdf</t>
        </is>
      </c>
      <c r="O1023" t="inlineStr">
        <is>
          <t>c9aaa752d9f5772a8f596fef8840dc5d656ab0952bd8e9adc9fb82508d17c6ca</t>
        </is>
      </c>
      <c r="P1023" t="inlineStr">
        <is>
          <t>library/067_waldorf-astoria-maldives-ithaafushi/map/2025_Resort-Map-1.pdf</t>
        </is>
      </c>
      <c r="R1023" t="inlineStr">
        <is>
          <t>current</t>
        </is>
      </c>
      <c r="S1023" t="inlineStr">
        <is>
          <t>Y</t>
        </is>
      </c>
      <c r="T1023" t="inlineStr">
        <is>
          <t>needs-review</t>
        </is>
      </c>
      <c r="U1023" t="inlineStr">
        <is>
          <t>2026-10-04</t>
        </is>
      </c>
      <c r="V1023" t="inlineStr">
        <is>
          <t>ambiguous match [67]</t>
        </is>
      </c>
    </row>
    <row r="1024">
      <c r="A1024" t="n">
        <v>67</v>
      </c>
      <c r="B1024" t="inlineStr">
        <is>
          <t>Waldorf Astoria Maldives Ithaafushi</t>
        </is>
      </c>
      <c r="C1024" t="inlineStr">
        <is>
          <t>map</t>
        </is>
      </c>
      <c r="D1024" t="inlineStr">
        <is>
          <t>2025_Ithaafushi-Private-Island-Map.pdf</t>
        </is>
      </c>
      <c r="E1024" t="n">
        <v>2025</v>
      </c>
      <c r="H1024" t="n">
        <v>1</v>
      </c>
      <c r="I1024" t="n">
        <v>2747</v>
      </c>
      <c r="J1024" t="inlineStr">
        <is>
          <t>Y</t>
        </is>
      </c>
      <c r="K1024" t="inlineStr">
        <is>
          <t>neoscapesmaldives.com</t>
        </is>
      </c>
      <c r="L1024" t="inlineStr">
        <is>
          <t>dmc-agency</t>
        </is>
      </c>
      <c r="M1024" t="inlineStr">
        <is>
          <t>https://www.neoscapesmaldives.com/wp-content/uploads/Ithaafushi-Private-Island-Map.pdf</t>
        </is>
      </c>
      <c r="N1024" t="inlineStr">
        <is>
          <t>https://www.neoscapesmaldives.com/wp-content/uploads/Ithaafushi-Private-Island-Map.pdf</t>
        </is>
      </c>
      <c r="O1024" t="inlineStr">
        <is>
          <t>96a25c830d9aa1eccc300d1a3b6081ed2809a88aad82e75db8e946f0d5db6b7f</t>
        </is>
      </c>
      <c r="P1024" t="inlineStr">
        <is>
          <t>library/067_waldorf-astoria-maldives-ithaafushi/map/2025_Ithaafushi-Private-Island-Map.pdf</t>
        </is>
      </c>
      <c r="R1024" t="inlineStr">
        <is>
          <t>current</t>
        </is>
      </c>
      <c r="S1024" t="inlineStr">
        <is>
          <t>N</t>
        </is>
      </c>
      <c r="T1024" t="inlineStr">
        <is>
          <t>matched</t>
        </is>
      </c>
      <c r="U1024" t="inlineStr">
        <is>
          <t>2026-10-04</t>
        </is>
      </c>
      <c r="V1024" t="inlineStr"/>
    </row>
    <row r="1025">
      <c r="A1025" t="n">
        <v>67</v>
      </c>
      <c r="B1025" t="inlineStr">
        <is>
          <t>Waldorf Astoria Maldives Ithaafushi</t>
        </is>
      </c>
      <c r="C1025" t="inlineStr">
        <is>
          <t>excursions</t>
        </is>
      </c>
      <c r="D1025" t="inlineStr">
        <is>
          <t>2026_Eid-Al-Fitr-1.pdf</t>
        </is>
      </c>
      <c r="E1025" t="n">
        <v>2026</v>
      </c>
      <c r="H1025" t="n">
        <v>8</v>
      </c>
      <c r="I1025" t="n">
        <v>8492</v>
      </c>
      <c r="J1025" t="inlineStr">
        <is>
          <t>Y</t>
        </is>
      </c>
      <c r="K1025" t="inlineStr">
        <is>
          <t>letsgomaldives.com</t>
        </is>
      </c>
      <c r="L1025" t="inlineStr">
        <is>
          <t>dmc-agency</t>
        </is>
      </c>
      <c r="M1025" t="inlineStr">
        <is>
          <t>https://letsgomaldives.com/wp-content/uploads/2026/03/Eid-Al-Fitr-1.pdf</t>
        </is>
      </c>
      <c r="N1025" t="inlineStr">
        <is>
          <t>https://letsgomaldives.com/wp-content/uploads/2026/03/Eid-Al-Fitr-1.pdf</t>
        </is>
      </c>
      <c r="O1025" t="inlineStr">
        <is>
          <t>042f422839ddda32a279c204406b8a4e9c4de08d5998f178fcb11cc2174bfe44</t>
        </is>
      </c>
      <c r="P1025" t="inlineStr">
        <is>
          <t>library/067_waldorf-astoria-maldives-ithaafushi/excursions/2026_Eid-Al-Fitr-1.pdf</t>
        </is>
      </c>
      <c r="R1025" t="inlineStr">
        <is>
          <t>current</t>
        </is>
      </c>
      <c r="S1025" t="inlineStr">
        <is>
          <t>Y</t>
        </is>
      </c>
      <c r="T1025" t="inlineStr">
        <is>
          <t>matched</t>
        </is>
      </c>
      <c r="U1025" t="inlineStr">
        <is>
          <t>2026-10-04</t>
        </is>
      </c>
      <c r="V1025" t="inlineStr"/>
    </row>
    <row r="1026">
      <c r="A1026" t="n">
        <v>68</v>
      </c>
      <c r="B1026" t="inlineStr">
        <is>
          <t>JA Manafaru</t>
        </is>
      </c>
      <c r="C1026" t="inlineStr">
        <is>
          <t>factsheet</t>
        </is>
      </c>
      <c r="D1026" t="inlineStr">
        <is>
          <t>2024_ja-jam-factsheet-digital.pdf</t>
        </is>
      </c>
      <c r="E1026" t="n">
        <v>2024</v>
      </c>
      <c r="H1026" t="n">
        <v>13</v>
      </c>
      <c r="I1026" t="n">
        <v>4911</v>
      </c>
      <c r="J1026" t="inlineStr">
        <is>
          <t>Y</t>
        </is>
      </c>
      <c r="K1026" t="inlineStr">
        <is>
          <t>neoscapesmaldives.com</t>
        </is>
      </c>
      <c r="L1026" t="inlineStr">
        <is>
          <t>dmc-agency</t>
        </is>
      </c>
      <c r="M1026" t="inlineStr">
        <is>
          <t>https://www.neoscapesmaldives.com/wp-content/uploads/ja-jam-factsheet-digital.pdf</t>
        </is>
      </c>
      <c r="N1026" t="inlineStr">
        <is>
          <t>https://www.neoscapesmaldives.com/wp-content/uploads/ja-jam-factsheet-digital.pdf</t>
        </is>
      </c>
      <c r="O1026" t="inlineStr">
        <is>
          <t>55ff65cf939beb7824d57ff10f5731f4434f93bac651a92ff964a8a2262ea730</t>
        </is>
      </c>
      <c r="P1026" t="inlineStr">
        <is>
          <t>library/068_ja-manafaru/factsheet/2024_ja-jam-factsheet-digital.pdf</t>
        </is>
      </c>
      <c r="R1026" t="inlineStr">
        <is>
          <t>outdated</t>
        </is>
      </c>
      <c r="S1026" t="inlineStr">
        <is>
          <t>Y</t>
        </is>
      </c>
      <c r="T1026" t="inlineStr">
        <is>
          <t>matched</t>
        </is>
      </c>
      <c r="U1026" t="inlineStr">
        <is>
          <t>2026-10-04</t>
        </is>
      </c>
      <c r="V1026" t="inlineStr"/>
    </row>
    <row r="1027">
      <c r="A1027" t="n">
        <v>68</v>
      </c>
      <c r="B1027" t="inlineStr">
        <is>
          <t>JA Manafaru</t>
        </is>
      </c>
      <c r="C1027" t="inlineStr">
        <is>
          <t>map</t>
        </is>
      </c>
      <c r="D1027" t="inlineStr">
        <is>
          <t>2024_JA-Manafaru-Map-24.pdf</t>
        </is>
      </c>
      <c r="E1027" t="n">
        <v>2024</v>
      </c>
      <c r="H1027" t="n">
        <v>1</v>
      </c>
      <c r="I1027" t="n">
        <v>1974</v>
      </c>
      <c r="J1027" t="inlineStr">
        <is>
          <t>N</t>
        </is>
      </c>
      <c r="K1027" t="inlineStr">
        <is>
          <t>neoscapesmaldives.com</t>
        </is>
      </c>
      <c r="L1027" t="inlineStr">
        <is>
          <t>dmc-agency</t>
        </is>
      </c>
      <c r="M1027" t="inlineStr">
        <is>
          <t>https://www.neoscapesmaldives.com/wp-content/uploads/JA-Manafaru-Map-24.pdf</t>
        </is>
      </c>
      <c r="N1027" t="inlineStr">
        <is>
          <t>https://www.neoscapesmaldives.com/wp-content/uploads/JA-Manafaru-Map-24.pdf</t>
        </is>
      </c>
      <c r="O1027" t="inlineStr">
        <is>
          <t>de4ca4c8804707624f8672c5e384a768a3a8ebc8328b3fd515b5ca8d87e67ef0</t>
        </is>
      </c>
      <c r="P1027" t="inlineStr">
        <is>
          <t>library/068_ja-manafaru/map/2024_JA-Manafaru-Map-24.pdf</t>
        </is>
      </c>
      <c r="R1027" t="inlineStr">
        <is>
          <t>outdated</t>
        </is>
      </c>
      <c r="S1027" t="inlineStr">
        <is>
          <t>Y</t>
        </is>
      </c>
      <c r="T1027" t="inlineStr">
        <is>
          <t>matched</t>
        </is>
      </c>
      <c r="U1027" t="inlineStr">
        <is>
          <t>2026-10-04</t>
        </is>
      </c>
      <c r="V1027" t="inlineStr"/>
    </row>
    <row r="1028">
      <c r="A1028" t="n">
        <v>68</v>
      </c>
      <c r="B1028" t="inlineStr">
        <is>
          <t>JA Manafaru</t>
        </is>
      </c>
      <c r="C1028" t="inlineStr">
        <is>
          <t>calendar</t>
        </is>
      </c>
      <c r="D1028" t="inlineStr">
        <is>
          <t>2027_JA-Manafaru.pdf</t>
        </is>
      </c>
      <c r="E1028" t="n">
        <v>2027</v>
      </c>
      <c r="H1028" t="n">
        <v>9</v>
      </c>
      <c r="I1028" t="n">
        <v>4737</v>
      </c>
      <c r="J1028" t="inlineStr">
        <is>
          <t>Y</t>
        </is>
      </c>
      <c r="K1028" t="inlineStr">
        <is>
          <t>letsgomaldives.com</t>
        </is>
      </c>
      <c r="L1028" t="inlineStr">
        <is>
          <t>dmc-agency</t>
        </is>
      </c>
      <c r="M1028" t="inlineStr">
        <is>
          <t>https://letsgomaldives.com/wp-content/uploads/2026/08/JA-Manafaru.pdf</t>
        </is>
      </c>
      <c r="N1028" t="inlineStr">
        <is>
          <t>https://letsgomaldives.com/wp-content/uploads/2026/08/JA-Manafaru.pdf</t>
        </is>
      </c>
      <c r="O1028" t="inlineStr">
        <is>
          <t>0784c7050207fead78664333082c4b6776223d7e2a2ad359d945d78cbf740ceb</t>
        </is>
      </c>
      <c r="P1028" t="inlineStr">
        <is>
          <t>library/068_ja-manafaru/calendar/2027_JA-Manafaru.pdf</t>
        </is>
      </c>
      <c r="R1028" t="inlineStr">
        <is>
          <t>current</t>
        </is>
      </c>
      <c r="S1028" t="inlineStr">
        <is>
          <t>Y</t>
        </is>
      </c>
      <c r="T1028" t="inlineStr">
        <is>
          <t>matched</t>
        </is>
      </c>
      <c r="U1028" t="inlineStr">
        <is>
          <t>2026-10-04</t>
        </is>
      </c>
      <c r="V1028" t="inlineStr"/>
    </row>
    <row r="1029">
      <c r="A1029" t="n">
        <v>69</v>
      </c>
      <c r="B1029" t="inlineStr">
        <is>
          <t>Adaaran Club Rannalhi</t>
        </is>
      </c>
      <c r="C1029" t="inlineStr">
        <is>
          <t>factsheet</t>
        </is>
      </c>
      <c r="D1029" t="inlineStr">
        <is>
          <t>2025_Fact-Sheet-Adaaran-Club-Rannalhi.pdf</t>
        </is>
      </c>
      <c r="E1029" t="n">
        <v>2025</v>
      </c>
      <c r="H1029" t="n">
        <v>13</v>
      </c>
      <c r="I1029" t="n">
        <v>4919</v>
      </c>
      <c r="J1029" t="inlineStr">
        <is>
          <t>Y</t>
        </is>
      </c>
      <c r="K1029" t="inlineStr">
        <is>
          <t>neoscapesmaldives.com</t>
        </is>
      </c>
      <c r="L1029" t="inlineStr">
        <is>
          <t>dmc-agency</t>
        </is>
      </c>
      <c r="M1029" t="inlineStr">
        <is>
          <t>https://www.neoscapesmaldives.com/wp-content/uploads/Fact-Sheet-Adaaran-Club-Rannalhi.pdf</t>
        </is>
      </c>
      <c r="N1029" t="inlineStr">
        <is>
          <t>https://www.neoscapesmaldives.com/wp-content/uploads/Fact-Sheet-Adaaran-Club-Rannalhi.pdf</t>
        </is>
      </c>
      <c r="O1029" t="inlineStr">
        <is>
          <t>781c0f991a1217e1d87e11bc69e66b432a5e438106554078fa92d365a688059c</t>
        </is>
      </c>
      <c r="P1029" t="inlineStr">
        <is>
          <t>library/069_adaaran-club-rannalhi/factsheet/2025_Fact-Sheet-Adaaran-Club-Rannalhi.pdf</t>
        </is>
      </c>
      <c r="R1029" t="inlineStr">
        <is>
          <t>current</t>
        </is>
      </c>
      <c r="S1029" t="inlineStr">
        <is>
          <t>Y</t>
        </is>
      </c>
      <c r="T1029" t="inlineStr">
        <is>
          <t>matched</t>
        </is>
      </c>
      <c r="U1029" t="inlineStr">
        <is>
          <t>2026-10-04</t>
        </is>
      </c>
      <c r="V1029" t="inlineStr"/>
    </row>
    <row r="1030">
      <c r="A1030" t="n">
        <v>69</v>
      </c>
      <c r="B1030" t="inlineStr">
        <is>
          <t>Adaaran Club Rannalhi</t>
        </is>
      </c>
      <c r="C1030" t="inlineStr">
        <is>
          <t>map</t>
        </is>
      </c>
      <c r="D1030" t="inlineStr">
        <is>
          <t>2020_Adaaran-Ranalhi-Island-Map.pdf</t>
        </is>
      </c>
      <c r="E1030" t="n">
        <v>2020</v>
      </c>
      <c r="H1030" t="n">
        <v>1</v>
      </c>
      <c r="I1030" t="n">
        <v>2412</v>
      </c>
      <c r="J1030" t="inlineStr">
        <is>
          <t>N</t>
        </is>
      </c>
      <c r="K1030" t="inlineStr">
        <is>
          <t>neoscapesmaldives.com</t>
        </is>
      </c>
      <c r="L1030" t="inlineStr">
        <is>
          <t>dmc-agency</t>
        </is>
      </c>
      <c r="M1030" t="inlineStr">
        <is>
          <t>https://www.neoscapesmaldives.com/wp-content/uploads/Adaaran-Ranalhi-Island-Map.pdf</t>
        </is>
      </c>
      <c r="N1030" t="inlineStr">
        <is>
          <t>https://www.neoscapesmaldives.com/wp-content/uploads/Adaaran-Ranalhi-Island-Map.pdf</t>
        </is>
      </c>
      <c r="O1030" t="inlineStr">
        <is>
          <t>81577f8cad95ee7d1ac4840eb83bb607b805a7230cb4335b443030367b372453</t>
        </is>
      </c>
      <c r="P1030" t="inlineStr">
        <is>
          <t>library/069_adaaran-club-rannalhi/map/2020_Adaaran-Ranalhi-Island-Map.pdf</t>
        </is>
      </c>
      <c r="R1030" t="inlineStr">
        <is>
          <t>outdated</t>
        </is>
      </c>
      <c r="S1030" t="inlineStr">
        <is>
          <t>Y</t>
        </is>
      </c>
      <c r="T1030" t="inlineStr">
        <is>
          <t>needs-review</t>
        </is>
      </c>
      <c r="U1030" t="inlineStr">
        <is>
          <t>2026-10-04</t>
        </is>
      </c>
      <c r="V1030" t="inlineStr">
        <is>
          <t>ambiguous match [69]</t>
        </is>
      </c>
    </row>
    <row r="1031">
      <c r="A1031" t="n">
        <v>69</v>
      </c>
      <c r="B1031" t="inlineStr">
        <is>
          <t>Adaaran Club Rannalhi</t>
        </is>
      </c>
      <c r="C1031" t="inlineStr">
        <is>
          <t>sustainability</t>
        </is>
      </c>
      <c r="D1031" t="inlineStr">
        <is>
          <t>2025_Sustainabilty-Report-ACR_compressed-2025-26.pdf</t>
        </is>
      </c>
      <c r="E1031" t="n">
        <v>2025</v>
      </c>
      <c r="H1031" t="n">
        <v>21</v>
      </c>
      <c r="I1031" t="n">
        <v>4473</v>
      </c>
      <c r="J1031" t="inlineStr">
        <is>
          <t>Y</t>
        </is>
      </c>
      <c r="K1031" t="inlineStr">
        <is>
          <t>adaaran.com</t>
        </is>
      </c>
      <c r="L1031" t="inlineStr">
        <is>
          <t>official</t>
        </is>
      </c>
      <c r="M1031" t="inlineStr">
        <is>
          <t>https://adaaran.eme-devops.com/2026/05/Sustainabilty-Report-ACR_compressed-2025-26.pdf</t>
        </is>
      </c>
      <c r="N1031" t="inlineStr">
        <is>
          <t>https://adaaran.eme-devops.com/2026/05/Sustainabilty-Report-ACR_compressed-2025-26.pdf</t>
        </is>
      </c>
      <c r="O1031" t="inlineStr">
        <is>
          <t>fe84e5b1fda4f2f2cbb157d34bd0236fe3dc42283c0fdf1fbb995b68bca0c55a</t>
        </is>
      </c>
      <c r="P1031" t="inlineStr">
        <is>
          <t>library/069_adaaran-club-rannalhi/sustainability/2025_Sustainabilty-Report-ACR_compressed-2025-26.pdf</t>
        </is>
      </c>
      <c r="R1031" t="inlineStr">
        <is>
          <t>current</t>
        </is>
      </c>
      <c r="S1031" t="inlineStr">
        <is>
          <t>Y</t>
        </is>
      </c>
      <c r="T1031" t="inlineStr">
        <is>
          <t>matched</t>
        </is>
      </c>
      <c r="U1031" t="inlineStr">
        <is>
          <t>2026-10-04</t>
        </is>
      </c>
      <c r="V1031" t="inlineStr"/>
    </row>
    <row r="1032">
      <c r="A1032" t="n">
        <v>69</v>
      </c>
      <c r="B1032" t="inlineStr">
        <is>
          <t>Adaaran Club Rannalhi</t>
        </is>
      </c>
      <c r="C1032" t="inlineStr">
        <is>
          <t>sustainability</t>
        </is>
      </c>
      <c r="D1032" t="inlineStr">
        <is>
          <t>2024_Adaaran-Club-Rannalhi-Sustainability-Report-2024-25.pdf</t>
        </is>
      </c>
      <c r="E1032" t="n">
        <v>2024</v>
      </c>
      <c r="H1032" t="n">
        <v>19</v>
      </c>
      <c r="I1032" t="n">
        <v>2771</v>
      </c>
      <c r="J1032" t="inlineStr">
        <is>
          <t>Y</t>
        </is>
      </c>
      <c r="K1032" t="inlineStr">
        <is>
          <t>adaaran.com</t>
        </is>
      </c>
      <c r="L1032" t="inlineStr">
        <is>
          <t>official</t>
        </is>
      </c>
      <c r="M1032" t="inlineStr">
        <is>
          <t>https://adaaran.eme-devops.com/2025/08/Adaaran-Club-Rannalhi-Sustainability-Report-2024-25.pdf</t>
        </is>
      </c>
      <c r="N1032" t="inlineStr">
        <is>
          <t>https://adaaran.eme-devops.com/2025/08/Adaaran-Club-Rannalhi-Sustainability-Report-2024-25.pdf</t>
        </is>
      </c>
      <c r="O1032" t="inlineStr">
        <is>
          <t>b139c477f027bff3f37129886f4f0dacc706b257439c649f454a3a03f07d5f3a</t>
        </is>
      </c>
      <c r="P1032" t="inlineStr">
        <is>
          <t>library/069_adaaran-club-rannalhi/sustainability/2024_Adaaran-Club-Rannalhi-Sustainability-Report-2024-25.pdf</t>
        </is>
      </c>
      <c r="R1032" t="inlineStr">
        <is>
          <t>outdated</t>
        </is>
      </c>
      <c r="S1032" t="inlineStr">
        <is>
          <t>N</t>
        </is>
      </c>
      <c r="T1032" t="inlineStr">
        <is>
          <t>matched</t>
        </is>
      </c>
      <c r="U1032" t="inlineStr">
        <is>
          <t>2026-10-04</t>
        </is>
      </c>
      <c r="V1032" t="inlineStr"/>
    </row>
    <row r="1033">
      <c r="A1033" t="n">
        <v>69</v>
      </c>
      <c r="B1033" t="inlineStr">
        <is>
          <t>Adaaran Club Rannalhi</t>
        </is>
      </c>
      <c r="C1033" t="inlineStr">
        <is>
          <t>sustainability</t>
        </is>
      </c>
      <c r="D1033" t="inlineStr">
        <is>
          <t>2023_Adaaran-Club-Rannalhi-Sustainability-Report-2023-24.pdf</t>
        </is>
      </c>
      <c r="E1033" t="n">
        <v>2023</v>
      </c>
      <c r="H1033" t="n">
        <v>17</v>
      </c>
      <c r="I1033" t="n">
        <v>1981</v>
      </c>
      <c r="J1033" t="inlineStr">
        <is>
          <t>Y</t>
        </is>
      </c>
      <c r="K1033" t="inlineStr">
        <is>
          <t>adaaran.com</t>
        </is>
      </c>
      <c r="L1033" t="inlineStr">
        <is>
          <t>official</t>
        </is>
      </c>
      <c r="M1033" t="inlineStr">
        <is>
          <t>https://adaaran.eme-devops.com/2025/08/Adaaran-Club-Rannalhi-Sustainability-Report-2023-24.pdf</t>
        </is>
      </c>
      <c r="N1033" t="inlineStr">
        <is>
          <t>https://adaaran.eme-devops.com/2025/08/Adaaran-Club-Rannalhi-Sustainability-Report-2023-24.pdf</t>
        </is>
      </c>
      <c r="O1033" t="inlineStr">
        <is>
          <t>efbef08a0ff4edd864b6ec6ea23f3a1f93dddfa3f8042f1056a33e3196655895</t>
        </is>
      </c>
      <c r="P1033" t="inlineStr">
        <is>
          <t>library/069_adaaran-club-rannalhi/sustainability/2023_Adaaran-Club-Rannalhi-Sustainability-Report-2023-24.pdf</t>
        </is>
      </c>
      <c r="R1033" t="inlineStr">
        <is>
          <t>outdated</t>
        </is>
      </c>
      <c r="S1033" t="inlineStr">
        <is>
          <t>N</t>
        </is>
      </c>
      <c r="T1033" t="inlineStr">
        <is>
          <t>matched</t>
        </is>
      </c>
      <c r="U1033" t="inlineStr">
        <is>
          <t>2026-10-04</t>
        </is>
      </c>
      <c r="V1033" t="inlineStr"/>
    </row>
    <row r="1034">
      <c r="A1034" t="n">
        <v>69</v>
      </c>
      <c r="B1034" t="inlineStr">
        <is>
          <t>Adaaran Club Rannalhi</t>
        </is>
      </c>
      <c r="C1034" t="inlineStr">
        <is>
          <t>sustainability</t>
        </is>
      </c>
      <c r="D1034" t="inlineStr">
        <is>
          <t>2022_Adaaran-Club-Rannalhi-Sustainability-Report-2022-23.pdf</t>
        </is>
      </c>
      <c r="E1034" t="n">
        <v>2022</v>
      </c>
      <c r="H1034" t="n">
        <v>16</v>
      </c>
      <c r="I1034" t="n">
        <v>4982</v>
      </c>
      <c r="J1034" t="inlineStr">
        <is>
          <t>Y</t>
        </is>
      </c>
      <c r="K1034" t="inlineStr">
        <is>
          <t>adaaran.com</t>
        </is>
      </c>
      <c r="L1034" t="inlineStr">
        <is>
          <t>official</t>
        </is>
      </c>
      <c r="M1034" t="inlineStr">
        <is>
          <t>https://adaaran.eme-devops.com/2025/08/Adaaran-Club-Rannalhi-Sustainability-Report-2022-23.pdf</t>
        </is>
      </c>
      <c r="N1034" t="inlineStr">
        <is>
          <t>https://adaaran.eme-devops.com/2025/08/Adaaran-Club-Rannalhi-Sustainability-Report-2022-23.pdf</t>
        </is>
      </c>
      <c r="O1034" t="inlineStr">
        <is>
          <t>1060ea865b6dbbba069e7179753ed81c844a292198752f6ad72db29aee5dcfc1</t>
        </is>
      </c>
      <c r="P1034" t="inlineStr">
        <is>
          <t>library/069_adaaran-club-rannalhi/sustainability/2022_Adaaran-Club-Rannalhi-Sustainability-Report-2022-23.pdf</t>
        </is>
      </c>
      <c r="R1034" t="inlineStr">
        <is>
          <t>outdated</t>
        </is>
      </c>
      <c r="S1034" t="inlineStr">
        <is>
          <t>N</t>
        </is>
      </c>
      <c r="T1034" t="inlineStr">
        <is>
          <t>matched</t>
        </is>
      </c>
      <c r="U1034" t="inlineStr">
        <is>
          <t>2026-10-04</t>
        </is>
      </c>
      <c r="V1034" t="inlineStr"/>
    </row>
    <row r="1035">
      <c r="A1035" t="n">
        <v>69</v>
      </c>
      <c r="B1035" t="inlineStr">
        <is>
          <t>Adaaran Club Rannalhi</t>
        </is>
      </c>
      <c r="C1035" t="inlineStr">
        <is>
          <t>sustainability</t>
        </is>
      </c>
      <c r="D1035" t="inlineStr">
        <is>
          <t>2021_Adaaran-Club-Rannalhi-Sustainability-Report-2021-22.pdf</t>
        </is>
      </c>
      <c r="E1035" t="n">
        <v>2021</v>
      </c>
      <c r="H1035" t="n">
        <v>19</v>
      </c>
      <c r="I1035" t="n">
        <v>5179</v>
      </c>
      <c r="J1035" t="inlineStr">
        <is>
          <t>Y</t>
        </is>
      </c>
      <c r="K1035" t="inlineStr">
        <is>
          <t>adaaran.com</t>
        </is>
      </c>
      <c r="L1035" t="inlineStr">
        <is>
          <t>official</t>
        </is>
      </c>
      <c r="M1035" t="inlineStr">
        <is>
          <t>https://adaaran.eme-devops.com/2025/08/Adaaran-Club-Rannalhi-Sustainability-Report-2021-22.pdf</t>
        </is>
      </c>
      <c r="N1035" t="inlineStr">
        <is>
          <t>https://adaaran.eme-devops.com/2025/08/Adaaran-Club-Rannalhi-Sustainability-Report-2021-22.pdf</t>
        </is>
      </c>
      <c r="O1035" t="inlineStr">
        <is>
          <t>a1b4c8fa301d92172018390434cc085d933c495e046d396745f15ccb4875797d</t>
        </is>
      </c>
      <c r="P1035" t="inlineStr">
        <is>
          <t>library/069_adaaran-club-rannalhi/sustainability/2021_Adaaran-Club-Rannalhi-Sustainability-Report-2021-22.pdf</t>
        </is>
      </c>
      <c r="R1035" t="inlineStr">
        <is>
          <t>outdated</t>
        </is>
      </c>
      <c r="S1035" t="inlineStr">
        <is>
          <t>N</t>
        </is>
      </c>
      <c r="T1035" t="inlineStr">
        <is>
          <t>matched</t>
        </is>
      </c>
      <c r="U1035" t="inlineStr">
        <is>
          <t>2026-10-04</t>
        </is>
      </c>
      <c r="V1035" t="inlineStr"/>
    </row>
    <row r="1036">
      <c r="A1036" t="n">
        <v>69</v>
      </c>
      <c r="B1036" t="inlineStr">
        <is>
          <t>Adaaran Club Rannalhi</t>
        </is>
      </c>
      <c r="C1036" t="inlineStr">
        <is>
          <t>sustainability</t>
        </is>
      </c>
      <c r="D1036" t="inlineStr">
        <is>
          <t>2019_Adaaran-Club-Rannalhi-Sustainability-Report-2019-20-21.pdf</t>
        </is>
      </c>
      <c r="E1036" t="n">
        <v>2019</v>
      </c>
      <c r="H1036" t="n">
        <v>16</v>
      </c>
      <c r="I1036" t="n">
        <v>3602</v>
      </c>
      <c r="J1036" t="inlineStr">
        <is>
          <t>N</t>
        </is>
      </c>
      <c r="K1036" t="inlineStr">
        <is>
          <t>adaaran.com</t>
        </is>
      </c>
      <c r="L1036" t="inlineStr">
        <is>
          <t>official</t>
        </is>
      </c>
      <c r="M1036" t="inlineStr">
        <is>
          <t>https://adaaran.eme-devops.com/2025/08/Adaaran-Club-Rannalhi-Sustainability-Report-2019-20-21.pdf</t>
        </is>
      </c>
      <c r="N1036" t="inlineStr">
        <is>
          <t>https://adaaran.eme-devops.com/2025/08/Adaaran-Club-Rannalhi-Sustainability-Report-2019-20-21.pdf</t>
        </is>
      </c>
      <c r="O1036" t="inlineStr">
        <is>
          <t>70ee924ec239117ec6acfacf7b4b24ab94cbb6b23af1049c7102684ec0032948</t>
        </is>
      </c>
      <c r="P1036" t="inlineStr">
        <is>
          <t>library/069_adaaran-club-rannalhi/sustainability/2019_Adaaran-Club-Rannalhi-Sustainability-Report-2019-20-21.pdf</t>
        </is>
      </c>
      <c r="R1036" t="inlineStr">
        <is>
          <t>outdated</t>
        </is>
      </c>
      <c r="S1036" t="inlineStr">
        <is>
          <t>N</t>
        </is>
      </c>
      <c r="T1036" t="inlineStr">
        <is>
          <t>matched</t>
        </is>
      </c>
      <c r="U1036" t="inlineStr">
        <is>
          <t>2026-10-04</t>
        </is>
      </c>
      <c r="V1036" t="inlineStr"/>
    </row>
    <row r="1037">
      <c r="A1037" t="n">
        <v>70</v>
      </c>
      <c r="B1037" t="inlineStr">
        <is>
          <t>Joy Island</t>
        </is>
      </c>
      <c r="C1037" t="inlineStr">
        <is>
          <t>factsheet</t>
        </is>
      </c>
      <c r="D1037" t="inlineStr">
        <is>
          <t>2026_Villa Park - Two Bedroom Beach Pool Residence - Factsheet.pdf</t>
        </is>
      </c>
      <c r="E1037" t="n">
        <v>2026</v>
      </c>
      <c r="H1037" t="n">
        <v>17</v>
      </c>
      <c r="I1037" t="n">
        <v>20308</v>
      </c>
      <c r="J1037" t="inlineStr">
        <is>
          <t>Y</t>
        </is>
      </c>
      <c r="K1037" t="inlineStr">
        <is>
          <t>villaresorts.dash.app</t>
        </is>
      </c>
      <c r="L1037" t="inlineStr">
        <is>
          <t>brand-cdn</t>
        </is>
      </c>
      <c r="M1037"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037"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037" t="inlineStr">
        <is>
          <t>3b44882d46ce40ad8471b75d907217046e4e88e1d798397c35e43e660a6fb638</t>
        </is>
      </c>
      <c r="P1037" t="inlineStr">
        <is>
          <t>library/070_joy-island/factsheet/2026_Villa Park - Two Bedroom Beach Pool Residence - Factsheet.pdf</t>
        </is>
      </c>
      <c r="R1037" t="inlineStr">
        <is>
          <t>current</t>
        </is>
      </c>
      <c r="S1037" t="inlineStr">
        <is>
          <t>Y</t>
        </is>
      </c>
      <c r="T1037" t="inlineStr">
        <is>
          <t>needs-review</t>
        </is>
      </c>
      <c r="U1037" t="inlineStr">
        <is>
          <t>2026-10-04</t>
        </is>
      </c>
      <c r="V1037" t="inlineStr">
        <is>
          <t>ambiguous match [70, 176]</t>
        </is>
      </c>
    </row>
    <row r="1038">
      <c r="A1038" t="n">
        <v>176</v>
      </c>
      <c r="B1038" t="inlineStr">
        <is>
          <t>Villa Park Sun Island</t>
        </is>
      </c>
      <c r="C1038" t="inlineStr">
        <is>
          <t>factsheet</t>
        </is>
      </c>
      <c r="D1038" t="inlineStr">
        <is>
          <t>2026_Villa Park - Two Bedroom Beach Pool Residence - Factsheet.pdf</t>
        </is>
      </c>
      <c r="E1038" t="n">
        <v>2026</v>
      </c>
      <c r="H1038" t="n">
        <v>17</v>
      </c>
      <c r="I1038" t="n">
        <v>20308</v>
      </c>
      <c r="J1038" t="inlineStr">
        <is>
          <t>Y</t>
        </is>
      </c>
      <c r="K1038" t="inlineStr">
        <is>
          <t>villaresorts.dash.app</t>
        </is>
      </c>
      <c r="L1038" t="inlineStr">
        <is>
          <t>brand-cdn</t>
        </is>
      </c>
      <c r="M1038"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038"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038" t="inlineStr">
        <is>
          <t>3b44882d46ce40ad8471b75d907217046e4e88e1d798397c35e43e660a6fb638</t>
        </is>
      </c>
      <c r="P1038" t="inlineStr">
        <is>
          <t>library/070_joy-island/factsheet/2026_Villa Park - Two Bedroom Beach Pool Residence - Factsheet.pdf</t>
        </is>
      </c>
      <c r="R1038" t="inlineStr">
        <is>
          <t>current</t>
        </is>
      </c>
      <c r="S1038" t="inlineStr">
        <is>
          <t>Y</t>
        </is>
      </c>
      <c r="T1038" t="inlineStr">
        <is>
          <t>needs-review</t>
        </is>
      </c>
      <c r="U1038" t="inlineStr">
        <is>
          <t>2026-10-04</t>
        </is>
      </c>
      <c r="V1038" t="inlineStr">
        <is>
          <t>ambiguous match [70, 176]</t>
        </is>
      </c>
    </row>
    <row r="1039">
      <c r="A1039" t="n">
        <v>70</v>
      </c>
      <c r="B1039" t="inlineStr">
        <is>
          <t>Joy Island</t>
        </is>
      </c>
      <c r="C1039" t="inlineStr">
        <is>
          <t>factsheet</t>
        </is>
      </c>
      <c r="D1039" t="inlineStr">
        <is>
          <t>2025_Joy-Island-_-Fact-Sheet-2025.pdf</t>
        </is>
      </c>
      <c r="E1039" t="n">
        <v>2025</v>
      </c>
      <c r="H1039" t="n">
        <v>7</v>
      </c>
      <c r="I1039" t="n">
        <v>13099</v>
      </c>
      <c r="J1039" t="inlineStr">
        <is>
          <t>Y</t>
        </is>
      </c>
      <c r="K1039" t="inlineStr">
        <is>
          <t>neoscapesmaldives.com</t>
        </is>
      </c>
      <c r="L1039" t="inlineStr">
        <is>
          <t>dmc-agency</t>
        </is>
      </c>
      <c r="M1039" t="inlineStr">
        <is>
          <t>https://www.neoscapesmaldives.com/wp-content/uploads/Joy-Island-_-Fact-Sheet-2025.pdf</t>
        </is>
      </c>
      <c r="N1039" t="inlineStr">
        <is>
          <t>https://www.neoscapesmaldives.com/wp-content/uploads/Joy-Island-_-Fact-Sheet-2025.pdf</t>
        </is>
      </c>
      <c r="O1039" t="inlineStr">
        <is>
          <t>eb0efc6e14d8e989274c777c41ea70999a7441e8a7df95e6a614dabd0bb378fc</t>
        </is>
      </c>
      <c r="P1039" t="inlineStr">
        <is>
          <t>library/070_joy-island/factsheet/2025_Joy-Island-_-Fact-Sheet-2025.pdf</t>
        </is>
      </c>
      <c r="R1039" t="inlineStr">
        <is>
          <t>current</t>
        </is>
      </c>
      <c r="S1039" t="inlineStr">
        <is>
          <t>N</t>
        </is>
      </c>
      <c r="T1039" t="inlineStr">
        <is>
          <t>matched</t>
        </is>
      </c>
      <c r="U1039" t="inlineStr">
        <is>
          <t>2026-10-04</t>
        </is>
      </c>
      <c r="V1039" t="inlineStr"/>
    </row>
    <row r="1040">
      <c r="A1040" t="n">
        <v>70</v>
      </c>
      <c r="B1040" t="inlineStr">
        <is>
          <t>Joy Island</t>
        </is>
      </c>
      <c r="C1040" t="inlineStr">
        <is>
          <t>map</t>
        </is>
      </c>
      <c r="D1040" t="inlineStr">
        <is>
          <t>2025_Joy-Island-Maldives-_-Resort-Map.pdf</t>
        </is>
      </c>
      <c r="E1040" t="n">
        <v>2025</v>
      </c>
      <c r="H1040" t="n">
        <v>1</v>
      </c>
      <c r="I1040" t="n">
        <v>4674</v>
      </c>
      <c r="J1040" t="inlineStr">
        <is>
          <t>Y</t>
        </is>
      </c>
      <c r="K1040" t="inlineStr">
        <is>
          <t>neoscapesmaldives.com</t>
        </is>
      </c>
      <c r="L1040" t="inlineStr">
        <is>
          <t>dmc-agency</t>
        </is>
      </c>
      <c r="M1040" t="inlineStr">
        <is>
          <t>https://www.neoscapesmaldives.com/wp-content/uploads/Joy-Island-Maldives-_-Resort-Map.pdf</t>
        </is>
      </c>
      <c r="N1040" t="inlineStr">
        <is>
          <t>https://www.neoscapesmaldives.com/wp-content/uploads/Joy-Island-Maldives-_-Resort-Map.pdf</t>
        </is>
      </c>
      <c r="O1040" t="inlineStr">
        <is>
          <t>d835076065bd8a01b798de23774c6138a2c4c1965f466d26ce2937344297dc20</t>
        </is>
      </c>
      <c r="P1040" t="inlineStr">
        <is>
          <t>library/070_joy-island/map/2025_Joy-Island-Maldives-_-Resort-Map.pdf</t>
        </is>
      </c>
      <c r="R1040" t="inlineStr">
        <is>
          <t>current</t>
        </is>
      </c>
      <c r="S1040" t="inlineStr">
        <is>
          <t>Y</t>
        </is>
      </c>
      <c r="T1040" t="inlineStr">
        <is>
          <t>matched</t>
        </is>
      </c>
      <c r="U1040" t="inlineStr">
        <is>
          <t>2026-10-04</t>
        </is>
      </c>
      <c r="V1040" t="inlineStr"/>
    </row>
    <row r="1041">
      <c r="A1041" t="n">
        <v>70</v>
      </c>
      <c r="B1041" t="inlineStr">
        <is>
          <t>Joy Island</t>
        </is>
      </c>
      <c r="C1041" t="inlineStr">
        <is>
          <t>calendar</t>
        </is>
      </c>
      <c r="D1041" t="inlineStr">
        <is>
          <t>2026_Easter-Program-2026-Joy-Island.pdf</t>
        </is>
      </c>
      <c r="E1041" t="n">
        <v>2026</v>
      </c>
      <c r="H1041" t="n">
        <v>10</v>
      </c>
      <c r="I1041" t="n">
        <v>10829</v>
      </c>
      <c r="J1041" t="inlineStr">
        <is>
          <t>Y</t>
        </is>
      </c>
      <c r="K1041" t="inlineStr">
        <is>
          <t>letsgomaldives.com</t>
        </is>
      </c>
      <c r="L1041" t="inlineStr">
        <is>
          <t>dmc-agency</t>
        </is>
      </c>
      <c r="M1041" t="inlineStr">
        <is>
          <t>https://letsgomaldives.com/wp-content/uploads/2026/02/Easter-Program-2026-Joy-Island.pdf</t>
        </is>
      </c>
      <c r="N1041" t="inlineStr">
        <is>
          <t>https://letsgomaldives.com/wp-content/uploads/2026/02/Easter-Program-2026-Joy-Island.pdf</t>
        </is>
      </c>
      <c r="O1041" t="inlineStr">
        <is>
          <t>aa8879a2c2a81b431ca8efa3825da0eb0cbd49fda8b47cf7679a4698741eec54</t>
        </is>
      </c>
      <c r="P1041" t="inlineStr">
        <is>
          <t>library/070_joy-island/calendar/2026_Easter-Program-2026-Joy-Island.pdf</t>
        </is>
      </c>
      <c r="R1041" t="inlineStr">
        <is>
          <t>current</t>
        </is>
      </c>
      <c r="S1041" t="inlineStr">
        <is>
          <t>Y</t>
        </is>
      </c>
      <c r="T1041" t="inlineStr">
        <is>
          <t>matched</t>
        </is>
      </c>
      <c r="U1041" t="inlineStr">
        <is>
          <t>2026-10-04</t>
        </is>
      </c>
      <c r="V1041" t="inlineStr"/>
    </row>
    <row r="1042">
      <c r="A1042" t="n">
        <v>71</v>
      </c>
      <c r="B1042" t="inlineStr">
        <is>
          <t>Kagi Maldives Resort and Spa</t>
        </is>
      </c>
      <c r="C1042" t="inlineStr">
        <is>
          <t>factsheet</t>
        </is>
      </c>
      <c r="D1042" t="inlineStr">
        <is>
          <t>2023_FactSheetKagi11012210312322Rev011122_compressed-1.pdf</t>
        </is>
      </c>
      <c r="E1042" t="n">
        <v>2023</v>
      </c>
      <c r="H1042" t="n">
        <v>7</v>
      </c>
      <c r="I1042" t="n">
        <v>600</v>
      </c>
      <c r="J1042" t="inlineStr">
        <is>
          <t>Y</t>
        </is>
      </c>
      <c r="K1042" t="inlineStr">
        <is>
          <t>sales.crownandchamparesorts.com</t>
        </is>
      </c>
      <c r="L1042" t="inlineStr">
        <is>
          <t>brand-cdn</t>
        </is>
      </c>
      <c r="M1042" t="inlineStr">
        <is>
          <t>https://sales.crownandchamparesorts.com/wp-content/uploads/2023/08/FactSheetKagi11012210312322Rev011122_compressed-1.pdf</t>
        </is>
      </c>
      <c r="N1042" t="inlineStr">
        <is>
          <t>https://sales.crownandchamparesorts.com/wp-content/uploads/2023/08/FactSheetKagi11012210312322Rev011122_compressed-1.pdf</t>
        </is>
      </c>
      <c r="O1042" t="inlineStr">
        <is>
          <t>8160f11401a02e6c888a6162980fa7d1942600dd6609aa27cfebe8626869f25a</t>
        </is>
      </c>
      <c r="P1042" t="inlineStr">
        <is>
          <t>library/071_kagi-maldives-resort-and-spa/factsheet/2023_FactSheetKagi11012210312322Rev011122_compressed-1.pdf</t>
        </is>
      </c>
      <c r="R1042" t="inlineStr">
        <is>
          <t>outdated</t>
        </is>
      </c>
      <c r="S1042" t="inlineStr">
        <is>
          <t>Y</t>
        </is>
      </c>
      <c r="T1042" t="inlineStr">
        <is>
          <t>matched</t>
        </is>
      </c>
      <c r="U1042" t="inlineStr">
        <is>
          <t>2026-10-04</t>
        </is>
      </c>
      <c r="V1042" t="inlineStr"/>
    </row>
    <row r="1043">
      <c r="A1043" t="n">
        <v>71</v>
      </c>
      <c r="B1043" t="inlineStr">
        <is>
          <t>Kagi Maldives Resort and Spa</t>
        </is>
      </c>
      <c r="C1043" t="inlineStr">
        <is>
          <t>factsheet</t>
        </is>
      </c>
      <c r="D1043" t="inlineStr">
        <is>
          <t>2020_FactSheetKagi110120103121Rev040120.pdf</t>
        </is>
      </c>
      <c r="E1043" t="n">
        <v>2020</v>
      </c>
      <c r="F1043" t="inlineStr">
        <is>
          <t>2020-11-01</t>
        </is>
      </c>
      <c r="G1043" t="inlineStr">
        <is>
          <t>2021-10-31</t>
        </is>
      </c>
      <c r="H1043" t="n">
        <v>7</v>
      </c>
      <c r="I1043" t="n">
        <v>997</v>
      </c>
      <c r="J1043" t="inlineStr">
        <is>
          <t>Y</t>
        </is>
      </c>
      <c r="K1043" t="inlineStr">
        <is>
          <t>sales.crownandchamparesorts.com</t>
        </is>
      </c>
      <c r="L1043" t="inlineStr">
        <is>
          <t>brand-cdn</t>
        </is>
      </c>
      <c r="M1043" t="inlineStr">
        <is>
          <t>https://sales.crownandchamparesorts.com/wp-content/uploads/2020/04/FactSheetKagi110120103121Rev040120.pdf</t>
        </is>
      </c>
      <c r="N1043" t="inlineStr">
        <is>
          <t>https://sales.crownandchamparesorts.com/wp-content/uploads/2020/04/FactSheetKagi110120103121Rev040120.pdf</t>
        </is>
      </c>
      <c r="O1043" t="inlineStr">
        <is>
          <t>7e3bf82184370a5e5d01889a54266e4238d5c2a36ba501c804f189aac6ca2ec0</t>
        </is>
      </c>
      <c r="P1043" t="inlineStr">
        <is>
          <t>library/071_kagi-maldives-resort-and-spa/factsheet/2020_FactSheetKagi110120103121Rev040120.pdf</t>
        </is>
      </c>
      <c r="R1043" t="inlineStr">
        <is>
          <t>outdated</t>
        </is>
      </c>
      <c r="S1043" t="inlineStr">
        <is>
          <t>N</t>
        </is>
      </c>
      <c r="T1043" t="inlineStr">
        <is>
          <t>matched</t>
        </is>
      </c>
      <c r="U1043" t="inlineStr">
        <is>
          <t>2026-10-04</t>
        </is>
      </c>
      <c r="V1043" t="inlineStr"/>
    </row>
    <row r="1044">
      <c r="A1044" t="n">
        <v>71</v>
      </c>
      <c r="B1044" t="inlineStr">
        <is>
          <t>Kagi Maldives Resort and Spa</t>
        </is>
      </c>
      <c r="C1044" t="inlineStr">
        <is>
          <t>map</t>
        </is>
      </c>
      <c r="D1044" t="inlineStr">
        <is>
          <t>2025_Kagi_Map_Rev22082025.pdf</t>
        </is>
      </c>
      <c r="E1044" t="n">
        <v>2025</v>
      </c>
      <c r="H1044" t="n">
        <v>1</v>
      </c>
      <c r="I1044" t="n">
        <v>1245</v>
      </c>
      <c r="J1044" t="inlineStr">
        <is>
          <t>Y</t>
        </is>
      </c>
      <c r="K1044" t="inlineStr">
        <is>
          <t>sales.crownandchamparesorts.com</t>
        </is>
      </c>
      <c r="L1044" t="inlineStr">
        <is>
          <t>brand-cdn</t>
        </is>
      </c>
      <c r="M1044" t="inlineStr">
        <is>
          <t>https://sales.crownandchamparesorts.com/wp-content/uploads/2025/08/Kagi_Map_Rev22082025.pdf</t>
        </is>
      </c>
      <c r="N1044" t="inlineStr">
        <is>
          <t>https://sales.crownandchamparesorts.com/wp-content/uploads/2025/08/Kagi_Map_Rev22082025.pdf</t>
        </is>
      </c>
      <c r="O1044" t="inlineStr">
        <is>
          <t>d93f7f2968ffb7eb5c58afe47137c97403af54c46f53c2df843f66dd8e9eea6a</t>
        </is>
      </c>
      <c r="P1044" t="inlineStr">
        <is>
          <t>library/071_kagi-maldives-resort-and-spa/map/2025_Kagi_Map_Rev22082025.pdf</t>
        </is>
      </c>
      <c r="R1044" t="inlineStr">
        <is>
          <t>current</t>
        </is>
      </c>
      <c r="S1044" t="inlineStr">
        <is>
          <t>Y</t>
        </is>
      </c>
      <c r="T1044" t="inlineStr">
        <is>
          <t>matched</t>
        </is>
      </c>
      <c r="U1044" t="inlineStr">
        <is>
          <t>2026-10-04</t>
        </is>
      </c>
      <c r="V1044" t="inlineStr"/>
    </row>
    <row r="1045">
      <c r="A1045" t="n">
        <v>71</v>
      </c>
      <c r="B1045" t="inlineStr">
        <is>
          <t>Kagi Maldives Resort and Spa</t>
        </is>
      </c>
      <c r="C1045" t="inlineStr">
        <is>
          <t>map</t>
        </is>
      </c>
      <c r="D1045" t="inlineStr">
        <is>
          <t>2023_KagiMap121123.pdf</t>
        </is>
      </c>
      <c r="E1045" t="n">
        <v>2023</v>
      </c>
      <c r="H1045" t="n">
        <v>1</v>
      </c>
      <c r="I1045" t="n">
        <v>642</v>
      </c>
      <c r="J1045" t="inlineStr">
        <is>
          <t>Y</t>
        </is>
      </c>
      <c r="K1045" t="inlineStr">
        <is>
          <t>sales.crownandchamparesorts.com</t>
        </is>
      </c>
      <c r="L1045" t="inlineStr">
        <is>
          <t>brand-cdn</t>
        </is>
      </c>
      <c r="M1045" t="inlineStr">
        <is>
          <t>https://sales.crownandchamparesorts.com/wp-content/uploads/2023/11/KagiMap121123.pdf</t>
        </is>
      </c>
      <c r="N1045" t="inlineStr">
        <is>
          <t>https://sales.crownandchamparesorts.com/wp-content/uploads/2023/11/KagiMap121123.pdf</t>
        </is>
      </c>
      <c r="O1045" t="inlineStr">
        <is>
          <t>c2f429a15ccb821114fa8ab555406bb5a5aab42a24a47a06d2c6d4bf2bd1b9d3</t>
        </is>
      </c>
      <c r="P1045" t="inlineStr">
        <is>
          <t>library/071_kagi-maldives-resort-and-spa/map/2023_KagiMap121123.pdf</t>
        </is>
      </c>
      <c r="R1045" t="inlineStr">
        <is>
          <t>outdated</t>
        </is>
      </c>
      <c r="S1045" t="inlineStr">
        <is>
          <t>N</t>
        </is>
      </c>
      <c r="T1045" t="inlineStr">
        <is>
          <t>matched</t>
        </is>
      </c>
      <c r="U1045" t="inlineStr">
        <is>
          <t>2026-10-04</t>
        </is>
      </c>
      <c r="V1045" t="inlineStr"/>
    </row>
    <row r="1046">
      <c r="A1046" t="n">
        <v>71</v>
      </c>
      <c r="B1046" t="inlineStr">
        <is>
          <t>Kagi Maldives Resort and Spa</t>
        </is>
      </c>
      <c r="C1046" t="inlineStr">
        <is>
          <t>spa_menu</t>
        </is>
      </c>
      <c r="D1046" t="inlineStr">
        <is>
          <t>2019_KAGI_BaaniSpaMenu_16Dec2019.pdf</t>
        </is>
      </c>
      <c r="E1046" t="n">
        <v>2019</v>
      </c>
      <c r="H1046" t="n">
        <v>13</v>
      </c>
      <c r="I1046" t="n">
        <v>1077</v>
      </c>
      <c r="J1046" t="inlineStr">
        <is>
          <t>Y</t>
        </is>
      </c>
      <c r="K1046" t="inlineStr">
        <is>
          <t>sales.crownandchamparesorts.com</t>
        </is>
      </c>
      <c r="L1046" t="inlineStr">
        <is>
          <t>brand-cdn</t>
        </is>
      </c>
      <c r="M1046" t="inlineStr">
        <is>
          <t>https://sales.crownandchamparesorts.com/wp-content/uploads/2020/01/KAGI_BaaniSpaMenu_16Dec2019.pdf</t>
        </is>
      </c>
      <c r="N1046" t="inlineStr">
        <is>
          <t>https://sales.crownandchamparesorts.com/wp-content/uploads/2020/01/KAGI_BaaniSpaMenu_16Dec2019.pdf</t>
        </is>
      </c>
      <c r="O1046" t="inlineStr">
        <is>
          <t>3331211a2378c9e30e15b991a5b2d2fcab009e0d932f4c29b4fa5eec851fc63c</t>
        </is>
      </c>
      <c r="P1046" t="inlineStr">
        <is>
          <t>library/071_kagi-maldives-resort-and-spa/spa_menu/2019_KAGI_BaaniSpaMenu_16Dec2019.pdf</t>
        </is>
      </c>
      <c r="R1046" t="inlineStr">
        <is>
          <t>outdated</t>
        </is>
      </c>
      <c r="S1046" t="inlineStr">
        <is>
          <t>Y</t>
        </is>
      </c>
      <c r="T1046" t="inlineStr">
        <is>
          <t>matched</t>
        </is>
      </c>
      <c r="U1046" t="inlineStr">
        <is>
          <t>2026-10-04</t>
        </is>
      </c>
      <c r="V1046" t="inlineStr"/>
    </row>
    <row r="1047">
      <c r="A1047" t="n">
        <v>71</v>
      </c>
      <c r="B1047" t="inlineStr">
        <is>
          <t>Kagi Maldives Resort and Spa</t>
        </is>
      </c>
      <c r="C1047" t="inlineStr">
        <is>
          <t>dining_menu</t>
        </is>
      </c>
      <c r="D1047" t="inlineStr">
        <is>
          <t>2026_SunRay_Drink_AllDay_297x105mm_05.pdf</t>
        </is>
      </c>
      <c r="E1047" t="n">
        <v>2026</v>
      </c>
      <c r="H1047" t="n">
        <v>13</v>
      </c>
      <c r="I1047" t="n">
        <v>68</v>
      </c>
      <c r="J1047" t="inlineStr">
        <is>
          <t>Y</t>
        </is>
      </c>
      <c r="K1047" t="inlineStr">
        <is>
          <t>saiiresorts.com</t>
        </is>
      </c>
      <c r="L1047" t="inlineStr">
        <is>
          <t>official</t>
        </is>
      </c>
      <c r="M1047" t="inlineStr">
        <is>
          <t>https://www.saiihotels.com/wp-content/uploads/2026/07/SunRay_Drink_AllDay_297x105mm_05.pdf</t>
        </is>
      </c>
      <c r="N1047" t="inlineStr">
        <is>
          <t>https://www.saiihotels.com/wp-content/uploads/2026/07/SunRay_Drink_AllDay_297x105mm_05.pdf</t>
        </is>
      </c>
      <c r="O1047" t="inlineStr">
        <is>
          <t>cd1296344bf54794f827f37e4da17b4bc6017c1e9b628f5613e177401fd0a54d</t>
        </is>
      </c>
      <c r="P1047" t="inlineStr">
        <is>
          <t>library/071_kagi-maldives-resort-and-spa/dining_menu/2026_SunRay_Drink_AllDay_297x105mm_05.pdf</t>
        </is>
      </c>
      <c r="R1047" t="inlineStr">
        <is>
          <t>current</t>
        </is>
      </c>
      <c r="S1047" t="inlineStr">
        <is>
          <t>Y</t>
        </is>
      </c>
      <c r="T1047" t="inlineStr">
        <is>
          <t>matched</t>
        </is>
      </c>
      <c r="U1047" t="inlineStr">
        <is>
          <t>2026-10-04</t>
        </is>
      </c>
      <c r="V1047" t="inlineStr"/>
    </row>
    <row r="1048">
      <c r="A1048" t="n">
        <v>71</v>
      </c>
      <c r="B1048" t="inlineStr">
        <is>
          <t>Kagi Maldives Resort and Spa</t>
        </is>
      </c>
      <c r="C1048" t="inlineStr">
        <is>
          <t>dining_menu</t>
        </is>
      </c>
      <c r="D1048" t="inlineStr">
        <is>
          <t>2026_E_B_Beverage_2026.04.05.pdf</t>
        </is>
      </c>
      <c r="E1048" t="n">
        <v>2026</v>
      </c>
      <c r="H1048" t="n">
        <v>2</v>
      </c>
      <c r="I1048" t="n">
        <v>840</v>
      </c>
      <c r="J1048" t="inlineStr">
        <is>
          <t>Y</t>
        </is>
      </c>
      <c r="K1048" t="inlineStr">
        <is>
          <t>hardrockhotels.com</t>
        </is>
      </c>
      <c r="L1048" t="inlineStr">
        <is>
          <t>official</t>
        </is>
      </c>
      <c r="M1048" t="inlineStr">
        <is>
          <t>https://hotel.hardrock.com/maldives/files/6016/E&amp;B_Beverage_2026.04.05.pdf</t>
        </is>
      </c>
      <c r="N1048" t="inlineStr">
        <is>
          <t>https://hotel.hardrock.com/maldives/files/6016/E&amp;B_Beverage_2026.04.05.pdf</t>
        </is>
      </c>
      <c r="O1048" t="inlineStr">
        <is>
          <t>777b12d4d9513da29d07c8a43c060763227856c7a31a3cc2f399810a6003ce1c</t>
        </is>
      </c>
      <c r="P1048" t="inlineStr">
        <is>
          <t>library/071_kagi-maldives-resort-and-spa/dining_menu/2026_E_B_Beverage_2026.04.05.pdf</t>
        </is>
      </c>
      <c r="R1048" t="inlineStr">
        <is>
          <t>current</t>
        </is>
      </c>
      <c r="S1048" t="inlineStr">
        <is>
          <t>N</t>
        </is>
      </c>
      <c r="T1048" t="inlineStr">
        <is>
          <t>matched</t>
        </is>
      </c>
      <c r="U1048" t="inlineStr">
        <is>
          <t>2026-10-04</t>
        </is>
      </c>
      <c r="V1048" t="inlineStr"/>
    </row>
    <row r="1049">
      <c r="A1049" t="n">
        <v>71</v>
      </c>
      <c r="B1049" t="inlineStr">
        <is>
          <t>Kagi Maldives Resort and Spa</t>
        </is>
      </c>
      <c r="C1049" t="inlineStr">
        <is>
          <t>dining_menu</t>
        </is>
      </c>
      <c r="D1049" t="inlineStr">
        <is>
          <t>2026_Sessions_Beverage_2026.04.05.pdf</t>
        </is>
      </c>
      <c r="E1049" t="n">
        <v>2026</v>
      </c>
      <c r="H1049" t="n">
        <v>2</v>
      </c>
      <c r="I1049" t="n">
        <v>787</v>
      </c>
      <c r="J1049" t="inlineStr">
        <is>
          <t>Y</t>
        </is>
      </c>
      <c r="K1049" t="inlineStr">
        <is>
          <t>hardrockhotels.com</t>
        </is>
      </c>
      <c r="L1049" t="inlineStr">
        <is>
          <t>official</t>
        </is>
      </c>
      <c r="M1049" t="inlineStr">
        <is>
          <t>https://hotel.hardrock.com/maldives/files/6016/Sessions_Beverage_2026.04.05.pdf</t>
        </is>
      </c>
      <c r="N1049" t="inlineStr">
        <is>
          <t>https://hotel.hardrock.com/maldives/files/6016/Sessions_Beverage_2026.04.05.pdf</t>
        </is>
      </c>
      <c r="O1049" t="inlineStr">
        <is>
          <t>5a9f63dcfdc02d452df76b41af8ce6d75b929e8a1e1ba8a57ef26970c52ec368</t>
        </is>
      </c>
      <c r="P1049" t="inlineStr">
        <is>
          <t>library/071_kagi-maldives-resort-and-spa/dining_menu/2026_Sessions_Beverage_2026.04.05.pdf</t>
        </is>
      </c>
      <c r="R1049" t="inlineStr">
        <is>
          <t>current</t>
        </is>
      </c>
      <c r="S1049" t="inlineStr">
        <is>
          <t>N</t>
        </is>
      </c>
      <c r="T1049" t="inlineStr">
        <is>
          <t>matched</t>
        </is>
      </c>
      <c r="U1049" t="inlineStr">
        <is>
          <t>2026-10-04</t>
        </is>
      </c>
      <c r="V1049" t="inlineStr"/>
    </row>
    <row r="1050">
      <c r="A1050" t="n">
        <v>71</v>
      </c>
      <c r="B1050" t="inlineStr">
        <is>
          <t>Kagi Maldives Resort and Spa</t>
        </is>
      </c>
      <c r="C1050" t="inlineStr">
        <is>
          <t>dining_menu</t>
        </is>
      </c>
      <c r="D1050" t="inlineStr">
        <is>
          <t>2018_KagiConcept.pdf</t>
        </is>
      </c>
      <c r="E1050" t="n">
        <v>2018</v>
      </c>
      <c r="H1050" t="n">
        <v>15</v>
      </c>
      <c r="I1050" t="n">
        <v>6888</v>
      </c>
      <c r="J1050" t="inlineStr">
        <is>
          <t>Y</t>
        </is>
      </c>
      <c r="K1050" t="inlineStr">
        <is>
          <t>sales.crownandchamparesorts.com</t>
        </is>
      </c>
      <c r="L1050" t="inlineStr">
        <is>
          <t>brand-cdn</t>
        </is>
      </c>
      <c r="M1050" t="inlineStr">
        <is>
          <t>https://sales.crownandchamparesorts.com/wp-content/uploads/2019/02/KagiConcept.pdf</t>
        </is>
      </c>
      <c r="N1050" t="inlineStr">
        <is>
          <t>https://sales.crownandchamparesorts.com/wp-content/uploads/2019/02/KagiConcept.pdf</t>
        </is>
      </c>
      <c r="O1050" t="inlineStr">
        <is>
          <t>1691f2bcced91cdf081a3fec2e273cab349be410d1eb50fb0dd5b8d4a207bbf6</t>
        </is>
      </c>
      <c r="P1050" t="inlineStr">
        <is>
          <t>library/071_kagi-maldives-resort-and-spa/dining_menu/2018_KagiConcept.pdf</t>
        </is>
      </c>
      <c r="R1050" t="inlineStr">
        <is>
          <t>outdated</t>
        </is>
      </c>
      <c r="S1050" t="inlineStr">
        <is>
          <t>N</t>
        </is>
      </c>
      <c r="T1050" t="inlineStr">
        <is>
          <t>needs-review</t>
        </is>
      </c>
      <c r="U1050" t="inlineStr">
        <is>
          <t>2026-10-04</t>
        </is>
      </c>
      <c r="V1050" t="inlineStr">
        <is>
          <t>ambiguous match [71]</t>
        </is>
      </c>
    </row>
    <row r="1051">
      <c r="A1051" t="n">
        <v>71</v>
      </c>
      <c r="B1051" t="inlineStr">
        <is>
          <t>Kagi Maldives Resort and Spa</t>
        </is>
      </c>
      <c r="C1051" t="inlineStr">
        <is>
          <t>villa_plans</t>
        </is>
      </c>
      <c r="D1051" t="inlineStr">
        <is>
          <t>2019_Kagi-beach-villa.pdf</t>
        </is>
      </c>
      <c r="E1051" t="n">
        <v>2019</v>
      </c>
      <c r="H1051" t="n">
        <v>1</v>
      </c>
      <c r="I1051" t="n">
        <v>398</v>
      </c>
      <c r="J1051" t="inlineStr">
        <is>
          <t>N</t>
        </is>
      </c>
      <c r="K1051" t="inlineStr">
        <is>
          <t>sales.crownandchamparesorts.com</t>
        </is>
      </c>
      <c r="L1051" t="inlineStr">
        <is>
          <t>brand-cdn</t>
        </is>
      </c>
      <c r="M1051" t="inlineStr">
        <is>
          <t>https://sales.crownandchamparesorts.com/wp-content/uploads/2019/03/Kagi-beach-villa.pdf</t>
        </is>
      </c>
      <c r="N1051" t="inlineStr">
        <is>
          <t>https://sales.crownandchamparesorts.com/wp-content/uploads/2019/03/Kagi-beach-villa.pdf</t>
        </is>
      </c>
      <c r="O1051" t="inlineStr">
        <is>
          <t>6cbfcf2c9f59e7a0291785b727d6e674a2e24c50417bfcd56c34aa1b96d6c3b6</t>
        </is>
      </c>
      <c r="P1051" t="inlineStr">
        <is>
          <t>library/071_kagi-maldives-resort-and-spa/villa_plans/2019_Kagi-beach-villa.pdf</t>
        </is>
      </c>
      <c r="R1051" t="inlineStr">
        <is>
          <t>outdated</t>
        </is>
      </c>
      <c r="S1051" t="inlineStr">
        <is>
          <t>Y</t>
        </is>
      </c>
      <c r="T1051" t="inlineStr">
        <is>
          <t>matched</t>
        </is>
      </c>
      <c r="U1051" t="inlineStr">
        <is>
          <t>2026-10-04</t>
        </is>
      </c>
      <c r="V1051" t="inlineStr"/>
    </row>
    <row r="1052">
      <c r="A1052" t="n">
        <v>71</v>
      </c>
      <c r="B1052" t="inlineStr">
        <is>
          <t>Kagi Maldives Resort and Spa</t>
        </is>
      </c>
      <c r="C1052" t="inlineStr">
        <is>
          <t>villa_plans</t>
        </is>
      </c>
      <c r="D1052" t="inlineStr">
        <is>
          <t>2019_Kagi-water-villa.pdf</t>
        </is>
      </c>
      <c r="E1052" t="n">
        <v>2019</v>
      </c>
      <c r="H1052" t="n">
        <v>1</v>
      </c>
      <c r="I1052" t="n">
        <v>288</v>
      </c>
      <c r="J1052" t="inlineStr">
        <is>
          <t>N</t>
        </is>
      </c>
      <c r="K1052" t="inlineStr">
        <is>
          <t>sales.crownandchamparesorts.com</t>
        </is>
      </c>
      <c r="L1052" t="inlineStr">
        <is>
          <t>brand-cdn</t>
        </is>
      </c>
      <c r="M1052" t="inlineStr">
        <is>
          <t>https://sales.crownandchamparesorts.com/wp-content/uploads/2019/03/Kagi-water-villa.pdf</t>
        </is>
      </c>
      <c r="N1052" t="inlineStr">
        <is>
          <t>https://sales.crownandchamparesorts.com/wp-content/uploads/2019/03/Kagi-water-villa.pdf</t>
        </is>
      </c>
      <c r="O1052" t="inlineStr">
        <is>
          <t>341d74cec8602f2289e54e35bf826a1d4d234b7f7fcebd4e7f4ae7ba9e5fb85f</t>
        </is>
      </c>
      <c r="P1052" t="inlineStr">
        <is>
          <t>library/071_kagi-maldives-resort-and-spa/villa_plans/2019_Kagi-water-villa.pdf</t>
        </is>
      </c>
      <c r="R1052" t="inlineStr">
        <is>
          <t>outdated</t>
        </is>
      </c>
      <c r="S1052" t="inlineStr">
        <is>
          <t>N</t>
        </is>
      </c>
      <c r="T1052" t="inlineStr">
        <is>
          <t>matched</t>
        </is>
      </c>
      <c r="U1052" t="inlineStr">
        <is>
          <t>2026-10-04</t>
        </is>
      </c>
      <c r="V1052" t="inlineStr"/>
    </row>
    <row r="1053">
      <c r="A1053" t="n">
        <v>71</v>
      </c>
      <c r="B1053" t="inlineStr">
        <is>
          <t>Kagi Maldives Resort and Spa</t>
        </is>
      </c>
      <c r="C1053" t="inlineStr">
        <is>
          <t>villa_plans</t>
        </is>
      </c>
      <c r="D1053" t="inlineStr">
        <is>
          <t>2018_A100B_Villa-Plans_110118s.pdf</t>
        </is>
      </c>
      <c r="E1053" t="n">
        <v>2018</v>
      </c>
      <c r="H1053" t="n">
        <v>1</v>
      </c>
      <c r="I1053" t="n">
        <v>652</v>
      </c>
      <c r="J1053" t="inlineStr">
        <is>
          <t>Y</t>
        </is>
      </c>
      <c r="K1053" t="inlineStr">
        <is>
          <t>sales.crownandchamparesorts.com</t>
        </is>
      </c>
      <c r="L1053" t="inlineStr">
        <is>
          <t>brand-cdn</t>
        </is>
      </c>
      <c r="M1053" t="inlineStr">
        <is>
          <t>https://sales.crownandchamparesorts.com/wp-content/uploads/2019/03/A100B_Villa-Plans_110118s.pdf</t>
        </is>
      </c>
      <c r="N1053" t="inlineStr">
        <is>
          <t>https://sales.crownandchamparesorts.com/wp-content/uploads/2019/03/A100B_Villa-Plans_110118s.pdf | https://sales.crownandchamparesorts.com/wp-content/uploads/2019/02/KagiVillaPlans.pdf</t>
        </is>
      </c>
      <c r="O1053" t="inlineStr">
        <is>
          <t>f7ac39011acdd038c86e2cf71cf7dbffdc133d3294b382d6b7de0b14876b5bec</t>
        </is>
      </c>
      <c r="P1053" t="inlineStr">
        <is>
          <t>library/071_kagi-maldives-resort-and-spa/villa_plans/2018_A100B_Villa-Plans_110118s.pdf</t>
        </is>
      </c>
      <c r="R1053" t="inlineStr">
        <is>
          <t>outdated</t>
        </is>
      </c>
      <c r="S1053" t="inlineStr">
        <is>
          <t>N</t>
        </is>
      </c>
      <c r="T1053" t="inlineStr">
        <is>
          <t>matched</t>
        </is>
      </c>
      <c r="U1053" t="inlineStr">
        <is>
          <t>2026-10-04</t>
        </is>
      </c>
      <c r="V1053" t="inlineStr"/>
    </row>
    <row r="1054">
      <c r="A1054" t="n">
        <v>71</v>
      </c>
      <c r="B1054" t="inlineStr">
        <is>
          <t>Kagi Maldives Resort and Spa</t>
        </is>
      </c>
      <c r="C1054" t="inlineStr">
        <is>
          <t>all_inclusive</t>
        </is>
      </c>
      <c r="D1054" t="inlineStr">
        <is>
          <t>2023_PremiumAllInclusivePlusPackageKagi110123103124Rev010923.pdf</t>
        </is>
      </c>
      <c r="E1054" t="n">
        <v>2023</v>
      </c>
      <c r="F1054" t="inlineStr">
        <is>
          <t>2023-11-01</t>
        </is>
      </c>
      <c r="G1054" t="inlineStr">
        <is>
          <t>2024-10-31</t>
        </is>
      </c>
      <c r="H1054" t="n">
        <v>3</v>
      </c>
      <c r="I1054" t="n">
        <v>573</v>
      </c>
      <c r="J1054" t="inlineStr">
        <is>
          <t>Y</t>
        </is>
      </c>
      <c r="K1054" t="inlineStr">
        <is>
          <t>sales.crownandchamparesorts.com</t>
        </is>
      </c>
      <c r="L1054" t="inlineStr">
        <is>
          <t>brand-cdn</t>
        </is>
      </c>
      <c r="M1054" t="inlineStr">
        <is>
          <t>https://sales.crownandchamparesorts.com/wp-content/uploads/2023/11/PremiumAllInclusivePlusPackageKagi110123103124Rev010923.pdf</t>
        </is>
      </c>
      <c r="N1054" t="inlineStr">
        <is>
          <t>https://sales.crownandchamparesorts.com/wp-content/uploads/2023/11/PremiumAllInclusivePlusPackageKagi110123103124Rev010923.pdf</t>
        </is>
      </c>
      <c r="O1054" t="inlineStr">
        <is>
          <t>ca11a937d8fec78aa2c121ea76a067a53d63030174b7c8bef63dfb2871f290f3</t>
        </is>
      </c>
      <c r="P1054" t="inlineStr">
        <is>
          <t>library/071_kagi-maldives-resort-and-spa/all_inclusive/2023_PremiumAllInclusivePlusPackageKagi110123103124Rev010923.pdf</t>
        </is>
      </c>
      <c r="R1054" t="inlineStr">
        <is>
          <t>outdated</t>
        </is>
      </c>
      <c r="S1054" t="inlineStr">
        <is>
          <t>Y</t>
        </is>
      </c>
      <c r="T1054" t="inlineStr">
        <is>
          <t>matched</t>
        </is>
      </c>
      <c r="U1054" t="inlineStr">
        <is>
          <t>2026-10-04</t>
        </is>
      </c>
      <c r="V1054" t="inlineStr"/>
    </row>
    <row r="1055">
      <c r="A1055" t="n">
        <v>71</v>
      </c>
      <c r="B1055" t="inlineStr">
        <is>
          <t>Kagi Maldives Resort and Spa</t>
        </is>
      </c>
      <c r="C1055" t="inlineStr">
        <is>
          <t>all_inclusive</t>
        </is>
      </c>
      <c r="D1055" t="inlineStr">
        <is>
          <t>2022_PremiumAllInclusivePlusPackageKagi110122103123Ver011122.pdf</t>
        </is>
      </c>
      <c r="E1055" t="n">
        <v>2022</v>
      </c>
      <c r="F1055" t="inlineStr">
        <is>
          <t>2022-11-01</t>
        </is>
      </c>
      <c r="G1055" t="inlineStr">
        <is>
          <t>2023-10-31</t>
        </is>
      </c>
      <c r="H1055" t="n">
        <v>3</v>
      </c>
      <c r="I1055" t="n">
        <v>1062</v>
      </c>
      <c r="J1055" t="inlineStr">
        <is>
          <t>Y</t>
        </is>
      </c>
      <c r="K1055" t="inlineStr">
        <is>
          <t>sales.crownandchamparesorts.com</t>
        </is>
      </c>
      <c r="L1055" t="inlineStr">
        <is>
          <t>brand-cdn</t>
        </is>
      </c>
      <c r="M1055" t="inlineStr">
        <is>
          <t>https://sales.crownandchamparesorts.com/wp-content/uploads/2023/08/PremiumAllInclusivePlusPackageKagi110122103123Ver011122.pdf</t>
        </is>
      </c>
      <c r="N1055" t="inlineStr">
        <is>
          <t>https://sales.crownandchamparesorts.com/wp-content/uploads/2023/08/PremiumAllInclusivePlusPackageKagi110122103123Ver011122.pdf</t>
        </is>
      </c>
      <c r="O1055" t="inlineStr">
        <is>
          <t>cd8f3b2fe26f4a46941a826a102cae77a68a8a65fcdea0fa75553af8a3513a91</t>
        </is>
      </c>
      <c r="P1055" t="inlineStr">
        <is>
          <t>library/071_kagi-maldives-resort-and-spa/all_inclusive/2022_PremiumAllInclusivePlusPackageKagi110122103123Ver011122.pdf</t>
        </is>
      </c>
      <c r="R1055" t="inlineStr">
        <is>
          <t>outdated</t>
        </is>
      </c>
      <c r="S1055" t="inlineStr">
        <is>
          <t>N</t>
        </is>
      </c>
      <c r="T1055" t="inlineStr">
        <is>
          <t>matched</t>
        </is>
      </c>
      <c r="U1055" t="inlineStr">
        <is>
          <t>2026-10-04</t>
        </is>
      </c>
      <c r="V1055" t="inlineStr"/>
    </row>
    <row r="1056">
      <c r="A1056" t="n">
        <v>71</v>
      </c>
      <c r="B1056" t="inlineStr">
        <is>
          <t>Kagi Maldives Resort and Spa</t>
        </is>
      </c>
      <c r="C1056" t="inlineStr">
        <is>
          <t>sustainability</t>
        </is>
      </c>
      <c r="D1056" t="inlineStr">
        <is>
          <t>2023_Heritance-Hotels-Purchasing-and-supplier-Policy-V2-1.pdf</t>
        </is>
      </c>
      <c r="E1056" t="n">
        <v>2023</v>
      </c>
      <c r="H1056" t="n">
        <v>1</v>
      </c>
      <c r="I1056" t="n">
        <v>117</v>
      </c>
      <c r="J1056" t="inlineStr">
        <is>
          <t>Y</t>
        </is>
      </c>
      <c r="K1056" t="inlineStr">
        <is>
          <t>heritancehotels.com</t>
        </is>
      </c>
      <c r="L1056" t="inlineStr">
        <is>
          <t>official</t>
        </is>
      </c>
      <c r="M1056" t="inlineStr">
        <is>
          <t>https://heritancehotels.eme-devops.com/2025/01/Heritance-Hotels-Purchasing-and-supplier-Policy-V2-1.pdf</t>
        </is>
      </c>
      <c r="N1056" t="inlineStr">
        <is>
          <t>https://heritancehotels.eme-devops.com/2025/01/Heritance-Hotels-Purchasing-and-supplier-Policy-V2-1.pdf | https://heritancehotels.eme-devops.com/2025/01/Heritance-Hotels-Purchasing-and-supplier-Policy-V2.pdf</t>
        </is>
      </c>
      <c r="O1056" t="inlineStr">
        <is>
          <t>38607c14b5082002aa6e1de7ef1a7963c3a953e5d6c6cf8e17f6e15aa111adca</t>
        </is>
      </c>
      <c r="P1056" t="inlineStr">
        <is>
          <t>library/071_kagi-maldives-resort-and-spa/sustainability/2023_Heritance-Hotels-Purchasing-and-supplier-Policy-V2-1.pdf</t>
        </is>
      </c>
      <c r="R1056" t="inlineStr">
        <is>
          <t>outdated</t>
        </is>
      </c>
      <c r="S1056" t="inlineStr">
        <is>
          <t>Y</t>
        </is>
      </c>
      <c r="T1056" t="inlineStr">
        <is>
          <t>matched</t>
        </is>
      </c>
      <c r="U1056" t="inlineStr">
        <is>
          <t>2026-10-04</t>
        </is>
      </c>
      <c r="V1056" t="inlineStr"/>
    </row>
    <row r="1057">
      <c r="A1057" t="n">
        <v>71</v>
      </c>
      <c r="B1057" t="inlineStr">
        <is>
          <t>Kagi Maldives Resort and Spa</t>
        </is>
      </c>
      <c r="C1057" t="inlineStr">
        <is>
          <t>other</t>
        </is>
      </c>
      <c r="D1057" t="inlineStr">
        <is>
          <t>2018_KagiInteriorDesigns.pdf</t>
        </is>
      </c>
      <c r="E1057" t="n">
        <v>2018</v>
      </c>
      <c r="H1057" t="n">
        <v>24</v>
      </c>
      <c r="I1057" t="n">
        <v>5820</v>
      </c>
      <c r="J1057" t="inlineStr">
        <is>
          <t>Y</t>
        </is>
      </c>
      <c r="K1057" t="inlineStr">
        <is>
          <t>sales.crownandchamparesorts.com</t>
        </is>
      </c>
      <c r="L1057" t="inlineStr">
        <is>
          <t>brand-cdn</t>
        </is>
      </c>
      <c r="M1057" t="inlineStr">
        <is>
          <t>https://sales.crownandchamparesorts.com/wp-content/uploads/2019/02/KagiInteriorDesigns.pdf</t>
        </is>
      </c>
      <c r="N1057" t="inlineStr">
        <is>
          <t>https://sales.crownandchamparesorts.com/wp-content/uploads/2019/02/KagiInteriorDesigns.pdf</t>
        </is>
      </c>
      <c r="O1057" t="inlineStr">
        <is>
          <t>9a3d7cf168bc08e275eb9b7f98f28536dfd26d6d55cf9786423f8d5236a81cc1</t>
        </is>
      </c>
      <c r="P1057" t="inlineStr">
        <is>
          <t>library/071_kagi-maldives-resort-and-spa/other/2018_KagiInteriorDesigns.pdf</t>
        </is>
      </c>
      <c r="R1057" t="inlineStr">
        <is>
          <t>outdated</t>
        </is>
      </c>
      <c r="S1057" t="inlineStr">
        <is>
          <t>Y</t>
        </is>
      </c>
      <c r="T1057" t="inlineStr">
        <is>
          <t>matched</t>
        </is>
      </c>
      <c r="U1057" t="inlineStr">
        <is>
          <t>2026-10-04</t>
        </is>
      </c>
      <c r="V1057" t="inlineStr"/>
    </row>
    <row r="1058">
      <c r="A1058" t="n">
        <v>74</v>
      </c>
      <c r="B1058" t="inlineStr">
        <is>
          <t>Kandolhu Island Maldives</t>
        </is>
      </c>
      <c r="C1058" t="inlineStr">
        <is>
          <t>factsheet</t>
        </is>
      </c>
      <c r="D1058" t="inlineStr">
        <is>
          <t>2019_kandolhu-maldives-factsheet.pdf</t>
        </is>
      </c>
      <c r="E1058" t="n">
        <v>2019</v>
      </c>
      <c r="H1058" t="n">
        <v>11</v>
      </c>
      <c r="I1058" t="n">
        <v>1883</v>
      </c>
      <c r="J1058" t="inlineStr">
        <is>
          <t>Y</t>
        </is>
      </c>
      <c r="K1058" t="inlineStr">
        <is>
          <t>neoscapesmaldives.com</t>
        </is>
      </c>
      <c r="L1058" t="inlineStr">
        <is>
          <t>dmc-agency</t>
        </is>
      </c>
      <c r="M1058" t="inlineStr">
        <is>
          <t>https://www.neoscapesmaldives.com/wp-content/uploads/kandolhu-maldives-factsheet.pdf</t>
        </is>
      </c>
      <c r="N1058" t="inlineStr">
        <is>
          <t>https://www.neoscapesmaldives.com/wp-content/uploads/kandolhu-maldives-factsheet.pdf</t>
        </is>
      </c>
      <c r="O1058" t="inlineStr">
        <is>
          <t>70f81f1e5d68a608c7a27601d650e812f9f45bd39a0bd6522f6024cbe5adc6c0</t>
        </is>
      </c>
      <c r="P1058" t="inlineStr">
        <is>
          <t>library/074_kandolhu-island-maldives/factsheet/2019_kandolhu-maldives-factsheet.pdf</t>
        </is>
      </c>
      <c r="R1058" t="inlineStr">
        <is>
          <t>outdated</t>
        </is>
      </c>
      <c r="S1058" t="inlineStr">
        <is>
          <t>Y</t>
        </is>
      </c>
      <c r="T1058" t="inlineStr">
        <is>
          <t>matched</t>
        </is>
      </c>
      <c r="U1058" t="inlineStr">
        <is>
          <t>2026-10-04</t>
        </is>
      </c>
      <c r="V1058" t="inlineStr"/>
    </row>
    <row r="1059">
      <c r="A1059" t="n">
        <v>74</v>
      </c>
      <c r="B1059" t="inlineStr">
        <is>
          <t>Kandolhu Island Maldives</t>
        </is>
      </c>
      <c r="C1059" t="inlineStr">
        <is>
          <t>map</t>
        </is>
      </c>
      <c r="D1059" t="inlineStr">
        <is>
          <t>2019_kandolhu-maldives-resort-map-may-2019.pdf</t>
        </is>
      </c>
      <c r="E1059" t="n">
        <v>2019</v>
      </c>
      <c r="H1059" t="n">
        <v>1</v>
      </c>
      <c r="I1059" t="n">
        <v>225</v>
      </c>
      <c r="J1059" t="inlineStr">
        <is>
          <t>N</t>
        </is>
      </c>
      <c r="K1059" t="inlineStr">
        <is>
          <t>neoscapesmaldives.com</t>
        </is>
      </c>
      <c r="L1059" t="inlineStr">
        <is>
          <t>dmc-agency</t>
        </is>
      </c>
      <c r="M1059" t="inlineStr">
        <is>
          <t>https://www.neoscapesmaldives.com/wp-content/uploads/kandolhu-maldives-resort-map-may-2019.pdf</t>
        </is>
      </c>
      <c r="N1059" t="inlineStr">
        <is>
          <t>https://www.neoscapesmaldives.com/wp-content/uploads/kandolhu-maldives-resort-map-may-2019.pdf</t>
        </is>
      </c>
      <c r="O1059" t="inlineStr">
        <is>
          <t>a38176efb363d926d5cf91bb5a52ccf2684d7248d39edb7c87035ea776529641</t>
        </is>
      </c>
      <c r="P1059" t="inlineStr">
        <is>
          <t>library/074_kandolhu-island-maldives/map/2019_kandolhu-maldives-resort-map-may-2019.pdf</t>
        </is>
      </c>
      <c r="R1059" t="inlineStr">
        <is>
          <t>outdated</t>
        </is>
      </c>
      <c r="S1059" t="inlineStr">
        <is>
          <t>Y</t>
        </is>
      </c>
      <c r="T1059" t="inlineStr">
        <is>
          <t>matched</t>
        </is>
      </c>
      <c r="U1059" t="inlineStr">
        <is>
          <t>2026-10-04</t>
        </is>
      </c>
      <c r="V1059" t="inlineStr"/>
    </row>
    <row r="1060">
      <c r="A1060" t="n">
        <v>75</v>
      </c>
      <c r="B1060" t="inlineStr">
        <is>
          <t>Kandima Maldives</t>
        </is>
      </c>
      <c r="C1060" t="inlineStr">
        <is>
          <t>factsheet</t>
        </is>
      </c>
      <c r="D1060" t="inlineStr">
        <is>
          <t>2025_Kandima Maldives Enhanced Facilities Fact Sheet.pdf</t>
        </is>
      </c>
      <c r="E1060" t="n">
        <v>2025</v>
      </c>
      <c r="H1060" t="n">
        <v>4</v>
      </c>
      <c r="I1060" t="n">
        <v>5242</v>
      </c>
      <c r="J1060" t="inlineStr">
        <is>
          <t>Y</t>
        </is>
      </c>
      <c r="K1060" t="inlineStr">
        <is>
          <t>pulse.dash.app</t>
        </is>
      </c>
      <c r="L1060" t="inlineStr">
        <is>
          <t>brand-cdn</t>
        </is>
      </c>
      <c r="M1060"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0"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0" t="inlineStr">
        <is>
          <t>929bd7fbd26d85374e093279b26e8d4ac8a9d18729c5cff35fdbf0c78b90f95d</t>
        </is>
      </c>
      <c r="P1060" t="inlineStr">
        <is>
          <t>library/075_kandima-maldives/factsheet/2025_Kandima Maldives Enhanced Facilities Fact Sheet.pdf</t>
        </is>
      </c>
      <c r="R1060" t="inlineStr">
        <is>
          <t>current</t>
        </is>
      </c>
      <c r="S1060" t="inlineStr">
        <is>
          <t>Y</t>
        </is>
      </c>
      <c r="T1060" t="inlineStr">
        <is>
          <t>matched</t>
        </is>
      </c>
      <c r="U1060" t="inlineStr">
        <is>
          <t>2026-10-04</t>
        </is>
      </c>
      <c r="V1060" t="inlineStr"/>
    </row>
    <row r="1061">
      <c r="A1061" t="n">
        <v>75</v>
      </c>
      <c r="B1061" t="inlineStr">
        <is>
          <t>Kandima Maldives</t>
        </is>
      </c>
      <c r="C1061" t="inlineStr">
        <is>
          <t>factsheet</t>
        </is>
      </c>
      <c r="D1061" t="inlineStr">
        <is>
          <t>2024_Kandima Maldives Factsheet - 2024 _1_.pdf _1_.pdf</t>
        </is>
      </c>
      <c r="E1061" t="n">
        <v>2024</v>
      </c>
      <c r="H1061" t="n">
        <v>4</v>
      </c>
      <c r="I1061" t="n">
        <v>1653</v>
      </c>
      <c r="J1061" t="inlineStr">
        <is>
          <t>Y</t>
        </is>
      </c>
      <c r="K1061" t="inlineStr">
        <is>
          <t>pulse.dash.app</t>
        </is>
      </c>
      <c r="L1061" t="inlineStr">
        <is>
          <t>brand-cdn</t>
        </is>
      </c>
      <c r="M1061"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1"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1" t="inlineStr">
        <is>
          <t>f8468e70a3f1062cd90b82e6951bfb3916f65122ab65e1866c3f1a3bc6852aeb</t>
        </is>
      </c>
      <c r="P1061" t="inlineStr">
        <is>
          <t>library/075_kandima-maldives/factsheet/2024_Kandima Maldives Factsheet - 2024 _1_.pdf _1_.pdf</t>
        </is>
      </c>
      <c r="R1061" t="inlineStr">
        <is>
          <t>outdated</t>
        </is>
      </c>
      <c r="S1061" t="inlineStr">
        <is>
          <t>N</t>
        </is>
      </c>
      <c r="T1061" t="inlineStr">
        <is>
          <t>matched</t>
        </is>
      </c>
      <c r="U1061" t="inlineStr">
        <is>
          <t>2026-10-04</t>
        </is>
      </c>
      <c r="V1061" t="inlineStr"/>
    </row>
    <row r="1062">
      <c r="A1062" t="n">
        <v>75</v>
      </c>
      <c r="B1062" t="inlineStr">
        <is>
          <t>Kandima Maldives</t>
        </is>
      </c>
      <c r="C1062" t="inlineStr">
        <is>
          <t>factsheet</t>
        </is>
      </c>
      <c r="D1062" t="inlineStr">
        <is>
          <t>2019_Kandima-Maldives-Resort-Factsheet.pdf</t>
        </is>
      </c>
      <c r="E1062" t="n">
        <v>2019</v>
      </c>
      <c r="H1062" t="n">
        <v>6</v>
      </c>
      <c r="I1062" t="n">
        <v>1718</v>
      </c>
      <c r="J1062" t="inlineStr">
        <is>
          <t>Y</t>
        </is>
      </c>
      <c r="K1062" t="inlineStr">
        <is>
          <t>neoscapesmaldives.com</t>
        </is>
      </c>
      <c r="L1062" t="inlineStr">
        <is>
          <t>dmc-agency</t>
        </is>
      </c>
      <c r="M1062" t="inlineStr">
        <is>
          <t>https://www.neoscapesmaldives.com/wp-content/uploads/Kandima-Maldives-Resort-Factsheet.pdf</t>
        </is>
      </c>
      <c r="N1062" t="inlineStr">
        <is>
          <t>https://www.neoscapesmaldives.com/wp-content/uploads/Kandima-Maldives-Resort-Factsheet.pdf</t>
        </is>
      </c>
      <c r="O1062" t="inlineStr">
        <is>
          <t>50fda9fb952a318bc060d8dcf5cfa974074dcde7a417bf581c74d325efb57d87</t>
        </is>
      </c>
      <c r="P1062" t="inlineStr">
        <is>
          <t>library/075_kandima-maldives/factsheet/2019_Kandima-Maldives-Resort-Factsheet.pdf</t>
        </is>
      </c>
      <c r="R1062" t="inlineStr">
        <is>
          <t>outdated</t>
        </is>
      </c>
      <c r="S1062" t="inlineStr">
        <is>
          <t>N</t>
        </is>
      </c>
      <c r="T1062" t="inlineStr">
        <is>
          <t>matched</t>
        </is>
      </c>
      <c r="U1062" t="inlineStr">
        <is>
          <t>2026-10-04</t>
        </is>
      </c>
      <c r="V1062" t="inlineStr"/>
    </row>
    <row r="1063">
      <c r="A1063" t="n">
        <v>75</v>
      </c>
      <c r="B1063" t="inlineStr">
        <is>
          <t>Kandima Maldives</t>
        </is>
      </c>
      <c r="C1063" t="inlineStr">
        <is>
          <t>wedding</t>
        </is>
      </c>
      <c r="D1063" t="inlineStr">
        <is>
          <t>2024_Kandima destination weddings presentation.pdf</t>
        </is>
      </c>
      <c r="E1063" t="n">
        <v>2024</v>
      </c>
      <c r="H1063" t="n">
        <v>20</v>
      </c>
      <c r="I1063" t="n">
        <v>23249</v>
      </c>
      <c r="J1063" t="inlineStr">
        <is>
          <t>Y</t>
        </is>
      </c>
      <c r="K1063" t="inlineStr">
        <is>
          <t>pulse.dash.app</t>
        </is>
      </c>
      <c r="L1063" t="inlineStr">
        <is>
          <t>brand-cdn</t>
        </is>
      </c>
      <c r="M1063"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3"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3" t="inlineStr">
        <is>
          <t>90e4f30e491446d3b4bc654a30735022f615776068df443e92d83c36b34a30a0</t>
        </is>
      </c>
      <c r="P1063" t="inlineStr">
        <is>
          <t>library/075_kandima-maldives/wedding/2024_Kandima destination weddings presentation.pdf</t>
        </is>
      </c>
      <c r="R1063" t="inlineStr">
        <is>
          <t>outdated</t>
        </is>
      </c>
      <c r="S1063" t="inlineStr">
        <is>
          <t>Y</t>
        </is>
      </c>
      <c r="T1063" t="inlineStr">
        <is>
          <t>matched</t>
        </is>
      </c>
      <c r="U1063" t="inlineStr">
        <is>
          <t>2026-10-04</t>
        </is>
      </c>
      <c r="V1063" t="inlineStr"/>
    </row>
    <row r="1064">
      <c r="A1064" t="n">
        <v>75</v>
      </c>
      <c r="B1064" t="inlineStr">
        <is>
          <t>Kandima Maldives</t>
        </is>
      </c>
      <c r="C1064" t="inlineStr">
        <is>
          <t>map</t>
        </is>
      </c>
      <c r="D1064" t="inlineStr">
        <is>
          <t>2025_K_MAP_Final_2025.pdf</t>
        </is>
      </c>
      <c r="E1064" t="n">
        <v>2025</v>
      </c>
      <c r="H1064" t="n">
        <v>1</v>
      </c>
      <c r="I1064" t="n">
        <v>17312</v>
      </c>
      <c r="J1064" t="inlineStr">
        <is>
          <t>N</t>
        </is>
      </c>
      <c r="K1064" t="inlineStr">
        <is>
          <t>pulse.dash.app</t>
        </is>
      </c>
      <c r="L1064" t="inlineStr">
        <is>
          <t>brand-cdn</t>
        </is>
      </c>
      <c r="M1064"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4"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4" t="inlineStr">
        <is>
          <t>41ce44a52d67a503b53ac86a4cbf14a7787b708c4f8dcc4c7d8fc1c8f1f49d50</t>
        </is>
      </c>
      <c r="P1064" t="inlineStr">
        <is>
          <t>library/075_kandima-maldives/map/2025_K_MAP_Final_2025.pdf</t>
        </is>
      </c>
      <c r="R1064" t="inlineStr">
        <is>
          <t>current</t>
        </is>
      </c>
      <c r="S1064" t="inlineStr">
        <is>
          <t>Y</t>
        </is>
      </c>
      <c r="T1064" t="inlineStr">
        <is>
          <t>matched</t>
        </is>
      </c>
      <c r="U1064" t="inlineStr">
        <is>
          <t>2026-10-04</t>
        </is>
      </c>
      <c r="V1064" t="inlineStr"/>
    </row>
    <row r="1065">
      <c r="A1065" t="n">
        <v>75</v>
      </c>
      <c r="B1065" t="inlineStr">
        <is>
          <t>Kandima Maldives</t>
        </is>
      </c>
      <c r="C1065" t="inlineStr">
        <is>
          <t>map</t>
        </is>
      </c>
      <c r="D1065" t="inlineStr">
        <is>
          <t>2019_Kandima-Maldives-Resort-map.pdf</t>
        </is>
      </c>
      <c r="E1065" t="n">
        <v>2019</v>
      </c>
      <c r="H1065" t="n">
        <v>1</v>
      </c>
      <c r="I1065" t="n">
        <v>64</v>
      </c>
      <c r="J1065" t="inlineStr">
        <is>
          <t>N</t>
        </is>
      </c>
      <c r="K1065" t="inlineStr">
        <is>
          <t>neoscapesmaldives.com</t>
        </is>
      </c>
      <c r="L1065" t="inlineStr">
        <is>
          <t>dmc-agency</t>
        </is>
      </c>
      <c r="M1065" t="inlineStr">
        <is>
          <t>https://www.neoscapesmaldives.com/wp-content/uploads/Kandima-Maldives-Resort-map.pdf</t>
        </is>
      </c>
      <c r="N1065" t="inlineStr">
        <is>
          <t>https://www.neoscapesmaldives.com/wp-content/uploads/Kandima-Maldives-Resort-map.pdf</t>
        </is>
      </c>
      <c r="O1065" t="inlineStr">
        <is>
          <t>334d629597ed041ea7707cf5349470809a7dbe64386021c484d9e8ad7a33b249</t>
        </is>
      </c>
      <c r="P1065" t="inlineStr">
        <is>
          <t>library/075_kandima-maldives/map/2019_Kandima-Maldives-Resort-map.pdf</t>
        </is>
      </c>
      <c r="R1065" t="inlineStr">
        <is>
          <t>outdated</t>
        </is>
      </c>
      <c r="S1065" t="inlineStr">
        <is>
          <t>N</t>
        </is>
      </c>
      <c r="T1065" t="inlineStr">
        <is>
          <t>matched</t>
        </is>
      </c>
      <c r="U1065" t="inlineStr">
        <is>
          <t>2026-10-04</t>
        </is>
      </c>
      <c r="V1065" t="inlineStr"/>
    </row>
    <row r="1066">
      <c r="A1066" t="n">
        <v>75</v>
      </c>
      <c r="B1066" t="inlineStr">
        <is>
          <t>Kandima Maldives</t>
        </is>
      </c>
      <c r="C1066" t="inlineStr">
        <is>
          <t>dining_menu</t>
        </is>
      </c>
      <c r="D1066" t="inlineStr">
        <is>
          <t>2026_PAI_English 2026.pdf</t>
        </is>
      </c>
      <c r="E1066" t="n">
        <v>2026</v>
      </c>
      <c r="H1066" t="n">
        <v>1</v>
      </c>
      <c r="I1066" t="n">
        <v>2677</v>
      </c>
      <c r="J1066" t="inlineStr">
        <is>
          <t>Y</t>
        </is>
      </c>
      <c r="K1066" t="inlineStr">
        <is>
          <t>pulse.dash.app</t>
        </is>
      </c>
      <c r="L1066" t="inlineStr">
        <is>
          <t>brand-cdn</t>
        </is>
      </c>
      <c r="M1066"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6"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6" t="inlineStr">
        <is>
          <t>4fd1128118eb84bedad06b9afcd82b3acce9cd0201e858706461a8e2f6de4cd9</t>
        </is>
      </c>
      <c r="P1066" t="inlineStr">
        <is>
          <t>library/075_kandima-maldives/dining_menu/2026_PAI_English 2026.pdf</t>
        </is>
      </c>
      <c r="R1066" t="inlineStr">
        <is>
          <t>current</t>
        </is>
      </c>
      <c r="S1066" t="inlineStr">
        <is>
          <t>Y</t>
        </is>
      </c>
      <c r="T1066" t="inlineStr">
        <is>
          <t>matched</t>
        </is>
      </c>
      <c r="U1066" t="inlineStr">
        <is>
          <t>2026-10-04</t>
        </is>
      </c>
      <c r="V1066" t="inlineStr"/>
    </row>
    <row r="1067">
      <c r="A1067" t="n">
        <v>75</v>
      </c>
      <c r="B1067" t="inlineStr">
        <is>
          <t>Kandima Maldives</t>
        </is>
      </c>
      <c r="C1067" t="inlineStr">
        <is>
          <t>dining_menu</t>
        </is>
      </c>
      <c r="D1067" t="inlineStr">
        <is>
          <t>2026_Kandima Maldives Sales Kit.pdf</t>
        </is>
      </c>
      <c r="E1067" t="n">
        <v>2026</v>
      </c>
      <c r="H1067" t="n">
        <v>1</v>
      </c>
      <c r="I1067" t="n">
        <v>790</v>
      </c>
      <c r="J1067" t="inlineStr">
        <is>
          <t>Y</t>
        </is>
      </c>
      <c r="K1067" t="inlineStr">
        <is>
          <t>pulse.dash.app</t>
        </is>
      </c>
      <c r="L1067" t="inlineStr">
        <is>
          <t>brand-cdn</t>
        </is>
      </c>
      <c r="M1067"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7"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7" t="inlineStr">
        <is>
          <t>384e8bd839b6ab711d2ed00f172f3376833a560d3187fcf5d493b3981ceb6302</t>
        </is>
      </c>
      <c r="P1067" t="inlineStr">
        <is>
          <t>library/075_kandima-maldives/dining_menu/2026_Kandima Maldives Sales Kit.pdf</t>
        </is>
      </c>
      <c r="R1067" t="inlineStr">
        <is>
          <t>current</t>
        </is>
      </c>
      <c r="S1067" t="inlineStr">
        <is>
          <t>N</t>
        </is>
      </c>
      <c r="T1067" t="inlineStr">
        <is>
          <t>matched</t>
        </is>
      </c>
      <c r="U1067" t="inlineStr">
        <is>
          <t>2026-10-04</t>
        </is>
      </c>
      <c r="V1067" t="inlineStr"/>
    </row>
    <row r="1068">
      <c r="A1068" t="n">
        <v>75</v>
      </c>
      <c r="B1068" t="inlineStr">
        <is>
          <t>Kandima Maldives</t>
        </is>
      </c>
      <c r="C1068" t="inlineStr">
        <is>
          <t>villa_plans</t>
        </is>
      </c>
      <c r="D1068" t="inlineStr">
        <is>
          <t>2024_Kandima Studios and Villas - Floor Plans 2024.pdf</t>
        </is>
      </c>
      <c r="E1068" t="n">
        <v>2024</v>
      </c>
      <c r="H1068" t="n">
        <v>9</v>
      </c>
      <c r="I1068" t="n">
        <v>25227</v>
      </c>
      <c r="J1068" t="inlineStr">
        <is>
          <t>Y</t>
        </is>
      </c>
      <c r="K1068" t="inlineStr">
        <is>
          <t>pulse.dash.app</t>
        </is>
      </c>
      <c r="L1068" t="inlineStr">
        <is>
          <t>brand-cdn</t>
        </is>
      </c>
      <c r="M1068"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8"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8" t="inlineStr">
        <is>
          <t>801926ae15b3ada0dd26a2cc79c470ff10158a89d0218c0f1ae1233d57d13947</t>
        </is>
      </c>
      <c r="P1068" t="inlineStr">
        <is>
          <t>library/075_kandima-maldives/villa_plans/2024_Kandima Studios and Villas - Floor Plans 2024.pdf</t>
        </is>
      </c>
      <c r="R1068" t="inlineStr">
        <is>
          <t>outdated</t>
        </is>
      </c>
      <c r="S1068" t="inlineStr">
        <is>
          <t>Y</t>
        </is>
      </c>
      <c r="T1068" t="inlineStr">
        <is>
          <t>matched</t>
        </is>
      </c>
      <c r="U1068" t="inlineStr">
        <is>
          <t>2026-10-04</t>
        </is>
      </c>
      <c r="V1068" t="inlineStr"/>
    </row>
    <row r="1069">
      <c r="A1069" t="n">
        <v>75</v>
      </c>
      <c r="B1069" t="inlineStr">
        <is>
          <t>Kandima Maldives</t>
        </is>
      </c>
      <c r="C1069" t="inlineStr">
        <is>
          <t>calendar</t>
        </is>
      </c>
      <c r="D1069" t="inlineStr">
        <is>
          <t>2023_Holoworld_2023_Kandima_Maldives_Festive_Brochure.pdf</t>
        </is>
      </c>
      <c r="E1069" t="n">
        <v>2023</v>
      </c>
      <c r="H1069" t="n">
        <v>16</v>
      </c>
      <c r="I1069" t="n">
        <v>40956</v>
      </c>
      <c r="J1069" t="inlineStr">
        <is>
          <t>Y</t>
        </is>
      </c>
      <c r="K1069" t="inlineStr">
        <is>
          <t>letsgomaldives.com</t>
        </is>
      </c>
      <c r="L1069" t="inlineStr">
        <is>
          <t>dmc-agency</t>
        </is>
      </c>
      <c r="M1069" t="inlineStr">
        <is>
          <t>https://letsgomaldives.com/wp-content/uploads/2023/11/Holoworld_2023_Kandima_Maldives_Festive_Brochure.pdf</t>
        </is>
      </c>
      <c r="N1069" t="inlineStr">
        <is>
          <t>https://letsgomaldives.com/wp-content/uploads/2023/11/Holoworld_2023_Kandima_Maldives_Festive_Brochure.pdf</t>
        </is>
      </c>
      <c r="O1069" t="inlineStr">
        <is>
          <t>cdfeec33774beedbe141c78dfd5c46a8de3047dc27c29a155d1dcb269e929eaa</t>
        </is>
      </c>
      <c r="P1069" t="inlineStr">
        <is>
          <t>library/075_kandima-maldives/calendar/2023_Holoworld_2023_Kandima_Maldives_Festive_Brochure.pdf</t>
        </is>
      </c>
      <c r="R1069" t="inlineStr">
        <is>
          <t>outdated</t>
        </is>
      </c>
      <c r="S1069" t="inlineStr">
        <is>
          <t>Y</t>
        </is>
      </c>
      <c r="T1069" t="inlineStr">
        <is>
          <t>matched</t>
        </is>
      </c>
      <c r="U1069" t="inlineStr">
        <is>
          <t>2026-10-04</t>
        </is>
      </c>
      <c r="V1069" t="inlineStr"/>
    </row>
    <row r="1070">
      <c r="A1070" t="n">
        <v>75</v>
      </c>
      <c r="B1070" t="inlineStr">
        <is>
          <t>Kandima Maldives</t>
        </is>
      </c>
      <c r="C1070" t="inlineStr">
        <is>
          <t>brochure</t>
        </is>
      </c>
      <c r="D1070" t="inlineStr">
        <is>
          <t>2024_Fast Track - Presentation .pdf</t>
        </is>
      </c>
      <c r="E1070" t="n">
        <v>2024</v>
      </c>
      <c r="H1070" t="n">
        <v>12</v>
      </c>
      <c r="I1070" t="n">
        <v>2795</v>
      </c>
      <c r="J1070" t="inlineStr">
        <is>
          <t>Y</t>
        </is>
      </c>
      <c r="K1070" t="inlineStr">
        <is>
          <t>pulse.dash.app</t>
        </is>
      </c>
      <c r="L1070" t="inlineStr">
        <is>
          <t>brand-cdn</t>
        </is>
      </c>
      <c r="M1070"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0"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0" t="inlineStr">
        <is>
          <t>981e7f7ba49b01c1b1c78265dd6315beb5bfda45efed43f926019f62f7dabe1e</t>
        </is>
      </c>
      <c r="P1070" t="inlineStr">
        <is>
          <t>library/075_kandima-maldives/brochure/2024_Fast Track - Presentation .pdf</t>
        </is>
      </c>
      <c r="R1070" t="inlineStr">
        <is>
          <t>outdated</t>
        </is>
      </c>
      <c r="S1070" t="inlineStr">
        <is>
          <t>Y</t>
        </is>
      </c>
      <c r="T1070" t="inlineStr">
        <is>
          <t>matched</t>
        </is>
      </c>
      <c r="U1070" t="inlineStr">
        <is>
          <t>2026-10-04</t>
        </is>
      </c>
      <c r="V1070" t="inlineStr"/>
    </row>
    <row r="1071">
      <c r="A1071" t="n">
        <v>75</v>
      </c>
      <c r="B1071" t="inlineStr">
        <is>
          <t>Kandima Maldives</t>
        </is>
      </c>
      <c r="C1071" t="inlineStr">
        <is>
          <t>brochure</t>
        </is>
      </c>
      <c r="D1071" t="inlineStr">
        <is>
          <t>2022_C U Soon Guide Revised.pdf</t>
        </is>
      </c>
      <c r="E1071" t="n">
        <v>2022</v>
      </c>
      <c r="H1071" t="n">
        <v>9</v>
      </c>
      <c r="I1071" t="n">
        <v>5984</v>
      </c>
      <c r="J1071" t="inlineStr">
        <is>
          <t>Y</t>
        </is>
      </c>
      <c r="K1071" t="inlineStr">
        <is>
          <t>pulse.dash.app</t>
        </is>
      </c>
      <c r="L1071" t="inlineStr">
        <is>
          <t>brand-cdn</t>
        </is>
      </c>
      <c r="M1071"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1"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1" t="inlineStr">
        <is>
          <t>bc0d174a1712951cb7516a2b2e60e17c857ef39e527f62d448d7ba7e505f2e58</t>
        </is>
      </c>
      <c r="P1071" t="inlineStr">
        <is>
          <t>library/075_kandima-maldives/brochure/2022_C U Soon Guide Revised.pdf</t>
        </is>
      </c>
      <c r="R1071" t="inlineStr">
        <is>
          <t>outdated</t>
        </is>
      </c>
      <c r="S1071" t="inlineStr">
        <is>
          <t>N</t>
        </is>
      </c>
      <c r="T1071" t="inlineStr">
        <is>
          <t>matched</t>
        </is>
      </c>
      <c r="U1071" t="inlineStr">
        <is>
          <t>2026-10-04</t>
        </is>
      </c>
      <c r="V1071" t="inlineStr"/>
    </row>
    <row r="1072">
      <c r="A1072" t="n">
        <v>75</v>
      </c>
      <c r="B1072" t="inlineStr">
        <is>
          <t>Kandima Maldives</t>
        </is>
      </c>
      <c r="C1072" t="inlineStr">
        <is>
          <t>other</t>
        </is>
      </c>
      <c r="D1072" t="inlineStr">
        <is>
          <t>2017_kandima_logotype-BW copy.pdf</t>
        </is>
      </c>
      <c r="E1072" t="n">
        <v>2017</v>
      </c>
      <c r="H1072" t="n">
        <v>1</v>
      </c>
      <c r="I1072" t="n">
        <v>62</v>
      </c>
      <c r="J1072" t="inlineStr">
        <is>
          <t>N</t>
        </is>
      </c>
      <c r="K1072" t="inlineStr">
        <is>
          <t>pulse.dash.app</t>
        </is>
      </c>
      <c r="L1072" t="inlineStr">
        <is>
          <t>brand-cdn</t>
        </is>
      </c>
      <c r="M1072"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2"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2" t="inlineStr">
        <is>
          <t>ab07f7b70d9d774fca279261a774651544d7869612b9a04dc92c23b1c6a4d1f9</t>
        </is>
      </c>
      <c r="P1072" t="inlineStr">
        <is>
          <t>library/075_kandima-maldives/other/2017_kandima_logotype-BW copy.pdf</t>
        </is>
      </c>
      <c r="R1072" t="inlineStr">
        <is>
          <t>outdated</t>
        </is>
      </c>
      <c r="S1072" t="inlineStr">
        <is>
          <t>Y</t>
        </is>
      </c>
      <c r="T1072" t="inlineStr">
        <is>
          <t>matched</t>
        </is>
      </c>
      <c r="U1072" t="inlineStr">
        <is>
          <t>2026-10-04</t>
        </is>
      </c>
      <c r="V1072" t="inlineStr"/>
    </row>
    <row r="1073">
      <c r="A1073" t="n">
        <v>76</v>
      </c>
      <c r="B1073" t="inlineStr">
        <is>
          <t>Hideaway Beach Resort and Spa at Dhonakulhi Island Maldives</t>
        </is>
      </c>
      <c r="C1073" t="inlineStr">
        <is>
          <t>factsheet</t>
        </is>
      </c>
      <c r="D1073" t="inlineStr">
        <is>
          <t>2020_Factsheet-Hideaway-Beach-Maldives-NEO.pdf</t>
        </is>
      </c>
      <c r="E1073" t="n">
        <v>2020</v>
      </c>
      <c r="H1073" t="n">
        <v>17</v>
      </c>
      <c r="I1073" t="n">
        <v>4507</v>
      </c>
      <c r="J1073" t="inlineStr">
        <is>
          <t>N</t>
        </is>
      </c>
      <c r="K1073" t="inlineStr">
        <is>
          <t>neoscapesmaldives.com</t>
        </is>
      </c>
      <c r="L1073" t="inlineStr">
        <is>
          <t>dmc-agency</t>
        </is>
      </c>
      <c r="M1073" t="inlineStr">
        <is>
          <t>https://www.neoscapesmaldives.com/wp-content/uploads/Factsheet-Hideaway-Beach-Maldives-NEO.pdf</t>
        </is>
      </c>
      <c r="N1073" t="inlineStr">
        <is>
          <t>https://www.neoscapesmaldives.com/wp-content/uploads/Factsheet-Hideaway-Beach-Maldives-NEO.pdf</t>
        </is>
      </c>
      <c r="O1073" t="inlineStr">
        <is>
          <t>38e5077d60a8cf65c22b98ccb07a76a550efd029d799f31d8b3ee40ca757fd9f</t>
        </is>
      </c>
      <c r="P1073" t="inlineStr">
        <is>
          <t>library/076_hideaway-beach-resort-and-spa-at-dhonakulhi-island/factsheet/2020_Factsheet-Hideaway-Beach-Maldives-NEO.pdf</t>
        </is>
      </c>
      <c r="R1073" t="inlineStr">
        <is>
          <t>outdated</t>
        </is>
      </c>
      <c r="S1073" t="inlineStr">
        <is>
          <t>Y</t>
        </is>
      </c>
      <c r="T1073" t="inlineStr">
        <is>
          <t>matched</t>
        </is>
      </c>
      <c r="U1073" t="inlineStr">
        <is>
          <t>2026-10-04</t>
        </is>
      </c>
      <c r="V1073" t="inlineStr"/>
    </row>
    <row r="1074">
      <c r="A1074" t="n">
        <v>76</v>
      </c>
      <c r="B1074" t="inlineStr">
        <is>
          <t>Hideaway Beach Resort and Spa at Dhonakulhi Island Maldives</t>
        </is>
      </c>
      <c r="C1074" t="inlineStr">
        <is>
          <t>map</t>
        </is>
      </c>
      <c r="D1074" t="inlineStr">
        <is>
          <t>2018_Resort-Map-Hideaway-Beach-Maldives.pdf</t>
        </is>
      </c>
      <c r="E1074" t="n">
        <v>2018</v>
      </c>
      <c r="H1074" t="n">
        <v>2</v>
      </c>
      <c r="I1074" t="n">
        <v>1202</v>
      </c>
      <c r="J1074" t="inlineStr">
        <is>
          <t>Y</t>
        </is>
      </c>
      <c r="K1074" t="inlineStr">
        <is>
          <t>neoscapesmaldives.com</t>
        </is>
      </c>
      <c r="L1074" t="inlineStr">
        <is>
          <t>dmc-agency</t>
        </is>
      </c>
      <c r="M1074" t="inlineStr">
        <is>
          <t>https://www.neoscapesmaldives.com/wp-content/uploads/Resort-Map-Hideaway-Beach-Maldives.pdf</t>
        </is>
      </c>
      <c r="N1074" t="inlineStr">
        <is>
          <t>https://www.neoscapesmaldives.com/wp-content/uploads/Resort-Map-Hideaway-Beach-Maldives.pdf</t>
        </is>
      </c>
      <c r="O1074" t="inlineStr">
        <is>
          <t>b9bdbbce4defe7fa506e05d0e2aa4e0b1c885f3ef898227db13a6f75c2bc0430</t>
        </is>
      </c>
      <c r="P1074" t="inlineStr">
        <is>
          <t>library/076_hideaway-beach-resort-and-spa-at-dhonakulhi-island/map/2018_Resort-Map-Hideaway-Beach-Maldives.pdf</t>
        </is>
      </c>
      <c r="R1074" t="inlineStr">
        <is>
          <t>outdated</t>
        </is>
      </c>
      <c r="S1074" t="inlineStr">
        <is>
          <t>Y</t>
        </is>
      </c>
      <c r="T1074" t="inlineStr">
        <is>
          <t>matched</t>
        </is>
      </c>
      <c r="U1074" t="inlineStr">
        <is>
          <t>2026-10-04</t>
        </is>
      </c>
      <c r="V1074" t="inlineStr"/>
    </row>
    <row r="1075">
      <c r="A1075" t="n">
        <v>77</v>
      </c>
      <c r="B1075" t="inlineStr">
        <is>
          <t>Atmosphere Kanifushi Maldives</t>
        </is>
      </c>
      <c r="C1075" t="inlineStr">
        <is>
          <t>map</t>
        </is>
      </c>
      <c r="D1075" t="inlineStr">
        <is>
          <t>2019_ATMOSPHERE-KANIFUSHI-MALDIVES-ISLAND-MAP-DEC2019.pdf</t>
        </is>
      </c>
      <c r="E1075" t="n">
        <v>2019</v>
      </c>
      <c r="H1075" t="n">
        <v>1</v>
      </c>
      <c r="I1075" t="n">
        <v>977</v>
      </c>
      <c r="J1075" t="inlineStr">
        <is>
          <t>Y</t>
        </is>
      </c>
      <c r="K1075" t="inlineStr">
        <is>
          <t>neoscapesmaldives.com</t>
        </is>
      </c>
      <c r="L1075" t="inlineStr">
        <is>
          <t>dmc-agency</t>
        </is>
      </c>
      <c r="M1075" t="inlineStr">
        <is>
          <t>https://www.neoscapesmaldives.com/wp-content/uploads/ATMOSPHERE-KANIFUSHI-MALDIVES-ISLAND-MAP-DEC2019.pdf</t>
        </is>
      </c>
      <c r="N1075" t="inlineStr">
        <is>
          <t>https://www.neoscapesmaldives.com/wp-content/uploads/ATMOSPHERE-KANIFUSHI-MALDIVES-ISLAND-MAP-DEC2019.pdf</t>
        </is>
      </c>
      <c r="O1075" t="inlineStr">
        <is>
          <t>f0f9875169f4793ba0810c0f041f3255f852d132536a2a4efb1dd0834714b0cd</t>
        </is>
      </c>
      <c r="P1075" t="inlineStr">
        <is>
          <t>library/077_atmosphere-kanifushi-maldives/map/2019_ATMOSPHERE-KANIFUSHI-MALDIVES-ISLAND-MAP-DEC2019.pdf</t>
        </is>
      </c>
      <c r="R1075" t="inlineStr">
        <is>
          <t>outdated</t>
        </is>
      </c>
      <c r="S1075" t="inlineStr">
        <is>
          <t>Y</t>
        </is>
      </c>
      <c r="T1075" t="inlineStr">
        <is>
          <t>matched</t>
        </is>
      </c>
      <c r="U1075" t="inlineStr">
        <is>
          <t>2026-10-04</t>
        </is>
      </c>
      <c r="V1075" t="inlineStr"/>
    </row>
    <row r="1076">
      <c r="A1076" t="n">
        <v>77</v>
      </c>
      <c r="B1076" t="inlineStr">
        <is>
          <t>Atmosphere Kanifushi Maldives</t>
        </is>
      </c>
      <c r="C1076" t="inlineStr">
        <is>
          <t>calendar</t>
        </is>
      </c>
      <c r="D1076" t="inlineStr">
        <is>
          <t>2024_Festive_Calendar_2023_2024_Atmosphere-Kanifushi_Maldives.pdf</t>
        </is>
      </c>
      <c r="E1076" t="n">
        <v>2024</v>
      </c>
      <c r="H1076" t="n">
        <v>9</v>
      </c>
      <c r="I1076" t="n">
        <v>4846</v>
      </c>
      <c r="J1076" t="inlineStr">
        <is>
          <t>Y</t>
        </is>
      </c>
      <c r="K1076" t="inlineStr">
        <is>
          <t>letsgomaldives.com</t>
        </is>
      </c>
      <c r="L1076" t="inlineStr">
        <is>
          <t>dmc-agency</t>
        </is>
      </c>
      <c r="M1076" t="inlineStr">
        <is>
          <t>https://letsgomaldives.com/wp-content/uploads/2023/11/Festive_Calendar_2023_2024_Atmosphere-Kanifushi_Maldives.pdf</t>
        </is>
      </c>
      <c r="N1076" t="inlineStr">
        <is>
          <t>https://letsgomaldives.com/wp-content/uploads/2023/11/Festive_Calendar_2023_2024_Atmosphere-Kanifushi_Maldives.pdf</t>
        </is>
      </c>
      <c r="O1076" t="inlineStr">
        <is>
          <t>dc679d1ef0af4c7743326c02a0b8302e41579031341625e4c3cc9c06c502df6a</t>
        </is>
      </c>
      <c r="P1076" t="inlineStr">
        <is>
          <t>library/077_atmosphere-kanifushi-maldives/calendar/2024_Festive_Calendar_2023_2024_Atmosphere-Kanifushi_Maldives.pdf</t>
        </is>
      </c>
      <c r="R1076" t="inlineStr">
        <is>
          <t>outdated</t>
        </is>
      </c>
      <c r="S1076" t="inlineStr">
        <is>
          <t>Y</t>
        </is>
      </c>
      <c r="T1076" t="inlineStr">
        <is>
          <t>matched</t>
        </is>
      </c>
      <c r="U1076" t="inlineStr">
        <is>
          <t>2026-10-04</t>
        </is>
      </c>
      <c r="V1076" t="inlineStr"/>
    </row>
    <row r="1077">
      <c r="A1077" t="n">
        <v>77</v>
      </c>
      <c r="B1077" t="inlineStr">
        <is>
          <t>Atmosphere Kanifushi Maldives</t>
        </is>
      </c>
      <c r="C1077" t="inlineStr">
        <is>
          <t>brochure</t>
        </is>
      </c>
      <c r="D1077" t="inlineStr">
        <is>
          <t>2025_AKM-Resort-Brochure-MAR-2025-1.pdf</t>
        </is>
      </c>
      <c r="E1077" t="n">
        <v>2025</v>
      </c>
      <c r="H1077" t="n">
        <v>21</v>
      </c>
      <c r="I1077" t="n">
        <v>10617</v>
      </c>
      <c r="J1077" t="inlineStr">
        <is>
          <t>Y</t>
        </is>
      </c>
      <c r="K1077" t="inlineStr">
        <is>
          <t>neoscapesmaldives.com</t>
        </is>
      </c>
      <c r="L1077" t="inlineStr">
        <is>
          <t>dmc-agency</t>
        </is>
      </c>
      <c r="M1077" t="inlineStr">
        <is>
          <t>https://www.neoscapesmaldives.com/wp-content/uploads/AKM-Resort-Brochure-MAR-2025-1.pdf</t>
        </is>
      </c>
      <c r="N1077" t="inlineStr">
        <is>
          <t>https://www.neoscapesmaldives.com/wp-content/uploads/AKM-Resort-Brochure-MAR-2025-1.pdf</t>
        </is>
      </c>
      <c r="O1077" t="inlineStr">
        <is>
          <t>e6726b206e1ffe4d47155a59840d481aafb1cfe8ad10957a13a2b728d9b1c310</t>
        </is>
      </c>
      <c r="P1077" t="inlineStr">
        <is>
          <t>library/077_atmosphere-kanifushi-maldives/brochure/2025_AKM-Resort-Brochure-MAR-2025-1.pdf</t>
        </is>
      </c>
      <c r="R1077" t="inlineStr">
        <is>
          <t>current</t>
        </is>
      </c>
      <c r="S1077" t="inlineStr">
        <is>
          <t>Y</t>
        </is>
      </c>
      <c r="T1077" t="inlineStr">
        <is>
          <t>matched</t>
        </is>
      </c>
      <c r="U1077" t="inlineStr">
        <is>
          <t>2026-10-04</t>
        </is>
      </c>
      <c r="V1077" t="inlineStr"/>
    </row>
    <row r="1078">
      <c r="A1078" t="n">
        <v>78</v>
      </c>
      <c r="B1078" t="inlineStr">
        <is>
          <t>Meeru Maldives Resort Island</t>
        </is>
      </c>
      <c r="C1078" t="inlineStr">
        <is>
          <t>factsheet</t>
        </is>
      </c>
      <c r="D1078" t="inlineStr">
        <is>
          <t>2025_FactSheetMeeru110125103126Ver01022025-1.pdf</t>
        </is>
      </c>
      <c r="E1078" t="n">
        <v>2025</v>
      </c>
      <c r="F1078" t="inlineStr">
        <is>
          <t>2025-11-01</t>
        </is>
      </c>
      <c r="G1078" t="inlineStr">
        <is>
          <t>2026-10-31</t>
        </is>
      </c>
      <c r="H1078" t="n">
        <v>0</v>
      </c>
      <c r="I1078" t="n">
        <v>1596</v>
      </c>
      <c r="J1078" t="inlineStr">
        <is>
          <t>N</t>
        </is>
      </c>
      <c r="K1078" t="inlineStr">
        <is>
          <t>sales.crownandchamparesorts.com</t>
        </is>
      </c>
      <c r="L1078" t="inlineStr">
        <is>
          <t>brand-cdn</t>
        </is>
      </c>
      <c r="M1078" t="inlineStr">
        <is>
          <t>https://sales.crownandchamparesorts.com/wp-content/uploads/2025/12/FactSheetMeeru110125103126Ver01022025-1.pdf</t>
        </is>
      </c>
      <c r="N1078" t="inlineStr">
        <is>
          <t>https://sales.crownandchamparesorts.com/wp-content/uploads/2025/12/FactSheetMeeru110125103126Ver01022025-1.pdf</t>
        </is>
      </c>
      <c r="O1078" t="inlineStr">
        <is>
          <t>30eb914028693086535fcce2c813320287d595fb4296615b162c8542ad2f78e2</t>
        </is>
      </c>
      <c r="P1078" t="inlineStr">
        <is>
          <t>library/078_meeru-maldives-resort-island/factsheet/2025_FactSheetMeeru110125103126Ver01022025-1.pdf</t>
        </is>
      </c>
      <c r="R1078" t="inlineStr">
        <is>
          <t>current</t>
        </is>
      </c>
      <c r="S1078" t="inlineStr">
        <is>
          <t>N</t>
        </is>
      </c>
      <c r="T1078" t="inlineStr">
        <is>
          <t>matched</t>
        </is>
      </c>
      <c r="U1078" t="inlineStr">
        <is>
          <t>2026-10-04</t>
        </is>
      </c>
      <c r="V1078" t="inlineStr"/>
    </row>
    <row r="1079">
      <c r="A1079" t="n">
        <v>78</v>
      </c>
      <c r="B1079" t="inlineStr">
        <is>
          <t>Meeru Maldives Resort Island</t>
        </is>
      </c>
      <c r="C1079" t="inlineStr">
        <is>
          <t>factsheet</t>
        </is>
      </c>
      <c r="D1079" t="inlineStr">
        <is>
          <t>2025_FactSheetMeeru110125103126Ver01022025.pdf</t>
        </is>
      </c>
      <c r="E1079" t="n">
        <v>2025</v>
      </c>
      <c r="F1079" t="inlineStr">
        <is>
          <t>2025-11-01</t>
        </is>
      </c>
      <c r="G1079" t="inlineStr">
        <is>
          <t>2026-10-31</t>
        </is>
      </c>
      <c r="H1079" t="n">
        <v>12</v>
      </c>
      <c r="I1079" t="n">
        <v>1932</v>
      </c>
      <c r="J1079" t="inlineStr">
        <is>
          <t>Y</t>
        </is>
      </c>
      <c r="K1079" t="inlineStr">
        <is>
          <t>sales.crownandchamparesorts.com</t>
        </is>
      </c>
      <c r="L1079" t="inlineStr">
        <is>
          <t>brand-cdn</t>
        </is>
      </c>
      <c r="M1079" t="inlineStr">
        <is>
          <t>https://sales.crownandchamparesorts.com/wp-content/uploads/2025/12/FactSheetMeeru110125103126Ver01022025.pdf</t>
        </is>
      </c>
      <c r="N1079" t="inlineStr">
        <is>
          <t>https://sales.crownandchamparesorts.com/wp-content/uploads/2025/12/FactSheetMeeru110125103126Ver01022025.pdf</t>
        </is>
      </c>
      <c r="O1079" t="inlineStr">
        <is>
          <t>c823c98f31c880d7fd21016d5177d4dbea55817256e54becff49b9e9a2d25fac</t>
        </is>
      </c>
      <c r="P1079" t="inlineStr">
        <is>
          <t>library/078_meeru-maldives-resort-island/factsheet/2025_FactSheetMeeru110125103126Ver01022025.pdf</t>
        </is>
      </c>
      <c r="R1079" t="inlineStr">
        <is>
          <t>current</t>
        </is>
      </c>
      <c r="S1079" t="inlineStr">
        <is>
          <t>Y</t>
        </is>
      </c>
      <c r="T1079" t="inlineStr">
        <is>
          <t>matched</t>
        </is>
      </c>
      <c r="U1079" t="inlineStr">
        <is>
          <t>2026-10-04</t>
        </is>
      </c>
      <c r="V1079" t="inlineStr"/>
    </row>
    <row r="1080">
      <c r="A1080" t="n">
        <v>78</v>
      </c>
      <c r="B1080" t="inlineStr">
        <is>
          <t>Meeru Maldives Resort Island</t>
        </is>
      </c>
      <c r="C1080" t="inlineStr">
        <is>
          <t>factsheet</t>
        </is>
      </c>
      <c r="D1080" t="inlineStr">
        <is>
          <t>2022_FactSheetMeeru110122103123Rev090623.pdf</t>
        </is>
      </c>
      <c r="E1080" t="n">
        <v>2022</v>
      </c>
      <c r="F1080" t="inlineStr">
        <is>
          <t>2022-11-01</t>
        </is>
      </c>
      <c r="G1080" t="inlineStr">
        <is>
          <t>2023-10-31</t>
        </is>
      </c>
      <c r="H1080" t="n">
        <v>7</v>
      </c>
      <c r="I1080" t="n">
        <v>1913</v>
      </c>
      <c r="J1080" t="inlineStr">
        <is>
          <t>Y</t>
        </is>
      </c>
      <c r="K1080" t="inlineStr">
        <is>
          <t>sales.crownandchamparesorts.com</t>
        </is>
      </c>
      <c r="L1080" t="inlineStr">
        <is>
          <t>brand-cdn</t>
        </is>
      </c>
      <c r="M1080" t="inlineStr">
        <is>
          <t>https://sales.crownandchamparesorts.com/wp-content/uploads/2023/09/FactSheetMeeru110122103123Rev090623.pdf</t>
        </is>
      </c>
      <c r="N1080" t="inlineStr">
        <is>
          <t>https://sales.crownandchamparesorts.com/wp-content/uploads/2023/09/FactSheetMeeru110122103123Rev090623.pdf</t>
        </is>
      </c>
      <c r="O1080" t="inlineStr">
        <is>
          <t>6cf3f39dc3a04cce040cdd1f410d17396e19a329fd0598c0525777f0d6798ecf</t>
        </is>
      </c>
      <c r="P1080" t="inlineStr">
        <is>
          <t>library/078_meeru-maldives-resort-island/factsheet/2022_FactSheetMeeru110122103123Rev090623.pdf</t>
        </is>
      </c>
      <c r="R1080" t="inlineStr">
        <is>
          <t>outdated</t>
        </is>
      </c>
      <c r="S1080" t="inlineStr">
        <is>
          <t>N</t>
        </is>
      </c>
      <c r="T1080" t="inlineStr">
        <is>
          <t>matched</t>
        </is>
      </c>
      <c r="U1080" t="inlineStr">
        <is>
          <t>2026-10-04</t>
        </is>
      </c>
      <c r="V1080" t="inlineStr"/>
    </row>
    <row r="1081">
      <c r="A1081" t="n">
        <v>78</v>
      </c>
      <c r="B1081" t="inlineStr">
        <is>
          <t>Meeru Maldives Resort Island</t>
        </is>
      </c>
      <c r="C1081" t="inlineStr">
        <is>
          <t>factsheet</t>
        </is>
      </c>
      <c r="D1081" t="inlineStr">
        <is>
          <t>2019_FactSheetMeeru110119103120Rev051219.pdf</t>
        </is>
      </c>
      <c r="E1081" t="n">
        <v>2019</v>
      </c>
      <c r="F1081" t="inlineStr">
        <is>
          <t>2019-11-01</t>
        </is>
      </c>
      <c r="G1081" t="inlineStr">
        <is>
          <t>2020-10-31</t>
        </is>
      </c>
      <c r="H1081" t="n">
        <v>4</v>
      </c>
      <c r="I1081" t="n">
        <v>607</v>
      </c>
      <c r="J1081" t="inlineStr">
        <is>
          <t>Y</t>
        </is>
      </c>
      <c r="K1081" t="inlineStr">
        <is>
          <t>sales.crownandchamparesorts.com</t>
        </is>
      </c>
      <c r="L1081" t="inlineStr">
        <is>
          <t>brand-cdn</t>
        </is>
      </c>
      <c r="M1081" t="inlineStr">
        <is>
          <t>https://sales.crownandchamparesorts.com/wp-content/uploads/2018/11/FactSheetMeeru110119103120Rev051219.pdf</t>
        </is>
      </c>
      <c r="N1081" t="inlineStr">
        <is>
          <t>https://sales.crownandchamparesorts.com/wp-content/uploads/2018/11/FactSheetMeeru110119103120Rev051219.pdf</t>
        </is>
      </c>
      <c r="O1081" t="inlineStr">
        <is>
          <t>326843bf2f69b1768f49f676f68811613d012ec58c621080cbd904d4d06eb432</t>
        </is>
      </c>
      <c r="P1081" t="inlineStr">
        <is>
          <t>library/078_meeru-maldives-resort-island/factsheet/2019_FactSheetMeeru110119103120Rev051219.pdf</t>
        </is>
      </c>
      <c r="R1081" t="inlineStr">
        <is>
          <t>outdated</t>
        </is>
      </c>
      <c r="S1081" t="inlineStr">
        <is>
          <t>N</t>
        </is>
      </c>
      <c r="T1081" t="inlineStr">
        <is>
          <t>matched</t>
        </is>
      </c>
      <c r="U1081" t="inlineStr">
        <is>
          <t>2026-10-04</t>
        </is>
      </c>
      <c r="V1081" t="inlineStr"/>
    </row>
    <row r="1082">
      <c r="A1082" t="n">
        <v>78</v>
      </c>
      <c r="B1082" t="inlineStr">
        <is>
          <t>Meeru Maldives Resort Island</t>
        </is>
      </c>
      <c r="C1082" t="inlineStr">
        <is>
          <t>factsheet</t>
        </is>
      </c>
      <c r="D1082" t="inlineStr">
        <is>
          <t>2018_FactSheetMeeru110118103119Rev040318.pdf</t>
        </is>
      </c>
      <c r="E1082" t="n">
        <v>2018</v>
      </c>
      <c r="F1082" t="inlineStr">
        <is>
          <t>2018-11-01</t>
        </is>
      </c>
      <c r="G1082" t="inlineStr">
        <is>
          <t>2019-10-31</t>
        </is>
      </c>
      <c r="H1082" t="n">
        <v>2</v>
      </c>
      <c r="I1082" t="n">
        <v>189</v>
      </c>
      <c r="J1082" t="inlineStr">
        <is>
          <t>Y</t>
        </is>
      </c>
      <c r="K1082" t="inlineStr">
        <is>
          <t>sales.crownandchamparesorts.com</t>
        </is>
      </c>
      <c r="L1082" t="inlineStr">
        <is>
          <t>brand-cdn</t>
        </is>
      </c>
      <c r="M1082" t="inlineStr">
        <is>
          <t>https://sales.crownandchamparesorts.com/wp-content/uploads/2018/04/FactSheetMeeru110118103119Rev040318.pdf</t>
        </is>
      </c>
      <c r="N1082" t="inlineStr">
        <is>
          <t>https://sales.crownandchamparesorts.com/wp-content/uploads/2018/04/FactSheetMeeru110118103119Rev040318.pdf</t>
        </is>
      </c>
      <c r="O1082" t="inlineStr">
        <is>
          <t>6641f27067c77a901f64814063834f99c71a9deead31d7623c0a62bf06a7fdda</t>
        </is>
      </c>
      <c r="P1082" t="inlineStr">
        <is>
          <t>library/078_meeru-maldives-resort-island/factsheet/2018_FactSheetMeeru110118103119Rev040318.pdf</t>
        </is>
      </c>
      <c r="R1082" t="inlineStr">
        <is>
          <t>outdated</t>
        </is>
      </c>
      <c r="S1082" t="inlineStr">
        <is>
          <t>N</t>
        </is>
      </c>
      <c r="T1082" t="inlineStr">
        <is>
          <t>matched</t>
        </is>
      </c>
      <c r="U1082" t="inlineStr">
        <is>
          <t>2026-10-04</t>
        </is>
      </c>
      <c r="V1082" t="inlineStr"/>
    </row>
    <row r="1083">
      <c r="A1083" t="n">
        <v>78</v>
      </c>
      <c r="B1083" t="inlineStr">
        <is>
          <t>Meeru Maldives Resort Island</t>
        </is>
      </c>
      <c r="C1083" t="inlineStr">
        <is>
          <t>factsheet</t>
        </is>
      </c>
      <c r="D1083" t="inlineStr">
        <is>
          <t>2018_FactSheetCCH050118103118Rev033118.pdf</t>
        </is>
      </c>
      <c r="E1083" t="n">
        <v>2018</v>
      </c>
      <c r="F1083" t="inlineStr">
        <is>
          <t>2018-05-01</t>
        </is>
      </c>
      <c r="G1083" t="inlineStr">
        <is>
          <t>2018-10-31</t>
        </is>
      </c>
      <c r="H1083" t="n">
        <v>4</v>
      </c>
      <c r="I1083" t="n">
        <v>303</v>
      </c>
      <c r="J1083" t="inlineStr">
        <is>
          <t>Y</t>
        </is>
      </c>
      <c r="K1083" t="inlineStr">
        <is>
          <t>sales.crownandchamparesorts.com</t>
        </is>
      </c>
      <c r="L1083" t="inlineStr">
        <is>
          <t>brand-cdn</t>
        </is>
      </c>
      <c r="M1083" t="inlineStr">
        <is>
          <t>https://sales.crownandchamparesorts.com/wp-content/uploads/2018/04/FactSheetCCH050118103118Rev033118.pdf</t>
        </is>
      </c>
      <c r="N1083" t="inlineStr">
        <is>
          <t>https://sales.crownandchamparesorts.com/wp-content/uploads/2018/04/FactSheetCCH050118103118Rev033118.pdf</t>
        </is>
      </c>
      <c r="O1083" t="inlineStr">
        <is>
          <t>c83f5aacc539df0d865709c9fd0e622fb2d50a3f8ea7ad6e21ba179e17b3f679</t>
        </is>
      </c>
      <c r="P1083" t="inlineStr">
        <is>
          <t>library/078_meeru-maldives-resort-island/factsheet/2018_FactSheetCCH050118103118Rev033118.pdf</t>
        </is>
      </c>
      <c r="R1083" t="inlineStr">
        <is>
          <t>outdated</t>
        </is>
      </c>
      <c r="S1083" t="inlineStr">
        <is>
          <t>N</t>
        </is>
      </c>
      <c r="T1083" t="inlineStr">
        <is>
          <t>matched</t>
        </is>
      </c>
      <c r="U1083" t="inlineStr">
        <is>
          <t>2026-10-04</t>
        </is>
      </c>
      <c r="V1083" t="inlineStr"/>
    </row>
    <row r="1084">
      <c r="A1084" t="n">
        <v>78</v>
      </c>
      <c r="B1084" t="inlineStr">
        <is>
          <t>Meeru Maldives Resort Island</t>
        </is>
      </c>
      <c r="C1084" t="inlineStr">
        <is>
          <t>map</t>
        </is>
      </c>
      <c r="D1084" t="inlineStr">
        <is>
          <t>2025_MeeruMaldivesColorMap110125103126Ver200425.pdf</t>
        </is>
      </c>
      <c r="E1084" t="n">
        <v>2025</v>
      </c>
      <c r="F1084" t="inlineStr">
        <is>
          <t>2025-11-01</t>
        </is>
      </c>
      <c r="G1084" t="inlineStr">
        <is>
          <t>2026-10-31</t>
        </is>
      </c>
      <c r="H1084" t="n">
        <v>1</v>
      </c>
      <c r="I1084" t="n">
        <v>602</v>
      </c>
      <c r="J1084" t="inlineStr">
        <is>
          <t>Y</t>
        </is>
      </c>
      <c r="K1084" t="inlineStr">
        <is>
          <t>sales.crownandchamparesorts.com</t>
        </is>
      </c>
      <c r="L1084" t="inlineStr">
        <is>
          <t>brand-cdn</t>
        </is>
      </c>
      <c r="M1084" t="inlineStr">
        <is>
          <t>https://sales.crownandchamparesorts.com/wp-content/uploads/2025/08/MeeruMaldivesColorMap110125103126Ver200425.pdf</t>
        </is>
      </c>
      <c r="N1084" t="inlineStr">
        <is>
          <t>https://sales.crownandchamparesorts.com/wp-content/uploads/2025/08/MeeruMaldivesColorMap110125103126Ver200425.pdf</t>
        </is>
      </c>
      <c r="O1084" t="inlineStr">
        <is>
          <t>9edae79491dd0ed15315b18f953b45798ce78b04354cf8e7abecffaa3b86eb9c</t>
        </is>
      </c>
      <c r="P1084" t="inlineStr">
        <is>
          <t>library/078_meeru-maldives-resort-island/map/2025_MeeruMaldivesColorMap110125103126Ver200425.pdf</t>
        </is>
      </c>
      <c r="R1084" t="inlineStr">
        <is>
          <t>current</t>
        </is>
      </c>
      <c r="S1084" t="inlineStr">
        <is>
          <t>Y</t>
        </is>
      </c>
      <c r="T1084" t="inlineStr">
        <is>
          <t>matched</t>
        </is>
      </c>
      <c r="U1084" t="inlineStr">
        <is>
          <t>2026-10-04</t>
        </is>
      </c>
      <c r="V1084" t="inlineStr"/>
    </row>
    <row r="1085">
      <c r="A1085" t="n">
        <v>78</v>
      </c>
      <c r="B1085" t="inlineStr">
        <is>
          <t>Meeru Maldives Resort Island</t>
        </is>
      </c>
      <c r="C1085" t="inlineStr">
        <is>
          <t>map</t>
        </is>
      </c>
      <c r="D1085" t="inlineStr">
        <is>
          <t>2018_MapMeeru022218ColorEnglish.pdf</t>
        </is>
      </c>
      <c r="E1085" t="n">
        <v>2018</v>
      </c>
      <c r="H1085" t="n">
        <v>1</v>
      </c>
      <c r="I1085" t="n">
        <v>931</v>
      </c>
      <c r="J1085" t="inlineStr">
        <is>
          <t>Y</t>
        </is>
      </c>
      <c r="K1085" t="inlineStr">
        <is>
          <t>sales.crownandchamparesorts.com</t>
        </is>
      </c>
      <c r="L1085" t="inlineStr">
        <is>
          <t>brand-cdn</t>
        </is>
      </c>
      <c r="M1085" t="inlineStr">
        <is>
          <t>https://sales.crownandchamparesorts.com/wp-content/uploads/2018/11/MapMeeru022218ColorEnglish.pdf</t>
        </is>
      </c>
      <c r="N1085" t="inlineStr">
        <is>
          <t>https://sales.crownandchamparesorts.com/wp-content/uploads/2018/11/MapMeeru022218ColorEnglish.pdf</t>
        </is>
      </c>
      <c r="O1085" t="inlineStr">
        <is>
          <t>e2c6ea490dccd459ba72ffec15fdab79632ee8dd7aef34ab5bb95dfc6d4ed277</t>
        </is>
      </c>
      <c r="P1085" t="inlineStr">
        <is>
          <t>library/078_meeru-maldives-resort-island/map/2018_MapMeeru022218ColorEnglish.pdf</t>
        </is>
      </c>
      <c r="R1085" t="inlineStr">
        <is>
          <t>outdated</t>
        </is>
      </c>
      <c r="S1085" t="inlineStr">
        <is>
          <t>N</t>
        </is>
      </c>
      <c r="T1085" t="inlineStr">
        <is>
          <t>matched</t>
        </is>
      </c>
      <c r="U1085" t="inlineStr">
        <is>
          <t>2026-10-04</t>
        </is>
      </c>
      <c r="V1085" t="inlineStr"/>
    </row>
    <row r="1086">
      <c r="A1086" t="n">
        <v>78</v>
      </c>
      <c r="B1086" t="inlineStr">
        <is>
          <t>Meeru Maldives Resort Island</t>
        </is>
      </c>
      <c r="C1086" t="inlineStr">
        <is>
          <t>obsolete</t>
        </is>
      </c>
      <c r="D1086" t="inlineStr">
        <is>
          <t>2020_EURO-DIVERS-Covid-19-Precaution-and-Hygiene-Measures-071720-Meeru-and-Vilamendhoo.pdf</t>
        </is>
      </c>
      <c r="E1086" t="n">
        <v>2020</v>
      </c>
      <c r="H1086" t="n">
        <v>7</v>
      </c>
      <c r="I1086" t="n">
        <v>253</v>
      </c>
      <c r="J1086" t="inlineStr">
        <is>
          <t>Y</t>
        </is>
      </c>
      <c r="K1086" t="inlineStr">
        <is>
          <t>sales.crownandchamparesorts.com</t>
        </is>
      </c>
      <c r="L1086" t="inlineStr">
        <is>
          <t>brand-cdn</t>
        </is>
      </c>
      <c r="M1086" t="inlineStr">
        <is>
          <t>https://sales.crownandchamparesorts.com/wp-content/uploads/2020/07/EURO-DIVERS-Covid-19-Precaution-and-Hygiene-Measures-071720-Meeru-and-Vilamendhoo.pdf</t>
        </is>
      </c>
      <c r="N1086" t="inlineStr">
        <is>
          <t>https://sales.crownandchamparesorts.com/wp-content/uploads/2020/07/EURO-DIVERS-Covid-19-Precaution-and-Hygiene-Measures-071720-Meeru-and-Vilamendhoo.pdf</t>
        </is>
      </c>
      <c r="O1086" t="inlineStr">
        <is>
          <t>3a51688ae4b24bb8b96d8a5e3fca5659bd4a3f5bef311f3727fab71e85723ca7</t>
        </is>
      </c>
      <c r="P1086" t="inlineStr">
        <is>
          <t>library/078_meeru-maldives-resort-island/obsolete/2020_EURO-DIVERS-Covid-19-Precaution-and-Hygiene-Measures-071720-Meeru-and-Vilamendhoo.pdf</t>
        </is>
      </c>
      <c r="R1086" t="inlineStr">
        <is>
          <t>obsolete</t>
        </is>
      </c>
      <c r="S1086" t="inlineStr">
        <is>
          <t>Y</t>
        </is>
      </c>
      <c r="T1086" t="inlineStr">
        <is>
          <t>matched</t>
        </is>
      </c>
      <c r="U1086" t="inlineStr">
        <is>
          <t>2026-10-04</t>
        </is>
      </c>
      <c r="V1086" t="inlineStr"/>
    </row>
    <row r="1087">
      <c r="A1087" t="n">
        <v>79</v>
      </c>
      <c r="B1087" t="inlineStr">
        <is>
          <t>Komandoo Island Resort</t>
        </is>
      </c>
      <c r="C1087" t="inlineStr">
        <is>
          <t>factsheet</t>
        </is>
      </c>
      <c r="D1087" t="inlineStr">
        <is>
          <t>2025_KomandooFactsheet110125103126Ver170824.pdf</t>
        </is>
      </c>
      <c r="E1087" t="n">
        <v>2025</v>
      </c>
      <c r="F1087" t="inlineStr">
        <is>
          <t>2025-11-01</t>
        </is>
      </c>
      <c r="G1087" t="inlineStr">
        <is>
          <t>2026-10-31</t>
        </is>
      </c>
      <c r="H1087" t="n">
        <v>9</v>
      </c>
      <c r="I1087" t="n">
        <v>1526</v>
      </c>
      <c r="J1087" t="inlineStr">
        <is>
          <t>Y</t>
        </is>
      </c>
      <c r="K1087" t="inlineStr">
        <is>
          <t>sales.crownandchamparesorts.com</t>
        </is>
      </c>
      <c r="L1087" t="inlineStr">
        <is>
          <t>brand-cdn</t>
        </is>
      </c>
      <c r="M1087" t="inlineStr">
        <is>
          <t>https://sales.crownandchamparesorts.com/wp-content/uploads/2025/12/KomandooFactsheet110125103126Ver170824.pdf</t>
        </is>
      </c>
      <c r="N1087" t="inlineStr">
        <is>
          <t>https://sales.crownandchamparesorts.com/wp-content/uploads/2025/12/KomandooFactsheet110125103126Ver170824.pdf</t>
        </is>
      </c>
      <c r="O1087" t="inlineStr">
        <is>
          <t>c252eb24066c25e6035549933c8f27924c3d945de75a6c0a2081d187bfab0c97</t>
        </is>
      </c>
      <c r="P1087" t="inlineStr">
        <is>
          <t>library/079_komandoo-island-resort/factsheet/2025_KomandooFactsheet110125103126Ver170824.pdf</t>
        </is>
      </c>
      <c r="R1087" t="inlineStr">
        <is>
          <t>current</t>
        </is>
      </c>
      <c r="S1087" t="inlineStr">
        <is>
          <t>Y</t>
        </is>
      </c>
      <c r="T1087" t="inlineStr">
        <is>
          <t>matched</t>
        </is>
      </c>
      <c r="U1087" t="inlineStr">
        <is>
          <t>2026-10-04</t>
        </is>
      </c>
      <c r="V1087" t="inlineStr"/>
    </row>
    <row r="1088">
      <c r="A1088" t="n">
        <v>79</v>
      </c>
      <c r="B1088" t="inlineStr">
        <is>
          <t>Komandoo Island Resort</t>
        </is>
      </c>
      <c r="C1088" t="inlineStr">
        <is>
          <t>factsheet</t>
        </is>
      </c>
      <c r="D1088" t="inlineStr">
        <is>
          <t>2021_FactSheetKomandoo110121103122Ver110121.pdf</t>
        </is>
      </c>
      <c r="E1088" t="n">
        <v>2021</v>
      </c>
      <c r="F1088" t="inlineStr">
        <is>
          <t>2021-11-01</t>
        </is>
      </c>
      <c r="G1088" t="inlineStr">
        <is>
          <t>2022-10-31</t>
        </is>
      </c>
      <c r="H1088" t="n">
        <v>3</v>
      </c>
      <c r="I1088" t="n">
        <v>708</v>
      </c>
      <c r="J1088" t="inlineStr">
        <is>
          <t>Y</t>
        </is>
      </c>
      <c r="K1088" t="inlineStr">
        <is>
          <t>sales.crownandchamparesorts.com</t>
        </is>
      </c>
      <c r="L1088" t="inlineStr">
        <is>
          <t>brand-cdn</t>
        </is>
      </c>
      <c r="M1088" t="inlineStr">
        <is>
          <t>https://sales.crownandchamparesorts.com/wp-content/uploads/2023/08/FactSheetKomandoo110121103122Ver110121.pdf</t>
        </is>
      </c>
      <c r="N1088" t="inlineStr">
        <is>
          <t>https://sales.crownandchamparesorts.com/wp-content/uploads/2023/08/FactSheetKomandoo110121103122Ver110121.pdf</t>
        </is>
      </c>
      <c r="O1088" t="inlineStr">
        <is>
          <t>3ecab9f90259b84182da4f65675219c1faab96afe1b5c4114200b828c7dc1e36</t>
        </is>
      </c>
      <c r="P1088" t="inlineStr">
        <is>
          <t>library/079_komandoo-island-resort/factsheet/2021_FactSheetKomandoo110121103122Ver110121.pdf</t>
        </is>
      </c>
      <c r="R1088" t="inlineStr">
        <is>
          <t>outdated</t>
        </is>
      </c>
      <c r="S1088" t="inlineStr">
        <is>
          <t>N</t>
        </is>
      </c>
      <c r="T1088" t="inlineStr">
        <is>
          <t>matched</t>
        </is>
      </c>
      <c r="U1088" t="inlineStr">
        <is>
          <t>2026-10-04</t>
        </is>
      </c>
      <c r="V1088" t="inlineStr"/>
    </row>
    <row r="1089">
      <c r="A1089" t="n">
        <v>79</v>
      </c>
      <c r="B1089" t="inlineStr">
        <is>
          <t>Komandoo Island Resort</t>
        </is>
      </c>
      <c r="C1089" t="inlineStr">
        <is>
          <t>factsheet</t>
        </is>
      </c>
      <c r="D1089" t="inlineStr">
        <is>
          <t>2019_FactSheetKomandoo110119103120Rev010720.pdf</t>
        </is>
      </c>
      <c r="E1089" t="n">
        <v>2019</v>
      </c>
      <c r="F1089" t="inlineStr">
        <is>
          <t>2019-11-01</t>
        </is>
      </c>
      <c r="G1089" t="inlineStr">
        <is>
          <t>2020-10-31</t>
        </is>
      </c>
      <c r="H1089" t="n">
        <v>3</v>
      </c>
      <c r="I1089" t="n">
        <v>1261</v>
      </c>
      <c r="J1089" t="inlineStr">
        <is>
          <t>Y</t>
        </is>
      </c>
      <c r="K1089" t="inlineStr">
        <is>
          <t>sales.crownandchamparesorts.com</t>
        </is>
      </c>
      <c r="L1089" t="inlineStr">
        <is>
          <t>brand-cdn</t>
        </is>
      </c>
      <c r="M1089" t="inlineStr">
        <is>
          <t>https://sales.crownandchamparesorts.com/wp-content/uploads/2018/10/FactSheetKomandoo110119103120Rev010720.pdf</t>
        </is>
      </c>
      <c r="N1089" t="inlineStr">
        <is>
          <t>https://sales.crownandchamparesorts.com/wp-content/uploads/2018/10/FactSheetKomandoo110119103120Rev010720.pdf</t>
        </is>
      </c>
      <c r="O1089" t="inlineStr">
        <is>
          <t>178b11695641be942cc4c4a0bd17585722dfce343ce12c6f7b809af36c8211bb</t>
        </is>
      </c>
      <c r="P1089" t="inlineStr">
        <is>
          <t>library/079_komandoo-island-resort/factsheet/2019_FactSheetKomandoo110119103120Rev010720.pdf</t>
        </is>
      </c>
      <c r="R1089" t="inlineStr">
        <is>
          <t>outdated</t>
        </is>
      </c>
      <c r="S1089" t="inlineStr">
        <is>
          <t>N</t>
        </is>
      </c>
      <c r="T1089" t="inlineStr">
        <is>
          <t>matched</t>
        </is>
      </c>
      <c r="U1089" t="inlineStr">
        <is>
          <t>2026-10-04</t>
        </is>
      </c>
      <c r="V1089" t="inlineStr"/>
    </row>
    <row r="1090">
      <c r="A1090" t="n">
        <v>79</v>
      </c>
      <c r="B1090" t="inlineStr">
        <is>
          <t>Komandoo Island Resort</t>
        </is>
      </c>
      <c r="C1090" t="inlineStr">
        <is>
          <t>factsheet</t>
        </is>
      </c>
      <c r="D1090" t="inlineStr">
        <is>
          <t>2018_FactSheetKomandoo110118103119Rev011718.pdf</t>
        </is>
      </c>
      <c r="E1090" t="n">
        <v>2018</v>
      </c>
      <c r="F1090" t="inlineStr">
        <is>
          <t>2018-11-01</t>
        </is>
      </c>
      <c r="G1090" t="inlineStr">
        <is>
          <t>2019-10-31</t>
        </is>
      </c>
      <c r="H1090" t="n">
        <v>2</v>
      </c>
      <c r="I1090" t="n">
        <v>133</v>
      </c>
      <c r="J1090" t="inlineStr">
        <is>
          <t>Y</t>
        </is>
      </c>
      <c r="K1090" t="inlineStr">
        <is>
          <t>sales.crownandchamparesorts.com</t>
        </is>
      </c>
      <c r="L1090" t="inlineStr">
        <is>
          <t>brand-cdn</t>
        </is>
      </c>
      <c r="M1090" t="inlineStr">
        <is>
          <t>https://sales.crownandchamparesorts.com/wp-content/uploads/2018/04/FactSheetKomandoo110118103119Rev011718.pdf</t>
        </is>
      </c>
      <c r="N1090" t="inlineStr">
        <is>
          <t>https://sales.crownandchamparesorts.com/wp-content/uploads/2018/04/FactSheetKomandoo110118103119Rev011718.pdf</t>
        </is>
      </c>
      <c r="O1090" t="inlineStr">
        <is>
          <t>ca37561b5d6c2eaf580d37cca41f0be043707809fa77b653001e175b2bf18d66</t>
        </is>
      </c>
      <c r="P1090" t="inlineStr">
        <is>
          <t>library/079_komandoo-island-resort/factsheet/2018_FactSheetKomandoo110118103119Rev011718.pdf</t>
        </is>
      </c>
      <c r="R1090" t="inlineStr">
        <is>
          <t>outdated</t>
        </is>
      </c>
      <c r="S1090" t="inlineStr">
        <is>
          <t>N</t>
        </is>
      </c>
      <c r="T1090" t="inlineStr">
        <is>
          <t>matched</t>
        </is>
      </c>
      <c r="U1090" t="inlineStr">
        <is>
          <t>2026-10-04</t>
        </is>
      </c>
      <c r="V1090" t="inlineStr"/>
    </row>
    <row r="1091">
      <c r="A1091" t="n">
        <v>79</v>
      </c>
      <c r="B1091" t="inlineStr">
        <is>
          <t>Komandoo Island Resort</t>
        </is>
      </c>
      <c r="C1091" t="inlineStr">
        <is>
          <t>map</t>
        </is>
      </c>
      <c r="D1091" t="inlineStr">
        <is>
          <t>2025_KomandooMap110125103126Ver042024.pdf</t>
        </is>
      </c>
      <c r="E1091" t="n">
        <v>2025</v>
      </c>
      <c r="F1091" t="inlineStr">
        <is>
          <t>2025-11-01</t>
        </is>
      </c>
      <c r="G1091" t="inlineStr">
        <is>
          <t>2026-10-31</t>
        </is>
      </c>
      <c r="H1091" t="n">
        <v>1</v>
      </c>
      <c r="I1091" t="n">
        <v>112</v>
      </c>
      <c r="J1091" t="inlineStr">
        <is>
          <t>N</t>
        </is>
      </c>
      <c r="K1091" t="inlineStr">
        <is>
          <t>sales.crownandchamparesorts.com</t>
        </is>
      </c>
      <c r="L1091" t="inlineStr">
        <is>
          <t>brand-cdn</t>
        </is>
      </c>
      <c r="M1091" t="inlineStr">
        <is>
          <t>https://sales.crownandchamparesorts.com/wp-content/uploads/2025/12/KomandooMap110125103126Ver042024.pdf</t>
        </is>
      </c>
      <c r="N1091" t="inlineStr">
        <is>
          <t>https://sales.crownandchamparesorts.com/wp-content/uploads/2025/12/KomandooMap110125103126Ver042024.pdf</t>
        </is>
      </c>
      <c r="O1091" t="inlineStr">
        <is>
          <t>410bb96af26fc302914f2ce40b24c0b079e750a3a9186eabd40a851370fe6824</t>
        </is>
      </c>
      <c r="P1091" t="inlineStr">
        <is>
          <t>library/079_komandoo-island-resort/map/2025_KomandooMap110125103126Ver042024.pdf</t>
        </is>
      </c>
      <c r="R1091" t="inlineStr">
        <is>
          <t>current</t>
        </is>
      </c>
      <c r="S1091" t="inlineStr">
        <is>
          <t>Y</t>
        </is>
      </c>
      <c r="T1091" t="inlineStr">
        <is>
          <t>matched</t>
        </is>
      </c>
      <c r="U1091" t="inlineStr">
        <is>
          <t>2026-10-04</t>
        </is>
      </c>
      <c r="V1091" t="inlineStr"/>
    </row>
    <row r="1092">
      <c r="A1092" t="n">
        <v>79</v>
      </c>
      <c r="B1092" t="inlineStr">
        <is>
          <t>Komandoo Island Resort</t>
        </is>
      </c>
      <c r="C1092" t="inlineStr">
        <is>
          <t>map</t>
        </is>
      </c>
      <c r="D1092" t="inlineStr">
        <is>
          <t>2019_MapKomandooColorEnglish061719.pdf</t>
        </is>
      </c>
      <c r="E1092" t="n">
        <v>2019</v>
      </c>
      <c r="H1092" t="n">
        <v>1</v>
      </c>
      <c r="I1092" t="n">
        <v>1695</v>
      </c>
      <c r="J1092" t="inlineStr">
        <is>
          <t>N</t>
        </is>
      </c>
      <c r="K1092" t="inlineStr">
        <is>
          <t>sales.crownandchamparesorts.com</t>
        </is>
      </c>
      <c r="L1092" t="inlineStr">
        <is>
          <t>brand-cdn</t>
        </is>
      </c>
      <c r="M1092" t="inlineStr">
        <is>
          <t>https://sales.crownandchamparesorts.com/wp-content/uploads/2020/01/MapKomandooColorEnglish061719.pdf</t>
        </is>
      </c>
      <c r="N1092" t="inlineStr">
        <is>
          <t>https://sales.crownandchamparesorts.com/wp-content/uploads/2020/01/MapKomandooColorEnglish061719.pdf</t>
        </is>
      </c>
      <c r="O1092" t="inlineStr">
        <is>
          <t>5a309d7ddc1f54956d89ecbfbf9158f0d3cc9606f37c842e1449a9bf609bf885</t>
        </is>
      </c>
      <c r="P1092" t="inlineStr">
        <is>
          <t>library/079_komandoo-island-resort/map/2019_MapKomandooColorEnglish061719.pdf</t>
        </is>
      </c>
      <c r="R1092" t="inlineStr">
        <is>
          <t>outdated</t>
        </is>
      </c>
      <c r="S1092" t="inlineStr">
        <is>
          <t>N</t>
        </is>
      </c>
      <c r="T1092" t="inlineStr">
        <is>
          <t>matched</t>
        </is>
      </c>
      <c r="U1092" t="inlineStr">
        <is>
          <t>2026-10-04</t>
        </is>
      </c>
      <c r="V1092" t="inlineStr"/>
    </row>
    <row r="1093">
      <c r="A1093" t="n">
        <v>79</v>
      </c>
      <c r="B1093" t="inlineStr">
        <is>
          <t>Komandoo Island Resort</t>
        </is>
      </c>
      <c r="C1093" t="inlineStr">
        <is>
          <t>all_inclusive</t>
        </is>
      </c>
      <c r="D1093" t="inlineStr">
        <is>
          <t>2025_KomandooAll-InclusivePlus110125103126Ver081724.pdf</t>
        </is>
      </c>
      <c r="E1093" t="n">
        <v>2025</v>
      </c>
      <c r="F1093" t="inlineStr">
        <is>
          <t>2025-11-01</t>
        </is>
      </c>
      <c r="G1093" t="inlineStr">
        <is>
          <t>2026-10-31</t>
        </is>
      </c>
      <c r="H1093" t="n">
        <v>2</v>
      </c>
      <c r="I1093" t="n">
        <v>664</v>
      </c>
      <c r="J1093" t="inlineStr">
        <is>
          <t>Y</t>
        </is>
      </c>
      <c r="K1093" t="inlineStr">
        <is>
          <t>sales.crownandchamparesorts.com</t>
        </is>
      </c>
      <c r="L1093" t="inlineStr">
        <is>
          <t>brand-cdn</t>
        </is>
      </c>
      <c r="M1093" t="inlineStr">
        <is>
          <t>https://sales.crownandchamparesorts.com/wp-content/uploads/2025/12/KomandooAll-InclusivePlus110125103126Ver081724.pdf</t>
        </is>
      </c>
      <c r="N1093" t="inlineStr">
        <is>
          <t>https://sales.crownandchamparesorts.com/wp-content/uploads/2025/12/KomandooAll-InclusivePlus110125103126Ver081724.pdf</t>
        </is>
      </c>
      <c r="O1093" t="inlineStr">
        <is>
          <t>977cf092d53ab4432def97c7e661b3030cebc1041b2619d2f03eac69d2f8ab79</t>
        </is>
      </c>
      <c r="P1093" t="inlineStr">
        <is>
          <t>library/079_komandoo-island-resort/all_inclusive/2025_KomandooAll-InclusivePlus110125103126Ver081724.pdf</t>
        </is>
      </c>
      <c r="R1093" t="inlineStr">
        <is>
          <t>current</t>
        </is>
      </c>
      <c r="S1093" t="inlineStr">
        <is>
          <t>Y</t>
        </is>
      </c>
      <c r="T1093" t="inlineStr">
        <is>
          <t>matched</t>
        </is>
      </c>
      <c r="U1093" t="inlineStr">
        <is>
          <t>2026-10-04</t>
        </is>
      </c>
      <c r="V1093" t="inlineStr"/>
    </row>
    <row r="1094">
      <c r="A1094" t="n">
        <v>80</v>
      </c>
      <c r="B1094" t="inlineStr">
        <is>
          <t>Raaya by Atmosphere</t>
        </is>
      </c>
      <c r="C1094" t="inlineStr">
        <is>
          <t>map</t>
        </is>
      </c>
      <c r="D1094" t="inlineStr">
        <is>
          <t>2025_RAAYA-by-Atmosphere-Island-Map-MAR-2025-Portrait.pdf</t>
        </is>
      </c>
      <c r="E1094" t="n">
        <v>2025</v>
      </c>
      <c r="H1094" t="n">
        <v>1</v>
      </c>
      <c r="I1094" t="n">
        <v>1631</v>
      </c>
      <c r="J1094" t="inlineStr">
        <is>
          <t>Y</t>
        </is>
      </c>
      <c r="K1094" t="inlineStr">
        <is>
          <t>neoscapesmaldives.com</t>
        </is>
      </c>
      <c r="L1094" t="inlineStr">
        <is>
          <t>dmc-agency</t>
        </is>
      </c>
      <c r="M1094" t="inlineStr">
        <is>
          <t>https://www.neoscapesmaldives.com/wp-content/uploads/RAAYA-by-Atmosphere-Island-Map-MAR-2025-Portrait.pdf</t>
        </is>
      </c>
      <c r="N1094" t="inlineStr">
        <is>
          <t>https://www.neoscapesmaldives.com/wp-content/uploads/RAAYA-by-Atmosphere-Island-Map-MAR-2025-Portrait.pdf</t>
        </is>
      </c>
      <c r="O1094" t="inlineStr">
        <is>
          <t>42ec8c0b59426409d5a91899eff17ac731a9b68da14469dd7b42d2103c360029</t>
        </is>
      </c>
      <c r="P1094" t="inlineStr">
        <is>
          <t>library/080_raaya-by-atmosphere/map/2025_RAAYA-by-Atmosphere-Island-Map-MAR-2025-Portrait.pdf</t>
        </is>
      </c>
      <c r="R1094" t="inlineStr">
        <is>
          <t>current</t>
        </is>
      </c>
      <c r="S1094" t="inlineStr">
        <is>
          <t>Y</t>
        </is>
      </c>
      <c r="T1094" t="inlineStr">
        <is>
          <t>matched</t>
        </is>
      </c>
      <c r="U1094" t="inlineStr">
        <is>
          <t>2026-10-04</t>
        </is>
      </c>
      <c r="V1094" t="inlineStr"/>
    </row>
    <row r="1095">
      <c r="A1095" t="n">
        <v>80</v>
      </c>
      <c r="B1095" t="inlineStr">
        <is>
          <t>Raaya by Atmosphere</t>
        </is>
      </c>
      <c r="C1095" t="inlineStr">
        <is>
          <t>brochure</t>
        </is>
      </c>
      <c r="D1095" t="inlineStr">
        <is>
          <t>2025_RAAYA-by-Atmosphere-Brochure-APR-2025.pdf</t>
        </is>
      </c>
      <c r="E1095" t="n">
        <v>2025</v>
      </c>
      <c r="H1095" t="n">
        <v>17</v>
      </c>
      <c r="I1095" t="n">
        <v>5056</v>
      </c>
      <c r="J1095" t="inlineStr">
        <is>
          <t>Y</t>
        </is>
      </c>
      <c r="K1095" t="inlineStr">
        <is>
          <t>neoscapesmaldives.com</t>
        </is>
      </c>
      <c r="L1095" t="inlineStr">
        <is>
          <t>dmc-agency</t>
        </is>
      </c>
      <c r="M1095" t="inlineStr">
        <is>
          <t>https://www.neoscapesmaldives.com/wp-content/uploads/RAAYA-by-Atmosphere-Brochure-APR-2025.pdf</t>
        </is>
      </c>
      <c r="N1095" t="inlineStr">
        <is>
          <t>https://www.neoscapesmaldives.com/wp-content/uploads/RAAYA-by-Atmosphere-Brochure-APR-2025.pdf</t>
        </is>
      </c>
      <c r="O1095" t="inlineStr">
        <is>
          <t>f027b9e8d346c035a7dd44877d0107d3c262daa3f93078bd685428ab0176811f</t>
        </is>
      </c>
      <c r="P1095" t="inlineStr">
        <is>
          <t>library/080_raaya-by-atmosphere/brochure/2025_RAAYA-by-Atmosphere-Brochure-APR-2025.pdf</t>
        </is>
      </c>
      <c r="R1095" t="inlineStr">
        <is>
          <t>current</t>
        </is>
      </c>
      <c r="S1095" t="inlineStr">
        <is>
          <t>Y</t>
        </is>
      </c>
      <c r="T1095" t="inlineStr">
        <is>
          <t>matched</t>
        </is>
      </c>
      <c r="U1095" t="inlineStr">
        <is>
          <t>2026-10-04</t>
        </is>
      </c>
      <c r="V1095" t="inlineStr"/>
    </row>
    <row r="1096">
      <c r="A1096" t="n">
        <v>81</v>
      </c>
      <c r="B1096" t="inlineStr">
        <is>
          <t>Kuredu Island Resort</t>
        </is>
      </c>
      <c r="C1096" t="inlineStr">
        <is>
          <t>factsheet</t>
        </is>
      </c>
      <c r="D1096" t="inlineStr">
        <is>
          <t>2025_KureduFactsheet110125103126Rev301025.pdf</t>
        </is>
      </c>
      <c r="E1096" t="n">
        <v>2025</v>
      </c>
      <c r="F1096" t="inlineStr">
        <is>
          <t>2025-11-01</t>
        </is>
      </c>
      <c r="G1096" t="inlineStr">
        <is>
          <t>2026-10-31</t>
        </is>
      </c>
      <c r="H1096" t="n">
        <v>0</v>
      </c>
      <c r="I1096" t="n">
        <v>1696</v>
      </c>
      <c r="J1096" t="inlineStr">
        <is>
          <t>N</t>
        </is>
      </c>
      <c r="K1096" t="inlineStr">
        <is>
          <t>sales.crownandchamparesorts.com</t>
        </is>
      </c>
      <c r="L1096" t="inlineStr">
        <is>
          <t>brand-cdn</t>
        </is>
      </c>
      <c r="M1096" t="inlineStr">
        <is>
          <t>https://sales.crownandchamparesorts.com/wp-content/uploads/2025/12/KureduFactsheet110125103126Rev301025.pdf</t>
        </is>
      </c>
      <c r="N1096" t="inlineStr">
        <is>
          <t>https://sales.crownandchamparesorts.com/wp-content/uploads/2025/12/KureduFactsheet110125103126Rev301025.pdf</t>
        </is>
      </c>
      <c r="O1096" t="inlineStr">
        <is>
          <t>ddf9264a8554119b252bcf2cafb129bb353a6ae186f9071d3fc49113670a57af</t>
        </is>
      </c>
      <c r="P1096" t="inlineStr">
        <is>
          <t>library/081_kuredu-island-resort/factsheet/2025_KureduFactsheet110125103126Rev301025.pdf</t>
        </is>
      </c>
      <c r="R1096" t="inlineStr">
        <is>
          <t>current</t>
        </is>
      </c>
      <c r="S1096" t="inlineStr">
        <is>
          <t>Y</t>
        </is>
      </c>
      <c r="T1096" t="inlineStr">
        <is>
          <t>matched</t>
        </is>
      </c>
      <c r="U1096" t="inlineStr">
        <is>
          <t>2026-10-04</t>
        </is>
      </c>
      <c r="V1096" t="inlineStr"/>
    </row>
    <row r="1097">
      <c r="A1097" t="n">
        <v>81</v>
      </c>
      <c r="B1097" t="inlineStr">
        <is>
          <t>Kuredu Island Resort</t>
        </is>
      </c>
      <c r="C1097" t="inlineStr">
        <is>
          <t>factsheet</t>
        </is>
      </c>
      <c r="D1097" t="inlineStr">
        <is>
          <t>2021_FactSheetKuredu110121103122Rev010122.pdf</t>
        </is>
      </c>
      <c r="E1097" t="n">
        <v>2021</v>
      </c>
      <c r="F1097" t="inlineStr">
        <is>
          <t>2021-11-01</t>
        </is>
      </c>
      <c r="G1097" t="inlineStr">
        <is>
          <t>2022-10-31</t>
        </is>
      </c>
      <c r="H1097" t="n">
        <v>4</v>
      </c>
      <c r="I1097" t="n">
        <v>951</v>
      </c>
      <c r="J1097" t="inlineStr">
        <is>
          <t>Y</t>
        </is>
      </c>
      <c r="K1097" t="inlineStr">
        <is>
          <t>sales.crownandchamparesorts.com</t>
        </is>
      </c>
      <c r="L1097" t="inlineStr">
        <is>
          <t>brand-cdn</t>
        </is>
      </c>
      <c r="M1097" t="inlineStr">
        <is>
          <t>https://sales.crownandchamparesorts.com/wp-content/uploads/2023/08/FactSheetKuredu110121103122Rev010122.pdf</t>
        </is>
      </c>
      <c r="N1097" t="inlineStr">
        <is>
          <t>https://sales.crownandchamparesorts.com/wp-content/uploads/2023/08/FactSheetKuredu110121103122Rev010122.pdf</t>
        </is>
      </c>
      <c r="O1097" t="inlineStr">
        <is>
          <t>a0f13b52b0e36331958715b2bdf65675518c8e989f2796dd42f2746c668dac85</t>
        </is>
      </c>
      <c r="P1097" t="inlineStr">
        <is>
          <t>library/081_kuredu-island-resort/factsheet/2021_FactSheetKuredu110121103122Rev010122.pdf</t>
        </is>
      </c>
      <c r="R1097" t="inlineStr">
        <is>
          <t>outdated</t>
        </is>
      </c>
      <c r="S1097" t="inlineStr">
        <is>
          <t>N</t>
        </is>
      </c>
      <c r="T1097" t="inlineStr">
        <is>
          <t>matched</t>
        </is>
      </c>
      <c r="U1097" t="inlineStr">
        <is>
          <t>2026-10-04</t>
        </is>
      </c>
      <c r="V1097" t="inlineStr"/>
    </row>
    <row r="1098">
      <c r="A1098" t="n">
        <v>81</v>
      </c>
      <c r="B1098" t="inlineStr">
        <is>
          <t>Kuredu Island Resort</t>
        </is>
      </c>
      <c r="C1098" t="inlineStr">
        <is>
          <t>factsheet</t>
        </is>
      </c>
      <c r="D1098" t="inlineStr">
        <is>
          <t>2020_FactSheetKuredu110120103121Ver091720.pdf</t>
        </is>
      </c>
      <c r="E1098" t="n">
        <v>2020</v>
      </c>
      <c r="F1098" t="inlineStr">
        <is>
          <t>2020-11-01</t>
        </is>
      </c>
      <c r="G1098" t="inlineStr">
        <is>
          <t>2021-10-31</t>
        </is>
      </c>
      <c r="H1098" t="n">
        <v>4</v>
      </c>
      <c r="I1098" t="n">
        <v>1468</v>
      </c>
      <c r="J1098" t="inlineStr">
        <is>
          <t>Y</t>
        </is>
      </c>
      <c r="K1098" t="inlineStr">
        <is>
          <t>sales.crownandchamparesorts.com</t>
        </is>
      </c>
      <c r="L1098" t="inlineStr">
        <is>
          <t>brand-cdn</t>
        </is>
      </c>
      <c r="M1098" t="inlineStr">
        <is>
          <t>https://sales.crownandchamparesorts.com/wp-content/uploads/2018/10/FactSheetKuredu110120103121Ver091720.pdf</t>
        </is>
      </c>
      <c r="N1098" t="inlineStr">
        <is>
          <t>https://sales.crownandchamparesorts.com/wp-content/uploads/2018/10/FactSheetKuredu110120103121Ver091720.pdf</t>
        </is>
      </c>
      <c r="O1098" t="inlineStr">
        <is>
          <t>861f87402265b9e7da0302001dabb24246a3fb813cede751b8499fadcd8b960e</t>
        </is>
      </c>
      <c r="P1098" t="inlineStr">
        <is>
          <t>library/081_kuredu-island-resort/factsheet/2020_FactSheetKuredu110120103121Ver091720.pdf</t>
        </is>
      </c>
      <c r="R1098" t="inlineStr">
        <is>
          <t>outdated</t>
        </is>
      </c>
      <c r="S1098" t="inlineStr">
        <is>
          <t>N</t>
        </is>
      </c>
      <c r="T1098" t="inlineStr">
        <is>
          <t>matched</t>
        </is>
      </c>
      <c r="U1098" t="inlineStr">
        <is>
          <t>2026-10-04</t>
        </is>
      </c>
      <c r="V1098" t="inlineStr"/>
    </row>
    <row r="1099">
      <c r="A1099" t="n">
        <v>81</v>
      </c>
      <c r="B1099" t="inlineStr">
        <is>
          <t>Kuredu Island Resort</t>
        </is>
      </c>
      <c r="C1099" t="inlineStr">
        <is>
          <t>map</t>
        </is>
      </c>
      <c r="D1099" t="inlineStr">
        <is>
          <t>2025_Kuredu_IslandMapVer301025.pdf</t>
        </is>
      </c>
      <c r="E1099" t="n">
        <v>2025</v>
      </c>
      <c r="H1099" t="n">
        <v>0</v>
      </c>
      <c r="I1099" t="n">
        <v>1496</v>
      </c>
      <c r="J1099" t="inlineStr">
        <is>
          <t>N</t>
        </is>
      </c>
      <c r="K1099" t="inlineStr">
        <is>
          <t>sales.crownandchamparesorts.com</t>
        </is>
      </c>
      <c r="L1099" t="inlineStr">
        <is>
          <t>brand-cdn</t>
        </is>
      </c>
      <c r="M1099" t="inlineStr">
        <is>
          <t>https://sales.crownandchamparesorts.com/wp-content/uploads/2025/12/Kuredu_IslandMapVer301025.pdf</t>
        </is>
      </c>
      <c r="N1099" t="inlineStr">
        <is>
          <t>https://sales.crownandchamparesorts.com/wp-content/uploads/2025/12/Kuredu_IslandMapVer301025.pdf</t>
        </is>
      </c>
      <c r="O1099" t="inlineStr">
        <is>
          <t>9417934d7cd6f4050aecbd6d9669b91451e011384a61062ad3433efae7210e38</t>
        </is>
      </c>
      <c r="P1099" t="inlineStr">
        <is>
          <t>library/081_kuredu-island-resort/map/2025_Kuredu_IslandMapVer301025.pdf</t>
        </is>
      </c>
      <c r="R1099" t="inlineStr">
        <is>
          <t>current</t>
        </is>
      </c>
      <c r="S1099" t="inlineStr">
        <is>
          <t>Y</t>
        </is>
      </c>
      <c r="T1099" t="inlineStr">
        <is>
          <t>matched</t>
        </is>
      </c>
      <c r="U1099" t="inlineStr">
        <is>
          <t>2026-10-04</t>
        </is>
      </c>
      <c r="V1099" t="inlineStr"/>
    </row>
    <row r="1100">
      <c r="A1100" t="n">
        <v>81</v>
      </c>
      <c r="B1100" t="inlineStr">
        <is>
          <t>Kuredu Island Resort</t>
        </is>
      </c>
      <c r="C1100" t="inlineStr">
        <is>
          <t>map</t>
        </is>
      </c>
      <c r="D1100" t="inlineStr">
        <is>
          <t>2018_MapKuredu070318ColorEnglish.pdf</t>
        </is>
      </c>
      <c r="E1100" t="n">
        <v>2018</v>
      </c>
      <c r="H1100" t="n">
        <v>1</v>
      </c>
      <c r="I1100" t="n">
        <v>2629</v>
      </c>
      <c r="J1100" t="inlineStr">
        <is>
          <t>N</t>
        </is>
      </c>
      <c r="K1100" t="inlineStr">
        <is>
          <t>sales.crownandchamparesorts.com</t>
        </is>
      </c>
      <c r="L1100" t="inlineStr">
        <is>
          <t>brand-cdn</t>
        </is>
      </c>
      <c r="M1100" t="inlineStr">
        <is>
          <t>https://sales.crownandchamparesorts.com/wp-content/uploads/2018/10/MapKuredu070318ColorEnglish.pdf</t>
        </is>
      </c>
      <c r="N1100" t="inlineStr">
        <is>
          <t>https://sales.crownandchamparesorts.com/wp-content/uploads/2018/10/MapKuredu070318ColorEnglish.pdf</t>
        </is>
      </c>
      <c r="O1100" t="inlineStr">
        <is>
          <t>4c19a94ccc4e04d60dc20c00df6c254c4779e3f580b98d9dd52d7f4790d252d9</t>
        </is>
      </c>
      <c r="P1100" t="inlineStr">
        <is>
          <t>library/081_kuredu-island-resort/map/2018_MapKuredu070318ColorEnglish.pdf</t>
        </is>
      </c>
      <c r="R1100" t="inlineStr">
        <is>
          <t>outdated</t>
        </is>
      </c>
      <c r="S1100" t="inlineStr">
        <is>
          <t>N</t>
        </is>
      </c>
      <c r="T1100" t="inlineStr">
        <is>
          <t>matched</t>
        </is>
      </c>
      <c r="U1100" t="inlineStr">
        <is>
          <t>2026-10-04</t>
        </is>
      </c>
      <c r="V1100" t="inlineStr"/>
    </row>
    <row r="1101">
      <c r="A1101" t="n">
        <v>81</v>
      </c>
      <c r="B1101" t="inlineStr">
        <is>
          <t>Kuredu Island Resort</t>
        </is>
      </c>
      <c r="C1101" t="inlineStr">
        <is>
          <t>map</t>
        </is>
      </c>
      <c r="D1101" t="inlineStr">
        <is>
          <t>2017_MapKuredu120617ColorEnglish.pdf</t>
        </is>
      </c>
      <c r="E1101" t="n">
        <v>2017</v>
      </c>
      <c r="H1101" t="n">
        <v>1</v>
      </c>
      <c r="I1101" t="n">
        <v>2640</v>
      </c>
      <c r="J1101" t="inlineStr">
        <is>
          <t>N</t>
        </is>
      </c>
      <c r="K1101" t="inlineStr">
        <is>
          <t>sales.crownandchamparesorts.com</t>
        </is>
      </c>
      <c r="L1101" t="inlineStr">
        <is>
          <t>brand-cdn</t>
        </is>
      </c>
      <c r="M1101" t="inlineStr">
        <is>
          <t>https://sales.crownandchamparesorts.com/wp-content/uploads/2018/04/MapKuredu120617ColorEnglish.pdf</t>
        </is>
      </c>
      <c r="N1101" t="inlineStr">
        <is>
          <t>https://sales.crownandchamparesorts.com/wp-content/uploads/2018/04/MapKuredu120617ColorEnglish.pdf</t>
        </is>
      </c>
      <c r="O1101" t="inlineStr">
        <is>
          <t>5c96108643fb179fae9f4e3321be70debea473bd7517fbf1cacb1ddd402fd4a1</t>
        </is>
      </c>
      <c r="P1101" t="inlineStr">
        <is>
          <t>library/081_kuredu-island-resort/map/2017_MapKuredu120617ColorEnglish.pdf</t>
        </is>
      </c>
      <c r="R1101" t="inlineStr">
        <is>
          <t>outdated</t>
        </is>
      </c>
      <c r="S1101" t="inlineStr">
        <is>
          <t>N</t>
        </is>
      </c>
      <c r="T1101" t="inlineStr">
        <is>
          <t>matched</t>
        </is>
      </c>
      <c r="U1101" t="inlineStr">
        <is>
          <t>2026-10-04</t>
        </is>
      </c>
      <c r="V1101" t="inlineStr"/>
    </row>
    <row r="1102">
      <c r="A1102" t="n">
        <v>81</v>
      </c>
      <c r="B1102" t="inlineStr">
        <is>
          <t>Kuredu Island Resort</t>
        </is>
      </c>
      <c r="C1102" t="inlineStr">
        <is>
          <t>dive_prices</t>
        </is>
      </c>
      <c r="D1102" t="inlineStr">
        <is>
          <t>2020_General-ProDivers-operation-guidelines-071720KURKOMHURKUDINN.pdf</t>
        </is>
      </c>
      <c r="E1102" t="n">
        <v>2020</v>
      </c>
      <c r="H1102" t="n">
        <v>4</v>
      </c>
      <c r="I1102" t="n">
        <v>373</v>
      </c>
      <c r="J1102" t="inlineStr">
        <is>
          <t>Y</t>
        </is>
      </c>
      <c r="K1102" t="inlineStr">
        <is>
          <t>sales.crownandchamparesorts.com</t>
        </is>
      </c>
      <c r="L1102" t="inlineStr">
        <is>
          <t>brand-cdn</t>
        </is>
      </c>
      <c r="M1102" t="inlineStr">
        <is>
          <t>https://sales.crownandchamparesorts.com/wp-content/uploads/2020/07/General-ProDivers-operation-guidelines-071720KURKOMHURKUDINN.pdf</t>
        </is>
      </c>
      <c r="N1102" t="inlineStr">
        <is>
          <t>https://sales.crownandchamparesorts.com/wp-content/uploads/2020/07/General-ProDivers-operation-guidelines-071720KURKOMHURKUDINN.pdf</t>
        </is>
      </c>
      <c r="O1102" t="inlineStr">
        <is>
          <t>71fdb2ecc01246c303436cbc79372100f51d34f876f86a5a661efdff1016081e</t>
        </is>
      </c>
      <c r="P1102" t="inlineStr">
        <is>
          <t>library/081_kuredu-island-resort/dive_prices/2020_General-ProDivers-operation-guidelines-071720KURKOMHURKUDINN.pdf</t>
        </is>
      </c>
      <c r="R1102" t="inlineStr">
        <is>
          <t>outdated</t>
        </is>
      </c>
      <c r="S1102" t="inlineStr">
        <is>
          <t>Y</t>
        </is>
      </c>
      <c r="T1102" t="inlineStr">
        <is>
          <t>matched</t>
        </is>
      </c>
      <c r="U1102" t="inlineStr">
        <is>
          <t>2026-10-04</t>
        </is>
      </c>
      <c r="V1102" t="inlineStr"/>
    </row>
    <row r="1103">
      <c r="A1103" t="n">
        <v>82</v>
      </c>
      <c r="B1103" t="inlineStr">
        <is>
          <t>Ifuru Island Maldives</t>
        </is>
      </c>
      <c r="C1103" t="inlineStr">
        <is>
          <t>factsheet</t>
        </is>
      </c>
      <c r="D1103" t="inlineStr">
        <is>
          <t>2023_IFURU-ISLAND-MALDIVES-Fact-Sheet.pdf</t>
        </is>
      </c>
      <c r="E1103" t="n">
        <v>2023</v>
      </c>
      <c r="H1103" t="n">
        <v>8</v>
      </c>
      <c r="I1103" t="n">
        <v>2232</v>
      </c>
      <c r="J1103" t="inlineStr">
        <is>
          <t>Y</t>
        </is>
      </c>
      <c r="K1103" t="inlineStr">
        <is>
          <t>neoscapesmaldives.com</t>
        </is>
      </c>
      <c r="L1103" t="inlineStr">
        <is>
          <t>dmc-agency</t>
        </is>
      </c>
      <c r="M1103" t="inlineStr">
        <is>
          <t>https://www.neoscapesmaldives.com/wp-content/uploads/IFURU-ISLAND-MALDIVES-Fact-Sheet.pdf</t>
        </is>
      </c>
      <c r="N1103" t="inlineStr">
        <is>
          <t>https://www.neoscapesmaldives.com/wp-content/uploads/IFURU-ISLAND-MALDIVES-Fact-Sheet.pdf</t>
        </is>
      </c>
      <c r="O1103" t="inlineStr">
        <is>
          <t>71d64a9924ddbe1235de7c1dcab68a809eabe6e8cb8514a4c234900b70221b24</t>
        </is>
      </c>
      <c r="P1103" t="inlineStr">
        <is>
          <t>library/082_ifuru-island-maldives/factsheet/2023_IFURU-ISLAND-MALDIVES-Fact-Sheet.pdf</t>
        </is>
      </c>
      <c r="R1103" t="inlineStr">
        <is>
          <t>outdated</t>
        </is>
      </c>
      <c r="S1103" t="inlineStr">
        <is>
          <t>Y</t>
        </is>
      </c>
      <c r="T1103" t="inlineStr">
        <is>
          <t>matched</t>
        </is>
      </c>
      <c r="U1103" t="inlineStr">
        <is>
          <t>2026-10-04</t>
        </is>
      </c>
      <c r="V1103" t="inlineStr"/>
    </row>
    <row r="1104">
      <c r="A1104" t="n">
        <v>82</v>
      </c>
      <c r="B1104" t="inlineStr">
        <is>
          <t>Ifuru Island Maldives</t>
        </is>
      </c>
      <c r="C1104" t="inlineStr">
        <is>
          <t>map</t>
        </is>
      </c>
      <c r="D1104" t="inlineStr">
        <is>
          <t>2024_Ifuru_Island_Resort_Island_Map.pdf</t>
        </is>
      </c>
      <c r="E1104" t="n">
        <v>2024</v>
      </c>
      <c r="H1104" t="n">
        <v>1</v>
      </c>
      <c r="I1104" t="n">
        <v>3160</v>
      </c>
      <c r="J1104" t="inlineStr">
        <is>
          <t>N</t>
        </is>
      </c>
      <c r="K1104" t="inlineStr">
        <is>
          <t>neoscapesmaldives.com</t>
        </is>
      </c>
      <c r="L1104" t="inlineStr">
        <is>
          <t>dmc-agency</t>
        </is>
      </c>
      <c r="M1104" t="inlineStr">
        <is>
          <t>https://www.neoscapesmaldives.com/wp-content/uploads/Ifuru_Island_Resort_Island_Map.pdf</t>
        </is>
      </c>
      <c r="N1104" t="inlineStr">
        <is>
          <t>https://www.neoscapesmaldives.com/wp-content/uploads/Ifuru_Island_Resort_Island_Map.pdf</t>
        </is>
      </c>
      <c r="O1104" t="inlineStr">
        <is>
          <t>7e3319d172fd1f90c7af23cfc81403777dfebeb9e765b669bdba19cd9c4218e8</t>
        </is>
      </c>
      <c r="P1104" t="inlineStr">
        <is>
          <t>library/082_ifuru-island-maldives/map/2024_Ifuru_Island_Resort_Island_Map.pdf</t>
        </is>
      </c>
      <c r="R1104" t="inlineStr">
        <is>
          <t>outdated</t>
        </is>
      </c>
      <c r="S1104" t="inlineStr">
        <is>
          <t>Y</t>
        </is>
      </c>
      <c r="T1104" t="inlineStr">
        <is>
          <t>matched</t>
        </is>
      </c>
      <c r="U1104" t="inlineStr">
        <is>
          <t>2026-10-04</t>
        </is>
      </c>
      <c r="V1104" t="inlineStr"/>
    </row>
    <row r="1105">
      <c r="A1105" t="n">
        <v>85</v>
      </c>
      <c r="B1105" t="inlineStr">
        <is>
          <t>Centara Mirage Lagoon Maldives &amp; Centara Grand Lagoon Maldives</t>
        </is>
      </c>
      <c r="C1105" t="inlineStr">
        <is>
          <t>factsheet</t>
        </is>
      </c>
      <c r="D1105" t="inlineStr">
        <is>
          <t>2025_Centara-Mirage-Lagoon-Factsheet-October-2025.pdf</t>
        </is>
      </c>
      <c r="E1105" t="n">
        <v>2025</v>
      </c>
      <c r="H1105" t="n">
        <v>4</v>
      </c>
      <c r="I1105" t="n">
        <v>620</v>
      </c>
      <c r="J1105" t="inlineStr">
        <is>
          <t>Y</t>
        </is>
      </c>
      <c r="K1105" t="inlineStr">
        <is>
          <t>neoscapesmaldives.com</t>
        </is>
      </c>
      <c r="L1105" t="inlineStr">
        <is>
          <t>dmc-agency</t>
        </is>
      </c>
      <c r="M1105" t="inlineStr">
        <is>
          <t>https://www.neoscapesmaldives.com/wp-content/uploads/Centara-Mirage-Lagoon-Factsheet-October-2025.pdf</t>
        </is>
      </c>
      <c r="N1105" t="inlineStr">
        <is>
          <t>https://www.neoscapesmaldives.com/wp-content/uploads/Centara-Mirage-Lagoon-Factsheet-October-2025.pdf</t>
        </is>
      </c>
      <c r="O1105" t="inlineStr">
        <is>
          <t>6a3cdfbc08a22fc696211ad40a62f6961ccda38380a935d7cd26f4deb4349f8c</t>
        </is>
      </c>
      <c r="P1105" t="inlineStr">
        <is>
          <t>library/085_centara-mirage-lagoon-maldives-centara-grand-lagoo/factsheet/2025_Centara-Mirage-Lagoon-Factsheet-October-2025.pdf</t>
        </is>
      </c>
      <c r="R1105" t="inlineStr">
        <is>
          <t>current</t>
        </is>
      </c>
      <c r="S1105" t="inlineStr">
        <is>
          <t>Y</t>
        </is>
      </c>
      <c r="T1105" t="inlineStr">
        <is>
          <t>matched</t>
        </is>
      </c>
      <c r="U1105" t="inlineStr">
        <is>
          <t>2026-10-04</t>
        </is>
      </c>
      <c r="V1105" t="inlineStr"/>
    </row>
    <row r="1106">
      <c r="A1106" t="n">
        <v>85</v>
      </c>
      <c r="B1106" t="inlineStr">
        <is>
          <t>Centara Mirage Lagoon Maldives &amp; Centara Grand Lagoon Maldives</t>
        </is>
      </c>
      <c r="C1106" t="inlineStr">
        <is>
          <t>factsheet</t>
        </is>
      </c>
      <c r="D1106" t="inlineStr">
        <is>
          <t>2024_CGLM-Factsheet.pdf</t>
        </is>
      </c>
      <c r="E1106" t="n">
        <v>2024</v>
      </c>
      <c r="H1106" t="n">
        <v>6</v>
      </c>
      <c r="I1106" t="n">
        <v>5265</v>
      </c>
      <c r="J1106" t="inlineStr">
        <is>
          <t>Y</t>
        </is>
      </c>
      <c r="K1106" t="inlineStr">
        <is>
          <t>neoscapesmaldives.com</t>
        </is>
      </c>
      <c r="L1106" t="inlineStr">
        <is>
          <t>dmc-agency</t>
        </is>
      </c>
      <c r="M1106" t="inlineStr">
        <is>
          <t>https://www.neoscapesmaldives.com/wp-content/uploads/CGLM-Factsheet.pdf</t>
        </is>
      </c>
      <c r="N1106" t="inlineStr">
        <is>
          <t>https://www.neoscapesmaldives.com/wp-content/uploads/CGLM-Factsheet.pdf</t>
        </is>
      </c>
      <c r="O1106" t="inlineStr">
        <is>
          <t>b8f27aec747504948b35a66d571b099ad9ace3ae633e3dddf6a79ba6f85e40ce</t>
        </is>
      </c>
      <c r="P1106" t="inlineStr">
        <is>
          <t>library/085_centara-mirage-lagoon-maldives-centara-grand-lagoo/factsheet/2024_CGLM-Factsheet.pdf</t>
        </is>
      </c>
      <c r="R1106" t="inlineStr">
        <is>
          <t>outdated</t>
        </is>
      </c>
      <c r="S1106" t="inlineStr">
        <is>
          <t>N</t>
        </is>
      </c>
      <c r="T1106" t="inlineStr">
        <is>
          <t>matched</t>
        </is>
      </c>
      <c r="U1106" t="inlineStr">
        <is>
          <t>2026-10-04</t>
        </is>
      </c>
      <c r="V1106" t="inlineStr"/>
    </row>
    <row r="1107">
      <c r="A1107" t="n">
        <v>85</v>
      </c>
      <c r="B1107" t="inlineStr">
        <is>
          <t>Centara Mirage Lagoon Maldives &amp; Centara Grand Lagoon Maldives</t>
        </is>
      </c>
      <c r="C1107" t="inlineStr">
        <is>
          <t>map</t>
        </is>
      </c>
      <c r="D1107" t="inlineStr">
        <is>
          <t>2025_Centara-Grand-Lagoon-Maldives-Resort-Map_09.10.25.pdf</t>
        </is>
      </c>
      <c r="E1107" t="n">
        <v>2025</v>
      </c>
      <c r="H1107" t="n">
        <v>1</v>
      </c>
      <c r="I1107" t="n">
        <v>340</v>
      </c>
      <c r="J1107" t="inlineStr">
        <is>
          <t>Y</t>
        </is>
      </c>
      <c r="K1107" t="inlineStr">
        <is>
          <t>neoscapesmaldives.com</t>
        </is>
      </c>
      <c r="L1107" t="inlineStr">
        <is>
          <t>dmc-agency</t>
        </is>
      </c>
      <c r="M1107" t="inlineStr">
        <is>
          <t>https://www.neoscapesmaldives.com/wp-content/uploads/Centara-Grand-Lagoon-Maldives-Resort-Map_09.10.25.pdf</t>
        </is>
      </c>
      <c r="N1107" t="inlineStr">
        <is>
          <t>https://www.neoscapesmaldives.com/wp-content/uploads/Centara-Grand-Lagoon-Maldives-Resort-Map_09.10.25.pdf</t>
        </is>
      </c>
      <c r="O1107" t="inlineStr">
        <is>
          <t>cffd97348d603fcd44dee7ca20a366dabbee67e12fc958a6ebbe03a5868a39f2</t>
        </is>
      </c>
      <c r="P1107" t="inlineStr">
        <is>
          <t>library/085_centara-mirage-lagoon-maldives-centara-grand-lagoo/map/2025_Centara-Grand-Lagoon-Maldives-Resort-Map_09.10.25.pdf</t>
        </is>
      </c>
      <c r="R1107" t="inlineStr">
        <is>
          <t>current</t>
        </is>
      </c>
      <c r="S1107" t="inlineStr">
        <is>
          <t>Y</t>
        </is>
      </c>
      <c r="T1107" t="inlineStr">
        <is>
          <t>matched</t>
        </is>
      </c>
      <c r="U1107" t="inlineStr">
        <is>
          <t>2026-10-04</t>
        </is>
      </c>
      <c r="V1107" t="inlineStr"/>
    </row>
    <row r="1108">
      <c r="A1108" t="n">
        <v>85</v>
      </c>
      <c r="B1108" t="inlineStr">
        <is>
          <t>Centara Mirage Lagoon Maldives &amp; Centara Grand Lagoon Maldives</t>
        </is>
      </c>
      <c r="C1108" t="inlineStr">
        <is>
          <t>map</t>
        </is>
      </c>
      <c r="D1108" t="inlineStr">
        <is>
          <t>2025_Centara-Mirage-Lagoon-Maldives-Resort-Map-2025.pdf</t>
        </is>
      </c>
      <c r="E1108" t="n">
        <v>2025</v>
      </c>
      <c r="H1108" t="n">
        <v>1</v>
      </c>
      <c r="I1108" t="n">
        <v>2741</v>
      </c>
      <c r="J1108" t="inlineStr">
        <is>
          <t>Y</t>
        </is>
      </c>
      <c r="K1108" t="inlineStr">
        <is>
          <t>neoscapesmaldives.com</t>
        </is>
      </c>
      <c r="L1108" t="inlineStr">
        <is>
          <t>dmc-agency</t>
        </is>
      </c>
      <c r="M1108" t="inlineStr">
        <is>
          <t>https://www.neoscapesmaldives.com/wp-content/uploads/Centara-Mirage-Lagoon-Maldives-Resort-Map-2025.pdf</t>
        </is>
      </c>
      <c r="N1108" t="inlineStr">
        <is>
          <t>https://www.neoscapesmaldives.com/wp-content/uploads/Centara-Mirage-Lagoon-Maldives-Resort-Map-2025.pdf</t>
        </is>
      </c>
      <c r="O1108" t="inlineStr">
        <is>
          <t>5ea1ebb802c23bc1d407e3f32e3e0ffd007a9c059c7353f4a08bbe8e3c2e4a10</t>
        </is>
      </c>
      <c r="P1108" t="inlineStr">
        <is>
          <t>library/085_centara-mirage-lagoon-maldives-centara-grand-lagoo/map/2025_Centara-Mirage-Lagoon-Maldives-Resort-Map-2025.pdf</t>
        </is>
      </c>
      <c r="R1108" t="inlineStr">
        <is>
          <t>current</t>
        </is>
      </c>
      <c r="S1108" t="inlineStr">
        <is>
          <t>N</t>
        </is>
      </c>
      <c r="T1108" t="inlineStr">
        <is>
          <t>matched</t>
        </is>
      </c>
      <c r="U1108" t="inlineStr">
        <is>
          <t>2026-10-04</t>
        </is>
      </c>
      <c r="V1108" t="inlineStr"/>
    </row>
    <row r="1109">
      <c r="A1109" t="n">
        <v>87</v>
      </c>
      <c r="B1109" t="inlineStr">
        <is>
          <t>Four Seasons Resort Maldives at Landaa Giraavaru</t>
        </is>
      </c>
      <c r="C1109" t="inlineStr">
        <is>
          <t>map</t>
        </is>
      </c>
      <c r="D1109" t="inlineStr">
        <is>
          <t>2023_Landaa-Giraavaru-Resort-Map.pdf</t>
        </is>
      </c>
      <c r="E1109" t="n">
        <v>2023</v>
      </c>
      <c r="H1109" t="n">
        <v>1</v>
      </c>
      <c r="I1109" t="n">
        <v>4903</v>
      </c>
      <c r="J1109" t="inlineStr">
        <is>
          <t>Y</t>
        </is>
      </c>
      <c r="K1109" t="inlineStr">
        <is>
          <t>neoscapesmaldives.com</t>
        </is>
      </c>
      <c r="L1109" t="inlineStr">
        <is>
          <t>dmc-agency</t>
        </is>
      </c>
      <c r="M1109" t="inlineStr">
        <is>
          <t>https://www.neoscapesmaldives.com/wp-content/uploads/Landaa-Giraavaru-Resort-Map.pdf</t>
        </is>
      </c>
      <c r="N1109" t="inlineStr">
        <is>
          <t>https://www.neoscapesmaldives.com/wp-content/uploads/Landaa-Giraavaru-Resort-Map.pdf</t>
        </is>
      </c>
      <c r="O1109" t="inlineStr">
        <is>
          <t>35c6d9c544bbb87799071a78826db8e7a33e9390447e7c8827da931cbea861e0</t>
        </is>
      </c>
      <c r="P1109" t="inlineStr">
        <is>
          <t>library/087_four-seasons-resort-maldives-at-landaa-giraavaru/map/2023_Landaa-Giraavaru-Resort-Map.pdf</t>
        </is>
      </c>
      <c r="R1109" t="inlineStr">
        <is>
          <t>outdated</t>
        </is>
      </c>
      <c r="S1109" t="inlineStr">
        <is>
          <t>Y</t>
        </is>
      </c>
      <c r="T1109" t="inlineStr">
        <is>
          <t>matched</t>
        </is>
      </c>
      <c r="U1109" t="inlineStr">
        <is>
          <t>2026-10-04</t>
        </is>
      </c>
      <c r="V1109" t="inlineStr"/>
    </row>
    <row r="1110">
      <c r="A1110" t="n">
        <v>87</v>
      </c>
      <c r="B1110" t="inlineStr">
        <is>
          <t>Four Seasons Resort Maldives at Landaa Giraavaru</t>
        </is>
      </c>
      <c r="C1110" t="inlineStr">
        <is>
          <t>sustainability</t>
        </is>
      </c>
      <c r="D1110" t="inlineStr">
        <is>
          <t>2025_Amilla-Sustainability-Policy.pdf</t>
        </is>
      </c>
      <c r="E1110" t="n">
        <v>2025</v>
      </c>
      <c r="H1110" t="n">
        <v>5</v>
      </c>
      <c r="I1110" t="n">
        <v>208</v>
      </c>
      <c r="J1110" t="inlineStr">
        <is>
          <t>Y</t>
        </is>
      </c>
      <c r="K1110" t="inlineStr">
        <is>
          <t>amilla.com</t>
        </is>
      </c>
      <c r="L1110" t="inlineStr">
        <is>
          <t>official</t>
        </is>
      </c>
      <c r="M1110" t="inlineStr">
        <is>
          <t>https://amilla.com/wp-content/uploads/Amilla-Sustainability-Policy.pdf</t>
        </is>
      </c>
      <c r="N1110" t="inlineStr">
        <is>
          <t>https://amilla.com/wp-content/uploads/Amilla-Sustainability-Policy.pdf</t>
        </is>
      </c>
      <c r="O1110" t="inlineStr">
        <is>
          <t>6336ec3c575d2d2a6ebb058b30f1a5661f107db6f79b3e48a743b7fa3644319e</t>
        </is>
      </c>
      <c r="P1110" t="inlineStr">
        <is>
          <t>library/087_four-seasons-resort-maldives-at-landaa-giraavaru/sustainability/2025_Amilla-Sustainability-Policy.pdf</t>
        </is>
      </c>
      <c r="R1110" t="inlineStr">
        <is>
          <t>current</t>
        </is>
      </c>
      <c r="S1110" t="inlineStr">
        <is>
          <t>Y</t>
        </is>
      </c>
      <c r="T1110" t="inlineStr">
        <is>
          <t>matched</t>
        </is>
      </c>
      <c r="U1110" t="inlineStr">
        <is>
          <t>2026-10-04</t>
        </is>
      </c>
      <c r="V1110" t="inlineStr"/>
    </row>
    <row r="1111">
      <c r="A1111" t="n">
        <v>87</v>
      </c>
      <c r="B1111" t="inlineStr">
        <is>
          <t>Four Seasons Resort Maldives at Landaa Giraavaru</t>
        </is>
      </c>
      <c r="C1111" t="inlineStr">
        <is>
          <t>sustainability</t>
        </is>
      </c>
      <c r="D1111" t="inlineStr">
        <is>
          <t>2024_Amilla-Maldives-Sustainability-Policy.pdf</t>
        </is>
      </c>
      <c r="E1111" t="n">
        <v>2024</v>
      </c>
      <c r="H1111" t="n">
        <v>5</v>
      </c>
      <c r="I1111" t="n">
        <v>313</v>
      </c>
      <c r="J1111" t="inlineStr">
        <is>
          <t>Y</t>
        </is>
      </c>
      <c r="K1111" t="inlineStr">
        <is>
          <t>amilla.com</t>
        </is>
      </c>
      <c r="L1111" t="inlineStr">
        <is>
          <t>official</t>
        </is>
      </c>
      <c r="M1111" t="inlineStr">
        <is>
          <t>https://amilla.com/wp-content/uploads/Amilla-Maldives-Sustainability-Policy.pdf</t>
        </is>
      </c>
      <c r="N1111" t="inlineStr">
        <is>
          <t>https://amilla.com/wp-content/uploads/Amilla-Maldives-Sustainability-Policy.pdf</t>
        </is>
      </c>
      <c r="O1111" t="inlineStr">
        <is>
          <t>746fa1c0dcae1f6cbfdcf8eaa61d98b5404a5c01caa7f7f837d88399ab307186</t>
        </is>
      </c>
      <c r="P1111" t="inlineStr">
        <is>
          <t>library/087_four-seasons-resort-maldives-at-landaa-giraavaru/sustainability/2024_Amilla-Maldives-Sustainability-Policy.pdf</t>
        </is>
      </c>
      <c r="R1111" t="inlineStr">
        <is>
          <t>outdated</t>
        </is>
      </c>
      <c r="S1111" t="inlineStr">
        <is>
          <t>N</t>
        </is>
      </c>
      <c r="T1111" t="inlineStr">
        <is>
          <t>matched</t>
        </is>
      </c>
      <c r="U1111" t="inlineStr">
        <is>
          <t>2026-10-04</t>
        </is>
      </c>
      <c r="V1111" t="inlineStr"/>
    </row>
    <row r="1112">
      <c r="A1112" t="n">
        <v>87</v>
      </c>
      <c r="B1112" t="inlineStr">
        <is>
          <t>Four Seasons Resort Maldives at Landaa Giraavaru</t>
        </is>
      </c>
      <c r="C1112" t="inlineStr">
        <is>
          <t>press_kit</t>
        </is>
      </c>
      <c r="D1112" t="inlineStr">
        <is>
          <t>2023_Four-Seasons-Resorts-Maldives-Press-Kit..pdf</t>
        </is>
      </c>
      <c r="E1112" t="n">
        <v>2023</v>
      </c>
      <c r="H1112" t="n">
        <v>15</v>
      </c>
      <c r="I1112" t="n">
        <v>1000</v>
      </c>
      <c r="J1112" t="inlineStr">
        <is>
          <t>Y</t>
        </is>
      </c>
      <c r="K1112" t="inlineStr">
        <is>
          <t>neoscapesmaldives.com</t>
        </is>
      </c>
      <c r="L1112" t="inlineStr">
        <is>
          <t>dmc-agency</t>
        </is>
      </c>
      <c r="M1112" t="inlineStr">
        <is>
          <t>https://www.neoscapesmaldives.com/wp-content/uploads/Four-Seasons-Resorts-Maldives-Press-Kit..pdf</t>
        </is>
      </c>
      <c r="N1112" t="inlineStr">
        <is>
          <t>https://www.neoscapesmaldives.com/wp-content/uploads/Four-Seasons-Resorts-Maldives-Press-Kit..pdf</t>
        </is>
      </c>
      <c r="O1112" t="inlineStr">
        <is>
          <t>a3f52a5cc3100d23bfc2b233a17f510458bbda6afabcfa2a4f7a57000ae124d9</t>
        </is>
      </c>
      <c r="P1112" t="inlineStr">
        <is>
          <t>library/087_four-seasons-resort-maldives-at-landaa-giraavaru/press_kit/2023_Four-Seasons-Resorts-Maldives-Press-Kit..pdf</t>
        </is>
      </c>
      <c r="R1112" t="inlineStr">
        <is>
          <t>outdated</t>
        </is>
      </c>
      <c r="S1112" t="inlineStr">
        <is>
          <t>Y</t>
        </is>
      </c>
      <c r="T1112" t="inlineStr">
        <is>
          <t>matched</t>
        </is>
      </c>
      <c r="U1112" t="inlineStr">
        <is>
          <t>2026-10-04</t>
        </is>
      </c>
      <c r="V1112" t="inlineStr"/>
    </row>
    <row r="1113">
      <c r="A1113" t="n">
        <v>89</v>
      </c>
      <c r="B1113" t="inlineStr">
        <is>
          <t>Inter Continental Maldives Maamunagau</t>
        </is>
      </c>
      <c r="C1113" t="inlineStr">
        <is>
          <t>factsheet</t>
        </is>
      </c>
      <c r="D1113" t="inlineStr">
        <is>
          <t>2020_InterContinental-Maldives-Maamunagau-Resort-Factsheet-NEO.pdf</t>
        </is>
      </c>
      <c r="E1113" t="n">
        <v>2020</v>
      </c>
      <c r="H1113" t="n">
        <v>20</v>
      </c>
      <c r="I1113" t="n">
        <v>9395</v>
      </c>
      <c r="J1113" t="inlineStr">
        <is>
          <t>Y</t>
        </is>
      </c>
      <c r="K1113" t="inlineStr">
        <is>
          <t>neoscapesmaldives.com</t>
        </is>
      </c>
      <c r="L1113" t="inlineStr">
        <is>
          <t>dmc-agency</t>
        </is>
      </c>
      <c r="M1113" t="inlineStr">
        <is>
          <t>https://www.neoscapesmaldives.com/wp-content/uploads/InterContinental-Maldives-Maamunagau-Resort-Factsheet-NEO.pdf</t>
        </is>
      </c>
      <c r="N1113" t="inlineStr">
        <is>
          <t>https://www.neoscapesmaldives.com/wp-content/uploads/InterContinental-Maldives-Maamunagau-Resort-Factsheet-NEO.pdf</t>
        </is>
      </c>
      <c r="O1113" t="inlineStr">
        <is>
          <t>e1c6f4b7b4335fb7f2794c49930372c724884896f5934fe2cc32f4c697485966</t>
        </is>
      </c>
      <c r="P1113" t="inlineStr">
        <is>
          <t>library/089_inter-continental-maldives-maamunagau/factsheet/2020_InterContinental-Maldives-Maamunagau-Resort-Factsheet-NEO.pdf</t>
        </is>
      </c>
      <c r="R1113" t="inlineStr">
        <is>
          <t>outdated</t>
        </is>
      </c>
      <c r="S1113" t="inlineStr">
        <is>
          <t>Y</t>
        </is>
      </c>
      <c r="T1113" t="inlineStr">
        <is>
          <t>matched</t>
        </is>
      </c>
      <c r="U1113" t="inlineStr">
        <is>
          <t>2026-10-04</t>
        </is>
      </c>
      <c r="V1113" t="inlineStr"/>
    </row>
    <row r="1114">
      <c r="A1114" t="n">
        <v>90</v>
      </c>
      <c r="B1114" t="inlineStr">
        <is>
          <t>Six Senses Kanuhura</t>
        </is>
      </c>
      <c r="C1114" t="inlineStr">
        <is>
          <t>factsheet</t>
        </is>
      </c>
      <c r="D1114" t="inlineStr">
        <is>
          <t>2018_Factsheet_2018_NEW.pdf</t>
        </is>
      </c>
      <c r="E1114" t="n">
        <v>2018</v>
      </c>
      <c r="H1114" t="n">
        <v>6</v>
      </c>
      <c r="I1114" t="n">
        <v>5209</v>
      </c>
      <c r="J1114" t="inlineStr">
        <is>
          <t>Y</t>
        </is>
      </c>
      <c r="K1114" t="inlineStr">
        <is>
          <t>neoscapesmaldives.com</t>
        </is>
      </c>
      <c r="L1114" t="inlineStr">
        <is>
          <t>dmc-agency</t>
        </is>
      </c>
      <c r="M1114" t="inlineStr">
        <is>
          <t>https://www.neoscapesmaldives.com/wp-content/uploads/Factsheet_2018_NEW.pdf</t>
        </is>
      </c>
      <c r="N1114" t="inlineStr">
        <is>
          <t>https://www.neoscapesmaldives.com/wp-content/uploads/Factsheet_2018_NEW.pdf</t>
        </is>
      </c>
      <c r="O1114" t="inlineStr">
        <is>
          <t>464cf761fd32f4742d79b158dee6fffb19204b97eea30851563854164bc66159</t>
        </is>
      </c>
      <c r="P1114" t="inlineStr">
        <is>
          <t>library/090_six-senses-kanuhura/factsheet/2018_Factsheet_2018_NEW.pdf</t>
        </is>
      </c>
      <c r="R1114" t="inlineStr">
        <is>
          <t>outdated</t>
        </is>
      </c>
      <c r="S1114" t="inlineStr">
        <is>
          <t>Y</t>
        </is>
      </c>
      <c r="T1114" t="inlineStr">
        <is>
          <t>matched</t>
        </is>
      </c>
      <c r="U1114" t="inlineStr">
        <is>
          <t>2026-10-04</t>
        </is>
      </c>
      <c r="V1114" t="inlineStr"/>
    </row>
    <row r="1115">
      <c r="A1115" t="n">
        <v>90</v>
      </c>
      <c r="B1115" t="inlineStr">
        <is>
          <t>Six Senses Kanuhura</t>
        </is>
      </c>
      <c r="C1115" t="inlineStr">
        <is>
          <t>villa_plans</t>
        </is>
      </c>
      <c r="D1115" t="inlineStr">
        <is>
          <t>2026_Six-Senses-Kanuhura.pdf</t>
        </is>
      </c>
      <c r="E1115" t="n">
        <v>2026</v>
      </c>
      <c r="H1115" t="n">
        <v>7</v>
      </c>
      <c r="I1115" t="n">
        <v>681</v>
      </c>
      <c r="J1115" t="inlineStr">
        <is>
          <t>Y</t>
        </is>
      </c>
      <c r="K1115" t="inlineStr">
        <is>
          <t>awesomegetawaymaldives.com</t>
        </is>
      </c>
      <c r="L1115" t="inlineStr">
        <is>
          <t>dmc-agency</t>
        </is>
      </c>
      <c r="M1115" t="inlineStr">
        <is>
          <t>https://awesomegetawaymaldives.com/wp-content/uploads/2026/03/Six-Senses-Kanuhura.pdf</t>
        </is>
      </c>
      <c r="N1115" t="inlineStr">
        <is>
          <t>https://awesomegetawaymaldives.com/wp-content/uploads/2026/03/Six-Senses-Kanuhura.pdf | https://awesomegetawaymaldives.com/wp-content/uploads/2026/03/Six-Senses-Kanuhura-Factsheet.pdf</t>
        </is>
      </c>
      <c r="O1115" t="inlineStr">
        <is>
          <t>812179f478d134d93ed0a98031488e3bb4cbbe9d91f7e003ed50fa9df7f3e333</t>
        </is>
      </c>
      <c r="P1115" t="inlineStr">
        <is>
          <t>library/090_six-senses-kanuhura/villa_plans/2026_Six-Senses-Kanuhura.pdf</t>
        </is>
      </c>
      <c r="R1115" t="inlineStr">
        <is>
          <t>current</t>
        </is>
      </c>
      <c r="S1115" t="inlineStr">
        <is>
          <t>Y</t>
        </is>
      </c>
      <c r="T1115" t="inlineStr">
        <is>
          <t>matched</t>
        </is>
      </c>
      <c r="U1115" t="inlineStr">
        <is>
          <t>2026-10-04</t>
        </is>
      </c>
      <c r="V1115" t="inlineStr"/>
    </row>
    <row r="1116">
      <c r="A1116" t="n">
        <v>91</v>
      </c>
      <c r="B1116" t="inlineStr">
        <is>
          <t>Lily Beach Resort</t>
        </is>
      </c>
      <c r="C1116" t="inlineStr">
        <is>
          <t>factsheet</t>
        </is>
      </c>
      <c r="D1116" t="inlineStr">
        <is>
          <t>2020_LilyBeach-Factsheet-Resort-NEO.pdf</t>
        </is>
      </c>
      <c r="E1116" t="n">
        <v>2020</v>
      </c>
      <c r="H1116" t="n">
        <v>2</v>
      </c>
      <c r="I1116" t="n">
        <v>2714</v>
      </c>
      <c r="J1116" t="inlineStr">
        <is>
          <t>Y</t>
        </is>
      </c>
      <c r="K1116" t="inlineStr">
        <is>
          <t>neoscapesmaldives.com</t>
        </is>
      </c>
      <c r="L1116" t="inlineStr">
        <is>
          <t>dmc-agency</t>
        </is>
      </c>
      <c r="M1116" t="inlineStr">
        <is>
          <t>https://www.neoscapesmaldives.com/wp-content/uploads/LilyBeach-Factsheet-Resort-NEO.pdf</t>
        </is>
      </c>
      <c r="N1116" t="inlineStr">
        <is>
          <t>https://www.neoscapesmaldives.com/wp-content/uploads/LilyBeach-Factsheet-Resort-NEO.pdf</t>
        </is>
      </c>
      <c r="O1116" t="inlineStr">
        <is>
          <t>01ab97c5627beba4cf46a210fe56f535c07908c1e29e9632e174a1b195e43a43</t>
        </is>
      </c>
      <c r="P1116" t="inlineStr">
        <is>
          <t>library/091_lily-beach-resort/factsheet/2020_LilyBeach-Factsheet-Resort-NEO.pdf</t>
        </is>
      </c>
      <c r="R1116" t="inlineStr">
        <is>
          <t>outdated</t>
        </is>
      </c>
      <c r="S1116" t="inlineStr">
        <is>
          <t>Y</t>
        </is>
      </c>
      <c r="T1116" t="inlineStr">
        <is>
          <t>matched</t>
        </is>
      </c>
      <c r="U1116" t="inlineStr">
        <is>
          <t>2026-10-04</t>
        </is>
      </c>
      <c r="V1116" t="inlineStr"/>
    </row>
    <row r="1117">
      <c r="A1117" t="n">
        <v>91</v>
      </c>
      <c r="B1117" t="inlineStr">
        <is>
          <t>Lily Beach Resort</t>
        </is>
      </c>
      <c r="C1117" t="inlineStr">
        <is>
          <t>map</t>
        </is>
      </c>
      <c r="D1117" t="inlineStr">
        <is>
          <t>2020_LilyBeach-Resort-Map.pdf</t>
        </is>
      </c>
      <c r="E1117" t="n">
        <v>2020</v>
      </c>
      <c r="H1117" t="n">
        <v>1</v>
      </c>
      <c r="I1117" t="n">
        <v>354</v>
      </c>
      <c r="J1117" t="inlineStr">
        <is>
          <t>N</t>
        </is>
      </c>
      <c r="K1117" t="inlineStr">
        <is>
          <t>neoscapesmaldives.com</t>
        </is>
      </c>
      <c r="L1117" t="inlineStr">
        <is>
          <t>dmc-agency</t>
        </is>
      </c>
      <c r="M1117" t="inlineStr">
        <is>
          <t>https://www.neoscapesmaldives.com/wp-content/uploads/LilyBeach-Resort-Map.pdf</t>
        </is>
      </c>
      <c r="N1117" t="inlineStr">
        <is>
          <t>https://www.neoscapesmaldives.com/wp-content/uploads/LilyBeach-Resort-Map.pdf</t>
        </is>
      </c>
      <c r="O1117" t="inlineStr">
        <is>
          <t>d61bed104b44f2f9c7aa42736a026279023dc33776e151960024c52277bbf934</t>
        </is>
      </c>
      <c r="P1117" t="inlineStr">
        <is>
          <t>library/091_lily-beach-resort/map/2020_LilyBeach-Resort-Map.pdf</t>
        </is>
      </c>
      <c r="R1117" t="inlineStr">
        <is>
          <t>outdated</t>
        </is>
      </c>
      <c r="S1117" t="inlineStr">
        <is>
          <t>Y</t>
        </is>
      </c>
      <c r="T1117" t="inlineStr">
        <is>
          <t>matched</t>
        </is>
      </c>
      <c r="U1117" t="inlineStr">
        <is>
          <t>2026-10-04</t>
        </is>
      </c>
      <c r="V1117" t="inlineStr"/>
    </row>
    <row r="1118">
      <c r="A1118" t="n">
        <v>92</v>
      </c>
      <c r="B1118" t="inlineStr">
        <is>
          <t>Amaya Kuda Rah Maldives</t>
        </is>
      </c>
      <c r="C1118" t="inlineStr">
        <is>
          <t>factsheet</t>
        </is>
      </c>
      <c r="D1118" t="inlineStr">
        <is>
          <t>2024_NH-Maldives-Kuda-Rah-Fact-Sheet.pdf</t>
        </is>
      </c>
      <c r="E1118" t="n">
        <v>2024</v>
      </c>
      <c r="H1118" t="n">
        <v>9</v>
      </c>
      <c r="I1118" t="n">
        <v>2127</v>
      </c>
      <c r="J1118" t="inlineStr">
        <is>
          <t>Y</t>
        </is>
      </c>
      <c r="K1118" t="inlineStr">
        <is>
          <t>neoscapesmaldives.com</t>
        </is>
      </c>
      <c r="L1118" t="inlineStr">
        <is>
          <t>dmc-agency</t>
        </is>
      </c>
      <c r="M1118" t="inlineStr">
        <is>
          <t>https://www.neoscapesmaldives.com/wp-content/uploads/NH-Maldives-Kuda-Rah-Fact-Sheet.pdf</t>
        </is>
      </c>
      <c r="N1118" t="inlineStr">
        <is>
          <t>https://www.neoscapesmaldives.com/wp-content/uploads/NH-Maldives-Kuda-Rah-Fact-Sheet.pdf</t>
        </is>
      </c>
      <c r="O1118" t="inlineStr">
        <is>
          <t>e92ab16ceeb876893b8905db269d20f6592491f0130ef8cfc5cc625fe576a534</t>
        </is>
      </c>
      <c r="P1118" t="inlineStr">
        <is>
          <t>library/092_amaya-kuda-rah-maldives/factsheet/2024_NH-Maldives-Kuda-Rah-Fact-Sheet.pdf</t>
        </is>
      </c>
      <c r="R1118" t="inlineStr">
        <is>
          <t>outdated</t>
        </is>
      </c>
      <c r="S1118" t="inlineStr">
        <is>
          <t>Y</t>
        </is>
      </c>
      <c r="T1118" t="inlineStr">
        <is>
          <t>matched</t>
        </is>
      </c>
      <c r="U1118" t="inlineStr">
        <is>
          <t>2026-10-04</t>
        </is>
      </c>
      <c r="V1118" t="inlineStr"/>
    </row>
    <row r="1119">
      <c r="A1119" t="n">
        <v>92</v>
      </c>
      <c r="B1119" t="inlineStr">
        <is>
          <t>Amaya Kuda Rah Maldives</t>
        </is>
      </c>
      <c r="C1119" t="inlineStr">
        <is>
          <t>map</t>
        </is>
      </c>
      <c r="D1119" t="inlineStr">
        <is>
          <t>2024_Pages-from-NH-Maldives-Kuda-Rah-map.pdf</t>
        </is>
      </c>
      <c r="E1119" t="n">
        <v>2024</v>
      </c>
      <c r="H1119" t="n">
        <v>1</v>
      </c>
      <c r="I1119" t="n">
        <v>162</v>
      </c>
      <c r="J1119" t="inlineStr">
        <is>
          <t>Y</t>
        </is>
      </c>
      <c r="K1119" t="inlineStr">
        <is>
          <t>neoscapesmaldives.com</t>
        </is>
      </c>
      <c r="L1119" t="inlineStr">
        <is>
          <t>dmc-agency</t>
        </is>
      </c>
      <c r="M1119" t="inlineStr">
        <is>
          <t>https://www.neoscapesmaldives.com/wp-content/uploads/Pages-from-NH-Maldives-Kuda-Rah-map.pdf</t>
        </is>
      </c>
      <c r="N1119" t="inlineStr">
        <is>
          <t>https://www.neoscapesmaldives.com/wp-content/uploads/Pages-from-NH-Maldives-Kuda-Rah-map.pdf</t>
        </is>
      </c>
      <c r="O1119" t="inlineStr">
        <is>
          <t>e4a85342a070f9514db82042d6144159047b292d99b3ef4c504a219c04e6bad9</t>
        </is>
      </c>
      <c r="P1119" t="inlineStr">
        <is>
          <t>library/092_amaya-kuda-rah-maldives/map/2024_Pages-from-NH-Maldives-Kuda-Rah-map.pdf</t>
        </is>
      </c>
      <c r="R1119" t="inlineStr">
        <is>
          <t>outdated</t>
        </is>
      </c>
      <c r="S1119" t="inlineStr">
        <is>
          <t>Y</t>
        </is>
      </c>
      <c r="T1119" t="inlineStr">
        <is>
          <t>matched</t>
        </is>
      </c>
      <c r="U1119" t="inlineStr">
        <is>
          <t>2026-10-04</t>
        </is>
      </c>
      <c r="V1119" t="inlineStr"/>
    </row>
    <row r="1120">
      <c r="A1120" t="n">
        <v>95</v>
      </c>
      <c r="B1120" t="inlineStr">
        <is>
          <t>Malahini Kuda Bandos</t>
        </is>
      </c>
      <c r="C1120" t="inlineStr">
        <is>
          <t>factsheet</t>
        </is>
      </c>
      <c r="D1120" t="inlineStr">
        <is>
          <t>2017_Malahini-Kuda-Bandos-E-factsheet_2017.pdf</t>
        </is>
      </c>
      <c r="E1120" t="n">
        <v>2017</v>
      </c>
      <c r="H1120" t="n">
        <v>4</v>
      </c>
      <c r="I1120" t="n">
        <v>900</v>
      </c>
      <c r="J1120" t="inlineStr">
        <is>
          <t>N</t>
        </is>
      </c>
      <c r="K1120" t="inlineStr">
        <is>
          <t>neoscapesmaldives.com</t>
        </is>
      </c>
      <c r="L1120" t="inlineStr">
        <is>
          <t>dmc-agency</t>
        </is>
      </c>
      <c r="M1120" t="inlineStr">
        <is>
          <t>https://www.neoscapesmaldives.com/wp-content/uploads/Malahini-Kuda-Bandos-E-factsheet_2017.pdf</t>
        </is>
      </c>
      <c r="N1120" t="inlineStr">
        <is>
          <t>https://www.neoscapesmaldives.com/wp-content/uploads/Malahini-Kuda-Bandos-E-factsheet_2017.pdf</t>
        </is>
      </c>
      <c r="O1120" t="inlineStr">
        <is>
          <t>440ea169e2f4d214d00dab89b6fb49e21ed60e3c163dead36260de5aaf432e8d</t>
        </is>
      </c>
      <c r="P1120" t="inlineStr">
        <is>
          <t>library/095_malahini-kuda-bandos/factsheet/2017_Malahini-Kuda-Bandos-E-factsheet_2017.pdf</t>
        </is>
      </c>
      <c r="R1120" t="inlineStr">
        <is>
          <t>outdated</t>
        </is>
      </c>
      <c r="S1120" t="inlineStr">
        <is>
          <t>Y</t>
        </is>
      </c>
      <c r="T1120" t="inlineStr">
        <is>
          <t>matched</t>
        </is>
      </c>
      <c r="U1120" t="inlineStr">
        <is>
          <t>2026-10-04</t>
        </is>
      </c>
      <c r="V1120" t="inlineStr"/>
    </row>
    <row r="1121">
      <c r="A1121" t="n">
        <v>95</v>
      </c>
      <c r="B1121" t="inlineStr">
        <is>
          <t>Malahini Kuda Bandos</t>
        </is>
      </c>
      <c r="C1121" t="inlineStr">
        <is>
          <t>map</t>
        </is>
      </c>
      <c r="D1121" t="inlineStr">
        <is>
          <t>2020_Malahini-Kuda-Bandos-Map.pdf</t>
        </is>
      </c>
      <c r="E1121" t="n">
        <v>2020</v>
      </c>
      <c r="H1121" t="n">
        <v>1</v>
      </c>
      <c r="I1121" t="n">
        <v>493</v>
      </c>
      <c r="J1121" t="inlineStr">
        <is>
          <t>N</t>
        </is>
      </c>
      <c r="K1121" t="inlineStr">
        <is>
          <t>neoscapesmaldives.com</t>
        </is>
      </c>
      <c r="L1121" t="inlineStr">
        <is>
          <t>dmc-agency</t>
        </is>
      </c>
      <c r="M1121" t="inlineStr">
        <is>
          <t>https://www.neoscapesmaldives.com/wp-content/uploads/Malahini-Kuda-Bandos-Map.pdf</t>
        </is>
      </c>
      <c r="N1121" t="inlineStr">
        <is>
          <t>https://www.neoscapesmaldives.com/wp-content/uploads/Malahini-Kuda-Bandos-Map.pdf</t>
        </is>
      </c>
      <c r="O1121" t="inlineStr">
        <is>
          <t>8a9df1522250448ea91329bbe2dabc82e7343ceb433e67224f82a2671ec4e86f</t>
        </is>
      </c>
      <c r="P1121" t="inlineStr">
        <is>
          <t>library/095_malahini-kuda-bandos/map/2020_Malahini-Kuda-Bandos-Map.pdf</t>
        </is>
      </c>
      <c r="R1121" t="inlineStr">
        <is>
          <t>outdated</t>
        </is>
      </c>
      <c r="S1121" t="inlineStr">
        <is>
          <t>Y</t>
        </is>
      </c>
      <c r="T1121" t="inlineStr">
        <is>
          <t>matched</t>
        </is>
      </c>
      <c r="U1121" t="inlineStr">
        <is>
          <t>2026-10-04</t>
        </is>
      </c>
      <c r="V1121" t="inlineStr"/>
    </row>
    <row r="1122">
      <c r="A1122" t="n">
        <v>96</v>
      </c>
      <c r="B1122" t="inlineStr">
        <is>
          <t>Dhawa Ihuru</t>
        </is>
      </c>
      <c r="C1122" t="inlineStr">
        <is>
          <t>factsheet</t>
        </is>
      </c>
      <c r="D1122" t="inlineStr">
        <is>
          <t>2025_DHMVIH-Fact-Sheet.pdf</t>
        </is>
      </c>
      <c r="E1122" t="n">
        <v>2025</v>
      </c>
      <c r="H1122" t="n">
        <v>10</v>
      </c>
      <c r="I1122" t="n">
        <v>1609</v>
      </c>
      <c r="J1122" t="inlineStr">
        <is>
          <t>Y</t>
        </is>
      </c>
      <c r="K1122" t="inlineStr">
        <is>
          <t>neoscapesmaldives.com</t>
        </is>
      </c>
      <c r="L1122" t="inlineStr">
        <is>
          <t>dmc-agency</t>
        </is>
      </c>
      <c r="M1122" t="inlineStr">
        <is>
          <t>https://www.neoscapesmaldives.com/wp-content/uploads/DHMVIH-Fact-Sheet.pdf</t>
        </is>
      </c>
      <c r="N1122" t="inlineStr">
        <is>
          <t>https://www.neoscapesmaldives.com/wp-content/uploads/DHMVIH-Fact-Sheet.pdf</t>
        </is>
      </c>
      <c r="O1122" t="inlineStr">
        <is>
          <t>3a11a440fecceb2deadfac364216859e13527e858f6c42050ddbb72521edb849</t>
        </is>
      </c>
      <c r="P1122" t="inlineStr">
        <is>
          <t>library/096_dhawa-ihuru/factsheet/2025_DHMVIH-Fact-Sheet.pdf</t>
        </is>
      </c>
      <c r="R1122" t="inlineStr">
        <is>
          <t>current</t>
        </is>
      </c>
      <c r="S1122" t="inlineStr">
        <is>
          <t>Y</t>
        </is>
      </c>
      <c r="T1122" t="inlineStr">
        <is>
          <t>matched</t>
        </is>
      </c>
      <c r="U1122" t="inlineStr">
        <is>
          <t>2026-10-04</t>
        </is>
      </c>
      <c r="V1122" t="inlineStr"/>
    </row>
    <row r="1123">
      <c r="A1123" t="n">
        <v>97</v>
      </c>
      <c r="B1123" t="inlineStr">
        <is>
          <t>Angsana Resort &amp; Spa Maldives - Velavaru</t>
        </is>
      </c>
      <c r="C1123" t="inlineStr">
        <is>
          <t>factsheet</t>
        </is>
      </c>
      <c r="D1123" t="inlineStr">
        <is>
          <t>2023_Fact-Sheet-Angsana-Velavaru.pdf</t>
        </is>
      </c>
      <c r="E1123" t="n">
        <v>2023</v>
      </c>
      <c r="H1123" t="n">
        <v>15</v>
      </c>
      <c r="I1123" t="n">
        <v>6802</v>
      </c>
      <c r="J1123" t="inlineStr">
        <is>
          <t>Y</t>
        </is>
      </c>
      <c r="K1123" t="inlineStr">
        <is>
          <t>neoscapesmaldives.com</t>
        </is>
      </c>
      <c r="L1123" t="inlineStr">
        <is>
          <t>dmc-agency</t>
        </is>
      </c>
      <c r="M1123" t="inlineStr">
        <is>
          <t>https://www.neoscapesmaldives.com/wp-content/uploads/Fact-Sheet-Angsana-Velavaru.pdf</t>
        </is>
      </c>
      <c r="N1123" t="inlineStr">
        <is>
          <t>https://www.neoscapesmaldives.com/wp-content/uploads/Fact-Sheet-Angsana-Velavaru.pdf</t>
        </is>
      </c>
      <c r="O1123" t="inlineStr">
        <is>
          <t>d01d7d4d3b1ae39bdea196fd3a88d6f37f7591122e0e24d954bcd1ec436937dc</t>
        </is>
      </c>
      <c r="P1123" t="inlineStr">
        <is>
          <t>library/097_angsana-resort-spa-maldives-velavaru/factsheet/2023_Fact-Sheet-Angsana-Velavaru.pdf</t>
        </is>
      </c>
      <c r="R1123" t="inlineStr">
        <is>
          <t>outdated</t>
        </is>
      </c>
      <c r="S1123" t="inlineStr">
        <is>
          <t>Y</t>
        </is>
      </c>
      <c r="T1123" t="inlineStr">
        <is>
          <t>matched</t>
        </is>
      </c>
      <c r="U1123" t="inlineStr">
        <is>
          <t>2026-10-04</t>
        </is>
      </c>
      <c r="V1123" t="inlineStr"/>
    </row>
    <row r="1124">
      <c r="A1124" t="n">
        <v>97</v>
      </c>
      <c r="B1124" t="inlineStr">
        <is>
          <t>Angsana Resort &amp; Spa Maldives - Velavaru</t>
        </is>
      </c>
      <c r="C1124" t="inlineStr">
        <is>
          <t>villa_plans</t>
        </is>
      </c>
      <c r="D1124" t="inlineStr">
        <is>
          <t>2021_Villa-Categories-Update_08-04-2021_Angsana-Velavaru.pdf</t>
        </is>
      </c>
      <c r="E1124" t="n">
        <v>2021</v>
      </c>
      <c r="H1124" t="n">
        <v>3</v>
      </c>
      <c r="I1124" t="n">
        <v>2448</v>
      </c>
      <c r="J1124" t="inlineStr">
        <is>
          <t>Y</t>
        </is>
      </c>
      <c r="K1124" t="inlineStr">
        <is>
          <t>neoscapesmaldives.com</t>
        </is>
      </c>
      <c r="L1124" t="inlineStr">
        <is>
          <t>dmc-agency</t>
        </is>
      </c>
      <c r="M1124" t="inlineStr">
        <is>
          <t>https://www.neoscapesmaldives.com/wp-content/uploads/Villa-Categories-Update_08-04-2021_Angsana-Velavaru.pdf</t>
        </is>
      </c>
      <c r="N1124" t="inlineStr">
        <is>
          <t>https://www.neoscapesmaldives.com/wp-content/uploads/Villa-Categories-Update_08-04-2021_Angsana-Velavaru.pdf</t>
        </is>
      </c>
      <c r="O1124" t="inlineStr">
        <is>
          <t>09c2975965d55719b667d06acd377adf9cbae58770212932e53df89d9bcb0940</t>
        </is>
      </c>
      <c r="P1124" t="inlineStr">
        <is>
          <t>library/097_angsana-resort-spa-maldives-velavaru/villa_plans/2021_Villa-Categories-Update_08-04-2021_Angsana-Velavaru.pdf</t>
        </is>
      </c>
      <c r="R1124" t="inlineStr">
        <is>
          <t>outdated</t>
        </is>
      </c>
      <c r="S1124" t="inlineStr">
        <is>
          <t>Y</t>
        </is>
      </c>
      <c r="T1124" t="inlineStr">
        <is>
          <t>matched</t>
        </is>
      </c>
      <c r="U1124" t="inlineStr">
        <is>
          <t>2026-10-04</t>
        </is>
      </c>
      <c r="V1124" t="inlineStr"/>
    </row>
    <row r="1125">
      <c r="A1125" t="n">
        <v>97</v>
      </c>
      <c r="B1125" t="inlineStr">
        <is>
          <t>Angsana Resort &amp; Spa Maldives - Velavaru</t>
        </is>
      </c>
      <c r="C1125" t="inlineStr">
        <is>
          <t>other</t>
        </is>
      </c>
      <c r="D1125" t="inlineStr">
        <is>
          <t>2020_islandmap-velavaru.pdf</t>
        </is>
      </c>
      <c r="E1125" t="n">
        <v>2020</v>
      </c>
      <c r="H1125" t="n">
        <v>1</v>
      </c>
      <c r="I1125" t="n">
        <v>174</v>
      </c>
      <c r="J1125" t="inlineStr">
        <is>
          <t>N</t>
        </is>
      </c>
      <c r="K1125" t="inlineStr">
        <is>
          <t>neoscapesmaldives.com</t>
        </is>
      </c>
      <c r="L1125" t="inlineStr">
        <is>
          <t>dmc-agency</t>
        </is>
      </c>
      <c r="M1125" t="inlineStr">
        <is>
          <t>https://www.neoscapesmaldives.com/wp-content/uploads/islandmap-velavaru.pdf</t>
        </is>
      </c>
      <c r="N1125" t="inlineStr">
        <is>
          <t>https://www.neoscapesmaldives.com/wp-content/uploads/islandmap-velavaru.pdf</t>
        </is>
      </c>
      <c r="O1125" t="inlineStr">
        <is>
          <t>0d83026592c5819caa7da30db8256ea967b26a4ed125be4aa4ae485b52a75063</t>
        </is>
      </c>
      <c r="P1125" t="inlineStr">
        <is>
          <t>library/097_angsana-resort-spa-maldives-velavaru/other/2020_islandmap-velavaru.pdf</t>
        </is>
      </c>
      <c r="R1125" t="inlineStr">
        <is>
          <t>outdated</t>
        </is>
      </c>
      <c r="S1125" t="inlineStr">
        <is>
          <t>Y</t>
        </is>
      </c>
      <c r="T1125" t="inlineStr">
        <is>
          <t>matched</t>
        </is>
      </c>
      <c r="U1125" t="inlineStr">
        <is>
          <t>2026-10-04</t>
        </is>
      </c>
      <c r="V1125" t="inlineStr"/>
    </row>
    <row r="1126">
      <c r="A1126" t="n">
        <v>99</v>
      </c>
      <c r="B1126" t="inlineStr">
        <is>
          <t>Conrad Maldives Rangali Island</t>
        </is>
      </c>
      <c r="C1126" t="inlineStr">
        <is>
          <t>factsheet</t>
        </is>
      </c>
      <c r="D1126" t="inlineStr">
        <is>
          <t>2025_CMRI-Villa-Factsheet.pdf</t>
        </is>
      </c>
      <c r="E1126" t="n">
        <v>2025</v>
      </c>
      <c r="H1126" t="n">
        <v>18</v>
      </c>
      <c r="I1126" t="n">
        <v>9944</v>
      </c>
      <c r="J1126" t="inlineStr">
        <is>
          <t>Y</t>
        </is>
      </c>
      <c r="K1126" t="inlineStr">
        <is>
          <t>neoscapesmaldives.com</t>
        </is>
      </c>
      <c r="L1126" t="inlineStr">
        <is>
          <t>dmc-agency</t>
        </is>
      </c>
      <c r="M1126" t="inlineStr">
        <is>
          <t>https://www.neoscapesmaldives.com/wp-content/uploads/CMRI-Villa-Factsheet.pdf</t>
        </is>
      </c>
      <c r="N1126" t="inlineStr">
        <is>
          <t>https://www.neoscapesmaldives.com/wp-content/uploads/CMRI-Villa-Factsheet.pdf</t>
        </is>
      </c>
      <c r="O1126" t="inlineStr">
        <is>
          <t>d70860c1c698b2d87a9ef21544ca28778dd937b4abc511f529dbb2bf951cc85c</t>
        </is>
      </c>
      <c r="P1126" t="inlineStr">
        <is>
          <t>library/099_conrad-maldives-rangali-island/factsheet/2025_CMRI-Villa-Factsheet.pdf</t>
        </is>
      </c>
      <c r="R1126" t="inlineStr">
        <is>
          <t>current</t>
        </is>
      </c>
      <c r="S1126" t="inlineStr">
        <is>
          <t>Y</t>
        </is>
      </c>
      <c r="T1126" t="inlineStr">
        <is>
          <t>matched</t>
        </is>
      </c>
      <c r="U1126" t="inlineStr">
        <is>
          <t>2026-10-04</t>
        </is>
      </c>
      <c r="V1126" t="inlineStr"/>
    </row>
    <row r="1127">
      <c r="A1127" t="n">
        <v>99</v>
      </c>
      <c r="B1127" t="inlineStr">
        <is>
          <t>Conrad Maldives Rangali Island</t>
        </is>
      </c>
      <c r="C1127" t="inlineStr">
        <is>
          <t>factsheet</t>
        </is>
      </c>
      <c r="D1127" t="inlineStr">
        <is>
          <t>2024_CMRI_Resort-FactSheet_082024.pdf</t>
        </is>
      </c>
      <c r="E1127" t="n">
        <v>2024</v>
      </c>
      <c r="H1127" t="n">
        <v>8</v>
      </c>
      <c r="I1127" t="n">
        <v>4876</v>
      </c>
      <c r="J1127" t="inlineStr">
        <is>
          <t>Y</t>
        </is>
      </c>
      <c r="K1127" t="inlineStr">
        <is>
          <t>neoscapesmaldives.com</t>
        </is>
      </c>
      <c r="L1127" t="inlineStr">
        <is>
          <t>dmc-agency</t>
        </is>
      </c>
      <c r="M1127" t="inlineStr">
        <is>
          <t>https://www.neoscapesmaldives.com/wp-content/uploads/CMRI_Resort-FactSheet_082024.pdf</t>
        </is>
      </c>
      <c r="N1127" t="inlineStr">
        <is>
          <t>https://www.neoscapesmaldives.com/wp-content/uploads/CMRI_Resort-FactSheet_082024.pdf</t>
        </is>
      </c>
      <c r="O1127" t="inlineStr">
        <is>
          <t>797a902ce8a5201abd0741a38707b557b4414a1d2a5258aab1455a799ac2ba2b</t>
        </is>
      </c>
      <c r="P1127" t="inlineStr">
        <is>
          <t>library/099_conrad-maldives-rangali-island/factsheet/2024_CMRI_Resort-FactSheet_082024.pdf</t>
        </is>
      </c>
      <c r="R1127" t="inlineStr">
        <is>
          <t>outdated</t>
        </is>
      </c>
      <c r="S1127" t="inlineStr">
        <is>
          <t>N</t>
        </is>
      </c>
      <c r="T1127" t="inlineStr">
        <is>
          <t>matched</t>
        </is>
      </c>
      <c r="U1127" t="inlineStr">
        <is>
          <t>2026-10-04</t>
        </is>
      </c>
      <c r="V1127" t="inlineStr"/>
    </row>
    <row r="1128">
      <c r="A1128" t="n">
        <v>99</v>
      </c>
      <c r="B1128" t="inlineStr">
        <is>
          <t>Conrad Maldives Rangali Island</t>
        </is>
      </c>
      <c r="C1128" t="inlineStr">
        <is>
          <t>map</t>
        </is>
      </c>
      <c r="D1128" t="inlineStr">
        <is>
          <t>2020_CONRAD-MALDIVES-RANGALI-MAP.pdf</t>
        </is>
      </c>
      <c r="E1128" t="n">
        <v>2020</v>
      </c>
      <c r="H1128" t="n">
        <v>1</v>
      </c>
      <c r="I1128" t="n">
        <v>236</v>
      </c>
      <c r="J1128" t="inlineStr">
        <is>
          <t>N</t>
        </is>
      </c>
      <c r="K1128" t="inlineStr">
        <is>
          <t>neoscapesmaldives.com</t>
        </is>
      </c>
      <c r="L1128" t="inlineStr">
        <is>
          <t>dmc-agency</t>
        </is>
      </c>
      <c r="M1128" t="inlineStr">
        <is>
          <t>https://www.neoscapesmaldives.com/wp-content/uploads/CONRAD-MALDIVES-RANGALI-MAP.pdf</t>
        </is>
      </c>
      <c r="N1128" t="inlineStr">
        <is>
          <t>https://www.neoscapesmaldives.com/wp-content/uploads/CONRAD-MALDIVES-RANGALI-MAP.pdf</t>
        </is>
      </c>
      <c r="O1128" t="inlineStr">
        <is>
          <t>b24bc93071d54bd0abe2e63187896a4fd174dc290ffc827002bd52d401e169c1</t>
        </is>
      </c>
      <c r="P1128" t="inlineStr">
        <is>
          <t>library/099_conrad-maldives-rangali-island/map/2020_CONRAD-MALDIVES-RANGALI-MAP.pdf</t>
        </is>
      </c>
      <c r="R1128" t="inlineStr">
        <is>
          <t>outdated</t>
        </is>
      </c>
      <c r="S1128" t="inlineStr">
        <is>
          <t>Y</t>
        </is>
      </c>
      <c r="T1128" t="inlineStr">
        <is>
          <t>matched</t>
        </is>
      </c>
      <c r="U1128" t="inlineStr">
        <is>
          <t>2026-10-04</t>
        </is>
      </c>
      <c r="V1128" t="inlineStr"/>
    </row>
    <row r="1129">
      <c r="A1129" t="n">
        <v>99</v>
      </c>
      <c r="B1129" t="inlineStr">
        <is>
          <t>Conrad Maldives Rangali Island</t>
        </is>
      </c>
      <c r="C1129" t="inlineStr">
        <is>
          <t>calendar</t>
        </is>
      </c>
      <c r="D1129" t="inlineStr">
        <is>
          <t>2026_An-Island-Safari-this-Easter-at-Conrad-Maldives.pdf</t>
        </is>
      </c>
      <c r="E1129" t="n">
        <v>2026</v>
      </c>
      <c r="H1129" t="n">
        <v>13</v>
      </c>
      <c r="I1129" t="n">
        <v>1873</v>
      </c>
      <c r="J1129" t="inlineStr">
        <is>
          <t>Y</t>
        </is>
      </c>
      <c r="K1129" t="inlineStr">
        <is>
          <t>letsgomaldives.com</t>
        </is>
      </c>
      <c r="L1129" t="inlineStr">
        <is>
          <t>dmc-agency</t>
        </is>
      </c>
      <c r="M1129" t="inlineStr">
        <is>
          <t>https://letsgomaldives.com/wp-content/uploads/2026/02/An-Island-Safari-this-Easter-at-Conrad-Maldives.pdf</t>
        </is>
      </c>
      <c r="N1129" t="inlineStr">
        <is>
          <t>https://letsgomaldives.com/wp-content/uploads/2026/02/An-Island-Safari-this-Easter-at-Conrad-Maldives.pdf</t>
        </is>
      </c>
      <c r="O1129" t="inlineStr">
        <is>
          <t>ad59e90473bb6a6625b6466a5f4fb554626dc748fde5ac1b07bd818120eccf5e</t>
        </is>
      </c>
      <c r="P1129" t="inlineStr">
        <is>
          <t>library/099_conrad-maldives-rangali-island/calendar/2026_An-Island-Safari-this-Easter-at-Conrad-Maldives.pdf</t>
        </is>
      </c>
      <c r="R1129" t="inlineStr">
        <is>
          <t>current</t>
        </is>
      </c>
      <c r="S1129" t="inlineStr">
        <is>
          <t>Y</t>
        </is>
      </c>
      <c r="T1129" t="inlineStr">
        <is>
          <t>matched</t>
        </is>
      </c>
      <c r="U1129" t="inlineStr">
        <is>
          <t>2026-10-04</t>
        </is>
      </c>
      <c r="V1129" t="inlineStr"/>
    </row>
    <row r="1130">
      <c r="A1130" t="n">
        <v>102</v>
      </c>
      <c r="B1130" t="inlineStr">
        <is>
          <t>W Maldives</t>
        </is>
      </c>
      <c r="C1130" t="inlineStr">
        <is>
          <t>factsheet</t>
        </is>
      </c>
      <c r="D1130" t="inlineStr">
        <is>
          <t>2019_W_Retreat-Maldives-Factsheet.pdf</t>
        </is>
      </c>
      <c r="E1130" t="n">
        <v>2019</v>
      </c>
      <c r="H1130" t="n">
        <v>2</v>
      </c>
      <c r="I1130" t="n">
        <v>152</v>
      </c>
      <c r="J1130" t="inlineStr">
        <is>
          <t>Y</t>
        </is>
      </c>
      <c r="K1130" t="inlineStr">
        <is>
          <t>neoscapesmaldives.com</t>
        </is>
      </c>
      <c r="L1130" t="inlineStr">
        <is>
          <t>dmc-agency</t>
        </is>
      </c>
      <c r="M1130" t="inlineStr">
        <is>
          <t>https://neoscapesmaldives.com/wp-content/uploads/W_Retreat-Maldives-Factsheet.pdf</t>
        </is>
      </c>
      <c r="N1130" t="inlineStr">
        <is>
          <t>https://neoscapesmaldives.com/wp-content/uploads/W_Retreat-Maldives-Factsheet.pdf</t>
        </is>
      </c>
      <c r="O1130" t="inlineStr">
        <is>
          <t>45c64d783c1d4a4cb52e53c50d0ae14e8a35aeccdd750a224d01783e77fa5a96</t>
        </is>
      </c>
      <c r="P1130" t="inlineStr">
        <is>
          <t>library/102_w-maldives/factsheet/2019_W_Retreat-Maldives-Factsheet.pdf</t>
        </is>
      </c>
      <c r="R1130" t="inlineStr">
        <is>
          <t>outdated</t>
        </is>
      </c>
      <c r="S1130" t="inlineStr">
        <is>
          <t>Y</t>
        </is>
      </c>
      <c r="T1130" t="inlineStr">
        <is>
          <t>matched</t>
        </is>
      </c>
      <c r="U1130" t="inlineStr">
        <is>
          <t>2026-10-04</t>
        </is>
      </c>
      <c r="V1130" t="inlineStr"/>
    </row>
    <row r="1131">
      <c r="A1131" t="n">
        <v>102</v>
      </c>
      <c r="B1131" t="inlineStr">
        <is>
          <t>W Maldives</t>
        </is>
      </c>
      <c r="C1131" t="inlineStr">
        <is>
          <t>spa_menu</t>
        </is>
      </c>
      <c r="D1131" t="inlineStr">
        <is>
          <t>2022_c8e7f1090122203c346dde7f8be2c290.pdf</t>
        </is>
      </c>
      <c r="E1131" t="n">
        <v>2022</v>
      </c>
      <c r="H1131" t="n">
        <v>17</v>
      </c>
      <c r="I1131" t="n">
        <v>2154</v>
      </c>
      <c r="J1131" t="inlineStr">
        <is>
          <t>Y</t>
        </is>
      </c>
      <c r="K1131" t="inlineStr">
        <is>
          <t>maldivesexperts.com</t>
        </is>
      </c>
      <c r="L1131" t="inlineStr">
        <is>
          <t>dmc-agency</t>
        </is>
      </c>
      <c r="M1131" t="inlineStr">
        <is>
          <t>https://www.maldivesexperts.com/uploads/resorts/c8e7f1090122203c346dde7f8be2c290.pdf</t>
        </is>
      </c>
      <c r="N1131" t="inlineStr">
        <is>
          <t>https://www.maldivesexperts.com/uploads/resorts/c8e7f1090122203c346dde7f8be2c290.pdf</t>
        </is>
      </c>
      <c r="O1131" t="inlineStr">
        <is>
          <t>75d951244a25c4f8c94b48048750ceb17c66155599b03f0895a10ec18556d53d</t>
        </is>
      </c>
      <c r="P1131" t="inlineStr">
        <is>
          <t>library/102_w-maldives/spa_menu/2022_c8e7f1090122203c346dde7f8be2c290.pdf</t>
        </is>
      </c>
      <c r="R1131" t="inlineStr">
        <is>
          <t>outdated</t>
        </is>
      </c>
      <c r="S1131" t="inlineStr">
        <is>
          <t>Y</t>
        </is>
      </c>
      <c r="T1131" t="inlineStr">
        <is>
          <t>matched</t>
        </is>
      </c>
      <c r="U1131" t="inlineStr">
        <is>
          <t>2026-10-04</t>
        </is>
      </c>
      <c r="V1131" t="inlineStr"/>
    </row>
    <row r="1132">
      <c r="A1132" t="n">
        <v>102</v>
      </c>
      <c r="B1132" t="inlineStr">
        <is>
          <t>W Maldives</t>
        </is>
      </c>
      <c r="C1132" t="inlineStr">
        <is>
          <t>dining_menu</t>
        </is>
      </c>
      <c r="D1132" t="inlineStr">
        <is>
          <t>2023_W-Maldives-Whats-Next-January-2023.pdf</t>
        </is>
      </c>
      <c r="E1132" t="n">
        <v>2023</v>
      </c>
      <c r="H1132" t="n">
        <v>5</v>
      </c>
      <c r="I1132" t="n">
        <v>6461</v>
      </c>
      <c r="J1132" t="inlineStr">
        <is>
          <t>Y</t>
        </is>
      </c>
      <c r="K1132" t="inlineStr">
        <is>
          <t>letsgomaldives.com</t>
        </is>
      </c>
      <c r="L1132" t="inlineStr">
        <is>
          <t>dmc-agency</t>
        </is>
      </c>
      <c r="M1132" t="inlineStr">
        <is>
          <t>https://letsgomaldives.com/wp-content/uploads/2023/01/W-Maldives-Whats-Next-January-2023.pdf</t>
        </is>
      </c>
      <c r="N1132" t="inlineStr">
        <is>
          <t>https://letsgomaldives.com/wp-content/uploads/2023/01/W-Maldives-Whats-Next-January-2023.pdf</t>
        </is>
      </c>
      <c r="O1132" t="inlineStr">
        <is>
          <t>b2e016c034c444eebb7b99d12be382c94455986725f7659d9bbef94b84ec450a</t>
        </is>
      </c>
      <c r="P1132" t="inlineStr">
        <is>
          <t>library/102_w-maldives/dining_menu/2023_W-Maldives-Whats-Next-January-2023.pdf</t>
        </is>
      </c>
      <c r="R1132" t="inlineStr">
        <is>
          <t>outdated</t>
        </is>
      </c>
      <c r="S1132" t="inlineStr">
        <is>
          <t>Y</t>
        </is>
      </c>
      <c r="T1132" t="inlineStr">
        <is>
          <t>matched</t>
        </is>
      </c>
      <c r="U1132" t="inlineStr">
        <is>
          <t>2026-10-04</t>
        </is>
      </c>
      <c r="V1132" t="inlineStr"/>
    </row>
    <row r="1133">
      <c r="A1133" t="n">
        <v>102</v>
      </c>
      <c r="B1133" t="inlineStr">
        <is>
          <t>W Maldives</t>
        </is>
      </c>
      <c r="C1133" t="inlineStr">
        <is>
          <t>brochure</t>
        </is>
      </c>
      <c r="D1133" t="inlineStr">
        <is>
          <t>2022_538a360e92b56921329713a8af417bfc.pdf</t>
        </is>
      </c>
      <c r="E1133" t="n">
        <v>2022</v>
      </c>
      <c r="H1133" t="n">
        <v>22</v>
      </c>
      <c r="I1133" t="n">
        <v>7096</v>
      </c>
      <c r="J1133" t="inlineStr">
        <is>
          <t>N</t>
        </is>
      </c>
      <c r="K1133" t="inlineStr">
        <is>
          <t>maldivesexperts.com</t>
        </is>
      </c>
      <c r="L1133" t="inlineStr">
        <is>
          <t>dmc-agency</t>
        </is>
      </c>
      <c r="M1133" t="inlineStr">
        <is>
          <t>https://www.maldivesexperts.com/uploads/resorts/538a360e92b56921329713a8af417bfc.pdf</t>
        </is>
      </c>
      <c r="N1133" t="inlineStr">
        <is>
          <t>https://www.maldivesexperts.com/uploads/resorts/538a360e92b56921329713a8af417bfc.pdf</t>
        </is>
      </c>
      <c r="O1133" t="inlineStr">
        <is>
          <t>d364789b77d0fa5cad42ab88c67aa2f5cd073524fbff68f7941848cc55c898ef</t>
        </is>
      </c>
      <c r="P1133" t="inlineStr">
        <is>
          <t>library/102_w-maldives/brochure/2022_538a360e92b56921329713a8af417bfc.pdf</t>
        </is>
      </c>
      <c r="R1133" t="inlineStr">
        <is>
          <t>outdated</t>
        </is>
      </c>
      <c r="S1133" t="inlineStr">
        <is>
          <t>Y</t>
        </is>
      </c>
      <c r="T1133" t="inlineStr">
        <is>
          <t>matched</t>
        </is>
      </c>
      <c r="U1133" t="inlineStr">
        <is>
          <t>2026-10-04</t>
        </is>
      </c>
      <c r="V1133" t="inlineStr"/>
    </row>
    <row r="1134">
      <c r="A1134" t="n">
        <v>102</v>
      </c>
      <c r="B1134" t="inlineStr">
        <is>
          <t>W Maldives</t>
        </is>
      </c>
      <c r="C1134" t="inlineStr">
        <is>
          <t>press_kit</t>
        </is>
      </c>
      <c r="D1134" t="inlineStr">
        <is>
          <t>2023_W-Maldives-Whats-Next-Newsletter-August-2023.pdf</t>
        </is>
      </c>
      <c r="E1134" t="n">
        <v>2023</v>
      </c>
      <c r="H1134" t="n">
        <v>7</v>
      </c>
      <c r="I1134" t="n">
        <v>4224</v>
      </c>
      <c r="J1134" t="inlineStr">
        <is>
          <t>Y</t>
        </is>
      </c>
      <c r="K1134" t="inlineStr">
        <is>
          <t>letsgomaldives.com</t>
        </is>
      </c>
      <c r="L1134" t="inlineStr">
        <is>
          <t>dmc-agency</t>
        </is>
      </c>
      <c r="M1134" t="inlineStr">
        <is>
          <t>https://letsgomaldives.com/wp-content/uploads/2023/08/W-Maldives-Whats-Next-Newsletter-August-2023.pdf</t>
        </is>
      </c>
      <c r="N1134" t="inlineStr">
        <is>
          <t>https://letsgomaldives.com/wp-content/uploads/2023/08/W-Maldives-Whats-Next-Newsletter-August-2023.pdf</t>
        </is>
      </c>
      <c r="O1134" t="inlineStr">
        <is>
          <t>281830281e49f57db9bf943d9d976ad7dfd6b696a56e91bcc3109de43ab195f0</t>
        </is>
      </c>
      <c r="P1134" t="inlineStr">
        <is>
          <t>library/102_w-maldives/press_kit/2023_W-Maldives-Whats-Next-Newsletter-August-2023.pdf</t>
        </is>
      </c>
      <c r="R1134" t="inlineStr">
        <is>
          <t>outdated</t>
        </is>
      </c>
      <c r="S1134" t="inlineStr">
        <is>
          <t>Y</t>
        </is>
      </c>
      <c r="T1134" t="inlineStr">
        <is>
          <t>matched</t>
        </is>
      </c>
      <c r="U1134" t="inlineStr">
        <is>
          <t>2026-10-04</t>
        </is>
      </c>
      <c r="V1134" t="inlineStr"/>
    </row>
    <row r="1135">
      <c r="A1135" t="n">
        <v>103</v>
      </c>
      <c r="B1135" t="inlineStr">
        <is>
          <t>Sheraton Maldives Full Moon Resort &amp; Spa</t>
        </is>
      </c>
      <c r="C1135" t="inlineStr">
        <is>
          <t>factsheet</t>
        </is>
      </c>
      <c r="D1135" t="inlineStr">
        <is>
          <t>2018_Fact-Sheet_EN.pdf</t>
        </is>
      </c>
      <c r="E1135" t="n">
        <v>2018</v>
      </c>
      <c r="H1135" t="n">
        <v>8</v>
      </c>
      <c r="I1135" t="n">
        <v>3133</v>
      </c>
      <c r="J1135" t="inlineStr">
        <is>
          <t>Y</t>
        </is>
      </c>
      <c r="K1135" t="inlineStr">
        <is>
          <t>neoscapesmaldives.com</t>
        </is>
      </c>
      <c r="L1135" t="inlineStr">
        <is>
          <t>dmc-agency</t>
        </is>
      </c>
      <c r="M1135" t="inlineStr">
        <is>
          <t>https://www.neoscapesmaldives.com/wp-content/uploads/Fact-Sheet_EN.pdf</t>
        </is>
      </c>
      <c r="N1135" t="inlineStr">
        <is>
          <t>https://www.neoscapesmaldives.com/wp-content/uploads/Fact-Sheet_EN.pdf</t>
        </is>
      </c>
      <c r="O1135" t="inlineStr">
        <is>
          <t>fb4976f3c42e83d80f87a4fa2d98c8f95f91d6185a9be159f4b2c89f5de2c2b8</t>
        </is>
      </c>
      <c r="P1135" t="inlineStr">
        <is>
          <t>library/103_sheraton-maldives-full-moon-resort-spa/factsheet/2018_Fact-Sheet_EN.pdf</t>
        </is>
      </c>
      <c r="R1135" t="inlineStr">
        <is>
          <t>outdated</t>
        </is>
      </c>
      <c r="S1135" t="inlineStr">
        <is>
          <t>Y</t>
        </is>
      </c>
      <c r="T1135" t="inlineStr">
        <is>
          <t>matched</t>
        </is>
      </c>
      <c r="U1135" t="inlineStr">
        <is>
          <t>2026-10-04</t>
        </is>
      </c>
      <c r="V1135" t="inlineStr"/>
    </row>
    <row r="1136">
      <c r="A1136" t="n">
        <v>103</v>
      </c>
      <c r="B1136" t="inlineStr">
        <is>
          <t>Sheraton Maldives Full Moon Resort &amp; Spa</t>
        </is>
      </c>
      <c r="C1136" t="inlineStr">
        <is>
          <t>map</t>
        </is>
      </c>
      <c r="D1136" t="inlineStr">
        <is>
          <t>2025_Resort-Map_EN.pdf</t>
        </is>
      </c>
      <c r="E1136" t="n">
        <v>2025</v>
      </c>
      <c r="H1136" t="n">
        <v>2</v>
      </c>
      <c r="I1136" t="n">
        <v>92</v>
      </c>
      <c r="J1136" t="inlineStr">
        <is>
          <t>Y</t>
        </is>
      </c>
      <c r="K1136" t="inlineStr">
        <is>
          <t>neoscapesmaldives.com</t>
        </is>
      </c>
      <c r="L1136" t="inlineStr">
        <is>
          <t>dmc-agency</t>
        </is>
      </c>
      <c r="M1136" t="inlineStr">
        <is>
          <t>https://www.neoscapesmaldives.com/wp-content/uploads/Resort-Map_EN.pdf</t>
        </is>
      </c>
      <c r="N1136" t="inlineStr">
        <is>
          <t>https://www.neoscapesmaldives.com/wp-content/uploads/Resort-Map_EN.pdf</t>
        </is>
      </c>
      <c r="O1136" t="inlineStr">
        <is>
          <t>6bbda48d9817e59ab1ed0b8a4ea9928f29f8426c02c05966d149162ac1afab8a</t>
        </is>
      </c>
      <c r="P1136" t="inlineStr">
        <is>
          <t>library/103_sheraton-maldives-full-moon-resort-spa/map/2025_Resort-Map_EN.pdf</t>
        </is>
      </c>
      <c r="R1136" t="inlineStr">
        <is>
          <t>current</t>
        </is>
      </c>
      <c r="S1136" t="inlineStr">
        <is>
          <t>Y</t>
        </is>
      </c>
      <c r="T1136" t="inlineStr">
        <is>
          <t>needs-review</t>
        </is>
      </c>
      <c r="U1136" t="inlineStr">
        <is>
          <t>2026-10-04</t>
        </is>
      </c>
      <c r="V1136" t="inlineStr">
        <is>
          <t>ambiguous match [103]</t>
        </is>
      </c>
    </row>
    <row r="1137">
      <c r="A1137" t="n">
        <v>103</v>
      </c>
      <c r="B1137" t="inlineStr">
        <is>
          <t>Sheraton Maldives Full Moon Resort &amp; Spa</t>
        </is>
      </c>
      <c r="C1137" t="inlineStr">
        <is>
          <t>calendar</t>
        </is>
      </c>
      <c r="D1137" t="inlineStr">
        <is>
          <t>2026_Finolhu-Easter-2026-Programme.pdf</t>
        </is>
      </c>
      <c r="E1137" t="n">
        <v>2026</v>
      </c>
      <c r="H1137" t="n">
        <v>27</v>
      </c>
      <c r="I1137" t="n">
        <v>1585</v>
      </c>
      <c r="J1137" t="inlineStr">
        <is>
          <t>Y</t>
        </is>
      </c>
      <c r="K1137" t="inlineStr">
        <is>
          <t>letsgomaldives.com</t>
        </is>
      </c>
      <c r="L1137" t="inlineStr">
        <is>
          <t>dmc-agency</t>
        </is>
      </c>
      <c r="M1137" t="inlineStr">
        <is>
          <t>https://letsgomaldives.com/wp-content/uploads/2026/02/Finolhu-Easter-2026-Programme.pdf</t>
        </is>
      </c>
      <c r="N1137" t="inlineStr">
        <is>
          <t>https://letsgomaldives.com/wp-content/uploads/2026/02/Finolhu-Easter-2026-Programme.pdf</t>
        </is>
      </c>
      <c r="O1137" t="inlineStr">
        <is>
          <t>447517dc906c0eb85cf196e03f3d42dc2e434c35de48771277071c63a4abad2b</t>
        </is>
      </c>
      <c r="P1137" t="inlineStr">
        <is>
          <t>library/103_sheraton-maldives-full-moon-resort-spa/calendar/2026_Finolhu-Easter-2026-Programme.pdf</t>
        </is>
      </c>
      <c r="R1137" t="inlineStr">
        <is>
          <t>current</t>
        </is>
      </c>
      <c r="S1137" t="inlineStr">
        <is>
          <t>Y</t>
        </is>
      </c>
      <c r="T1137" t="inlineStr">
        <is>
          <t>matched</t>
        </is>
      </c>
      <c r="U1137" t="inlineStr">
        <is>
          <t>2026-10-04</t>
        </is>
      </c>
      <c r="V1137" t="inlineStr"/>
    </row>
    <row r="1138">
      <c r="A1138" t="n">
        <v>105</v>
      </c>
      <c r="B1138" t="inlineStr">
        <is>
          <t>Kuda Villingili Resort Maldives</t>
        </is>
      </c>
      <c r="C1138" t="inlineStr">
        <is>
          <t>factsheet</t>
        </is>
      </c>
      <c r="D1138" t="inlineStr">
        <is>
          <t>2025_241220_-_Factsheet.pdf</t>
        </is>
      </c>
      <c r="E1138" t="n">
        <v>2025</v>
      </c>
      <c r="H1138" t="n">
        <v>27</v>
      </c>
      <c r="I1138" t="n">
        <v>15567</v>
      </c>
      <c r="J1138" t="inlineStr">
        <is>
          <t>Y</t>
        </is>
      </c>
      <c r="K1138" t="inlineStr">
        <is>
          <t>neoscapesmaldives.com</t>
        </is>
      </c>
      <c r="L1138" t="inlineStr">
        <is>
          <t>dmc-agency</t>
        </is>
      </c>
      <c r="M1138" t="inlineStr">
        <is>
          <t>https://www.neoscapesmaldives.com/wp-content/uploads/241220_-_Factsheet.pdf</t>
        </is>
      </c>
      <c r="N1138" t="inlineStr">
        <is>
          <t>https://www.neoscapesmaldives.com/wp-content/uploads/241220_-_Factsheet.pdf</t>
        </is>
      </c>
      <c r="O1138" t="inlineStr">
        <is>
          <t>0c265544e28055a95e4b3c8ff1cf5a7365e294b3cd6b72851a9212f3deb68c8b</t>
        </is>
      </c>
      <c r="P1138" t="inlineStr">
        <is>
          <t>library/105_kuda-villingili-resort-maldives/factsheet/2025_241220_-_Factsheet.pdf</t>
        </is>
      </c>
      <c r="R1138" t="inlineStr">
        <is>
          <t>current</t>
        </is>
      </c>
      <c r="S1138" t="inlineStr">
        <is>
          <t>Y</t>
        </is>
      </c>
      <c r="T1138" t="inlineStr">
        <is>
          <t>matched</t>
        </is>
      </c>
      <c r="U1138" t="inlineStr">
        <is>
          <t>2026-10-04</t>
        </is>
      </c>
      <c r="V1138" t="inlineStr"/>
    </row>
    <row r="1139">
      <c r="A1139" t="n">
        <v>105</v>
      </c>
      <c r="B1139" t="inlineStr">
        <is>
          <t>Kuda Villingili Resort Maldives</t>
        </is>
      </c>
      <c r="C1139" t="inlineStr">
        <is>
          <t>map</t>
        </is>
      </c>
      <c r="D1139" t="inlineStr">
        <is>
          <t>2024_Kuda-Villingili-Resort-Map.pdf</t>
        </is>
      </c>
      <c r="E1139" t="n">
        <v>2024</v>
      </c>
      <c r="H1139" t="n">
        <v>1</v>
      </c>
      <c r="I1139" t="n">
        <v>458</v>
      </c>
      <c r="J1139" t="inlineStr">
        <is>
          <t>Y</t>
        </is>
      </c>
      <c r="K1139" t="inlineStr">
        <is>
          <t>neoscapesmaldives.com</t>
        </is>
      </c>
      <c r="L1139" t="inlineStr">
        <is>
          <t>dmc-agency</t>
        </is>
      </c>
      <c r="M1139" t="inlineStr">
        <is>
          <t>https://www.neoscapesmaldives.com/wp-content/uploads/Kuda-Villingili-Resort-Map.pdf</t>
        </is>
      </c>
      <c r="N1139" t="inlineStr">
        <is>
          <t>https://www.neoscapesmaldives.com/wp-content/uploads/Kuda-Villingili-Resort-Map.pdf</t>
        </is>
      </c>
      <c r="O1139" t="inlineStr">
        <is>
          <t>b00a71d24a5ee12e8e76b265fed9f126e2148493340829acfac188ca09e45947</t>
        </is>
      </c>
      <c r="P1139" t="inlineStr">
        <is>
          <t>library/105_kuda-villingili-resort-maldives/map/2024_Kuda-Villingili-Resort-Map.pdf</t>
        </is>
      </c>
      <c r="R1139" t="inlineStr">
        <is>
          <t>outdated</t>
        </is>
      </c>
      <c r="S1139" t="inlineStr">
        <is>
          <t>Y</t>
        </is>
      </c>
      <c r="T1139" t="inlineStr">
        <is>
          <t>matched</t>
        </is>
      </c>
      <c r="U1139" t="inlineStr">
        <is>
          <t>2026-10-04</t>
        </is>
      </c>
      <c r="V1139" t="inlineStr"/>
    </row>
    <row r="1140">
      <c r="A1140" t="n">
        <v>106</v>
      </c>
      <c r="B1140" t="inlineStr">
        <is>
          <t>Anantara Kihavah Villas</t>
        </is>
      </c>
      <c r="C1140" t="inlineStr">
        <is>
          <t>factsheet</t>
        </is>
      </c>
      <c r="D1140" t="inlineStr">
        <is>
          <t>2021_Anantara_Kihavah_Maldives_Villas_Factsheet_Resort.pdf</t>
        </is>
      </c>
      <c r="E1140" t="n">
        <v>2021</v>
      </c>
      <c r="H1140" t="n">
        <v>13</v>
      </c>
      <c r="I1140" t="n">
        <v>1964</v>
      </c>
      <c r="J1140" t="inlineStr">
        <is>
          <t>Y</t>
        </is>
      </c>
      <c r="K1140" t="inlineStr">
        <is>
          <t>neoscapesmaldives.com</t>
        </is>
      </c>
      <c r="L1140" t="inlineStr">
        <is>
          <t>dmc-agency</t>
        </is>
      </c>
      <c r="M1140" t="inlineStr">
        <is>
          <t>https://www.neoscapesmaldives.com/wp-content/uploads/Anantara_Kihavah_Maldives_Villas_Factsheet_Resort.pdf</t>
        </is>
      </c>
      <c r="N1140" t="inlineStr">
        <is>
          <t>https://www.neoscapesmaldives.com/wp-content/uploads/Anantara_Kihavah_Maldives_Villas_Factsheet_Resort.pdf</t>
        </is>
      </c>
      <c r="O1140" t="inlineStr">
        <is>
          <t>adc106ce0f1fd3de7b51a2a34cb8de17aac33e2a93d9b56ed75c3a6b4aae375a</t>
        </is>
      </c>
      <c r="P1140" t="inlineStr">
        <is>
          <t>library/106_anantara-kihavah-villas/factsheet/2021_Anantara_Kihavah_Maldives_Villas_Factsheet_Resort.pdf</t>
        </is>
      </c>
      <c r="R1140" t="inlineStr">
        <is>
          <t>outdated</t>
        </is>
      </c>
      <c r="S1140" t="inlineStr">
        <is>
          <t>Y</t>
        </is>
      </c>
      <c r="T1140" t="inlineStr">
        <is>
          <t>matched</t>
        </is>
      </c>
      <c r="U1140" t="inlineStr">
        <is>
          <t>2026-10-04</t>
        </is>
      </c>
      <c r="V1140" t="inlineStr"/>
    </row>
    <row r="1141">
      <c r="A1141" t="n">
        <v>106</v>
      </c>
      <c r="B1141" t="inlineStr">
        <is>
          <t>Anantara Kihavah Villas</t>
        </is>
      </c>
      <c r="C1141" t="inlineStr">
        <is>
          <t>map</t>
        </is>
      </c>
      <c r="D1141" t="inlineStr">
        <is>
          <t>2022_Anantara_Kihavah_Maldives_Villas_Resort_Map.pdf</t>
        </is>
      </c>
      <c r="E1141" t="n">
        <v>2022</v>
      </c>
      <c r="H1141" t="n">
        <v>1</v>
      </c>
      <c r="I1141" t="n">
        <v>497</v>
      </c>
      <c r="J1141" t="inlineStr">
        <is>
          <t>Y</t>
        </is>
      </c>
      <c r="K1141" t="inlineStr">
        <is>
          <t>neoscapesmaldives.com</t>
        </is>
      </c>
      <c r="L1141" t="inlineStr">
        <is>
          <t>dmc-agency</t>
        </is>
      </c>
      <c r="M1141" t="inlineStr">
        <is>
          <t>https://www.neoscapesmaldives.com/wp-content/uploads/Anantara_Kihavah_Maldives_Villas_Resort_Map.pdf</t>
        </is>
      </c>
      <c r="N1141" t="inlineStr">
        <is>
          <t>https://www.neoscapesmaldives.com/wp-content/uploads/Anantara_Kihavah_Maldives_Villas_Resort_Map.pdf</t>
        </is>
      </c>
      <c r="O1141" t="inlineStr">
        <is>
          <t>9fa7397add16cfe62608c2606eca8bc0b3a499a4f6b9903dd7f1408e941bf2fb</t>
        </is>
      </c>
      <c r="P1141" t="inlineStr">
        <is>
          <t>library/106_anantara-kihavah-villas/map/2022_Anantara_Kihavah_Maldives_Villas_Resort_Map.pdf</t>
        </is>
      </c>
      <c r="R1141" t="inlineStr">
        <is>
          <t>outdated</t>
        </is>
      </c>
      <c r="S1141" t="inlineStr">
        <is>
          <t>Y</t>
        </is>
      </c>
      <c r="T1141" t="inlineStr">
        <is>
          <t>matched</t>
        </is>
      </c>
      <c r="U1141" t="inlineStr">
        <is>
          <t>2026-10-04</t>
        </is>
      </c>
      <c r="V1141" t="inlineStr"/>
    </row>
    <row r="1142">
      <c r="A1142" t="n">
        <v>107</v>
      </c>
      <c r="B1142" t="inlineStr">
        <is>
          <t>The Westin Maldives Miriandhoo Resort</t>
        </is>
      </c>
      <c r="C1142" t="inlineStr">
        <is>
          <t>calendar</t>
        </is>
      </c>
      <c r="D1142" t="inlineStr">
        <is>
          <t>2024_The-Westin-Maldives-2024-Easter-Celebration-Brochure.pdf</t>
        </is>
      </c>
      <c r="E1142" t="n">
        <v>2024</v>
      </c>
      <c r="H1142" t="n">
        <v>9</v>
      </c>
      <c r="I1142" t="n">
        <v>2810</v>
      </c>
      <c r="J1142" t="inlineStr">
        <is>
          <t>Y</t>
        </is>
      </c>
      <c r="K1142" t="inlineStr">
        <is>
          <t>letsgomaldives.com</t>
        </is>
      </c>
      <c r="L1142" t="inlineStr">
        <is>
          <t>dmc-agency</t>
        </is>
      </c>
      <c r="M1142" t="inlineStr">
        <is>
          <t>https://letsgomaldives.com/wp-content/uploads/2024/03/The-Westin-Maldives-2024-Easter-Celebration-Brochure.pdf</t>
        </is>
      </c>
      <c r="N1142" t="inlineStr">
        <is>
          <t>https://letsgomaldives.com/wp-content/uploads/2024/03/The-Westin-Maldives-2024-Easter-Celebration-Brochure.pdf</t>
        </is>
      </c>
      <c r="O1142" t="inlineStr">
        <is>
          <t>4ba0b52500d2828c8f7d88a84703891d8e3878cf40d5baf011671d436470c9ae</t>
        </is>
      </c>
      <c r="P1142" t="inlineStr">
        <is>
          <t>library/107_the-westin-maldives-miriandhoo-resort/calendar/2024_The-Westin-Maldives-2024-Easter-Celebration-Brochure.pdf</t>
        </is>
      </c>
      <c r="R1142" t="inlineStr">
        <is>
          <t>outdated</t>
        </is>
      </c>
      <c r="S1142" t="inlineStr">
        <is>
          <t>Y</t>
        </is>
      </c>
      <c r="T1142" t="inlineStr">
        <is>
          <t>matched</t>
        </is>
      </c>
      <c r="U1142" t="inlineStr">
        <is>
          <t>2026-10-04</t>
        </is>
      </c>
      <c r="V1142" t="inlineStr"/>
    </row>
    <row r="1143">
      <c r="A1143" t="n">
        <v>108</v>
      </c>
      <c r="B1143" t="inlineStr">
        <is>
          <t>Rahaa Resort</t>
        </is>
      </c>
      <c r="C1143" t="inlineStr">
        <is>
          <t>map</t>
        </is>
      </c>
      <c r="D1143" t="inlineStr">
        <is>
          <t>2024_RAHAA-RESORT-ALL-INCLUSIVE-MEAL-PLAN-2024.pdf</t>
        </is>
      </c>
      <c r="E1143" t="n">
        <v>2024</v>
      </c>
      <c r="H1143" t="n">
        <v>3</v>
      </c>
      <c r="I1143" t="n">
        <v>3659</v>
      </c>
      <c r="J1143" t="inlineStr">
        <is>
          <t>N</t>
        </is>
      </c>
      <c r="K1143" t="inlineStr">
        <is>
          <t>letsgomaldives.com</t>
        </is>
      </c>
      <c r="L1143" t="inlineStr">
        <is>
          <t>dmc-agency</t>
        </is>
      </c>
      <c r="M1143" t="inlineStr">
        <is>
          <t>https://letsgomaldives.com/wp-content/uploads/2024/03/RAHAA-RESORT-ALL-INCLUSIVE-MEAL-PLAN-2024.pdf</t>
        </is>
      </c>
      <c r="N1143" t="inlineStr">
        <is>
          <t>https://letsgomaldives.com/wp-content/uploads/2024/03/RAHAA-RESORT-ALL-INCLUSIVE-MEAL-PLAN-2024.pdf</t>
        </is>
      </c>
      <c r="O1143" t="inlineStr">
        <is>
          <t>3aa5bb782706b16f47b49dac82c778d9f83888753abba6489419a5da8800c580</t>
        </is>
      </c>
      <c r="P1143" t="inlineStr">
        <is>
          <t>library/108_rahaa-resort/map/2024_RAHAA-RESORT-ALL-INCLUSIVE-MEAL-PLAN-2024.pdf</t>
        </is>
      </c>
      <c r="R1143" t="inlineStr">
        <is>
          <t>outdated</t>
        </is>
      </c>
      <c r="S1143" t="inlineStr">
        <is>
          <t>Y</t>
        </is>
      </c>
      <c r="T1143" t="inlineStr">
        <is>
          <t>matched</t>
        </is>
      </c>
      <c r="U1143" t="inlineStr">
        <is>
          <t>2026-10-04</t>
        </is>
      </c>
      <c r="V1143" t="inlineStr"/>
    </row>
    <row r="1144">
      <c r="A1144" t="n">
        <v>109</v>
      </c>
      <c r="B1144" t="inlineStr">
        <is>
          <t>Constance Moofushi Resort</t>
        </is>
      </c>
      <c r="C1144" t="inlineStr">
        <is>
          <t>factsheet</t>
        </is>
      </c>
      <c r="D1144" t="inlineStr">
        <is>
          <t>2023_moofushi-factsheet-en-24april2023.pdf</t>
        </is>
      </c>
      <c r="E1144" t="n">
        <v>2023</v>
      </c>
      <c r="H1144" t="n">
        <v>10</v>
      </c>
      <c r="I1144" t="n">
        <v>2186</v>
      </c>
      <c r="J1144" t="inlineStr">
        <is>
          <t>Y</t>
        </is>
      </c>
      <c r="K1144" t="inlineStr">
        <is>
          <t>neoscapesmaldives.com</t>
        </is>
      </c>
      <c r="L1144" t="inlineStr">
        <is>
          <t>dmc-agency</t>
        </is>
      </c>
      <c r="M1144" t="inlineStr">
        <is>
          <t>https://www.neoscapesmaldives.com/wp-content/uploads/moofushi-factsheet-en-24april2023.pdf</t>
        </is>
      </c>
      <c r="N1144" t="inlineStr">
        <is>
          <t>https://www.neoscapesmaldives.com/wp-content/uploads/moofushi-factsheet-en-24april2023.pdf</t>
        </is>
      </c>
      <c r="O1144" t="inlineStr">
        <is>
          <t>5ebd8050b188741fa5ad44ce96986d305be59c3012aa3048310b73d684da611b</t>
        </is>
      </c>
      <c r="P1144" t="inlineStr">
        <is>
          <t>library/109_constance-moofushi-resort/factsheet/2023_moofushi-factsheet-en-24april2023.pdf</t>
        </is>
      </c>
      <c r="R1144" t="inlineStr">
        <is>
          <t>outdated</t>
        </is>
      </c>
      <c r="S1144" t="inlineStr">
        <is>
          <t>Y</t>
        </is>
      </c>
      <c r="T1144" t="inlineStr">
        <is>
          <t>matched</t>
        </is>
      </c>
      <c r="U1144" t="inlineStr">
        <is>
          <t>2026-10-04</t>
        </is>
      </c>
      <c r="V1144" t="inlineStr"/>
    </row>
    <row r="1145">
      <c r="A1145" t="n">
        <v>109</v>
      </c>
      <c r="B1145" t="inlineStr">
        <is>
          <t>Constance Moofushi Resort</t>
        </is>
      </c>
      <c r="C1145" t="inlineStr">
        <is>
          <t>map</t>
        </is>
      </c>
      <c r="D1145" t="inlineStr">
        <is>
          <t>2019_constance-moofushi-island-map.pdf</t>
        </is>
      </c>
      <c r="E1145" t="n">
        <v>2019</v>
      </c>
      <c r="H1145" t="n">
        <v>1</v>
      </c>
      <c r="I1145" t="n">
        <v>74</v>
      </c>
      <c r="J1145" t="inlineStr">
        <is>
          <t>N</t>
        </is>
      </c>
      <c r="K1145" t="inlineStr">
        <is>
          <t>neoscapesmaldives.com</t>
        </is>
      </c>
      <c r="L1145" t="inlineStr">
        <is>
          <t>dmc-agency</t>
        </is>
      </c>
      <c r="M1145" t="inlineStr">
        <is>
          <t>https://www.neoscapesmaldives.com/wp-content/uploads/constance-moofushi-island-map.pdf</t>
        </is>
      </c>
      <c r="N1145" t="inlineStr">
        <is>
          <t>https://www.neoscapesmaldives.com/wp-content/uploads/constance-moofushi-island-map.pdf</t>
        </is>
      </c>
      <c r="O1145" t="inlineStr">
        <is>
          <t>b0725b04c31c2598ac98e9e8e3c2484d5c047a374eb3824748abfaca0ec355dc</t>
        </is>
      </c>
      <c r="P1145" t="inlineStr">
        <is>
          <t>library/109_constance-moofushi-resort/map/2019_constance-moofushi-island-map.pdf</t>
        </is>
      </c>
      <c r="R1145" t="inlineStr">
        <is>
          <t>outdated</t>
        </is>
      </c>
      <c r="S1145" t="inlineStr">
        <is>
          <t>Y</t>
        </is>
      </c>
      <c r="T1145" t="inlineStr">
        <is>
          <t>matched</t>
        </is>
      </c>
      <c r="U1145" t="inlineStr">
        <is>
          <t>2026-10-04</t>
        </is>
      </c>
      <c r="V1145" t="inlineStr"/>
    </row>
    <row r="1146">
      <c r="A1146" t="n">
        <v>111</v>
      </c>
      <c r="B1146" t="inlineStr">
        <is>
          <t>Huvafenfushi Maldives</t>
        </is>
      </c>
      <c r="C1146" t="inlineStr">
        <is>
          <t>factsheet</t>
        </is>
      </c>
      <c r="D1146" t="inlineStr">
        <is>
          <t>2020_Huvafen-Fushi-Factsheet-2020-Digital_rdc.pdf</t>
        </is>
      </c>
      <c r="E1146" t="n">
        <v>2020</v>
      </c>
      <c r="H1146" t="n">
        <v>6</v>
      </c>
      <c r="I1146" t="n">
        <v>4312</v>
      </c>
      <c r="J1146" t="inlineStr">
        <is>
          <t>Y</t>
        </is>
      </c>
      <c r="K1146" t="inlineStr">
        <is>
          <t>neoscapesmaldives.com</t>
        </is>
      </c>
      <c r="L1146" t="inlineStr">
        <is>
          <t>dmc-agency</t>
        </is>
      </c>
      <c r="M1146" t="inlineStr">
        <is>
          <t>https://www.neoscapesmaldives.com/wp-content/uploads/Huvafen-Fushi-Factsheet-2020-Digital_rdc.pdf</t>
        </is>
      </c>
      <c r="N1146" t="inlineStr">
        <is>
          <t>https://www.neoscapesmaldives.com/wp-content/uploads/Huvafen-Fushi-Factsheet-2020-Digital_rdc.pdf</t>
        </is>
      </c>
      <c r="O1146" t="inlineStr">
        <is>
          <t>27ff8aea9534d473f1fb6ed498501050fbe19bdb8fb83905c8cecb6a9293b941</t>
        </is>
      </c>
      <c r="P1146" t="inlineStr">
        <is>
          <t>library/111_huvafenfushi-maldives/factsheet/2020_Huvafen-Fushi-Factsheet-2020-Digital_rdc.pdf</t>
        </is>
      </c>
      <c r="R1146" t="inlineStr">
        <is>
          <t>outdated</t>
        </is>
      </c>
      <c r="S1146" t="inlineStr">
        <is>
          <t>Y</t>
        </is>
      </c>
      <c r="T1146" t="inlineStr">
        <is>
          <t>matched</t>
        </is>
      </c>
      <c r="U1146" t="inlineStr">
        <is>
          <t>2026-10-04</t>
        </is>
      </c>
      <c r="V1146" t="inlineStr"/>
    </row>
    <row r="1147">
      <c r="A1147" t="n">
        <v>111</v>
      </c>
      <c r="B1147" t="inlineStr">
        <is>
          <t>Huvafenfushi Maldives</t>
        </is>
      </c>
      <c r="C1147" t="inlineStr">
        <is>
          <t>map</t>
        </is>
      </c>
      <c r="D1147" t="inlineStr">
        <is>
          <t>2019_Resort-Map.pdf</t>
        </is>
      </c>
      <c r="E1147" t="n">
        <v>2019</v>
      </c>
      <c r="H1147" t="n">
        <v>1</v>
      </c>
      <c r="I1147" t="n">
        <v>527</v>
      </c>
      <c r="J1147" t="inlineStr">
        <is>
          <t>N</t>
        </is>
      </c>
      <c r="K1147" t="inlineStr">
        <is>
          <t>neoscapesmaldives.com</t>
        </is>
      </c>
      <c r="L1147" t="inlineStr">
        <is>
          <t>dmc-agency</t>
        </is>
      </c>
      <c r="M1147" t="inlineStr">
        <is>
          <t>https://www.neoscapesmaldives.com/wp-content/uploads/Resort-Map.pdf</t>
        </is>
      </c>
      <c r="N1147" t="inlineStr">
        <is>
          <t>https://www.neoscapesmaldives.com/wp-content/uploads/Resort-Map.pdf</t>
        </is>
      </c>
      <c r="O1147" t="inlineStr">
        <is>
          <t>74a139d7ae06d0394d881ec6d920f0b009261443408663eaa739b1fb20874d83</t>
        </is>
      </c>
      <c r="P1147" t="inlineStr">
        <is>
          <t>library/111_huvafenfushi-maldives/map/2019_Resort-Map.pdf</t>
        </is>
      </c>
      <c r="R1147" t="inlineStr">
        <is>
          <t>outdated</t>
        </is>
      </c>
      <c r="S1147" t="inlineStr">
        <is>
          <t>Y</t>
        </is>
      </c>
      <c r="T1147" t="inlineStr">
        <is>
          <t>needs-review</t>
        </is>
      </c>
      <c r="U1147" t="inlineStr">
        <is>
          <t>2026-10-04</t>
        </is>
      </c>
      <c r="V1147" t="inlineStr">
        <is>
          <t>ambiguous match [111]</t>
        </is>
      </c>
    </row>
    <row r="1148">
      <c r="A1148" t="n">
        <v>112</v>
      </c>
      <c r="B1148" t="inlineStr">
        <is>
          <t>Nika Island Resort and Spa</t>
        </is>
      </c>
      <c r="C1148" t="inlineStr">
        <is>
          <t>factsheet</t>
        </is>
      </c>
      <c r="D1148" t="inlineStr">
        <is>
          <t>2020_NIKA-FACT-SHEET-Nika-Island-Resort.pdf</t>
        </is>
      </c>
      <c r="E1148" t="n">
        <v>2020</v>
      </c>
      <c r="H1148" t="n">
        <v>2</v>
      </c>
      <c r="I1148" t="n">
        <v>2913</v>
      </c>
      <c r="J1148" t="inlineStr">
        <is>
          <t>Y</t>
        </is>
      </c>
      <c r="K1148" t="inlineStr">
        <is>
          <t>neoscapesmaldives.com</t>
        </is>
      </c>
      <c r="L1148" t="inlineStr">
        <is>
          <t>dmc-agency</t>
        </is>
      </c>
      <c r="M1148" t="inlineStr">
        <is>
          <t>https://www.neoscapesmaldives.com/wp-content/uploads/NIKA-FACT-SHEET-Nika-Island-Resort.pdf</t>
        </is>
      </c>
      <c r="N1148" t="inlineStr">
        <is>
          <t>https://www.neoscapesmaldives.com/wp-content/uploads/NIKA-FACT-SHEET-Nika-Island-Resort.pdf</t>
        </is>
      </c>
      <c r="O1148" t="inlineStr">
        <is>
          <t>9ce4116a6829cf3591292427cd1fcc4e218866a91b353b15fb91391c74b356b0</t>
        </is>
      </c>
      <c r="P1148" t="inlineStr">
        <is>
          <t>library/112_nika-island-resort-and-spa/factsheet/2020_NIKA-FACT-SHEET-Nika-Island-Resort.pdf</t>
        </is>
      </c>
      <c r="R1148" t="inlineStr">
        <is>
          <t>outdated</t>
        </is>
      </c>
      <c r="S1148" t="inlineStr">
        <is>
          <t>Y</t>
        </is>
      </c>
      <c r="T1148" t="inlineStr">
        <is>
          <t>matched</t>
        </is>
      </c>
      <c r="U1148" t="inlineStr">
        <is>
          <t>2026-10-04</t>
        </is>
      </c>
      <c r="V1148" t="inlineStr"/>
    </row>
    <row r="1149">
      <c r="A1149" t="n">
        <v>112</v>
      </c>
      <c r="B1149" t="inlineStr">
        <is>
          <t>Nika Island Resort and Spa</t>
        </is>
      </c>
      <c r="C1149" t="inlineStr">
        <is>
          <t>map</t>
        </is>
      </c>
      <c r="D1149" t="inlineStr">
        <is>
          <t>2020_NIKA-MAP-Nika-Island-Resort.pdf</t>
        </is>
      </c>
      <c r="E1149" t="n">
        <v>2020</v>
      </c>
      <c r="H1149" t="n">
        <v>1</v>
      </c>
      <c r="I1149" t="n">
        <v>3099</v>
      </c>
      <c r="J1149" t="inlineStr">
        <is>
          <t>N</t>
        </is>
      </c>
      <c r="K1149" t="inlineStr">
        <is>
          <t>neoscapesmaldives.com</t>
        </is>
      </c>
      <c r="L1149" t="inlineStr">
        <is>
          <t>dmc-agency</t>
        </is>
      </c>
      <c r="M1149" t="inlineStr">
        <is>
          <t>https://www.neoscapesmaldives.com/wp-content/uploads/NIKA-MAP-Nika-Island-Resort.pdf</t>
        </is>
      </c>
      <c r="N1149" t="inlineStr">
        <is>
          <t>https://www.neoscapesmaldives.com/wp-content/uploads/NIKA-MAP-Nika-Island-Resort.pdf</t>
        </is>
      </c>
      <c r="O1149" t="inlineStr">
        <is>
          <t>64c39d06b22475c464f76baa780e7016c25f67f68dd56a5108f0bc30385dee52</t>
        </is>
      </c>
      <c r="P1149" t="inlineStr">
        <is>
          <t>library/112_nika-island-resort-and-spa/map/2020_NIKA-MAP-Nika-Island-Resort.pdf</t>
        </is>
      </c>
      <c r="R1149" t="inlineStr">
        <is>
          <t>outdated</t>
        </is>
      </c>
      <c r="S1149" t="inlineStr">
        <is>
          <t>Y</t>
        </is>
      </c>
      <c r="T1149" t="inlineStr">
        <is>
          <t>matched</t>
        </is>
      </c>
      <c r="U1149" t="inlineStr">
        <is>
          <t>2026-10-04</t>
        </is>
      </c>
      <c r="V1149" t="inlineStr"/>
    </row>
    <row r="1150">
      <c r="A1150" t="n">
        <v>115</v>
      </c>
      <c r="B1150" t="inlineStr">
        <is>
          <t>Oblu Select by Atmosphere at Sangeli</t>
        </is>
      </c>
      <c r="C1150" t="inlineStr">
        <is>
          <t>map</t>
        </is>
      </c>
      <c r="D1150" t="inlineStr">
        <is>
          <t>2025_OBLU-SELECT-Lobigili-Island-Map-MAY-2025.pdf</t>
        </is>
      </c>
      <c r="E1150" t="n">
        <v>2025</v>
      </c>
      <c r="H1150" t="n">
        <v>1</v>
      </c>
      <c r="I1150" t="n">
        <v>5174</v>
      </c>
      <c r="J1150" t="inlineStr">
        <is>
          <t>Y</t>
        </is>
      </c>
      <c r="K1150" t="inlineStr">
        <is>
          <t>neoscapesmaldives.com</t>
        </is>
      </c>
      <c r="L1150" t="inlineStr">
        <is>
          <t>dmc-agency</t>
        </is>
      </c>
      <c r="M1150" t="inlineStr">
        <is>
          <t>https://www.neoscapesmaldives.com/wp-content/uploads/OBLU-SELECT-Lobigili-Island-Map-MAY-2025.pdf</t>
        </is>
      </c>
      <c r="N1150" t="inlineStr">
        <is>
          <t>https://www.neoscapesmaldives.com/wp-content/uploads/OBLU-SELECT-Lobigili-Island-Map-MAY-2025.pdf</t>
        </is>
      </c>
      <c r="O1150" t="inlineStr">
        <is>
          <t>9f54eccd4a783c906a918dfc91c898d1c26bfd2797929143bb16407ac5c0adef</t>
        </is>
      </c>
      <c r="P1150" t="inlineStr">
        <is>
          <t>library/115_oblu-select-by-atmosphere-at-sangeli/map/2025_OBLU-SELECT-Lobigili-Island-Map-MAY-2025.pdf</t>
        </is>
      </c>
      <c r="R1150" t="inlineStr">
        <is>
          <t>current</t>
        </is>
      </c>
      <c r="S1150" t="inlineStr">
        <is>
          <t>Y</t>
        </is>
      </c>
      <c r="T1150" t="inlineStr">
        <is>
          <t>matched</t>
        </is>
      </c>
      <c r="U1150" t="inlineStr">
        <is>
          <t>2026-10-04</t>
        </is>
      </c>
      <c r="V1150" t="inlineStr"/>
    </row>
    <row r="1151">
      <c r="A1151" t="n">
        <v>115</v>
      </c>
      <c r="B1151" t="inlineStr">
        <is>
          <t>Oblu Select by Atmosphere at Sangeli</t>
        </is>
      </c>
      <c r="C1151" t="inlineStr">
        <is>
          <t>map</t>
        </is>
      </c>
      <c r="D1151" t="inlineStr">
        <is>
          <t>2019_OBLU-SELECT-at-Sangeli-ISLAND-MAP-1.pdf</t>
        </is>
      </c>
      <c r="E1151" t="n">
        <v>2019</v>
      </c>
      <c r="H1151" t="n">
        <v>1</v>
      </c>
      <c r="I1151" t="n">
        <v>2409</v>
      </c>
      <c r="J1151" t="inlineStr">
        <is>
          <t>N</t>
        </is>
      </c>
      <c r="K1151" t="inlineStr">
        <is>
          <t>neoscapesmaldives.com</t>
        </is>
      </c>
      <c r="L1151" t="inlineStr">
        <is>
          <t>dmc-agency</t>
        </is>
      </c>
      <c r="M1151" t="inlineStr">
        <is>
          <t>https://www.neoscapesmaldives.com/wp-content/uploads/OBLU-SELECT-at-Sangeli-ISLAND-MAP-1.pdf</t>
        </is>
      </c>
      <c r="N1151" t="inlineStr">
        <is>
          <t>https://www.neoscapesmaldives.com/wp-content/uploads/OBLU-SELECT-at-Sangeli-ISLAND-MAP-1.pdf</t>
        </is>
      </c>
      <c r="O1151" t="inlineStr">
        <is>
          <t>53c3a857e8721c04b7f2a63163238a93c670359df8eb71b803a94afd2dfa106c</t>
        </is>
      </c>
      <c r="P1151" t="inlineStr">
        <is>
          <t>library/115_oblu-select-by-atmosphere-at-sangeli/map/2019_OBLU-SELECT-at-Sangeli-ISLAND-MAP-1.pdf</t>
        </is>
      </c>
      <c r="R1151" t="inlineStr">
        <is>
          <t>outdated</t>
        </is>
      </c>
      <c r="S1151" t="inlineStr">
        <is>
          <t>N</t>
        </is>
      </c>
      <c r="T1151" t="inlineStr">
        <is>
          <t>matched</t>
        </is>
      </c>
      <c r="U1151" t="inlineStr">
        <is>
          <t>2026-10-04</t>
        </is>
      </c>
      <c r="V1151" t="inlineStr"/>
    </row>
    <row r="1152">
      <c r="A1152" t="n">
        <v>115</v>
      </c>
      <c r="B1152" t="inlineStr">
        <is>
          <t>Oblu Select by Atmosphere at Sangeli</t>
        </is>
      </c>
      <c r="C1152" t="inlineStr">
        <is>
          <t>brochure</t>
        </is>
      </c>
      <c r="D1152" t="inlineStr">
        <is>
          <t>2025_OBLU-SELECT-Sangeli-BROCHURE-FEB-2025.pdf</t>
        </is>
      </c>
      <c r="E1152" t="n">
        <v>2025</v>
      </c>
      <c r="H1152" t="n">
        <v>11</v>
      </c>
      <c r="I1152" t="n">
        <v>5401</v>
      </c>
      <c r="J1152" t="inlineStr">
        <is>
          <t>Y</t>
        </is>
      </c>
      <c r="K1152" t="inlineStr">
        <is>
          <t>neoscapesmaldives.com</t>
        </is>
      </c>
      <c r="L1152" t="inlineStr">
        <is>
          <t>dmc-agency</t>
        </is>
      </c>
      <c r="M1152" t="inlineStr">
        <is>
          <t>https://www.neoscapesmaldives.com/wp-content/uploads/OBLU-SELECT-Sangeli-BROCHURE-FEB-2025.pdf</t>
        </is>
      </c>
      <c r="N1152" t="inlineStr">
        <is>
          <t>https://www.neoscapesmaldives.com/wp-content/uploads/OBLU-SELECT-Sangeli-BROCHURE-FEB-2025.pdf</t>
        </is>
      </c>
      <c r="O1152" t="inlineStr">
        <is>
          <t>62c3a79e2df269a5c0f65d9e34be1f631da9882d7584b46e04b48ec5b0bdb906</t>
        </is>
      </c>
      <c r="P1152" t="inlineStr">
        <is>
          <t>library/115_oblu-select-by-atmosphere-at-sangeli/brochure/2025_OBLU-SELECT-Sangeli-BROCHURE-FEB-2025.pdf</t>
        </is>
      </c>
      <c r="R1152" t="inlineStr">
        <is>
          <t>current</t>
        </is>
      </c>
      <c r="S1152" t="inlineStr">
        <is>
          <t>Y</t>
        </is>
      </c>
      <c r="T1152" t="inlineStr">
        <is>
          <t>matched</t>
        </is>
      </c>
      <c r="U1152" t="inlineStr">
        <is>
          <t>2026-10-04</t>
        </is>
      </c>
      <c r="V1152" t="inlineStr"/>
    </row>
    <row r="1153">
      <c r="A1153" t="n">
        <v>115</v>
      </c>
      <c r="B1153" t="inlineStr">
        <is>
          <t>Oblu Select by Atmosphere at Sangeli</t>
        </is>
      </c>
      <c r="C1153" t="inlineStr">
        <is>
          <t>brochure</t>
        </is>
      </c>
      <c r="D1153" t="inlineStr">
        <is>
          <t>2025_OBLU-SELECT-Lobigili-Brochure-MAY-2025-WEB.pdf</t>
        </is>
      </c>
      <c r="E1153" t="n">
        <v>2025</v>
      </c>
      <c r="H1153" t="n">
        <v>11</v>
      </c>
      <c r="I1153" t="n">
        <v>8597</v>
      </c>
      <c r="J1153" t="inlineStr">
        <is>
          <t>Y</t>
        </is>
      </c>
      <c r="K1153" t="inlineStr">
        <is>
          <t>neoscapesmaldives.com</t>
        </is>
      </c>
      <c r="L1153" t="inlineStr">
        <is>
          <t>dmc-agency</t>
        </is>
      </c>
      <c r="M1153" t="inlineStr">
        <is>
          <t>https://www.neoscapesmaldives.com/wp-content/uploads/OBLU-SELECT-Lobigili-Brochure-MAY-2025-WEB.pdf</t>
        </is>
      </c>
      <c r="N1153" t="inlineStr">
        <is>
          <t>https://www.neoscapesmaldives.com/wp-content/uploads/OBLU-SELECT-Lobigili-Brochure-MAY-2025-WEB.pdf</t>
        </is>
      </c>
      <c r="O1153" t="inlineStr">
        <is>
          <t>294f2147fb9a5a401d3f9d7cd6b10e379097cfa2f8e8eff9d5d123a9030e9169</t>
        </is>
      </c>
      <c r="P1153" t="inlineStr">
        <is>
          <t>library/115_oblu-select-by-atmosphere-at-sangeli/brochure/2025_OBLU-SELECT-Lobigili-Brochure-MAY-2025-WEB.pdf</t>
        </is>
      </c>
      <c r="R1153" t="inlineStr">
        <is>
          <t>current</t>
        </is>
      </c>
      <c r="S1153" t="inlineStr">
        <is>
          <t>N</t>
        </is>
      </c>
      <c r="T1153" t="inlineStr">
        <is>
          <t>matched</t>
        </is>
      </c>
      <c r="U1153" t="inlineStr">
        <is>
          <t>2026-10-04</t>
        </is>
      </c>
      <c r="V1153" t="inlineStr"/>
    </row>
    <row r="1154">
      <c r="A1154" t="n">
        <v>116</v>
      </c>
      <c r="B1154" t="inlineStr">
        <is>
          <t>Nova Maldives</t>
        </is>
      </c>
      <c r="C1154" t="inlineStr">
        <is>
          <t>factsheet</t>
        </is>
      </c>
      <c r="D1154" t="inlineStr">
        <is>
          <t>2022_Factsheet-Nova-Maldives-NEO.pdf</t>
        </is>
      </c>
      <c r="E1154" t="n">
        <v>2022</v>
      </c>
      <c r="H1154" t="n">
        <v>16</v>
      </c>
      <c r="I1154" t="n">
        <v>4721</v>
      </c>
      <c r="J1154" t="inlineStr">
        <is>
          <t>N</t>
        </is>
      </c>
      <c r="K1154" t="inlineStr">
        <is>
          <t>neoscapesmaldives.com</t>
        </is>
      </c>
      <c r="L1154" t="inlineStr">
        <is>
          <t>dmc-agency</t>
        </is>
      </c>
      <c r="M1154" t="inlineStr">
        <is>
          <t>https://www.neoscapesmaldives.com/wp-content/uploads/Factsheet-Nova-Maldives-NEO.pdf</t>
        </is>
      </c>
      <c r="N1154" t="inlineStr">
        <is>
          <t>https://www.neoscapesmaldives.com/wp-content/uploads/Factsheet-Nova-Maldives-NEO.pdf</t>
        </is>
      </c>
      <c r="O1154" t="inlineStr">
        <is>
          <t>23eab33e6dc6600ab79a046e4a23e2eed969663dfdf8e8f1fd7adefaa0e29edd</t>
        </is>
      </c>
      <c r="P1154" t="inlineStr">
        <is>
          <t>library/116_nova-maldives/factsheet/2022_Factsheet-Nova-Maldives-NEO.pdf</t>
        </is>
      </c>
      <c r="R1154" t="inlineStr">
        <is>
          <t>outdated</t>
        </is>
      </c>
      <c r="S1154" t="inlineStr">
        <is>
          <t>Y</t>
        </is>
      </c>
      <c r="T1154" t="inlineStr">
        <is>
          <t>matched</t>
        </is>
      </c>
      <c r="U1154" t="inlineStr">
        <is>
          <t>2026-10-04</t>
        </is>
      </c>
      <c r="V1154" t="inlineStr"/>
    </row>
    <row r="1155">
      <c r="A1155" t="n">
        <v>116</v>
      </c>
      <c r="B1155" t="inlineStr">
        <is>
          <t>Nova Maldives</t>
        </is>
      </c>
      <c r="C1155" t="inlineStr">
        <is>
          <t>wedding</t>
        </is>
      </c>
      <c r="D1155" t="inlineStr">
        <is>
          <t>2025_WEDDINGS BROCHURE - JUNE 2025.pdf</t>
        </is>
      </c>
      <c r="E1155" t="n">
        <v>2025</v>
      </c>
      <c r="H1155" t="n">
        <v>10</v>
      </c>
      <c r="I1155" t="n">
        <v>2998</v>
      </c>
      <c r="J1155" t="inlineStr">
        <is>
          <t>Y</t>
        </is>
      </c>
      <c r="K1155" t="inlineStr">
        <is>
          <t>pulse.dash.app</t>
        </is>
      </c>
      <c r="L1155" t="inlineStr">
        <is>
          <t>brand-cdn</t>
        </is>
      </c>
      <c r="M1155"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5"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5" t="inlineStr">
        <is>
          <t>2de6c83d6a551cc1aa54335ecaf7bb6d2a6f2fa12f5b5507d5cf1fece8921980</t>
        </is>
      </c>
      <c r="P1155" t="inlineStr">
        <is>
          <t>library/116_nova-maldives/wedding/2025_WEDDINGS BROCHURE - JUNE 2025.pdf</t>
        </is>
      </c>
      <c r="R1155" t="inlineStr">
        <is>
          <t>current</t>
        </is>
      </c>
      <c r="S1155" t="inlineStr">
        <is>
          <t>Y</t>
        </is>
      </c>
      <c r="T1155" t="inlineStr">
        <is>
          <t>matched</t>
        </is>
      </c>
      <c r="U1155" t="inlineStr">
        <is>
          <t>2026-10-04</t>
        </is>
      </c>
      <c r="V1155" t="inlineStr"/>
    </row>
    <row r="1156">
      <c r="A1156" t="n">
        <v>116</v>
      </c>
      <c r="B1156" t="inlineStr">
        <is>
          <t>Nova Maldives</t>
        </is>
      </c>
      <c r="C1156" t="inlineStr">
        <is>
          <t>wedding</t>
        </is>
      </c>
      <c r="D1156" t="inlineStr">
        <is>
          <t>2025_Weddings Brochure - Nova.pdf</t>
        </is>
      </c>
      <c r="E1156" t="n">
        <v>2025</v>
      </c>
      <c r="H1156" t="n">
        <v>10</v>
      </c>
      <c r="I1156" t="n">
        <v>3140</v>
      </c>
      <c r="J1156" t="inlineStr">
        <is>
          <t>Y</t>
        </is>
      </c>
      <c r="K1156" t="inlineStr">
        <is>
          <t>pulse.dash.app</t>
        </is>
      </c>
      <c r="L1156" t="inlineStr">
        <is>
          <t>brand-cdn</t>
        </is>
      </c>
      <c r="M1156"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23ee8568055bbe2086fda93d176aa06f0803363c41b8cbae95b813eae0bcec89</t>
        </is>
      </c>
      <c r="P1156" t="inlineStr">
        <is>
          <t>library/116_nova-maldives/wedding/2025_Weddings Brochure - Nova.pdf</t>
        </is>
      </c>
      <c r="R1156" t="inlineStr">
        <is>
          <t>current</t>
        </is>
      </c>
      <c r="S1156" t="inlineStr">
        <is>
          <t>N</t>
        </is>
      </c>
      <c r="T1156" t="inlineStr">
        <is>
          <t>matched</t>
        </is>
      </c>
      <c r="U1156" t="inlineStr">
        <is>
          <t>2026-10-04</t>
        </is>
      </c>
      <c r="V1156" t="inlineStr"/>
    </row>
    <row r="1157">
      <c r="A1157" t="n">
        <v>116</v>
      </c>
      <c r="B1157" t="inlineStr">
        <is>
          <t>Nova Maldives</t>
        </is>
      </c>
      <c r="C1157" t="inlineStr">
        <is>
          <t>wedding</t>
        </is>
      </c>
      <c r="D1157" t="inlineStr">
        <is>
          <t>2024_RU -  Weddings Brochure - Nova.pdf</t>
        </is>
      </c>
      <c r="E1157" t="n">
        <v>2024</v>
      </c>
      <c r="H1157" t="n">
        <v>10</v>
      </c>
      <c r="I1157" t="n">
        <v>3047</v>
      </c>
      <c r="J1157" t="inlineStr">
        <is>
          <t>Y</t>
        </is>
      </c>
      <c r="K1157" t="inlineStr">
        <is>
          <t>pulse.dash.app</t>
        </is>
      </c>
      <c r="L1157" t="inlineStr">
        <is>
          <t>brand-cdn</t>
        </is>
      </c>
      <c r="M1157"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7"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7" t="inlineStr">
        <is>
          <t>17f7f0bd223294d59276fee99cf1dd7313924d666b5ff0d36ae3ffcad48506f8</t>
        </is>
      </c>
      <c r="P1157" t="inlineStr">
        <is>
          <t>library/116_nova-maldives/wedding/2024_RU -  Weddings Brochure - Nova.pdf</t>
        </is>
      </c>
      <c r="R1157" t="inlineStr">
        <is>
          <t>outdated</t>
        </is>
      </c>
      <c r="S1157" t="inlineStr">
        <is>
          <t>N</t>
        </is>
      </c>
      <c r="T1157" t="inlineStr">
        <is>
          <t>matched</t>
        </is>
      </c>
      <c r="U1157" t="inlineStr">
        <is>
          <t>2026-10-04</t>
        </is>
      </c>
      <c r="V1157" t="inlineStr"/>
    </row>
    <row r="1158">
      <c r="A1158" t="n">
        <v>116</v>
      </c>
      <c r="B1158" t="inlineStr">
        <is>
          <t>Nova Maldives</t>
        </is>
      </c>
      <c r="C1158" t="inlineStr">
        <is>
          <t>map</t>
        </is>
      </c>
      <c r="D1158" t="inlineStr">
        <is>
          <t>2024_NOVA_Map_Standard_Size _1_.pdf</t>
        </is>
      </c>
      <c r="E1158" t="n">
        <v>2024</v>
      </c>
      <c r="H1158" t="n">
        <v>1</v>
      </c>
      <c r="I1158" t="n">
        <v>1130</v>
      </c>
      <c r="J1158" t="inlineStr">
        <is>
          <t>Y</t>
        </is>
      </c>
      <c r="K1158" t="inlineStr">
        <is>
          <t>pulse.dash.app</t>
        </is>
      </c>
      <c r="L1158" t="inlineStr">
        <is>
          <t>brand-cdn</t>
        </is>
      </c>
      <c r="M1158"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8"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8" t="inlineStr">
        <is>
          <t>4da621f1bc9934852f6095d9c0836babcad3443795731f883405a903e0723451</t>
        </is>
      </c>
      <c r="P1158" t="inlineStr">
        <is>
          <t>library/116_nova-maldives/map/2024_NOVA_Map_Standard_Size _1_.pdf</t>
        </is>
      </c>
      <c r="R1158" t="inlineStr">
        <is>
          <t>outdated</t>
        </is>
      </c>
      <c r="S1158" t="inlineStr">
        <is>
          <t>Y</t>
        </is>
      </c>
      <c r="T1158" t="inlineStr">
        <is>
          <t>matched</t>
        </is>
      </c>
      <c r="U1158" t="inlineStr">
        <is>
          <t>2026-10-04</t>
        </is>
      </c>
      <c r="V1158" t="inlineStr"/>
    </row>
    <row r="1159">
      <c r="A1159" t="n">
        <v>116</v>
      </c>
      <c r="B1159" t="inlineStr">
        <is>
          <t>Nova Maldives</t>
        </is>
      </c>
      <c r="C1159" t="inlineStr">
        <is>
          <t>map</t>
        </is>
      </c>
      <c r="D1159" t="inlineStr">
        <is>
          <t>2022_Resort-Map-Nova-Maldives.pdf</t>
        </is>
      </c>
      <c r="E1159" t="n">
        <v>2022</v>
      </c>
      <c r="H1159" t="n">
        <v>1</v>
      </c>
      <c r="I1159" t="n">
        <v>557</v>
      </c>
      <c r="J1159" t="inlineStr">
        <is>
          <t>N</t>
        </is>
      </c>
      <c r="K1159" t="inlineStr">
        <is>
          <t>neoscapesmaldives.com</t>
        </is>
      </c>
      <c r="L1159" t="inlineStr">
        <is>
          <t>dmc-agency</t>
        </is>
      </c>
      <c r="M1159" t="inlineStr">
        <is>
          <t>https://www.neoscapesmaldives.com/wp-content/uploads/Resort-Map-Nova-Maldives.pdf</t>
        </is>
      </c>
      <c r="N1159" t="inlineStr">
        <is>
          <t>https://www.neoscapesmaldives.com/wp-content/uploads/Resort-Map-Nova-Maldives.pdf</t>
        </is>
      </c>
      <c r="O1159" t="inlineStr">
        <is>
          <t>8824de53661585c09aa740f5e0dba3b2a295b90b0e323c11a2b1bf20f09a5f16</t>
        </is>
      </c>
      <c r="P1159" t="inlineStr">
        <is>
          <t>library/116_nova-maldives/map/2022_Resort-Map-Nova-Maldives.pdf</t>
        </is>
      </c>
      <c r="R1159" t="inlineStr">
        <is>
          <t>outdated</t>
        </is>
      </c>
      <c r="S1159" t="inlineStr">
        <is>
          <t>N</t>
        </is>
      </c>
      <c r="T1159" t="inlineStr">
        <is>
          <t>matched</t>
        </is>
      </c>
      <c r="U1159" t="inlineStr">
        <is>
          <t>2026-10-04</t>
        </is>
      </c>
      <c r="V1159" t="inlineStr"/>
    </row>
    <row r="1160">
      <c r="A1160" t="n">
        <v>116</v>
      </c>
      <c r="B1160" t="inlineStr">
        <is>
          <t>Nova Maldives</t>
        </is>
      </c>
      <c r="C1160" t="inlineStr">
        <is>
          <t>dive_map</t>
        </is>
      </c>
      <c r="D1160" t="inlineStr">
        <is>
          <t>2024_NOVA_Dive_Site_Map.pdf</t>
        </is>
      </c>
      <c r="E1160" t="n">
        <v>2024</v>
      </c>
      <c r="H1160" t="n">
        <v>13</v>
      </c>
      <c r="I1160" t="n">
        <v>2584</v>
      </c>
      <c r="J1160" t="inlineStr">
        <is>
          <t>Y</t>
        </is>
      </c>
      <c r="K1160" t="inlineStr">
        <is>
          <t>pulse.dash.app</t>
        </is>
      </c>
      <c r="L1160" t="inlineStr">
        <is>
          <t>brand-cdn</t>
        </is>
      </c>
      <c r="M1160"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0"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0" t="inlineStr">
        <is>
          <t>2c53c44e95458743f245c8910229a1110a58b1a1ae738103f5ac9ad32084e961</t>
        </is>
      </c>
      <c r="P1160" t="inlineStr">
        <is>
          <t>library/116_nova-maldives/dive_map/2024_NOVA_Dive_Site_Map.pdf</t>
        </is>
      </c>
      <c r="R1160" t="inlineStr">
        <is>
          <t>outdated</t>
        </is>
      </c>
      <c r="S1160" t="inlineStr">
        <is>
          <t>Y</t>
        </is>
      </c>
      <c r="T1160" t="inlineStr">
        <is>
          <t>matched</t>
        </is>
      </c>
      <c r="U1160" t="inlineStr">
        <is>
          <t>2026-10-04</t>
        </is>
      </c>
      <c r="V1160" t="inlineStr"/>
    </row>
    <row r="1161">
      <c r="A1161" t="n">
        <v>116</v>
      </c>
      <c r="B1161" t="inlineStr">
        <is>
          <t>Nova Maldives</t>
        </is>
      </c>
      <c r="C1161" t="inlineStr">
        <is>
          <t>spa_menu</t>
        </is>
      </c>
      <c r="D1161" t="inlineStr">
        <is>
          <t>2026_ESKAPE SPA MENU _EN_ -MARCH 2026.pdf</t>
        </is>
      </c>
      <c r="E1161" t="n">
        <v>2026</v>
      </c>
      <c r="H1161" t="n">
        <v>23</v>
      </c>
      <c r="I1161" t="n">
        <v>38534</v>
      </c>
      <c r="J1161" t="inlineStr">
        <is>
          <t>N</t>
        </is>
      </c>
      <c r="K1161" t="inlineStr">
        <is>
          <t>pulse.dash.app</t>
        </is>
      </c>
      <c r="L1161" t="inlineStr">
        <is>
          <t>brand-cdn</t>
        </is>
      </c>
      <c r="M1161"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1"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1" t="inlineStr">
        <is>
          <t>3cf052ed7b94d1f985aa9e938e5436639ec380df36fba71594aee611f9d11f2a</t>
        </is>
      </c>
      <c r="P1161" t="inlineStr">
        <is>
          <t>library/116_nova-maldives/spa_menu/2026_ESKAPE SPA MENU _EN_ -MARCH 2026.pdf</t>
        </is>
      </c>
      <c r="R1161" t="inlineStr">
        <is>
          <t>current</t>
        </is>
      </c>
      <c r="S1161" t="inlineStr">
        <is>
          <t>Y</t>
        </is>
      </c>
      <c r="T1161" t="inlineStr">
        <is>
          <t>matched</t>
        </is>
      </c>
      <c r="U1161" t="inlineStr">
        <is>
          <t>2026-10-04</t>
        </is>
      </c>
      <c r="V1161" t="inlineStr"/>
    </row>
    <row r="1162">
      <c r="A1162" t="n">
        <v>116</v>
      </c>
      <c r="B1162" t="inlineStr">
        <is>
          <t>Nova Maldives</t>
        </is>
      </c>
      <c r="C1162" t="inlineStr">
        <is>
          <t>spa_menu</t>
        </is>
      </c>
      <c r="D1162" t="inlineStr">
        <is>
          <t>2025_Nova Maldives - Sales Kit.pdf</t>
        </is>
      </c>
      <c r="E1162" t="n">
        <v>2025</v>
      </c>
      <c r="H1162" t="n">
        <v>1</v>
      </c>
      <c r="I1162" t="n">
        <v>436</v>
      </c>
      <c r="J1162" t="inlineStr">
        <is>
          <t>Y</t>
        </is>
      </c>
      <c r="K1162" t="inlineStr">
        <is>
          <t>pulse.dash.app</t>
        </is>
      </c>
      <c r="L1162" t="inlineStr">
        <is>
          <t>brand-cdn</t>
        </is>
      </c>
      <c r="M1162"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2"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2" t="inlineStr">
        <is>
          <t>a89e9ced7534cade37b3d5c0d1551b78a80e0a28b37e81c041cf07076471ca58</t>
        </is>
      </c>
      <c r="P1162" t="inlineStr">
        <is>
          <t>library/116_nova-maldives/spa_menu/2025_Nova Maldives - Sales Kit.pdf</t>
        </is>
      </c>
      <c r="R1162" t="inlineStr">
        <is>
          <t>current</t>
        </is>
      </c>
      <c r="S1162" t="inlineStr">
        <is>
          <t>N</t>
        </is>
      </c>
      <c r="T1162" t="inlineStr">
        <is>
          <t>matched</t>
        </is>
      </c>
      <c r="U1162" t="inlineStr">
        <is>
          <t>2026-10-04</t>
        </is>
      </c>
      <c r="V1162" t="inlineStr"/>
    </row>
    <row r="1163">
      <c r="A1163" t="n">
        <v>116</v>
      </c>
      <c r="B1163" t="inlineStr">
        <is>
          <t>Nova Maldives</t>
        </is>
      </c>
      <c r="C1163" t="inlineStr">
        <is>
          <t>spa_menu</t>
        </is>
      </c>
      <c r="D1163" t="inlineStr">
        <is>
          <t>2024_RU -  ESKAPE SPA MENU.pdf</t>
        </is>
      </c>
      <c r="E1163" t="n">
        <v>2024</v>
      </c>
      <c r="H1163" t="n">
        <v>19</v>
      </c>
      <c r="I1163" t="n">
        <v>2724</v>
      </c>
      <c r="J1163" t="inlineStr">
        <is>
          <t>Y</t>
        </is>
      </c>
      <c r="K1163" t="inlineStr">
        <is>
          <t>pulse.dash.app</t>
        </is>
      </c>
      <c r="L1163" t="inlineStr">
        <is>
          <t>brand-cdn</t>
        </is>
      </c>
      <c r="M1163"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3"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3" t="inlineStr">
        <is>
          <t>438b2c2bf989c03062e4a65c30461156e8395f2781cf53d80cc0b7208e47c926</t>
        </is>
      </c>
      <c r="P1163" t="inlineStr">
        <is>
          <t>library/116_nova-maldives/spa_menu/2024_RU -  ESKAPE SPA MENU.pdf</t>
        </is>
      </c>
      <c r="R1163" t="inlineStr">
        <is>
          <t>outdated</t>
        </is>
      </c>
      <c r="S1163" t="inlineStr">
        <is>
          <t>N</t>
        </is>
      </c>
      <c r="T1163" t="inlineStr">
        <is>
          <t>matched</t>
        </is>
      </c>
      <c r="U1163" t="inlineStr">
        <is>
          <t>2026-10-04</t>
        </is>
      </c>
      <c r="V1163" t="inlineStr"/>
    </row>
    <row r="1164">
      <c r="A1164" t="n">
        <v>116</v>
      </c>
      <c r="B1164" t="inlineStr">
        <is>
          <t>Nova Maldives</t>
        </is>
      </c>
      <c r="C1164" t="inlineStr">
        <is>
          <t>dining_menu</t>
        </is>
      </c>
      <c r="D1164" t="inlineStr">
        <is>
          <t>2026_Main Beverage Menu Jan 2026.pdf</t>
        </is>
      </c>
      <c r="E1164" t="n">
        <v>2026</v>
      </c>
      <c r="H1164" t="n">
        <v>11</v>
      </c>
      <c r="I1164" t="n">
        <v>303</v>
      </c>
      <c r="J1164" t="inlineStr">
        <is>
          <t>Y</t>
        </is>
      </c>
      <c r="K1164" t="inlineStr">
        <is>
          <t>pulse.dash.app</t>
        </is>
      </c>
      <c r="L1164" t="inlineStr">
        <is>
          <t>brand-cdn</t>
        </is>
      </c>
      <c r="M1164"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4"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4" t="inlineStr">
        <is>
          <t>698215cfeee8fd8b4bf60701cd5169b88442bc6f6a17754484fa552cda591474</t>
        </is>
      </c>
      <c r="P1164" t="inlineStr">
        <is>
          <t>library/116_nova-maldives/dining_menu/2026_Main Beverage Menu Jan 2026.pdf</t>
        </is>
      </c>
      <c r="R1164" t="inlineStr">
        <is>
          <t>current</t>
        </is>
      </c>
      <c r="S1164" t="inlineStr">
        <is>
          <t>N</t>
        </is>
      </c>
      <c r="T1164" t="inlineStr">
        <is>
          <t>matched</t>
        </is>
      </c>
      <c r="U1164" t="inlineStr">
        <is>
          <t>2026-10-04</t>
        </is>
      </c>
      <c r="V1164" t="inlineStr"/>
    </row>
    <row r="1165">
      <c r="A1165" t="n">
        <v>116</v>
      </c>
      <c r="B1165" t="inlineStr">
        <is>
          <t>Nova Maldives</t>
        </is>
      </c>
      <c r="C1165" t="inlineStr">
        <is>
          <t>dining_menu</t>
        </is>
      </c>
      <c r="D1165" t="inlineStr">
        <is>
          <t>2026_Flames Menu Jan 2026.pdf</t>
        </is>
      </c>
      <c r="E1165" t="n">
        <v>2026</v>
      </c>
      <c r="H1165" t="n">
        <v>15</v>
      </c>
      <c r="I1165" t="n">
        <v>364</v>
      </c>
      <c r="J1165" t="inlineStr">
        <is>
          <t>Y</t>
        </is>
      </c>
      <c r="K1165" t="inlineStr">
        <is>
          <t>pulse.dash.app</t>
        </is>
      </c>
      <c r="L1165" t="inlineStr">
        <is>
          <t>brand-cdn</t>
        </is>
      </c>
      <c r="M1165"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5"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5" t="inlineStr">
        <is>
          <t>9fcaab7a75e512857aa702b5dce377c63fcee851091c5205f5932491f6fff0a1</t>
        </is>
      </c>
      <c r="P1165" t="inlineStr">
        <is>
          <t>library/116_nova-maldives/dining_menu/2026_Flames Menu Jan 2026.pdf</t>
        </is>
      </c>
      <c r="R1165" t="inlineStr">
        <is>
          <t>current</t>
        </is>
      </c>
      <c r="S1165" t="inlineStr">
        <is>
          <t>Y</t>
        </is>
      </c>
      <c r="T1165" t="inlineStr">
        <is>
          <t>matched</t>
        </is>
      </c>
      <c r="U1165" t="inlineStr">
        <is>
          <t>2026-10-04</t>
        </is>
      </c>
      <c r="V1165" t="inlineStr"/>
    </row>
    <row r="1166">
      <c r="A1166" t="n">
        <v>116</v>
      </c>
      <c r="B1166" t="inlineStr">
        <is>
          <t>Nova Maldives</t>
        </is>
      </c>
      <c r="C1166" t="inlineStr">
        <is>
          <t>dining_menu</t>
        </is>
      </c>
      <c r="D1166" t="inlineStr">
        <is>
          <t>2026_Lobster _ Bubbles BBQ - Jan 2026.pdf</t>
        </is>
      </c>
      <c r="E1166" t="n">
        <v>2026</v>
      </c>
      <c r="H1166" t="n">
        <v>1</v>
      </c>
      <c r="I1166" t="n">
        <v>5772</v>
      </c>
      <c r="J1166" t="inlineStr">
        <is>
          <t>Y</t>
        </is>
      </c>
      <c r="K1166" t="inlineStr">
        <is>
          <t>pulse.dash.app</t>
        </is>
      </c>
      <c r="L1166" t="inlineStr">
        <is>
          <t>brand-cdn</t>
        </is>
      </c>
      <c r="M1166"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6"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6" t="inlineStr">
        <is>
          <t>77e2b9bf2173f052f9852f07709c30ca98e8fd8459a13139c61df5b813de17fe</t>
        </is>
      </c>
      <c r="P1166" t="inlineStr">
        <is>
          <t>library/116_nova-maldives/dining_menu/2026_Lobster _ Bubbles BBQ - Jan 2026.pdf</t>
        </is>
      </c>
      <c r="R1166" t="inlineStr">
        <is>
          <t>current</t>
        </is>
      </c>
      <c r="S1166" t="inlineStr">
        <is>
          <t>N</t>
        </is>
      </c>
      <c r="T1166" t="inlineStr">
        <is>
          <t>matched</t>
        </is>
      </c>
      <c r="U1166" t="inlineStr">
        <is>
          <t>2026-10-04</t>
        </is>
      </c>
      <c r="V1166" t="inlineStr"/>
    </row>
    <row r="1167">
      <c r="A1167" t="n">
        <v>116</v>
      </c>
      <c r="B1167" t="inlineStr">
        <is>
          <t>Nova Maldives</t>
        </is>
      </c>
      <c r="C1167" t="inlineStr">
        <is>
          <t>dining_menu</t>
        </is>
      </c>
      <c r="D1167" t="inlineStr">
        <is>
          <t>2026_Master Wine list Final - Jan 2026.pdf</t>
        </is>
      </c>
      <c r="E1167" t="n">
        <v>2026</v>
      </c>
      <c r="H1167" t="n">
        <v>14</v>
      </c>
      <c r="I1167" t="n">
        <v>1298</v>
      </c>
      <c r="J1167" t="inlineStr">
        <is>
          <t>Y</t>
        </is>
      </c>
      <c r="K1167" t="inlineStr">
        <is>
          <t>pulse.dash.app</t>
        </is>
      </c>
      <c r="L1167" t="inlineStr">
        <is>
          <t>brand-cdn</t>
        </is>
      </c>
      <c r="M1167"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7"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7" t="inlineStr">
        <is>
          <t>059a91bf90c70f7b847e1f5395e6dbdf177309c929d97cb089c9bea7c7d88e3a</t>
        </is>
      </c>
      <c r="P1167" t="inlineStr">
        <is>
          <t>library/116_nova-maldives/dining_menu/2026_Master Wine list Final - Jan 2026.pdf</t>
        </is>
      </c>
      <c r="R1167" t="inlineStr">
        <is>
          <t>current</t>
        </is>
      </c>
      <c r="S1167" t="inlineStr">
        <is>
          <t>N</t>
        </is>
      </c>
      <c r="T1167" t="inlineStr">
        <is>
          <t>matched</t>
        </is>
      </c>
      <c r="U1167" t="inlineStr">
        <is>
          <t>2026-10-04</t>
        </is>
      </c>
      <c r="V1167" t="inlineStr"/>
    </row>
    <row r="1168">
      <c r="A1168" t="n">
        <v>116</v>
      </c>
      <c r="B1168" t="inlineStr">
        <is>
          <t>Nova Maldives</t>
        </is>
      </c>
      <c r="C1168" t="inlineStr">
        <is>
          <t>dining_menu</t>
        </is>
      </c>
      <c r="D1168" t="inlineStr">
        <is>
          <t>2025_Destination Menus June 2025.pdf</t>
        </is>
      </c>
      <c r="E1168" t="n">
        <v>2025</v>
      </c>
      <c r="H1168" t="n">
        <v>8</v>
      </c>
      <c r="I1168" t="n">
        <v>3717</v>
      </c>
      <c r="J1168" t="inlineStr">
        <is>
          <t>Y</t>
        </is>
      </c>
      <c r="K1168" t="inlineStr">
        <is>
          <t>pulse.dash.app</t>
        </is>
      </c>
      <c r="L1168" t="inlineStr">
        <is>
          <t>brand-cdn</t>
        </is>
      </c>
      <c r="M1168"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8"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8" t="inlineStr">
        <is>
          <t>3b608ccafd4a02f19824820d0db60162d566e3afba01150ab638ef65f44f4034</t>
        </is>
      </c>
      <c r="P1168" t="inlineStr">
        <is>
          <t>library/116_nova-maldives/dining_menu/2025_Destination Menus June 2025.pdf</t>
        </is>
      </c>
      <c r="R1168" t="inlineStr">
        <is>
          <t>current</t>
        </is>
      </c>
      <c r="S1168" t="inlineStr">
        <is>
          <t>N</t>
        </is>
      </c>
      <c r="T1168" t="inlineStr">
        <is>
          <t>matched</t>
        </is>
      </c>
      <c r="U1168" t="inlineStr">
        <is>
          <t>2026-10-04</t>
        </is>
      </c>
      <c r="V1168" t="inlineStr"/>
    </row>
    <row r="1169">
      <c r="A1169" t="n">
        <v>116</v>
      </c>
      <c r="B1169" t="inlineStr">
        <is>
          <t>Nova Maldives</t>
        </is>
      </c>
      <c r="C1169" t="inlineStr">
        <is>
          <t>dining_menu</t>
        </is>
      </c>
      <c r="D1169" t="inlineStr">
        <is>
          <t>2025_Floating Breakfast - June 2025.pdf</t>
        </is>
      </c>
      <c r="E1169" t="n">
        <v>2025</v>
      </c>
      <c r="H1169" t="n">
        <v>3</v>
      </c>
      <c r="I1169" t="n">
        <v>6418</v>
      </c>
      <c r="J1169" t="inlineStr">
        <is>
          <t>Y</t>
        </is>
      </c>
      <c r="K1169" t="inlineStr">
        <is>
          <t>pulse.dash.app</t>
        </is>
      </c>
      <c r="L1169" t="inlineStr">
        <is>
          <t>brand-cdn</t>
        </is>
      </c>
      <c r="M1169"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9"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9" t="inlineStr">
        <is>
          <t>661e81bbd71bd82de3f5178f0ffa35407b96d94f29dddf7117d26ce3a1cd21d8</t>
        </is>
      </c>
      <c r="P1169" t="inlineStr">
        <is>
          <t>library/116_nova-maldives/dining_menu/2025_Floating Breakfast - June 2025.pdf</t>
        </is>
      </c>
      <c r="R1169" t="inlineStr">
        <is>
          <t>current</t>
        </is>
      </c>
      <c r="S1169" t="inlineStr">
        <is>
          <t>N</t>
        </is>
      </c>
      <c r="T1169" t="inlineStr">
        <is>
          <t>matched</t>
        </is>
      </c>
      <c r="U1169" t="inlineStr">
        <is>
          <t>2026-10-04</t>
        </is>
      </c>
      <c r="V1169" t="inlineStr"/>
    </row>
    <row r="1170">
      <c r="A1170" t="n">
        <v>116</v>
      </c>
      <c r="B1170" t="inlineStr">
        <is>
          <t>Nova Maldives</t>
        </is>
      </c>
      <c r="C1170" t="inlineStr">
        <is>
          <t>dining_menu</t>
        </is>
      </c>
      <c r="D1170" t="inlineStr">
        <is>
          <t>2025_IVD menu updated on June 2025.pdf</t>
        </is>
      </c>
      <c r="E1170" t="n">
        <v>2025</v>
      </c>
      <c r="H1170" t="n">
        <v>6</v>
      </c>
      <c r="I1170" t="n">
        <v>126</v>
      </c>
      <c r="J1170" t="inlineStr">
        <is>
          <t>Y</t>
        </is>
      </c>
      <c r="K1170" t="inlineStr">
        <is>
          <t>pulse.dash.app</t>
        </is>
      </c>
      <c r="L1170" t="inlineStr">
        <is>
          <t>brand-cdn</t>
        </is>
      </c>
      <c r="M1170"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0"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0" t="inlineStr">
        <is>
          <t>d69d200c696eddf68d9abe2278b4ed59927580a7317444a66e830d4a95637512</t>
        </is>
      </c>
      <c r="P1170" t="inlineStr">
        <is>
          <t>library/116_nova-maldives/dining_menu/2025_IVD menu updated on June 2025.pdf</t>
        </is>
      </c>
      <c r="R1170" t="inlineStr">
        <is>
          <t>current</t>
        </is>
      </c>
      <c r="S1170" t="inlineStr">
        <is>
          <t>N</t>
        </is>
      </c>
      <c r="T1170" t="inlineStr">
        <is>
          <t>matched</t>
        </is>
      </c>
      <c r="U1170" t="inlineStr">
        <is>
          <t>2026-10-04</t>
        </is>
      </c>
      <c r="V1170" t="inlineStr"/>
    </row>
    <row r="1171">
      <c r="A1171" t="n">
        <v>116</v>
      </c>
      <c r="B1171" t="inlineStr">
        <is>
          <t>Nova Maldives</t>
        </is>
      </c>
      <c r="C1171" t="inlineStr">
        <is>
          <t>dining_menu</t>
        </is>
      </c>
      <c r="D1171" t="inlineStr">
        <is>
          <t>2025_MIZU SUSHI LUNCH _ DINNER - JUNE 2025.pdf</t>
        </is>
      </c>
      <c r="E1171" t="n">
        <v>2025</v>
      </c>
      <c r="H1171" t="n">
        <v>9</v>
      </c>
      <c r="I1171" t="n">
        <v>1110</v>
      </c>
      <c r="J1171" t="inlineStr">
        <is>
          <t>Y</t>
        </is>
      </c>
      <c r="K1171" t="inlineStr">
        <is>
          <t>pulse.dash.app</t>
        </is>
      </c>
      <c r="L1171" t="inlineStr">
        <is>
          <t>brand-cdn</t>
        </is>
      </c>
      <c r="M1171"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1"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1" t="inlineStr">
        <is>
          <t>fae9b1302ced3055dc4d84da3e1f7673aacedb5d46933c064757173b704288c4</t>
        </is>
      </c>
      <c r="P1171" t="inlineStr">
        <is>
          <t>library/116_nova-maldives/dining_menu/2025_MIZU SUSHI LUNCH _ DINNER - JUNE 2025.pdf</t>
        </is>
      </c>
      <c r="R1171" t="inlineStr">
        <is>
          <t>current</t>
        </is>
      </c>
      <c r="S1171" t="inlineStr">
        <is>
          <t>N</t>
        </is>
      </c>
      <c r="T1171" t="inlineStr">
        <is>
          <t>matched</t>
        </is>
      </c>
      <c r="U1171" t="inlineStr">
        <is>
          <t>2026-10-04</t>
        </is>
      </c>
      <c r="V1171" t="inlineStr"/>
    </row>
    <row r="1172">
      <c r="A1172" t="n">
        <v>116</v>
      </c>
      <c r="B1172" t="inlineStr">
        <is>
          <t>Nova Maldives</t>
        </is>
      </c>
      <c r="C1172" t="inlineStr">
        <is>
          <t>dining_menu</t>
        </is>
      </c>
      <c r="D1172" t="inlineStr">
        <is>
          <t>2025_Nova Mini Bar Menu.pdf</t>
        </is>
      </c>
      <c r="E1172" t="n">
        <v>2025</v>
      </c>
      <c r="H1172" t="n">
        <v>1</v>
      </c>
      <c r="I1172" t="n">
        <v>41</v>
      </c>
      <c r="J1172" t="inlineStr">
        <is>
          <t>Y</t>
        </is>
      </c>
      <c r="K1172" t="inlineStr">
        <is>
          <t>pulse.dash.app</t>
        </is>
      </c>
      <c r="L1172" t="inlineStr">
        <is>
          <t>brand-cdn</t>
        </is>
      </c>
      <c r="M1172"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2"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2" t="inlineStr">
        <is>
          <t>de09701aa8084a423602c9138cfd939fd3eb191ee982c2d5642c7135206e009d</t>
        </is>
      </c>
      <c r="P1172" t="inlineStr">
        <is>
          <t>library/116_nova-maldives/dining_menu/2025_Nova Mini Bar Menu.pdf</t>
        </is>
      </c>
      <c r="R1172" t="inlineStr">
        <is>
          <t>current</t>
        </is>
      </c>
      <c r="S1172" t="inlineStr">
        <is>
          <t>N</t>
        </is>
      </c>
      <c r="T1172" t="inlineStr">
        <is>
          <t>matched</t>
        </is>
      </c>
      <c r="U1172" t="inlineStr">
        <is>
          <t>2026-10-04</t>
        </is>
      </c>
      <c r="V1172" t="inlineStr"/>
    </row>
    <row r="1173">
      <c r="A1173" t="n">
        <v>116</v>
      </c>
      <c r="B1173" t="inlineStr">
        <is>
          <t>Nova Maldives</t>
        </is>
      </c>
      <c r="C1173" t="inlineStr">
        <is>
          <t>dining_menu</t>
        </is>
      </c>
      <c r="D1173" t="inlineStr">
        <is>
          <t>2025_Nova Wink Shisha _ Cigar Menu.pdf</t>
        </is>
      </c>
      <c r="E1173" t="n">
        <v>2025</v>
      </c>
      <c r="H1173" t="n">
        <v>3</v>
      </c>
      <c r="I1173" t="n">
        <v>129</v>
      </c>
      <c r="J1173" t="inlineStr">
        <is>
          <t>Y</t>
        </is>
      </c>
      <c r="K1173" t="inlineStr">
        <is>
          <t>pulse.dash.app</t>
        </is>
      </c>
      <c r="L1173" t="inlineStr">
        <is>
          <t>brand-cdn</t>
        </is>
      </c>
      <c r="M1173"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3"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3" t="inlineStr">
        <is>
          <t>5baaf2c15ce4df463f5bff4cf51c1dd97dda7791eecd3bd91f81dd6a8cf3cae3</t>
        </is>
      </c>
      <c r="P1173" t="inlineStr">
        <is>
          <t>library/116_nova-maldives/dining_menu/2025_Nova Wink Shisha _ Cigar Menu.pdf</t>
        </is>
      </c>
      <c r="R1173" t="inlineStr">
        <is>
          <t>current</t>
        </is>
      </c>
      <c r="S1173" t="inlineStr">
        <is>
          <t>N</t>
        </is>
      </c>
      <c r="T1173" t="inlineStr">
        <is>
          <t>matched</t>
        </is>
      </c>
      <c r="U1173" t="inlineStr">
        <is>
          <t>2026-10-04</t>
        </is>
      </c>
      <c r="V1173" t="inlineStr"/>
    </row>
    <row r="1174">
      <c r="A1174" t="n">
        <v>116</v>
      </c>
      <c r="B1174" t="inlineStr">
        <is>
          <t>Nova Maldives</t>
        </is>
      </c>
      <c r="C1174" t="inlineStr">
        <is>
          <t>dive_prices</t>
        </is>
      </c>
      <c r="D1174" t="inlineStr">
        <is>
          <t>2026_Nova - Memories Price List 2026.pdf</t>
        </is>
      </c>
      <c r="E1174" t="n">
        <v>2026</v>
      </c>
      <c r="H1174" t="n">
        <v>8</v>
      </c>
      <c r="I1174" t="n">
        <v>6532</v>
      </c>
      <c r="J1174" t="inlineStr">
        <is>
          <t>Y</t>
        </is>
      </c>
      <c r="K1174" t="inlineStr">
        <is>
          <t>pulse.dash.app</t>
        </is>
      </c>
      <c r="L1174" t="inlineStr">
        <is>
          <t>brand-cdn</t>
        </is>
      </c>
      <c r="M1174"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4"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4" t="inlineStr">
        <is>
          <t>223e27d44df7eb282dfa1d925013b957ae239dff342d44f4f3176e0180339f42</t>
        </is>
      </c>
      <c r="P1174" t="inlineStr">
        <is>
          <t>library/116_nova-maldives/dive_prices/2026_Nova - Memories Price List 2026.pdf</t>
        </is>
      </c>
      <c r="R1174" t="inlineStr">
        <is>
          <t>current</t>
        </is>
      </c>
      <c r="S1174" t="inlineStr">
        <is>
          <t>Y</t>
        </is>
      </c>
      <c r="T1174" t="inlineStr">
        <is>
          <t>matched</t>
        </is>
      </c>
      <c r="U1174" t="inlineStr">
        <is>
          <t>2026-10-04</t>
        </is>
      </c>
      <c r="V1174" t="inlineStr"/>
    </row>
    <row r="1175">
      <c r="A1175" t="n">
        <v>116</v>
      </c>
      <c r="B1175" t="inlineStr">
        <is>
          <t>Nova Maldives</t>
        </is>
      </c>
      <c r="C1175" t="inlineStr">
        <is>
          <t>excursions</t>
        </is>
      </c>
      <c r="D1175" t="inlineStr">
        <is>
          <t>2026_Nova Aquaholics Weekly Activities - 2026.pdf</t>
        </is>
      </c>
      <c r="E1175" t="n">
        <v>2026</v>
      </c>
      <c r="H1175" t="n">
        <v>2</v>
      </c>
      <c r="I1175" t="n">
        <v>1419</v>
      </c>
      <c r="J1175" t="inlineStr">
        <is>
          <t>Y</t>
        </is>
      </c>
      <c r="K1175" t="inlineStr">
        <is>
          <t>pulse.dash.app</t>
        </is>
      </c>
      <c r="L1175" t="inlineStr">
        <is>
          <t>brand-cdn</t>
        </is>
      </c>
      <c r="M117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5" t="inlineStr">
        <is>
          <t>9a1bb9ca8ac29a722dc5b6014528cc335fac3538ec48ba623d62640d53585998</t>
        </is>
      </c>
      <c r="P1175" t="inlineStr">
        <is>
          <t>library/116_nova-maldives/excursions/2026_Nova Aquaholics Weekly Activities - 2026.pdf</t>
        </is>
      </c>
      <c r="R1175" t="inlineStr">
        <is>
          <t>current</t>
        </is>
      </c>
      <c r="S1175" t="inlineStr">
        <is>
          <t>Y</t>
        </is>
      </c>
      <c r="T1175" t="inlineStr">
        <is>
          <t>matched</t>
        </is>
      </c>
      <c r="U1175" t="inlineStr">
        <is>
          <t>2026-10-04</t>
        </is>
      </c>
      <c r="V1175" t="inlineStr"/>
    </row>
    <row r="1176">
      <c r="A1176" t="n">
        <v>116</v>
      </c>
      <c r="B1176" t="inlineStr">
        <is>
          <t>Nova Maldives</t>
        </is>
      </c>
      <c r="C1176" t="inlineStr">
        <is>
          <t>villa_plans</t>
        </is>
      </c>
      <c r="D1176" t="inlineStr">
        <is>
          <t>2025_Nova floor plans 2025.pdf</t>
        </is>
      </c>
      <c r="E1176" t="n">
        <v>2025</v>
      </c>
      <c r="H1176" t="n">
        <v>12</v>
      </c>
      <c r="I1176" t="n">
        <v>12912</v>
      </c>
      <c r="J1176" t="inlineStr">
        <is>
          <t>Y</t>
        </is>
      </c>
      <c r="K1176" t="inlineStr">
        <is>
          <t>pulse.dash.app</t>
        </is>
      </c>
      <c r="L1176" t="inlineStr">
        <is>
          <t>brand-cdn</t>
        </is>
      </c>
      <c r="M1176"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6"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6" t="inlineStr">
        <is>
          <t>b8718ac4e052e055b9e1d2fcb74ee6ce650678c67aa20c4989cbcfbac3d8b39c</t>
        </is>
      </c>
      <c r="P1176" t="inlineStr">
        <is>
          <t>library/116_nova-maldives/villa_plans/2025_Nova floor plans 2025.pdf</t>
        </is>
      </c>
      <c r="R1176" t="inlineStr">
        <is>
          <t>current</t>
        </is>
      </c>
      <c r="S1176" t="inlineStr">
        <is>
          <t>Y</t>
        </is>
      </c>
      <c r="T1176" t="inlineStr">
        <is>
          <t>matched</t>
        </is>
      </c>
      <c r="U1176" t="inlineStr">
        <is>
          <t>2026-10-04</t>
        </is>
      </c>
      <c r="V1176" t="inlineStr"/>
    </row>
    <row r="1177">
      <c r="A1177" t="n">
        <v>116</v>
      </c>
      <c r="B1177" t="inlineStr">
        <is>
          <t>Nova Maldives</t>
        </is>
      </c>
      <c r="C1177" t="inlineStr">
        <is>
          <t>all_inclusive</t>
        </is>
      </c>
      <c r="D1177" t="inlineStr">
        <is>
          <t>2025_Meal plans 2025 RU.pptx.pdf</t>
        </is>
      </c>
      <c r="E1177" t="n">
        <v>2025</v>
      </c>
      <c r="H1177" t="n">
        <v>1</v>
      </c>
      <c r="I1177" t="n">
        <v>141</v>
      </c>
      <c r="J1177" t="inlineStr">
        <is>
          <t>Y</t>
        </is>
      </c>
      <c r="K1177" t="inlineStr">
        <is>
          <t>pulse.dash.app</t>
        </is>
      </c>
      <c r="L1177" t="inlineStr">
        <is>
          <t>brand-cdn</t>
        </is>
      </c>
      <c r="M1177"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7"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7" t="inlineStr">
        <is>
          <t>7e88c6189b125c49541ba9dbf5a7324b95e025db3efe94654d1b71942aca795e</t>
        </is>
      </c>
      <c r="P1177" t="inlineStr">
        <is>
          <t>library/116_nova-maldives/all_inclusive/2025_Meal plans 2025 RU.pptx.pdf</t>
        </is>
      </c>
      <c r="R1177" t="inlineStr">
        <is>
          <t>current</t>
        </is>
      </c>
      <c r="S1177" t="inlineStr">
        <is>
          <t>Y</t>
        </is>
      </c>
      <c r="T1177" t="inlineStr">
        <is>
          <t>matched</t>
        </is>
      </c>
      <c r="U1177" t="inlineStr">
        <is>
          <t>2026-10-04</t>
        </is>
      </c>
      <c r="V1177" t="inlineStr"/>
    </row>
    <row r="1178">
      <c r="A1178" t="n">
        <v>116</v>
      </c>
      <c r="B1178" t="inlineStr">
        <is>
          <t>Nova Maldives</t>
        </is>
      </c>
      <c r="C1178" t="inlineStr">
        <is>
          <t>brochure</t>
        </is>
      </c>
      <c r="D1178" t="inlineStr">
        <is>
          <t>2026_Nova - PAI brochure EN.pdf</t>
        </is>
      </c>
      <c r="E1178" t="n">
        <v>2026</v>
      </c>
      <c r="H1178" t="n">
        <v>7</v>
      </c>
      <c r="I1178" t="n">
        <v>4332</v>
      </c>
      <c r="J1178" t="inlineStr">
        <is>
          <t>Y</t>
        </is>
      </c>
      <c r="K1178" t="inlineStr">
        <is>
          <t>pulse.dash.app</t>
        </is>
      </c>
      <c r="L1178" t="inlineStr">
        <is>
          <t>brand-cdn</t>
        </is>
      </c>
      <c r="M117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8" t="inlineStr">
        <is>
          <t>841c5f59d796c8f8a9208acec6059be1cf8e51958b1a3db64030c88b031719f7</t>
        </is>
      </c>
      <c r="P1178" t="inlineStr">
        <is>
          <t>library/116_nova-maldives/brochure/2026_Nova - PAI brochure EN.pdf</t>
        </is>
      </c>
      <c r="R1178" t="inlineStr">
        <is>
          <t>current</t>
        </is>
      </c>
      <c r="S1178" t="inlineStr">
        <is>
          <t>Y</t>
        </is>
      </c>
      <c r="T1178" t="inlineStr">
        <is>
          <t>matched</t>
        </is>
      </c>
      <c r="U1178" t="inlineStr">
        <is>
          <t>2026-10-04</t>
        </is>
      </c>
      <c r="V1178" t="inlineStr"/>
    </row>
    <row r="1179">
      <c r="A1179" t="n">
        <v>116</v>
      </c>
      <c r="B1179" t="inlineStr">
        <is>
          <t>Nova Maldives</t>
        </is>
      </c>
      <c r="C1179" t="inlineStr">
        <is>
          <t>brochure</t>
        </is>
      </c>
      <c r="D1179" t="inlineStr">
        <is>
          <t>2025_RU Nova presentation 2025.pdf</t>
        </is>
      </c>
      <c r="E1179" t="n">
        <v>2025</v>
      </c>
      <c r="H1179" t="n">
        <v>38</v>
      </c>
      <c r="I1179" t="n">
        <v>9144</v>
      </c>
      <c r="J1179" t="inlineStr">
        <is>
          <t>Y</t>
        </is>
      </c>
      <c r="K1179" t="inlineStr">
        <is>
          <t>pulse.dash.app</t>
        </is>
      </c>
      <c r="L1179" t="inlineStr">
        <is>
          <t>brand-cdn</t>
        </is>
      </c>
      <c r="M117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9" t="inlineStr">
        <is>
          <t>03f4be56cd9d158d280defc6014c388f74013962bf16c5eeb50a9770fc3bb576</t>
        </is>
      </c>
      <c r="P1179" t="inlineStr">
        <is>
          <t>library/116_nova-maldives/brochure/2025_RU Nova presentation 2025.pdf</t>
        </is>
      </c>
      <c r="R1179" t="inlineStr">
        <is>
          <t>current</t>
        </is>
      </c>
      <c r="S1179" t="inlineStr">
        <is>
          <t>N</t>
        </is>
      </c>
      <c r="T1179" t="inlineStr">
        <is>
          <t>matched</t>
        </is>
      </c>
      <c r="U1179" t="inlineStr">
        <is>
          <t>2026-10-04</t>
        </is>
      </c>
      <c r="V1179" t="inlineStr"/>
    </row>
    <row r="1180">
      <c r="A1180" t="n">
        <v>116</v>
      </c>
      <c r="B1180" t="inlineStr">
        <is>
          <t>Nova Maldives</t>
        </is>
      </c>
      <c r="C1180" t="inlineStr">
        <is>
          <t>brochure</t>
        </is>
      </c>
      <c r="D1180" t="inlineStr">
        <is>
          <t>2025_Aquaholics Brochure English.pdf</t>
        </is>
      </c>
      <c r="E1180" t="n">
        <v>2025</v>
      </c>
      <c r="H1180" t="n">
        <v>11</v>
      </c>
      <c r="I1180" t="n">
        <v>17302</v>
      </c>
      <c r="J1180" t="inlineStr">
        <is>
          <t>Y</t>
        </is>
      </c>
      <c r="K1180" t="inlineStr">
        <is>
          <t>pulse.dash.app</t>
        </is>
      </c>
      <c r="L1180" t="inlineStr">
        <is>
          <t>brand-cdn</t>
        </is>
      </c>
      <c r="M118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8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80" t="inlineStr">
        <is>
          <t>503de492c5cba9f0acf37915cd882d7500f13bf746110e04cb5d6475c8dc5a68</t>
        </is>
      </c>
      <c r="P1180" t="inlineStr">
        <is>
          <t>library/116_nova-maldives/brochure/2025_Aquaholics Brochure English.pdf</t>
        </is>
      </c>
      <c r="R1180" t="inlineStr">
        <is>
          <t>current</t>
        </is>
      </c>
      <c r="S1180" t="inlineStr">
        <is>
          <t>N</t>
        </is>
      </c>
      <c r="T1180" t="inlineStr">
        <is>
          <t>matched</t>
        </is>
      </c>
      <c r="U1180" t="inlineStr">
        <is>
          <t>2026-10-04</t>
        </is>
      </c>
      <c r="V1180" t="inlineStr"/>
    </row>
    <row r="1181">
      <c r="A1181" t="n">
        <v>117</v>
      </c>
      <c r="B1181" t="inlineStr">
        <is>
          <t>Niyama Maldives</t>
        </is>
      </c>
      <c r="C1181" t="inlineStr">
        <is>
          <t>factsheet</t>
        </is>
      </c>
      <c r="D1181" t="inlineStr">
        <is>
          <t>2025_Niyama-Private-Islands-Maldives-Factsheet-2025.pdf</t>
        </is>
      </c>
      <c r="E1181" t="n">
        <v>2025</v>
      </c>
      <c r="H1181" t="n">
        <v>14</v>
      </c>
      <c r="I1181" t="n">
        <v>8792</v>
      </c>
      <c r="J1181" t="inlineStr">
        <is>
          <t>Y</t>
        </is>
      </c>
      <c r="K1181" t="inlineStr">
        <is>
          <t>neoscapesmaldives.com</t>
        </is>
      </c>
      <c r="L1181" t="inlineStr">
        <is>
          <t>dmc-agency</t>
        </is>
      </c>
      <c r="M1181" t="inlineStr">
        <is>
          <t>https://www.neoscapesmaldives.com/wp-content/uploads/Niyama-Private-Islands-Maldives-Factsheet-2025.pdf</t>
        </is>
      </c>
      <c r="N1181" t="inlineStr">
        <is>
          <t>https://www.neoscapesmaldives.com/wp-content/uploads/Niyama-Private-Islands-Maldives-Factsheet-2025.pdf</t>
        </is>
      </c>
      <c r="O1181" t="inlineStr">
        <is>
          <t>9bd66a5f022e1acfb1f075b6b679eded15d7090536994f3a072329b49430994b</t>
        </is>
      </c>
      <c r="P1181" t="inlineStr">
        <is>
          <t>library/117_niyama-maldives/factsheet/2025_Niyama-Private-Islands-Maldives-Factsheet-2025.pdf</t>
        </is>
      </c>
      <c r="R1181" t="inlineStr">
        <is>
          <t>current</t>
        </is>
      </c>
      <c r="S1181" t="inlineStr">
        <is>
          <t>Y</t>
        </is>
      </c>
      <c r="T1181" t="inlineStr">
        <is>
          <t>matched</t>
        </is>
      </c>
      <c r="U1181" t="inlineStr">
        <is>
          <t>2026-10-04</t>
        </is>
      </c>
      <c r="V1181" t="inlineStr"/>
    </row>
    <row r="1182">
      <c r="A1182" t="n">
        <v>117</v>
      </c>
      <c r="B1182" t="inlineStr">
        <is>
          <t>Niyama Maldives</t>
        </is>
      </c>
      <c r="C1182" t="inlineStr">
        <is>
          <t>map</t>
        </is>
      </c>
      <c r="D1182" t="inlineStr">
        <is>
          <t>2025_Niyama-Resort-Map.pdf</t>
        </is>
      </c>
      <c r="E1182" t="n">
        <v>2025</v>
      </c>
      <c r="H1182" t="n">
        <v>1</v>
      </c>
      <c r="I1182" t="n">
        <v>14111</v>
      </c>
      <c r="J1182" t="inlineStr">
        <is>
          <t>Y</t>
        </is>
      </c>
      <c r="K1182" t="inlineStr">
        <is>
          <t>neoscapesmaldives.com</t>
        </is>
      </c>
      <c r="L1182" t="inlineStr">
        <is>
          <t>dmc-agency</t>
        </is>
      </c>
      <c r="M1182" t="inlineStr">
        <is>
          <t>https://www.neoscapesmaldives.com/wp-content/uploads/Niyama-Resort-Map.pdf</t>
        </is>
      </c>
      <c r="N1182" t="inlineStr">
        <is>
          <t>https://www.neoscapesmaldives.com/wp-content/uploads/Niyama-Resort-Map.pdf</t>
        </is>
      </c>
      <c r="O1182" t="inlineStr">
        <is>
          <t>418015ea746800659cd3118ed29365381e07510c6ee3581836ee1d5c1ff3b8e2</t>
        </is>
      </c>
      <c r="P1182" t="inlineStr">
        <is>
          <t>library/117_niyama-maldives/map/2025_Niyama-Resort-Map.pdf</t>
        </is>
      </c>
      <c r="R1182" t="inlineStr">
        <is>
          <t>current</t>
        </is>
      </c>
      <c r="S1182" t="inlineStr">
        <is>
          <t>Y</t>
        </is>
      </c>
      <c r="T1182" t="inlineStr">
        <is>
          <t>matched</t>
        </is>
      </c>
      <c r="U1182" t="inlineStr">
        <is>
          <t>2026-10-04</t>
        </is>
      </c>
      <c r="V1182" t="inlineStr"/>
    </row>
    <row r="1183">
      <c r="A1183" t="n">
        <v>117</v>
      </c>
      <c r="B1183" t="inlineStr">
        <is>
          <t>Niyama Maldives</t>
        </is>
      </c>
      <c r="C1183" t="inlineStr">
        <is>
          <t>calendar</t>
        </is>
      </c>
      <c r="D1183" t="inlineStr">
        <is>
          <t>2026_Niyama-Private-Islands-Maldives-Easter-Brochure-2026-1.pdf</t>
        </is>
      </c>
      <c r="E1183" t="n">
        <v>2026</v>
      </c>
      <c r="H1183" t="n">
        <v>25</v>
      </c>
      <c r="I1183" t="n">
        <v>14862</v>
      </c>
      <c r="J1183" t="inlineStr">
        <is>
          <t>Y</t>
        </is>
      </c>
      <c r="K1183" t="inlineStr">
        <is>
          <t>letsgomaldives.com</t>
        </is>
      </c>
      <c r="L1183" t="inlineStr">
        <is>
          <t>dmc-agency</t>
        </is>
      </c>
      <c r="M1183" t="inlineStr">
        <is>
          <t>https://letsgomaldives.com/wp-content/uploads/2026/02/Niyama-Private-Islands-Maldives-Easter-Brochure-2026-1.pdf</t>
        </is>
      </c>
      <c r="N1183" t="inlineStr">
        <is>
          <t>https://letsgomaldives.com/wp-content/uploads/2026/02/Niyama-Private-Islands-Maldives-Easter-Brochure-2026-1.pdf</t>
        </is>
      </c>
      <c r="O1183" t="inlineStr">
        <is>
          <t>10b45a8db75bee11782b456315e3545d4d51b6014949fde5572f08d2d672ac41</t>
        </is>
      </c>
      <c r="P1183" t="inlineStr">
        <is>
          <t>library/117_niyama-maldives/calendar/2026_Niyama-Private-Islands-Maldives-Easter-Brochure-2026-1.pdf</t>
        </is>
      </c>
      <c r="R1183" t="inlineStr">
        <is>
          <t>current</t>
        </is>
      </c>
      <c r="S1183" t="inlineStr">
        <is>
          <t>Y</t>
        </is>
      </c>
      <c r="T1183" t="inlineStr">
        <is>
          <t>matched</t>
        </is>
      </c>
      <c r="U1183" t="inlineStr">
        <is>
          <t>2026-10-04</t>
        </is>
      </c>
      <c r="V1183" t="inlineStr"/>
    </row>
    <row r="1184">
      <c r="A1184" t="n">
        <v>118</v>
      </c>
      <c r="B1184" t="inlineStr">
        <is>
          <t>Sun Siyam Iru Veli Maldives</t>
        </is>
      </c>
      <c r="C1184" t="inlineStr">
        <is>
          <t>factsheet</t>
        </is>
      </c>
      <c r="D1184" t="inlineStr">
        <is>
          <t>2021_Iru-Veli-Factsheet-EN.pdf</t>
        </is>
      </c>
      <c r="E1184" t="n">
        <v>2021</v>
      </c>
      <c r="H1184" t="n">
        <v>8</v>
      </c>
      <c r="I1184" t="n">
        <v>6026</v>
      </c>
      <c r="J1184" t="inlineStr">
        <is>
          <t>Y</t>
        </is>
      </c>
      <c r="K1184" t="inlineStr">
        <is>
          <t>neoscapesmaldives.com</t>
        </is>
      </c>
      <c r="L1184" t="inlineStr">
        <is>
          <t>dmc-agency</t>
        </is>
      </c>
      <c r="M1184" t="inlineStr">
        <is>
          <t>https://www.neoscapesmaldives.com/wp-content/uploads/Iru-Veli-Factsheet-EN.pdf</t>
        </is>
      </c>
      <c r="N1184" t="inlineStr">
        <is>
          <t>https://www.neoscapesmaldives.com/wp-content/uploads/Iru-Veli-Factsheet-EN.pdf</t>
        </is>
      </c>
      <c r="O1184" t="inlineStr">
        <is>
          <t>2116d595e08769e966dcd6041bdcd7aa62512cf14599adeb6421bc0a876b564c</t>
        </is>
      </c>
      <c r="P1184" t="inlineStr">
        <is>
          <t>library/118_sun-siyam-iru-veli-maldives/factsheet/2021_Iru-Veli-Factsheet-EN.pdf</t>
        </is>
      </c>
      <c r="R1184" t="inlineStr">
        <is>
          <t>outdated</t>
        </is>
      </c>
      <c r="S1184" t="inlineStr">
        <is>
          <t>Y</t>
        </is>
      </c>
      <c r="T1184" t="inlineStr">
        <is>
          <t>matched</t>
        </is>
      </c>
      <c r="U1184" t="inlineStr">
        <is>
          <t>2026-10-04</t>
        </is>
      </c>
      <c r="V1184" t="inlineStr"/>
    </row>
    <row r="1185">
      <c r="A1185" t="n">
        <v>118</v>
      </c>
      <c r="B1185" t="inlineStr">
        <is>
          <t>Sun Siyam Iru Veli Maldives</t>
        </is>
      </c>
      <c r="C1185" t="inlineStr">
        <is>
          <t>map</t>
        </is>
      </c>
      <c r="D1185" t="inlineStr">
        <is>
          <t>2018_Sun-Aqua-Iru-Veli-Island-Map.pdf</t>
        </is>
      </c>
      <c r="E1185" t="n">
        <v>2018</v>
      </c>
      <c r="H1185" t="n">
        <v>1</v>
      </c>
      <c r="I1185" t="n">
        <v>9164</v>
      </c>
      <c r="J1185" t="inlineStr">
        <is>
          <t>Y</t>
        </is>
      </c>
      <c r="K1185" t="inlineStr">
        <is>
          <t>neoscapesmaldives.com</t>
        </is>
      </c>
      <c r="L1185" t="inlineStr">
        <is>
          <t>dmc-agency</t>
        </is>
      </c>
      <c r="M1185" t="inlineStr">
        <is>
          <t>https://www.neoscapesmaldives.com/wp-content/uploads/Sun-Aqua-Iru-Veli-Island-Map.pdf</t>
        </is>
      </c>
      <c r="N1185" t="inlineStr">
        <is>
          <t>https://www.neoscapesmaldives.com/wp-content/uploads/Sun-Aqua-Iru-Veli-Island-Map.pdf</t>
        </is>
      </c>
      <c r="O1185" t="inlineStr">
        <is>
          <t>65eab55c8cc1d0eb1d098d8185f4e5d21dab7db226cc2c47b86f720af75cc084</t>
        </is>
      </c>
      <c r="P1185" t="inlineStr">
        <is>
          <t>library/118_sun-siyam-iru-veli-maldives/map/2018_Sun-Aqua-Iru-Veli-Island-Map.pdf</t>
        </is>
      </c>
      <c r="R1185" t="inlineStr">
        <is>
          <t>outdated</t>
        </is>
      </c>
      <c r="S1185" t="inlineStr">
        <is>
          <t>Y</t>
        </is>
      </c>
      <c r="T1185" t="inlineStr">
        <is>
          <t>matched</t>
        </is>
      </c>
      <c r="U1185" t="inlineStr">
        <is>
          <t>2026-10-04</t>
        </is>
      </c>
      <c r="V1185" t="inlineStr"/>
    </row>
    <row r="1186">
      <c r="A1186" t="n">
        <v>118</v>
      </c>
      <c r="B1186" t="inlineStr">
        <is>
          <t>Sun Siyam Iru Veli Maldives</t>
        </is>
      </c>
      <c r="C1186" t="inlineStr">
        <is>
          <t>dive_prices</t>
        </is>
      </c>
      <c r="D1186" t="inlineStr">
        <is>
          <t>2026_Sun-Siyam-Iru-Veli.pdf</t>
        </is>
      </c>
      <c r="E1186" t="n">
        <v>2026</v>
      </c>
      <c r="H1186" t="n">
        <v>21</v>
      </c>
      <c r="I1186" t="n">
        <v>2686</v>
      </c>
      <c r="J1186" t="inlineStr">
        <is>
          <t>Y</t>
        </is>
      </c>
      <c r="K1186" t="inlineStr">
        <is>
          <t>letsgomaldives.com</t>
        </is>
      </c>
      <c r="L1186" t="inlineStr">
        <is>
          <t>dmc-agency</t>
        </is>
      </c>
      <c r="M1186" t="inlineStr">
        <is>
          <t>https://letsgomaldives.com/wp-content/uploads/2026/08/Sun-Siyam-Iru-Veli.pdf</t>
        </is>
      </c>
      <c r="N1186" t="inlineStr">
        <is>
          <t>https://letsgomaldives.com/wp-content/uploads/2026/08/Sun-Siyam-Iru-Veli.pdf</t>
        </is>
      </c>
      <c r="O1186" t="inlineStr">
        <is>
          <t>c15a73f1d733c4e299deccae79adc30754b05c7ffceda4ecff88386a24c3c13e</t>
        </is>
      </c>
      <c r="P1186" t="inlineStr">
        <is>
          <t>library/118_sun-siyam-iru-veli-maldives/dive_prices/2026_Sun-Siyam-Iru-Veli.pdf</t>
        </is>
      </c>
      <c r="R1186" t="inlineStr">
        <is>
          <t>current</t>
        </is>
      </c>
      <c r="S1186" t="inlineStr">
        <is>
          <t>Y</t>
        </is>
      </c>
      <c r="T1186" t="inlineStr">
        <is>
          <t>matched</t>
        </is>
      </c>
      <c r="U1186" t="inlineStr">
        <is>
          <t>2026-10-04</t>
        </is>
      </c>
      <c r="V1186" t="inlineStr"/>
    </row>
    <row r="1187">
      <c r="A1187" t="n">
        <v>119</v>
      </c>
      <c r="B1187" t="inlineStr">
        <is>
          <t>Outrigger Maldives Maafushivaru Resort</t>
        </is>
      </c>
      <c r="C1187" t="inlineStr">
        <is>
          <t>map</t>
        </is>
      </c>
      <c r="D1187" t="inlineStr">
        <is>
          <t>2020_Lti-Maafushivaru-Map.pdf</t>
        </is>
      </c>
      <c r="E1187" t="n">
        <v>2020</v>
      </c>
      <c r="H1187" t="n">
        <v>1</v>
      </c>
      <c r="I1187" t="n">
        <v>5087</v>
      </c>
      <c r="J1187" t="inlineStr">
        <is>
          <t>Y</t>
        </is>
      </c>
      <c r="K1187" t="inlineStr">
        <is>
          <t>neoscapesmaldives.com</t>
        </is>
      </c>
      <c r="L1187" t="inlineStr">
        <is>
          <t>dmc-agency</t>
        </is>
      </c>
      <c r="M1187" t="inlineStr">
        <is>
          <t>https://www.neoscapesmaldives.com/wp-content/uploads/Lti-Maafushivaru-Map.pdf</t>
        </is>
      </c>
      <c r="N1187" t="inlineStr">
        <is>
          <t>https://www.neoscapesmaldives.com/wp-content/uploads/Lti-Maafushivaru-Map.pdf</t>
        </is>
      </c>
      <c r="O1187" t="inlineStr">
        <is>
          <t>a6c65a296cb87ffee503484a150ca1eb4a0648a1771b0b1456027ef18e791be7</t>
        </is>
      </c>
      <c r="P1187" t="inlineStr">
        <is>
          <t>library/119_outrigger-maldives-maafushivaru-resort/map/2020_Lti-Maafushivaru-Map.pdf</t>
        </is>
      </c>
      <c r="R1187" t="inlineStr">
        <is>
          <t>outdated</t>
        </is>
      </c>
      <c r="S1187" t="inlineStr">
        <is>
          <t>Y</t>
        </is>
      </c>
      <c r="T1187" t="inlineStr">
        <is>
          <t>matched</t>
        </is>
      </c>
      <c r="U1187" t="inlineStr">
        <is>
          <t>2026-10-04</t>
        </is>
      </c>
      <c r="V1187" t="inlineStr"/>
    </row>
    <row r="1188">
      <c r="A1188" t="n">
        <v>119</v>
      </c>
      <c r="B1188" t="inlineStr">
        <is>
          <t>Outrigger Maldives Maafushivaru Resort</t>
        </is>
      </c>
      <c r="C1188" t="inlineStr">
        <is>
          <t>obsolete</t>
        </is>
      </c>
      <c r="D1188" t="inlineStr">
        <is>
          <t>2020_LMP-1.14-COVID-19-Prevention-and-Protection-Policy_Lti-Maafushivaru-2020-1.pdf</t>
        </is>
      </c>
      <c r="E1188" t="n">
        <v>2020</v>
      </c>
      <c r="H1188" t="n">
        <v>2</v>
      </c>
      <c r="I1188" t="n">
        <v>1355</v>
      </c>
      <c r="J1188" t="inlineStr">
        <is>
          <t>N</t>
        </is>
      </c>
      <c r="K1188" t="inlineStr">
        <is>
          <t>neoscapesmaldives.com</t>
        </is>
      </c>
      <c r="L1188" t="inlineStr">
        <is>
          <t>dmc-agency</t>
        </is>
      </c>
      <c r="M1188" t="inlineStr">
        <is>
          <t>https://www.neoscapesmaldives.com/wp-content/uploads/LMP-1.14-COVID-19-Prevention-and-Protection-Policy_Lti-Maafushivaru-2020-1.pdf</t>
        </is>
      </c>
      <c r="N1188" t="inlineStr">
        <is>
          <t>https://www.neoscapesmaldives.com/wp-content/uploads/LMP-1.14-COVID-19-Prevention-and-Protection-Policy_Lti-Maafushivaru-2020-1.pdf</t>
        </is>
      </c>
      <c r="O1188" t="inlineStr">
        <is>
          <t>45287f3ae0e52498ff15948b2f16ca2dcf8d50b0ff0c3dc0965ac0abcacac55b</t>
        </is>
      </c>
      <c r="P1188" t="inlineStr">
        <is>
          <t>library/119_outrigger-maldives-maafushivaru-resort/obsolete/2020_LMP-1.14-COVID-19-Prevention-and-Protection-Policy_Lti-Maafushivaru-2020-1.pdf</t>
        </is>
      </c>
      <c r="R1188" t="inlineStr">
        <is>
          <t>obsolete</t>
        </is>
      </c>
      <c r="S1188" t="inlineStr">
        <is>
          <t>Y</t>
        </is>
      </c>
      <c r="T1188" t="inlineStr">
        <is>
          <t>matched</t>
        </is>
      </c>
      <c r="U1188" t="inlineStr">
        <is>
          <t>2026-10-04</t>
        </is>
      </c>
      <c r="V1188" t="inlineStr"/>
    </row>
    <row r="1189">
      <c r="A1189" t="n">
        <v>119</v>
      </c>
      <c r="B1189" t="inlineStr">
        <is>
          <t>Outrigger Maldives Maafushivaru Resort</t>
        </is>
      </c>
      <c r="C1189" t="inlineStr">
        <is>
          <t>obsolete</t>
        </is>
      </c>
      <c r="D1189" t="inlineStr">
        <is>
          <t>2020_COVID-19-Leaflets_English_Lti-Maafushivaru.pdf</t>
        </is>
      </c>
      <c r="E1189" t="n">
        <v>2020</v>
      </c>
      <c r="H1189" t="n">
        <v>2</v>
      </c>
      <c r="I1189" t="n">
        <v>1022</v>
      </c>
      <c r="J1189" t="inlineStr">
        <is>
          <t>Y</t>
        </is>
      </c>
      <c r="K1189" t="inlineStr">
        <is>
          <t>neoscapesmaldives.com</t>
        </is>
      </c>
      <c r="L1189" t="inlineStr">
        <is>
          <t>dmc-agency</t>
        </is>
      </c>
      <c r="M1189" t="inlineStr">
        <is>
          <t>https://www.neoscapesmaldives.com/wp-content/uploads/COVID-19-Leaflets_English_Lti-Maafushivaru.pdf</t>
        </is>
      </c>
      <c r="N1189" t="inlineStr">
        <is>
          <t>https://www.neoscapesmaldives.com/wp-content/uploads/COVID-19-Leaflets_English_Lti-Maafushivaru.pdf</t>
        </is>
      </c>
      <c r="O1189" t="inlineStr">
        <is>
          <t>5e27fcff97aae47f2a4cf2bed092c65ebace196f59971e948ad915322c8a03a3</t>
        </is>
      </c>
      <c r="P1189" t="inlineStr">
        <is>
          <t>library/119_outrigger-maldives-maafushivaru-resort/obsolete/2020_COVID-19-Leaflets_English_Lti-Maafushivaru.pdf</t>
        </is>
      </c>
      <c r="R1189" t="inlineStr">
        <is>
          <t>obsolete</t>
        </is>
      </c>
      <c r="S1189" t="inlineStr">
        <is>
          <t>N</t>
        </is>
      </c>
      <c r="T1189" t="inlineStr">
        <is>
          <t>matched</t>
        </is>
      </c>
      <c r="U1189" t="inlineStr">
        <is>
          <t>2026-10-04</t>
        </is>
      </c>
      <c r="V1189" t="inlineStr"/>
    </row>
    <row r="1190">
      <c r="A1190" t="n">
        <v>120</v>
      </c>
      <c r="B1190" t="inlineStr">
        <is>
          <t>Bandos Maldives</t>
        </is>
      </c>
      <c r="C1190" t="inlineStr">
        <is>
          <t>factsheet</t>
        </is>
      </c>
      <c r="D1190" t="inlineStr">
        <is>
          <t>2026_BM_Factsheet-2026.pdf</t>
        </is>
      </c>
      <c r="E1190" t="n">
        <v>2026</v>
      </c>
      <c r="H1190" t="n">
        <v>4</v>
      </c>
      <c r="I1190" t="n">
        <v>12895</v>
      </c>
      <c r="J1190" t="inlineStr">
        <is>
          <t>Y</t>
        </is>
      </c>
      <c r="K1190" t="inlineStr">
        <is>
          <t>neoscapesmaldives.com</t>
        </is>
      </c>
      <c r="L1190" t="inlineStr">
        <is>
          <t>dmc-agency</t>
        </is>
      </c>
      <c r="M1190" t="inlineStr">
        <is>
          <t>https://www.neoscapesmaldives.com/wp-content/uploads/BM_Factsheet-2026.pdf</t>
        </is>
      </c>
      <c r="N1190" t="inlineStr">
        <is>
          <t>https://www.neoscapesmaldives.com/wp-content/uploads/BM_Factsheet-2026.pdf</t>
        </is>
      </c>
      <c r="O1190" t="inlineStr">
        <is>
          <t>44528f0319adc686f7a04604599154c8a547735e74ebdf41383ebdccc8b7e36c</t>
        </is>
      </c>
      <c r="P1190" t="inlineStr">
        <is>
          <t>library/120_bandos-maldives/factsheet/2026_BM_Factsheet-2026.pdf</t>
        </is>
      </c>
      <c r="R1190" t="inlineStr">
        <is>
          <t>current</t>
        </is>
      </c>
      <c r="S1190" t="inlineStr">
        <is>
          <t>Y</t>
        </is>
      </c>
      <c r="T1190" t="inlineStr">
        <is>
          <t>matched</t>
        </is>
      </c>
      <c r="U1190" t="inlineStr">
        <is>
          <t>2026-10-04</t>
        </is>
      </c>
      <c r="V1190" t="inlineStr"/>
    </row>
    <row r="1191">
      <c r="A1191" t="n">
        <v>120</v>
      </c>
      <c r="B1191" t="inlineStr">
        <is>
          <t>Bandos Maldives</t>
        </is>
      </c>
      <c r="C1191" t="inlineStr">
        <is>
          <t>map</t>
        </is>
      </c>
      <c r="D1191" t="inlineStr">
        <is>
          <t>2024_BM-Resort-Map-2024.pdf</t>
        </is>
      </c>
      <c r="E1191" t="n">
        <v>2024</v>
      </c>
      <c r="H1191" t="n">
        <v>1</v>
      </c>
      <c r="I1191" t="n">
        <v>556</v>
      </c>
      <c r="J1191" t="inlineStr">
        <is>
          <t>Y</t>
        </is>
      </c>
      <c r="K1191" t="inlineStr">
        <is>
          <t>neoscapesmaldives.com</t>
        </is>
      </c>
      <c r="L1191" t="inlineStr">
        <is>
          <t>dmc-agency</t>
        </is>
      </c>
      <c r="M1191" t="inlineStr">
        <is>
          <t>https://www.neoscapesmaldives.com/wp-content/uploads/BM-Resort-Map-2024.pdf</t>
        </is>
      </c>
      <c r="N1191" t="inlineStr">
        <is>
          <t>https://www.neoscapesmaldives.com/wp-content/uploads/BM-Resort-Map-2024.pdf</t>
        </is>
      </c>
      <c r="O1191" t="inlineStr">
        <is>
          <t>9694047c705c765914027aca25699a376d875cc6ab528697f0a5c37f30208a7f</t>
        </is>
      </c>
      <c r="P1191" t="inlineStr">
        <is>
          <t>library/120_bandos-maldives/map/2024_BM-Resort-Map-2024.pdf</t>
        </is>
      </c>
      <c r="R1191" t="inlineStr">
        <is>
          <t>outdated</t>
        </is>
      </c>
      <c r="S1191" t="inlineStr">
        <is>
          <t>Y</t>
        </is>
      </c>
      <c r="T1191" t="inlineStr">
        <is>
          <t>matched</t>
        </is>
      </c>
      <c r="U1191" t="inlineStr">
        <is>
          <t>2026-10-04</t>
        </is>
      </c>
      <c r="V1191" t="inlineStr"/>
    </row>
    <row r="1192">
      <c r="A1192" t="n">
        <v>121</v>
      </c>
      <c r="B1192" t="inlineStr">
        <is>
          <t>Cocoa Island</t>
        </is>
      </c>
      <c r="C1192" t="inlineStr">
        <is>
          <t>factsheet</t>
        </is>
      </c>
      <c r="D1192" t="inlineStr">
        <is>
          <t>2019_COMO-Cocoa-Island-Fact-Sheet-2019.pdf</t>
        </is>
      </c>
      <c r="E1192" t="n">
        <v>2019</v>
      </c>
      <c r="H1192" t="n">
        <v>10</v>
      </c>
      <c r="I1192" t="n">
        <v>5089</v>
      </c>
      <c r="J1192" t="inlineStr">
        <is>
          <t>Y</t>
        </is>
      </c>
      <c r="K1192" t="inlineStr">
        <is>
          <t>neoscapesmaldives.com</t>
        </is>
      </c>
      <c r="L1192" t="inlineStr">
        <is>
          <t>dmc-agency</t>
        </is>
      </c>
      <c r="M1192" t="inlineStr">
        <is>
          <t>https://neoscapesmaldives.com/wp-content/uploads/COMO-Cocoa-Island-Fact-Sheet-2019.pdf</t>
        </is>
      </c>
      <c r="N1192" t="inlineStr">
        <is>
          <t>https://neoscapesmaldives.com/wp-content/uploads/COMO-Cocoa-Island-Fact-Sheet-2019.pdf</t>
        </is>
      </c>
      <c r="O1192" t="inlineStr">
        <is>
          <t>2c67877cd86d950187c180900808a1504d7e6be3bcfcf1083c8513e72ffc3c85</t>
        </is>
      </c>
      <c r="P1192" t="inlineStr">
        <is>
          <t>library/121_cocoa-island/factsheet/2019_COMO-Cocoa-Island-Fact-Sheet-2019.pdf</t>
        </is>
      </c>
      <c r="R1192" t="inlineStr">
        <is>
          <t>outdated</t>
        </is>
      </c>
      <c r="S1192" t="inlineStr">
        <is>
          <t>Y</t>
        </is>
      </c>
      <c r="T1192" t="inlineStr">
        <is>
          <t>matched</t>
        </is>
      </c>
      <c r="U1192" t="inlineStr">
        <is>
          <t>2026-10-04</t>
        </is>
      </c>
      <c r="V1192" t="inlineStr"/>
    </row>
    <row r="1193">
      <c r="A1193" t="n">
        <v>121</v>
      </c>
      <c r="B1193" t="inlineStr">
        <is>
          <t>Cocoa Island</t>
        </is>
      </c>
      <c r="C1193" t="inlineStr">
        <is>
          <t>map</t>
        </is>
      </c>
      <c r="D1193" t="inlineStr">
        <is>
          <t>2018_COMO-Cocoa-Island-Maldives-Resort-Map.pdf</t>
        </is>
      </c>
      <c r="E1193" t="n">
        <v>2018</v>
      </c>
      <c r="H1193" t="n">
        <v>1</v>
      </c>
      <c r="I1193" t="n">
        <v>134</v>
      </c>
      <c r="J1193" t="inlineStr">
        <is>
          <t>Y</t>
        </is>
      </c>
      <c r="K1193" t="inlineStr">
        <is>
          <t>neoscapesmaldives.com</t>
        </is>
      </c>
      <c r="L1193" t="inlineStr">
        <is>
          <t>dmc-agency</t>
        </is>
      </c>
      <c r="M1193" t="inlineStr">
        <is>
          <t>https://neoscapesmaldives.com/wp-content/uploads/COMO-Cocoa-Island-Maldives-Resort-Map.pdf</t>
        </is>
      </c>
      <c r="N1193" t="inlineStr">
        <is>
          <t>https://neoscapesmaldives.com/wp-content/uploads/COMO-Cocoa-Island-Maldives-Resort-Map.pdf</t>
        </is>
      </c>
      <c r="O1193" t="inlineStr">
        <is>
          <t>99b6041af5882f81d4fd45687a989a511b8f0db01178d5f5095210e12dff70ec</t>
        </is>
      </c>
      <c r="P1193" t="inlineStr">
        <is>
          <t>library/121_cocoa-island/map/2018_COMO-Cocoa-Island-Maldives-Resort-Map.pdf</t>
        </is>
      </c>
      <c r="R1193" t="inlineStr">
        <is>
          <t>outdated</t>
        </is>
      </c>
      <c r="S1193" t="inlineStr">
        <is>
          <t>Y</t>
        </is>
      </c>
      <c r="T1193" t="inlineStr">
        <is>
          <t>matched</t>
        </is>
      </c>
      <c r="U1193" t="inlineStr">
        <is>
          <t>2026-10-04</t>
        </is>
      </c>
      <c r="V1193" t="inlineStr"/>
    </row>
    <row r="1194">
      <c r="A1194" t="n">
        <v>122</v>
      </c>
      <c r="B1194" t="inlineStr">
        <is>
          <t>Avani + Fares Maldives</t>
        </is>
      </c>
      <c r="C1194" t="inlineStr">
        <is>
          <t>calendar</t>
        </is>
      </c>
      <c r="D1194" t="inlineStr">
        <is>
          <t>2026_Avani-Fares-Maldives-Festive-Brochure-2026-1.pdf</t>
        </is>
      </c>
      <c r="E1194" t="n">
        <v>2026</v>
      </c>
      <c r="H1194" t="n">
        <v>17</v>
      </c>
      <c r="I1194" t="n">
        <v>13973</v>
      </c>
      <c r="J1194" t="inlineStr">
        <is>
          <t>Y</t>
        </is>
      </c>
      <c r="K1194" t="inlineStr">
        <is>
          <t>letsgomaldives.com</t>
        </is>
      </c>
      <c r="L1194" t="inlineStr">
        <is>
          <t>dmc-agency</t>
        </is>
      </c>
      <c r="M1194" t="inlineStr">
        <is>
          <t>https://letsgomaldives.com/wp-content/uploads/2026/08/Avani-Fares-Maldives-Festive-Brochure-2026-1.pdf</t>
        </is>
      </c>
      <c r="N1194" t="inlineStr">
        <is>
          <t>https://letsgomaldives.com/wp-content/uploads/2026/08/Avani-Fares-Maldives-Festive-Brochure-2026-1.pdf</t>
        </is>
      </c>
      <c r="O1194" t="inlineStr">
        <is>
          <t>95953e214bd0c109d088652b48157d10706bcc5dd2fa212c88ee5e724030edc4</t>
        </is>
      </c>
      <c r="P1194" t="inlineStr">
        <is>
          <t>library/122_avani-fares-maldives/calendar/2026_Avani-Fares-Maldives-Festive-Brochure-2026-1.pdf</t>
        </is>
      </c>
      <c r="R1194" t="inlineStr">
        <is>
          <t>current</t>
        </is>
      </c>
      <c r="S1194" t="inlineStr">
        <is>
          <t>Y</t>
        </is>
      </c>
      <c r="T1194" t="inlineStr">
        <is>
          <t>matched</t>
        </is>
      </c>
      <c r="U1194" t="inlineStr">
        <is>
          <t>2026-10-04</t>
        </is>
      </c>
      <c r="V1194" t="inlineStr"/>
    </row>
    <row r="1195">
      <c r="A1195" t="n">
        <v>122</v>
      </c>
      <c r="B1195" t="inlineStr">
        <is>
          <t>Avani + Fares Maldives</t>
        </is>
      </c>
      <c r="C1195" t="inlineStr">
        <is>
          <t>calendar</t>
        </is>
      </c>
      <c r="D1195" t="inlineStr">
        <is>
          <t>2026_VFAR_Easter_2026.pdf</t>
        </is>
      </c>
      <c r="E1195" t="n">
        <v>2026</v>
      </c>
      <c r="H1195" t="n">
        <v>8</v>
      </c>
      <c r="I1195" t="n">
        <v>4372</v>
      </c>
      <c r="J1195" t="inlineStr">
        <is>
          <t>Y</t>
        </is>
      </c>
      <c r="K1195" t="inlineStr">
        <is>
          <t>letsgomaldives.com</t>
        </is>
      </c>
      <c r="L1195" t="inlineStr">
        <is>
          <t>dmc-agency</t>
        </is>
      </c>
      <c r="M1195" t="inlineStr">
        <is>
          <t>https://letsgomaldives.com/wp-content/uploads/2026/02/VFAR_Easter_2026.pdf</t>
        </is>
      </c>
      <c r="N1195" t="inlineStr">
        <is>
          <t>https://letsgomaldives.com/wp-content/uploads/2026/02/VFAR_Easter_2026.pdf</t>
        </is>
      </c>
      <c r="O1195" t="inlineStr">
        <is>
          <t>7b807da29b4987d25ae94635237b404da31b1a2e1628d0f3c465930be519db31</t>
        </is>
      </c>
      <c r="P1195" t="inlineStr">
        <is>
          <t>library/122_avani-fares-maldives/calendar/2026_VFAR_Easter_2026.pdf</t>
        </is>
      </c>
      <c r="R1195" t="inlineStr">
        <is>
          <t>current</t>
        </is>
      </c>
      <c r="S1195" t="inlineStr">
        <is>
          <t>N</t>
        </is>
      </c>
      <c r="T1195" t="inlineStr">
        <is>
          <t>matched</t>
        </is>
      </c>
      <c r="U1195" t="inlineStr">
        <is>
          <t>2026-10-04</t>
        </is>
      </c>
      <c r="V1195" t="inlineStr"/>
    </row>
    <row r="1196">
      <c r="A1196" t="n">
        <v>122</v>
      </c>
      <c r="B1196" t="inlineStr">
        <is>
          <t>Avani + Fares Maldives</t>
        </is>
      </c>
      <c r="C1196" t="inlineStr">
        <is>
          <t>calendar</t>
        </is>
      </c>
      <c r="D1196" t="inlineStr">
        <is>
          <t>2025_week-3-English.pdf</t>
        </is>
      </c>
      <c r="E1196" t="n">
        <v>2025</v>
      </c>
      <c r="H1196" t="n">
        <v>9</v>
      </c>
      <c r="I1196" t="n">
        <v>11155</v>
      </c>
      <c r="J1196" t="inlineStr">
        <is>
          <t>Y</t>
        </is>
      </c>
      <c r="K1196" t="inlineStr">
        <is>
          <t>letsgomaldives.com</t>
        </is>
      </c>
      <c r="L1196" t="inlineStr">
        <is>
          <t>dmc-agency</t>
        </is>
      </c>
      <c r="M1196" t="inlineStr">
        <is>
          <t>https://letsgomaldives.com/wp-content/uploads/2025/10/week-3-English.pdf</t>
        </is>
      </c>
      <c r="N1196" t="inlineStr">
        <is>
          <t>https://letsgomaldives.com/wp-content/uploads/2025/10/week-3-English.pdf</t>
        </is>
      </c>
      <c r="O1196" t="inlineStr">
        <is>
          <t>7a5cfed38311d4e8acce6ac26bfe55ac9ebcae6f3e18099cbc2c74aeb950fd4f</t>
        </is>
      </c>
      <c r="P1196" t="inlineStr">
        <is>
          <t>library/122_avani-fares-maldives/calendar/2025_week-3-English.pdf</t>
        </is>
      </c>
      <c r="R1196" t="inlineStr">
        <is>
          <t>current</t>
        </is>
      </c>
      <c r="S1196" t="inlineStr">
        <is>
          <t>Y</t>
        </is>
      </c>
      <c r="T1196" t="inlineStr">
        <is>
          <t>needs-review</t>
        </is>
      </c>
      <c r="U1196" t="inlineStr">
        <is>
          <t>2026-10-04</t>
        </is>
      </c>
      <c r="V1196" t="inlineStr">
        <is>
          <t>ambiguous match [122, 62]</t>
        </is>
      </c>
    </row>
    <row r="1197">
      <c r="A1197" t="n">
        <v>62</v>
      </c>
      <c r="B1197" t="inlineStr">
        <is>
          <t>Cora Cora Maldives</t>
        </is>
      </c>
      <c r="C1197" t="inlineStr">
        <is>
          <t>calendar</t>
        </is>
      </c>
      <c r="D1197" t="inlineStr">
        <is>
          <t>2025_week-3-English.pdf</t>
        </is>
      </c>
      <c r="E1197" t="n">
        <v>2025</v>
      </c>
      <c r="H1197" t="n">
        <v>9</v>
      </c>
      <c r="I1197" t="n">
        <v>11155</v>
      </c>
      <c r="J1197" t="inlineStr">
        <is>
          <t>Y</t>
        </is>
      </c>
      <c r="K1197" t="inlineStr">
        <is>
          <t>letsgomaldives.com</t>
        </is>
      </c>
      <c r="L1197" t="inlineStr">
        <is>
          <t>dmc-agency</t>
        </is>
      </c>
      <c r="M1197" t="inlineStr">
        <is>
          <t>https://letsgomaldives.com/wp-content/uploads/2025/10/week-3-English.pdf</t>
        </is>
      </c>
      <c r="N1197" t="inlineStr">
        <is>
          <t>https://letsgomaldives.com/wp-content/uploads/2025/10/week-3-English.pdf</t>
        </is>
      </c>
      <c r="O1197" t="inlineStr">
        <is>
          <t>7a5cfed38311d4e8acce6ac26bfe55ac9ebcae6f3e18099cbc2c74aeb950fd4f</t>
        </is>
      </c>
      <c r="P1197" t="inlineStr">
        <is>
          <t>library/122_avani-fares-maldives/calendar/2025_week-3-English.pdf</t>
        </is>
      </c>
      <c r="R1197" t="inlineStr">
        <is>
          <t>current</t>
        </is>
      </c>
      <c r="S1197" t="inlineStr">
        <is>
          <t>Y</t>
        </is>
      </c>
      <c r="T1197" t="inlineStr">
        <is>
          <t>needs-review</t>
        </is>
      </c>
      <c r="U1197" t="inlineStr">
        <is>
          <t>2026-10-04</t>
        </is>
      </c>
      <c r="V1197" t="inlineStr">
        <is>
          <t>ambiguous match [122, 62]</t>
        </is>
      </c>
    </row>
    <row r="1198">
      <c r="A1198" t="n">
        <v>122</v>
      </c>
      <c r="B1198" t="inlineStr">
        <is>
          <t>Avani + Fares Maldives</t>
        </is>
      </c>
      <c r="C1198" t="inlineStr">
        <is>
          <t>brochure</t>
        </is>
      </c>
      <c r="D1198" t="inlineStr">
        <is>
          <t>2026_EID-Brochure-2026-1-1.pdf</t>
        </is>
      </c>
      <c r="E1198" t="n">
        <v>2026</v>
      </c>
      <c r="H1198" t="n">
        <v>8</v>
      </c>
      <c r="I1198" t="n">
        <v>17143</v>
      </c>
      <c r="J1198" t="inlineStr">
        <is>
          <t>Y</t>
        </is>
      </c>
      <c r="K1198" t="inlineStr">
        <is>
          <t>letsgomaldives.com</t>
        </is>
      </c>
      <c r="L1198" t="inlineStr">
        <is>
          <t>dmc-agency</t>
        </is>
      </c>
      <c r="M1198" t="inlineStr">
        <is>
          <t>https://letsgomaldives.com/wp-content/uploads/2026/03/EID-Brochure-2026-1-1.pdf</t>
        </is>
      </c>
      <c r="N1198" t="inlineStr">
        <is>
          <t>https://letsgomaldives.com/wp-content/uploads/2026/03/EID-Brochure-2026-1-1.pdf</t>
        </is>
      </c>
      <c r="O1198" t="inlineStr">
        <is>
          <t>fae8637ef681fc7ea257d7fa23f43b8e00f64d63d1d64cb84ef692035499eeec</t>
        </is>
      </c>
      <c r="P1198" t="inlineStr">
        <is>
          <t>library/122_avani-fares-maldives/brochure/2026_EID-Brochure-2026-1-1.pdf</t>
        </is>
      </c>
      <c r="R1198" t="inlineStr">
        <is>
          <t>current</t>
        </is>
      </c>
      <c r="S1198" t="inlineStr">
        <is>
          <t>Y</t>
        </is>
      </c>
      <c r="T1198" t="inlineStr">
        <is>
          <t>matched</t>
        </is>
      </c>
      <c r="U1198" t="inlineStr">
        <is>
          <t>2026-10-04</t>
        </is>
      </c>
      <c r="V1198" t="inlineStr"/>
    </row>
    <row r="1199">
      <c r="A1199" t="n">
        <v>122</v>
      </c>
      <c r="B1199" t="inlineStr">
        <is>
          <t>Avani + Fares Maldives</t>
        </is>
      </c>
      <c r="C1199" t="inlineStr">
        <is>
          <t>other</t>
        </is>
      </c>
      <c r="D1199" t="inlineStr">
        <is>
          <t>2026_Avani-Fares-Maldives-Resort_Your-Paradise-Music-Festival_TL-SEA_Feb-2026-2.pdf</t>
        </is>
      </c>
      <c r="E1199" t="n">
        <v>2026</v>
      </c>
      <c r="H1199" t="n">
        <v>1</v>
      </c>
      <c r="I1199" t="n">
        <v>3148</v>
      </c>
      <c r="J1199" t="inlineStr">
        <is>
          <t>Y</t>
        </is>
      </c>
      <c r="K1199" t="inlineStr">
        <is>
          <t>letsgomaldives.com</t>
        </is>
      </c>
      <c r="L1199" t="inlineStr">
        <is>
          <t>dmc-agency</t>
        </is>
      </c>
      <c r="M1199" t="inlineStr">
        <is>
          <t>https://letsgomaldives.com/wp-content/uploads/2026/05/Avani-Fares-Maldives-Resort_Your-Paradise-Music-Festival_TL-SEA_Feb-2026-2.pdf</t>
        </is>
      </c>
      <c r="N1199" t="inlineStr">
        <is>
          <t>https://letsgomaldives.com/wp-content/uploads/2026/05/Avani-Fares-Maldives-Resort_Your-Paradise-Music-Festival_TL-SEA_Feb-2026-2.pdf</t>
        </is>
      </c>
      <c r="O1199" t="inlineStr">
        <is>
          <t>0ccc77699fb7c5b3fd9aefb531b2f9c95fae092b14cea63a9adb3bd52bfb3d75</t>
        </is>
      </c>
      <c r="P1199" t="inlineStr">
        <is>
          <t>library/122_avani-fares-maldives/other/2026_Avani-Fares-Maldives-Resort_Your-Paradise-Music-Festival_TL-SEA_Feb-2026-2.pdf</t>
        </is>
      </c>
      <c r="R1199" t="inlineStr">
        <is>
          <t>current</t>
        </is>
      </c>
      <c r="S1199" t="inlineStr">
        <is>
          <t>Y</t>
        </is>
      </c>
      <c r="T1199" t="inlineStr">
        <is>
          <t>matched</t>
        </is>
      </c>
      <c r="U1199" t="inlineStr">
        <is>
          <t>2026-10-04</t>
        </is>
      </c>
      <c r="V1199" t="inlineStr"/>
    </row>
    <row r="1200">
      <c r="A1200" t="n">
        <v>125</v>
      </c>
      <c r="B1200" t="inlineStr">
        <is>
          <t>Gili Lankanfushi</t>
        </is>
      </c>
      <c r="C1200" t="inlineStr">
        <is>
          <t>other</t>
        </is>
      </c>
      <c r="D1200" t="inlineStr">
        <is>
          <t>2026_Gili-Lankanfushi.pdf</t>
        </is>
      </c>
      <c r="E1200" t="n">
        <v>2026</v>
      </c>
      <c r="H1200" t="n">
        <v>8</v>
      </c>
      <c r="I1200" t="n">
        <v>6225</v>
      </c>
      <c r="J1200" t="inlineStr">
        <is>
          <t>N</t>
        </is>
      </c>
      <c r="K1200" t="inlineStr">
        <is>
          <t>awesomegetawaymaldives.com</t>
        </is>
      </c>
      <c r="L1200" t="inlineStr">
        <is>
          <t>dmc-agency</t>
        </is>
      </c>
      <c r="M1200" t="inlineStr">
        <is>
          <t>https://awesomegetawaymaldives.com/wp-content/uploads/2026/03/Gili-Lankanfushi.pdf</t>
        </is>
      </c>
      <c r="N1200" t="inlineStr">
        <is>
          <t>https://awesomegetawaymaldives.com/wp-content/uploads/2026/03/Gili-Lankanfushi.pdf | https://awesomegetawaymaldives.com/wp-content/uploads/2026/03/GLM_Gili-Lankanfushi-Fact-Sheet-Brochure-1.pdf</t>
        </is>
      </c>
      <c r="O1200" t="inlineStr">
        <is>
          <t>d432d0dc8f13850099af87051d0d1500b129a1a0c2e207f0e74a05e6ae3d52ef</t>
        </is>
      </c>
      <c r="P1200" t="inlineStr">
        <is>
          <t>library/125_gili-lankanfushi/other/2026_Gili-Lankanfushi.pdf</t>
        </is>
      </c>
      <c r="R1200" t="inlineStr">
        <is>
          <t>current</t>
        </is>
      </c>
      <c r="S1200" t="inlineStr">
        <is>
          <t>Y</t>
        </is>
      </c>
      <c r="T1200" t="inlineStr">
        <is>
          <t>matched</t>
        </is>
      </c>
      <c r="U1200" t="inlineStr">
        <is>
          <t>2026-10-04</t>
        </is>
      </c>
      <c r="V1200" t="inlineStr"/>
    </row>
    <row r="1201">
      <c r="A1201" t="n">
        <v>126</v>
      </c>
      <c r="B1201" t="inlineStr">
        <is>
          <t>Centara Grand Island Resort &amp; Spa Maldives</t>
        </is>
      </c>
      <c r="C1201" t="inlineStr">
        <is>
          <t>factsheet</t>
        </is>
      </c>
      <c r="D1201" t="inlineStr">
        <is>
          <t>2019_cirm-factsheet-en.pdf</t>
        </is>
      </c>
      <c r="E1201" t="n">
        <v>2019</v>
      </c>
      <c r="H1201" t="n">
        <v>6</v>
      </c>
      <c r="I1201" t="n">
        <v>453</v>
      </c>
      <c r="J1201" t="inlineStr">
        <is>
          <t>Y</t>
        </is>
      </c>
      <c r="K1201" t="inlineStr">
        <is>
          <t>neoscapesmaldives.com</t>
        </is>
      </c>
      <c r="L1201" t="inlineStr">
        <is>
          <t>dmc-agency</t>
        </is>
      </c>
      <c r="M1201" t="inlineStr">
        <is>
          <t>https://neoscapesmaldives.com/wp-content/uploads/cirm-factsheet-en.pdf</t>
        </is>
      </c>
      <c r="N1201" t="inlineStr">
        <is>
          <t>https://neoscapesmaldives.com/wp-content/uploads/cirm-factsheet-en.pdf</t>
        </is>
      </c>
      <c r="O1201" t="inlineStr">
        <is>
          <t>1bc9b29d36afb15b1778e4997a3542482207825306dbb720f87c7628382b9680</t>
        </is>
      </c>
      <c r="P1201" t="inlineStr">
        <is>
          <t>library/126_centara-grand-island-resort-spa-maldives/factsheet/2019_cirm-factsheet-en.pdf</t>
        </is>
      </c>
      <c r="R1201" t="inlineStr">
        <is>
          <t>outdated</t>
        </is>
      </c>
      <c r="S1201" t="inlineStr">
        <is>
          <t>Y</t>
        </is>
      </c>
      <c r="T1201" t="inlineStr">
        <is>
          <t>matched</t>
        </is>
      </c>
      <c r="U1201" t="inlineStr">
        <is>
          <t>2026-10-04</t>
        </is>
      </c>
      <c r="V1201" t="inlineStr"/>
    </row>
    <row r="1202">
      <c r="A1202" t="n">
        <v>128</v>
      </c>
      <c r="B1202" t="inlineStr">
        <is>
          <t>One &amp; Only Reethi Rah, Maldives</t>
        </is>
      </c>
      <c r="C1202" t="inlineStr">
        <is>
          <t>factsheet</t>
        </is>
      </c>
      <c r="D1202" t="inlineStr">
        <is>
          <t>2019_Factsheet-OneOnly-Reethi-Rah.pdf</t>
        </is>
      </c>
      <c r="E1202" t="n">
        <v>2019</v>
      </c>
      <c r="H1202" t="n">
        <v>3</v>
      </c>
      <c r="I1202" t="n">
        <v>6952</v>
      </c>
      <c r="J1202" t="inlineStr">
        <is>
          <t>Y</t>
        </is>
      </c>
      <c r="K1202" t="inlineStr">
        <is>
          <t>neoscapesmaldives.com</t>
        </is>
      </c>
      <c r="L1202" t="inlineStr">
        <is>
          <t>dmc-agency</t>
        </is>
      </c>
      <c r="M1202" t="inlineStr">
        <is>
          <t>https://www.neoscapesmaldives.com/wp-content/uploads/Factsheet-OneOnly-Reethi-Rah.pdf</t>
        </is>
      </c>
      <c r="N1202" t="inlineStr">
        <is>
          <t>https://www.neoscapesmaldives.com/wp-content/uploads/Factsheet-OneOnly-Reethi-Rah.pdf</t>
        </is>
      </c>
      <c r="O1202" t="inlineStr">
        <is>
          <t>0b4afb6fc36ed9fd21cca022a79dc8c59dce466dd2e9cd1de5da34bc1cf77786</t>
        </is>
      </c>
      <c r="P1202" t="inlineStr">
        <is>
          <t>library/128_one-only-reethi-rah-maldives/factsheet/2019_Factsheet-OneOnly-Reethi-Rah.pdf</t>
        </is>
      </c>
      <c r="R1202" t="inlineStr">
        <is>
          <t>outdated</t>
        </is>
      </c>
      <c r="S1202" t="inlineStr">
        <is>
          <t>Y</t>
        </is>
      </c>
      <c r="T1202" t="inlineStr">
        <is>
          <t>matched</t>
        </is>
      </c>
      <c r="U1202" t="inlineStr">
        <is>
          <t>2026-10-04</t>
        </is>
      </c>
      <c r="V1202" t="inlineStr"/>
    </row>
    <row r="1203">
      <c r="A1203" t="n">
        <v>128</v>
      </c>
      <c r="B1203" t="inlineStr">
        <is>
          <t>One &amp; Only Reethi Rah, Maldives</t>
        </is>
      </c>
      <c r="C1203" t="inlineStr">
        <is>
          <t>map</t>
        </is>
      </c>
      <c r="D1203" t="inlineStr">
        <is>
          <t>2017_Map-OneOnly-Resort.pdf</t>
        </is>
      </c>
      <c r="E1203" t="n">
        <v>2017</v>
      </c>
      <c r="H1203" t="n">
        <v>1</v>
      </c>
      <c r="I1203" t="n">
        <v>2626</v>
      </c>
      <c r="J1203" t="inlineStr">
        <is>
          <t>Y</t>
        </is>
      </c>
      <c r="K1203" t="inlineStr">
        <is>
          <t>neoscapesmaldives.com</t>
        </is>
      </c>
      <c r="L1203" t="inlineStr">
        <is>
          <t>dmc-agency</t>
        </is>
      </c>
      <c r="M1203" t="inlineStr">
        <is>
          <t>https://www.neoscapesmaldives.com/wp-content/uploads/Map-OneOnly-Resort.pdf</t>
        </is>
      </c>
      <c r="N1203" t="inlineStr">
        <is>
          <t>https://www.neoscapesmaldives.com/wp-content/uploads/Map-OneOnly-Resort.pdf</t>
        </is>
      </c>
      <c r="O1203" t="inlineStr">
        <is>
          <t>e5db7b3cbc5d0384e5c2067ca75e7fcefd6406e63aa8e29368221273cdbfbf41</t>
        </is>
      </c>
      <c r="P1203" t="inlineStr">
        <is>
          <t>library/128_one-only-reethi-rah-maldives/map/2017_Map-OneOnly-Resort.pdf</t>
        </is>
      </c>
      <c r="R1203" t="inlineStr">
        <is>
          <t>outdated</t>
        </is>
      </c>
      <c r="S1203" t="inlineStr">
        <is>
          <t>Y</t>
        </is>
      </c>
      <c r="T1203" t="inlineStr">
        <is>
          <t>needs-review</t>
        </is>
      </c>
      <c r="U1203" t="inlineStr">
        <is>
          <t>2026-10-04</t>
        </is>
      </c>
      <c r="V1203" t="inlineStr">
        <is>
          <t>ambiguous match [128]</t>
        </is>
      </c>
    </row>
    <row r="1204">
      <c r="A1204" t="n">
        <v>128</v>
      </c>
      <c r="B1204" t="inlineStr">
        <is>
          <t>One &amp; Only Reethi Rah, Maldives</t>
        </is>
      </c>
      <c r="C1204" t="inlineStr">
        <is>
          <t>press_kit</t>
        </is>
      </c>
      <c r="D1204" t="inlineStr">
        <is>
          <t>2026_One-n-Only-Reethi-Rah.pdf</t>
        </is>
      </c>
      <c r="E1204" t="n">
        <v>2026</v>
      </c>
      <c r="H1204" t="n">
        <v>6</v>
      </c>
      <c r="I1204" t="n">
        <v>8408</v>
      </c>
      <c r="J1204" t="inlineStr">
        <is>
          <t>Y</t>
        </is>
      </c>
      <c r="K1204" t="inlineStr">
        <is>
          <t>awesomegetawaymaldives.com</t>
        </is>
      </c>
      <c r="L1204" t="inlineStr">
        <is>
          <t>dmc-agency</t>
        </is>
      </c>
      <c r="M1204" t="inlineStr">
        <is>
          <t>https://awesomegetawaymaldives.com/wp-content/uploads/2026/03/One-n-Only-Reethi-Rah.pdf</t>
        </is>
      </c>
      <c r="N1204" t="inlineStr">
        <is>
          <t>https://awesomegetawaymaldives.com/wp-content/uploads/2026/03/One-n-Only-Reethi-Rah.pdf | https://awesomegetawaymaldives.com/wp-content/uploads/2026/03/OneOnly_Reethi_Rah_Factsheet_2025.pdf</t>
        </is>
      </c>
      <c r="O1204" t="inlineStr">
        <is>
          <t>99c314284e783b5f6b1d86f9efb50cfe459be16ad7dda56e59c869ce0ff1ff7a</t>
        </is>
      </c>
      <c r="P1204" t="inlineStr">
        <is>
          <t>library/128_one-only-reethi-rah-maldives/press_kit/2026_One-n-Only-Reethi-Rah.pdf</t>
        </is>
      </c>
      <c r="R1204" t="inlineStr">
        <is>
          <t>current</t>
        </is>
      </c>
      <c r="S1204" t="inlineStr">
        <is>
          <t>Y</t>
        </is>
      </c>
      <c r="T1204" t="inlineStr">
        <is>
          <t>matched</t>
        </is>
      </c>
      <c r="U1204" t="inlineStr">
        <is>
          <t>2026-10-04</t>
        </is>
      </c>
      <c r="V1204" t="inlineStr"/>
    </row>
    <row r="1205">
      <c r="A1205" t="n">
        <v>132</v>
      </c>
      <c r="B1205" t="inlineStr">
        <is>
          <t>Noku Maldives</t>
        </is>
      </c>
      <c r="C1205" t="inlineStr">
        <is>
          <t>factsheet</t>
        </is>
      </c>
      <c r="D1205" t="inlineStr">
        <is>
          <t>2021_NM-Factsheet-July2021.pdf</t>
        </is>
      </c>
      <c r="E1205" t="n">
        <v>2021</v>
      </c>
      <c r="H1205" t="n">
        <v>4</v>
      </c>
      <c r="I1205" t="n">
        <v>538</v>
      </c>
      <c r="J1205" t="inlineStr">
        <is>
          <t>Y</t>
        </is>
      </c>
      <c r="K1205" t="inlineStr">
        <is>
          <t>neoscapesmaldives.com</t>
        </is>
      </c>
      <c r="L1205" t="inlineStr">
        <is>
          <t>dmc-agency</t>
        </is>
      </c>
      <c r="M1205" t="inlineStr">
        <is>
          <t>https://www.neoscapesmaldives.com/wp-content/uploads/NM-Factsheet-July2021.pdf</t>
        </is>
      </c>
      <c r="N1205" t="inlineStr">
        <is>
          <t>https://www.neoscapesmaldives.com/wp-content/uploads/NM-Factsheet-July2021.pdf</t>
        </is>
      </c>
      <c r="O1205" t="inlineStr">
        <is>
          <t>250d4b6b10e846ecc11acfcb072ac3c0ede60c76ed492e35b4404e3312e6bbad</t>
        </is>
      </c>
      <c r="P1205" t="inlineStr">
        <is>
          <t>library/132_noku-maldives/factsheet/2021_NM-Factsheet-July2021.pdf</t>
        </is>
      </c>
      <c r="R1205" t="inlineStr">
        <is>
          <t>outdated</t>
        </is>
      </c>
      <c r="S1205" t="inlineStr">
        <is>
          <t>Y</t>
        </is>
      </c>
      <c r="T1205" t="inlineStr">
        <is>
          <t>matched</t>
        </is>
      </c>
      <c r="U1205" t="inlineStr">
        <is>
          <t>2026-10-04</t>
        </is>
      </c>
      <c r="V1205" t="inlineStr"/>
    </row>
    <row r="1206">
      <c r="A1206" t="n">
        <v>132</v>
      </c>
      <c r="B1206" t="inlineStr">
        <is>
          <t>Noku Maldives</t>
        </is>
      </c>
      <c r="C1206" t="inlineStr">
        <is>
          <t>map</t>
        </is>
      </c>
      <c r="D1206" t="inlineStr">
        <is>
          <t>2020_Resort-Map-Noku-Maldives.pdf</t>
        </is>
      </c>
      <c r="E1206" t="n">
        <v>2020</v>
      </c>
      <c r="H1206" t="n">
        <v>1</v>
      </c>
      <c r="I1206" t="n">
        <v>348</v>
      </c>
      <c r="J1206" t="inlineStr">
        <is>
          <t>Y</t>
        </is>
      </c>
      <c r="K1206" t="inlineStr">
        <is>
          <t>neoscapesmaldives.com</t>
        </is>
      </c>
      <c r="L1206" t="inlineStr">
        <is>
          <t>dmc-agency</t>
        </is>
      </c>
      <c r="M1206" t="inlineStr">
        <is>
          <t>https://www.neoscapesmaldives.com/wp-content/uploads/Resort-Map-Noku-Maldives.pdf</t>
        </is>
      </c>
      <c r="N1206" t="inlineStr">
        <is>
          <t>https://www.neoscapesmaldives.com/wp-content/uploads/Resort-Map-Noku-Maldives.pdf</t>
        </is>
      </c>
      <c r="O1206" t="inlineStr">
        <is>
          <t>5f11bfff7c843d202dff42469fd15e323e32a6ff5e5f26e587e6d575c885b019</t>
        </is>
      </c>
      <c r="P1206" t="inlineStr">
        <is>
          <t>library/132_noku-maldives/map/2020_Resort-Map-Noku-Maldives.pdf</t>
        </is>
      </c>
      <c r="R1206" t="inlineStr">
        <is>
          <t>outdated</t>
        </is>
      </c>
      <c r="S1206" t="inlineStr">
        <is>
          <t>Y</t>
        </is>
      </c>
      <c r="T1206" t="inlineStr">
        <is>
          <t>matched</t>
        </is>
      </c>
      <c r="U1206" t="inlineStr">
        <is>
          <t>2026-10-04</t>
        </is>
      </c>
      <c r="V1206" t="inlineStr"/>
    </row>
    <row r="1207">
      <c r="A1207" t="n">
        <v>132</v>
      </c>
      <c r="B1207" t="inlineStr">
        <is>
          <t>Noku Maldives</t>
        </is>
      </c>
      <c r="C1207" t="inlineStr">
        <is>
          <t>calendar</t>
        </is>
      </c>
      <c r="D1207" t="inlineStr">
        <is>
          <t>2027_Noku-Maldives-Festive-Brochure-2026_2027.pdf</t>
        </is>
      </c>
      <c r="E1207" t="n">
        <v>2027</v>
      </c>
      <c r="H1207" t="n">
        <v>15</v>
      </c>
      <c r="I1207" t="n">
        <v>9396</v>
      </c>
      <c r="J1207" t="inlineStr">
        <is>
          <t>Y</t>
        </is>
      </c>
      <c r="K1207" t="inlineStr">
        <is>
          <t>letsgomaldives.com</t>
        </is>
      </c>
      <c r="L1207" t="inlineStr">
        <is>
          <t>dmc-agency</t>
        </is>
      </c>
      <c r="M1207" t="inlineStr">
        <is>
          <t>https://letsgomaldives.com/wp-content/uploads/2026/08/Noku-Maldives-Festive-Brochure-2026_2027.pdf</t>
        </is>
      </c>
      <c r="N1207" t="inlineStr">
        <is>
          <t>https://letsgomaldives.com/wp-content/uploads/2026/08/Noku-Maldives-Festive-Brochure-2026_2027.pdf</t>
        </is>
      </c>
      <c r="O1207" t="inlineStr">
        <is>
          <t>1ee53934c57e258f5950b03cf8d18488ae329093b8639fc8d9a0a5209149501f</t>
        </is>
      </c>
      <c r="P1207" t="inlineStr">
        <is>
          <t>library/132_noku-maldives/calendar/2027_Noku-Maldives-Festive-Brochure-2026_2027.pdf</t>
        </is>
      </c>
      <c r="R1207" t="inlineStr">
        <is>
          <t>current</t>
        </is>
      </c>
      <c r="S1207" t="inlineStr">
        <is>
          <t>Y</t>
        </is>
      </c>
      <c r="T1207" t="inlineStr">
        <is>
          <t>matched</t>
        </is>
      </c>
      <c r="U1207" t="inlineStr">
        <is>
          <t>2026-10-04</t>
        </is>
      </c>
      <c r="V1207" t="inlineStr"/>
    </row>
    <row r="1208">
      <c r="A1208" t="n">
        <v>133</v>
      </c>
      <c r="B1208" t="inlineStr">
        <is>
          <t>Oblu By Atmosphere at Helengeli</t>
        </is>
      </c>
      <c r="C1208" t="inlineStr">
        <is>
          <t>map</t>
        </is>
      </c>
      <c r="D1208" t="inlineStr">
        <is>
          <t>2026_OBLU-Nature-Helengeli-by-Sentido-Island-Map-JULY-2026.pdf</t>
        </is>
      </c>
      <c r="E1208" t="n">
        <v>2026</v>
      </c>
      <c r="H1208" t="n">
        <v>1</v>
      </c>
      <c r="I1208" t="n">
        <v>4799</v>
      </c>
      <c r="J1208" t="inlineStr">
        <is>
          <t>Y</t>
        </is>
      </c>
      <c r="K1208" t="inlineStr">
        <is>
          <t>neoscapesmaldives.com</t>
        </is>
      </c>
      <c r="L1208" t="inlineStr">
        <is>
          <t>dmc-agency</t>
        </is>
      </c>
      <c r="M1208" t="inlineStr">
        <is>
          <t>https://www.neoscapesmaldives.com/wp-content/uploads/OBLU-Nature-Helengeli-by-Sentido-Island-Map-JULY-2026.pdf</t>
        </is>
      </c>
      <c r="N1208" t="inlineStr">
        <is>
          <t>https://www.neoscapesmaldives.com/wp-content/uploads/OBLU-Nature-Helengeli-by-Sentido-Island-Map-JULY-2026.pdf</t>
        </is>
      </c>
      <c r="O1208" t="inlineStr">
        <is>
          <t>d0dde46a268dc2c6697dc95d309aec594b69dc84458e5372628d33222e1b7b02</t>
        </is>
      </c>
      <c r="P1208" t="inlineStr">
        <is>
          <t>library/133_oblu-by-atmosphere-at-helengeli/map/2026_OBLU-Nature-Helengeli-by-Sentido-Island-Map-JULY-2026.pdf</t>
        </is>
      </c>
      <c r="R1208" t="inlineStr">
        <is>
          <t>current</t>
        </is>
      </c>
      <c r="S1208" t="inlineStr">
        <is>
          <t>Y</t>
        </is>
      </c>
      <c r="T1208" t="inlineStr">
        <is>
          <t>matched</t>
        </is>
      </c>
      <c r="U1208" t="inlineStr">
        <is>
          <t>2026-10-04</t>
        </is>
      </c>
      <c r="V1208" t="inlineStr"/>
    </row>
    <row r="1209">
      <c r="A1209" t="n">
        <v>133</v>
      </c>
      <c r="B1209" t="inlineStr">
        <is>
          <t>Oblu By Atmosphere at Helengeli</t>
        </is>
      </c>
      <c r="C1209" t="inlineStr">
        <is>
          <t>brochure</t>
        </is>
      </c>
      <c r="D1209" t="inlineStr">
        <is>
          <t>2026_OBLU-NATURE-Helengeli-by-SENTIDO-BROCHURE-JULY-2026-WEB.pdf</t>
        </is>
      </c>
      <c r="E1209" t="n">
        <v>2026</v>
      </c>
      <c r="H1209" t="n">
        <v>12</v>
      </c>
      <c r="I1209" t="n">
        <v>6158</v>
      </c>
      <c r="J1209" t="inlineStr">
        <is>
          <t>Y</t>
        </is>
      </c>
      <c r="K1209" t="inlineStr">
        <is>
          <t>neoscapesmaldives.com</t>
        </is>
      </c>
      <c r="L1209" t="inlineStr">
        <is>
          <t>dmc-agency</t>
        </is>
      </c>
      <c r="M1209" t="inlineStr">
        <is>
          <t>https://www.neoscapesmaldives.com/wp-content/uploads/OBLU-NATURE-Helengeli-by-SENTIDO-BROCHURE-JULY-2026-WEB.pdf</t>
        </is>
      </c>
      <c r="N1209" t="inlineStr">
        <is>
          <t>https://www.neoscapesmaldives.com/wp-content/uploads/OBLU-NATURE-Helengeli-by-SENTIDO-BROCHURE-JULY-2026-WEB.pdf</t>
        </is>
      </c>
      <c r="O1209" t="inlineStr">
        <is>
          <t>5d5d1262bbccbf04cb263f8b854a4c32f486678aa7c04b8a8787380970810226</t>
        </is>
      </c>
      <c r="P1209" t="inlineStr">
        <is>
          <t>library/133_oblu-by-atmosphere-at-helengeli/brochure/2026_OBLU-NATURE-Helengeli-by-SENTIDO-BROCHURE-JULY-2026-WEB.pdf</t>
        </is>
      </c>
      <c r="R1209" t="inlineStr">
        <is>
          <t>current</t>
        </is>
      </c>
      <c r="S1209" t="inlineStr">
        <is>
          <t>Y</t>
        </is>
      </c>
      <c r="T1209" t="inlineStr">
        <is>
          <t>matched</t>
        </is>
      </c>
      <c r="U1209" t="inlineStr">
        <is>
          <t>2026-10-04</t>
        </is>
      </c>
      <c r="V1209" t="inlineStr"/>
    </row>
    <row r="1210">
      <c r="A1210" t="n">
        <v>134</v>
      </c>
      <c r="B1210" t="inlineStr">
        <is>
          <t>The St. Regis Vommuli Resort, Maldives</t>
        </is>
      </c>
      <c r="C1210" t="inlineStr">
        <is>
          <t>factsheet</t>
        </is>
      </c>
      <c r="D1210" t="inlineStr">
        <is>
          <t>2021_The-St.-Regis-Maldives-Fact-Sheet.pdf</t>
        </is>
      </c>
      <c r="E1210" t="n">
        <v>2021</v>
      </c>
      <c r="H1210" t="n">
        <v>3</v>
      </c>
      <c r="I1210" t="n">
        <v>2307</v>
      </c>
      <c r="J1210" t="inlineStr">
        <is>
          <t>Y</t>
        </is>
      </c>
      <c r="K1210" t="inlineStr">
        <is>
          <t>neoscapesmaldives.com</t>
        </is>
      </c>
      <c r="L1210" t="inlineStr">
        <is>
          <t>dmc-agency</t>
        </is>
      </c>
      <c r="M1210" t="inlineStr">
        <is>
          <t>https://www.neoscapesmaldives.com/wp-content/uploads/The-St.-Regis-Maldives-Fact-Sheet.pdf</t>
        </is>
      </c>
      <c r="N1210" t="inlineStr">
        <is>
          <t>https://www.neoscapesmaldives.com/wp-content/uploads/The-St.-Regis-Maldives-Fact-Sheet.pdf</t>
        </is>
      </c>
      <c r="O1210" t="inlineStr">
        <is>
          <t>0b20681c3a4d77351fabd77b99562b0bcdd6a9498564e313bdc20b98a607f024</t>
        </is>
      </c>
      <c r="P1210" t="inlineStr">
        <is>
          <t>library/134_the-st-regis-vommuli-resort-maldives/factsheet/2021_The-St.-Regis-Maldives-Fact-Sheet.pdf</t>
        </is>
      </c>
      <c r="R1210" t="inlineStr">
        <is>
          <t>outdated</t>
        </is>
      </c>
      <c r="S1210" t="inlineStr">
        <is>
          <t>Y</t>
        </is>
      </c>
      <c r="T1210" t="inlineStr">
        <is>
          <t>matched</t>
        </is>
      </c>
      <c r="U1210" t="inlineStr">
        <is>
          <t>2026-10-04</t>
        </is>
      </c>
      <c r="V1210" t="inlineStr"/>
    </row>
    <row r="1211">
      <c r="A1211" t="n">
        <v>134</v>
      </c>
      <c r="B1211" t="inlineStr">
        <is>
          <t>The St. Regis Vommuli Resort, Maldives</t>
        </is>
      </c>
      <c r="C1211" t="inlineStr">
        <is>
          <t>spa_menu</t>
        </is>
      </c>
      <c r="D1211" t="inlineStr">
        <is>
          <t>2026_The-St.-Regis-Maldives_Spa_02-1.pdf</t>
        </is>
      </c>
      <c r="E1211" t="n">
        <v>2026</v>
      </c>
      <c r="H1211" t="n">
        <v>1</v>
      </c>
      <c r="I1211" t="n">
        <v>1441</v>
      </c>
      <c r="J1211" t="inlineStr">
        <is>
          <t>N</t>
        </is>
      </c>
      <c r="K1211" t="inlineStr">
        <is>
          <t>letsgomaldives.com</t>
        </is>
      </c>
      <c r="L1211" t="inlineStr">
        <is>
          <t>dmc-agency</t>
        </is>
      </c>
      <c r="M1211" t="inlineStr">
        <is>
          <t>https://letsgomaldives.com/wp-content/uploads/2026/03/The-St.-Regis-Maldives_Spa_02-1.pdf</t>
        </is>
      </c>
      <c r="N1211" t="inlineStr">
        <is>
          <t>https://letsgomaldives.com/wp-content/uploads/2026/03/The-St.-Regis-Maldives_Spa_02-1.pdf | https://letsgomaldives.com/wp-content/uploads/2026/03/The-St.-Regis-Maldives_Spa_02.pdf</t>
        </is>
      </c>
      <c r="O1211" t="inlineStr">
        <is>
          <t>9563c936baf5d2f194235c7e6e0a159dcc6d61b9184ece7ddbcb1055cd1a3ab4</t>
        </is>
      </c>
      <c r="P1211" t="inlineStr">
        <is>
          <t>library/134_the-st-regis-vommuli-resort-maldives/spa_menu/2026_The-St.-Regis-Maldives_Spa_02-1.pdf</t>
        </is>
      </c>
      <c r="R1211" t="inlineStr">
        <is>
          <t>current</t>
        </is>
      </c>
      <c r="S1211" t="inlineStr">
        <is>
          <t>Y</t>
        </is>
      </c>
      <c r="T1211" t="inlineStr">
        <is>
          <t>matched</t>
        </is>
      </c>
      <c r="U1211" t="inlineStr">
        <is>
          <t>2026-10-04</t>
        </is>
      </c>
      <c r="V1211" t="inlineStr"/>
    </row>
    <row r="1212">
      <c r="A1212" t="n">
        <v>134</v>
      </c>
      <c r="B1212" t="inlineStr">
        <is>
          <t>The St. Regis Vommuli Resort, Maldives</t>
        </is>
      </c>
      <c r="C1212" t="inlineStr">
        <is>
          <t>dining_menu</t>
        </is>
      </c>
      <c r="D1212" t="inlineStr">
        <is>
          <t>2026_The-St.-Regis-Maldives_Eid_FB.pdf</t>
        </is>
      </c>
      <c r="E1212" t="n">
        <v>2026</v>
      </c>
      <c r="H1212" t="n">
        <v>1</v>
      </c>
      <c r="I1212" t="n">
        <v>2179</v>
      </c>
      <c r="J1212" t="inlineStr">
        <is>
          <t>Y</t>
        </is>
      </c>
      <c r="K1212" t="inlineStr">
        <is>
          <t>letsgomaldives.com</t>
        </is>
      </c>
      <c r="L1212" t="inlineStr">
        <is>
          <t>dmc-agency</t>
        </is>
      </c>
      <c r="M1212" t="inlineStr">
        <is>
          <t>https://letsgomaldives.com/wp-content/uploads/2026/03/The-St.-Regis-Maldives_Eid_FB.pdf</t>
        </is>
      </c>
      <c r="N1212" t="inlineStr">
        <is>
          <t>https://letsgomaldives.com/wp-content/uploads/2026/03/The-St.-Regis-Maldives_Eid_FB.pdf</t>
        </is>
      </c>
      <c r="O1212" t="inlineStr">
        <is>
          <t>fd7910a70de5ebc31a06c8e4aeac21e10ea2a7c3c471307f316ec035663126fa</t>
        </is>
      </c>
      <c r="P1212" t="inlineStr">
        <is>
          <t>library/134_the-st-regis-vommuli-resort-maldives/dining_menu/2026_The-St.-Regis-Maldives_Eid_FB.pdf</t>
        </is>
      </c>
      <c r="R1212" t="inlineStr">
        <is>
          <t>current</t>
        </is>
      </c>
      <c r="S1212" t="inlineStr">
        <is>
          <t>Y</t>
        </is>
      </c>
      <c r="T1212" t="inlineStr">
        <is>
          <t>matched</t>
        </is>
      </c>
      <c r="U1212" t="inlineStr">
        <is>
          <t>2026-10-04</t>
        </is>
      </c>
      <c r="V1212" t="inlineStr"/>
    </row>
    <row r="1213">
      <c r="A1213" t="n">
        <v>134</v>
      </c>
      <c r="B1213" t="inlineStr">
        <is>
          <t>The St. Regis Vommuli Resort, Maldives</t>
        </is>
      </c>
      <c r="C1213" t="inlineStr">
        <is>
          <t>excursions</t>
        </is>
      </c>
      <c r="D1213" t="inlineStr">
        <is>
          <t>2026_The-St.-Regis-Maldives_Flyer_Nauryz-Celebration-Childrens-Activities-22-23-March-2026.pdf</t>
        </is>
      </c>
      <c r="E1213" t="n">
        <v>2026</v>
      </c>
      <c r="H1213" t="n">
        <v>1</v>
      </c>
      <c r="I1213" t="n">
        <v>1468</v>
      </c>
      <c r="J1213" t="inlineStr">
        <is>
          <t>N</t>
        </is>
      </c>
      <c r="K1213" t="inlineStr">
        <is>
          <t>letsgomaldives.com</t>
        </is>
      </c>
      <c r="L1213" t="inlineStr">
        <is>
          <t>dmc-agency</t>
        </is>
      </c>
      <c r="M1213" t="inlineStr">
        <is>
          <t>https://letsgomaldives.com/wp-content/uploads/2026/03/The-St.-Regis-Maldives_Flyer_Nauryz-Celebration-Childrens-Activities-22-23-March-2026.pdf</t>
        </is>
      </c>
      <c r="N1213" t="inlineStr">
        <is>
          <t>https://letsgomaldives.com/wp-content/uploads/2026/03/The-St.-Regis-Maldives_Flyer_Nauryz-Celebration-Childrens-Activities-22-23-March-2026.pdf</t>
        </is>
      </c>
      <c r="O1213" t="inlineStr">
        <is>
          <t>d5f775cd747d67e9d7e5e24a99f8c5992b04dec6a70f0cc7418cb69fc7b91295</t>
        </is>
      </c>
      <c r="P1213" t="inlineStr">
        <is>
          <t>library/134_the-st-regis-vommuli-resort-maldives/excursions/2026_The-St.-Regis-Maldives_Flyer_Nauryz-Celebration-Childrens-Activities-22-23-March-2026.pdf</t>
        </is>
      </c>
      <c r="R1213" t="inlineStr">
        <is>
          <t>current</t>
        </is>
      </c>
      <c r="S1213" t="inlineStr">
        <is>
          <t>Y</t>
        </is>
      </c>
      <c r="T1213" t="inlineStr">
        <is>
          <t>matched</t>
        </is>
      </c>
      <c r="U1213" t="inlineStr">
        <is>
          <t>2026-10-04</t>
        </is>
      </c>
      <c r="V1213" t="inlineStr"/>
    </row>
    <row r="1214">
      <c r="A1214" t="n">
        <v>134</v>
      </c>
      <c r="B1214" t="inlineStr">
        <is>
          <t>The St. Regis Vommuli Resort, Maldives</t>
        </is>
      </c>
      <c r="C1214" t="inlineStr">
        <is>
          <t>excursions</t>
        </is>
      </c>
      <c r="D1214" t="inlineStr">
        <is>
          <t>2026_The-St.-Regis-Maldives_Childrens-Activities_Calendar_Eid-Al-Fitr-Celebrations-17-21-March-2026-.pdf</t>
        </is>
      </c>
      <c r="E1214" t="n">
        <v>2026</v>
      </c>
      <c r="H1214" t="n">
        <v>1</v>
      </c>
      <c r="I1214" t="n">
        <v>2500</v>
      </c>
      <c r="J1214" t="inlineStr">
        <is>
          <t>Y</t>
        </is>
      </c>
      <c r="K1214" t="inlineStr">
        <is>
          <t>letsgomaldives.com</t>
        </is>
      </c>
      <c r="L1214" t="inlineStr">
        <is>
          <t>dmc-agency</t>
        </is>
      </c>
      <c r="M1214" t="inlineStr">
        <is>
          <t>https://letsgomaldives.com/wp-content/uploads/2026/03/The-St.-Regis-Maldives_Childrens-Activities_Calendar_Eid-Al-Fitr-Celebrations-17-21-March-2026-.pdf</t>
        </is>
      </c>
      <c r="N1214" t="inlineStr">
        <is>
          <t>https://letsgomaldives.com/wp-content/uploads/2026/03/The-St.-Regis-Maldives_Childrens-Activities_Calendar_Eid-Al-Fitr-Celebrations-17-21-March-2026-.pdf</t>
        </is>
      </c>
      <c r="O1214" t="inlineStr">
        <is>
          <t>4506a54324111658533a1f91237fb84003b8d98703ab42e877b3f80a9d7a471d</t>
        </is>
      </c>
      <c r="P1214" t="inlineStr">
        <is>
          <t>library/134_the-st-regis-vommuli-resort-maldives/excursions/2026_The-St.-Regis-Maldives_Childrens-Activities_Calendar_Eid-Al-Fitr-Celebrations-17-21-March-2026-.pdf</t>
        </is>
      </c>
      <c r="R1214" t="inlineStr">
        <is>
          <t>current</t>
        </is>
      </c>
      <c r="S1214" t="inlineStr">
        <is>
          <t>N</t>
        </is>
      </c>
      <c r="T1214" t="inlineStr">
        <is>
          <t>matched</t>
        </is>
      </c>
      <c r="U1214" t="inlineStr">
        <is>
          <t>2026-10-04</t>
        </is>
      </c>
      <c r="V1214" t="inlineStr"/>
    </row>
    <row r="1215">
      <c r="A1215" t="n">
        <v>134</v>
      </c>
      <c r="B1215" t="inlineStr">
        <is>
          <t>The St. Regis Vommuli Resort, Maldives</t>
        </is>
      </c>
      <c r="C1215" t="inlineStr">
        <is>
          <t>calendar</t>
        </is>
      </c>
      <c r="D1215" t="inlineStr">
        <is>
          <t>2026_The-St.-Regis-Maldives-Vommuli-Resort_Easter-Brochure-2026.pdf</t>
        </is>
      </c>
      <c r="E1215" t="n">
        <v>2026</v>
      </c>
      <c r="H1215" t="n">
        <v>10</v>
      </c>
      <c r="I1215" t="n">
        <v>12076</v>
      </c>
      <c r="J1215" t="inlineStr">
        <is>
          <t>Y</t>
        </is>
      </c>
      <c r="K1215" t="inlineStr">
        <is>
          <t>letsgomaldives.com</t>
        </is>
      </c>
      <c r="L1215" t="inlineStr">
        <is>
          <t>dmc-agency</t>
        </is>
      </c>
      <c r="M1215" t="inlineStr">
        <is>
          <t>https://letsgomaldives.com/wp-content/uploads/2026/02/The-St.-Regis-Maldives-Vommuli-Resort_Easter-Brochure-2026.pdf</t>
        </is>
      </c>
      <c r="N1215" t="inlineStr">
        <is>
          <t>https://letsgomaldives.com/wp-content/uploads/2026/02/The-St.-Regis-Maldives-Vommuli-Resort_Easter-Brochure-2026.pdf</t>
        </is>
      </c>
      <c r="O1215" t="inlineStr">
        <is>
          <t>4f1f65984f5cfa5e4ea98fa823a6f34101516b0f2aee1d079f467012727509ca</t>
        </is>
      </c>
      <c r="P1215" t="inlineStr">
        <is>
          <t>library/134_the-st-regis-vommuli-resort-maldives/calendar/2026_The-St.-Regis-Maldives-Vommuli-Resort_Easter-Brochure-2026.pdf</t>
        </is>
      </c>
      <c r="R1215" t="inlineStr">
        <is>
          <t>current</t>
        </is>
      </c>
      <c r="S1215" t="inlineStr">
        <is>
          <t>Y</t>
        </is>
      </c>
      <c r="T1215" t="inlineStr">
        <is>
          <t>matched</t>
        </is>
      </c>
      <c r="U1215" t="inlineStr">
        <is>
          <t>2026-10-04</t>
        </is>
      </c>
      <c r="V1215" t="inlineStr"/>
    </row>
    <row r="1216">
      <c r="A1216" t="n">
        <v>135</v>
      </c>
      <c r="B1216" t="inlineStr">
        <is>
          <t>Diamonds Thudufushi Beach and Water Villas</t>
        </is>
      </c>
      <c r="C1216" t="inlineStr">
        <is>
          <t>factsheet</t>
        </is>
      </c>
      <c r="D1216" t="inlineStr">
        <is>
          <t>2019_Diamonds-Thudufushi-Fact-Sheet-2019.pdf</t>
        </is>
      </c>
      <c r="E1216" t="n">
        <v>2019</v>
      </c>
      <c r="H1216" t="n">
        <v>5</v>
      </c>
      <c r="I1216" t="n">
        <v>1098</v>
      </c>
      <c r="J1216" t="inlineStr">
        <is>
          <t>Y</t>
        </is>
      </c>
      <c r="K1216" t="inlineStr">
        <is>
          <t>neoscapesmaldives.com</t>
        </is>
      </c>
      <c r="L1216" t="inlineStr">
        <is>
          <t>dmc-agency</t>
        </is>
      </c>
      <c r="M1216" t="inlineStr">
        <is>
          <t>https://neoscapesmaldives.com/wp-content/uploads/Diamonds-Thudufushi-Fact-Sheet-2019.pdf</t>
        </is>
      </c>
      <c r="N1216" t="inlineStr">
        <is>
          <t>https://neoscapesmaldives.com/wp-content/uploads/Diamonds-Thudufushi-Fact-Sheet-2019.pdf</t>
        </is>
      </c>
      <c r="O1216" t="inlineStr">
        <is>
          <t>76c73332e09ac95d16e212235433411252de54c87528923371e4265a16493a53</t>
        </is>
      </c>
      <c r="P1216" t="inlineStr">
        <is>
          <t>library/135_diamonds-thudufushi-beach-and-water-villas/factsheet/2019_Diamonds-Thudufushi-Fact-Sheet-2019.pdf</t>
        </is>
      </c>
      <c r="R1216" t="inlineStr">
        <is>
          <t>outdated</t>
        </is>
      </c>
      <c r="S1216" t="inlineStr">
        <is>
          <t>Y</t>
        </is>
      </c>
      <c r="T1216" t="inlineStr">
        <is>
          <t>matched</t>
        </is>
      </c>
      <c r="U1216" t="inlineStr">
        <is>
          <t>2026-10-04</t>
        </is>
      </c>
      <c r="V1216" t="inlineStr"/>
    </row>
    <row r="1217">
      <c r="A1217" t="n">
        <v>135</v>
      </c>
      <c r="B1217" t="inlineStr">
        <is>
          <t>Diamonds Thudufushi Beach and Water Villas</t>
        </is>
      </c>
      <c r="C1217" t="inlineStr">
        <is>
          <t>map</t>
        </is>
      </c>
      <c r="D1217" t="inlineStr">
        <is>
          <t>2020_Diamonds-Thudufushi-Map.pdf</t>
        </is>
      </c>
      <c r="E1217" t="n">
        <v>2020</v>
      </c>
      <c r="H1217" t="n">
        <v>1</v>
      </c>
      <c r="I1217" t="n">
        <v>127</v>
      </c>
      <c r="J1217" t="inlineStr">
        <is>
          <t>N</t>
        </is>
      </c>
      <c r="K1217" t="inlineStr">
        <is>
          <t>neoscapesmaldives.com</t>
        </is>
      </c>
      <c r="L1217" t="inlineStr">
        <is>
          <t>dmc-agency</t>
        </is>
      </c>
      <c r="M1217" t="inlineStr">
        <is>
          <t>https://www.neoscapesmaldives.com/wp-content/uploads/Diamonds-Thudufushi-Map.pdf</t>
        </is>
      </c>
      <c r="N1217" t="inlineStr">
        <is>
          <t>https://www.neoscapesmaldives.com/wp-content/uploads/Diamonds-Thudufushi-Map.pdf</t>
        </is>
      </c>
      <c r="O1217" t="inlineStr">
        <is>
          <t>1886f544b9256a8bc8a9a42b26c3c86cc8256168cd3e20a6da1e278dcb87c57f</t>
        </is>
      </c>
      <c r="P1217" t="inlineStr">
        <is>
          <t>library/135_diamonds-thudufushi-beach-and-water-villas/map/2020_Diamonds-Thudufushi-Map.pdf</t>
        </is>
      </c>
      <c r="R1217" t="inlineStr">
        <is>
          <t>outdated</t>
        </is>
      </c>
      <c r="S1217" t="inlineStr">
        <is>
          <t>Y</t>
        </is>
      </c>
      <c r="T1217" t="inlineStr">
        <is>
          <t>matched</t>
        </is>
      </c>
      <c r="U1217" t="inlineStr">
        <is>
          <t>2026-10-04</t>
        </is>
      </c>
      <c r="V1217" t="inlineStr"/>
    </row>
    <row r="1218">
      <c r="A1218" t="n">
        <v>135</v>
      </c>
      <c r="B1218" t="inlineStr">
        <is>
          <t>Diamonds Thudufushi Beach and Water Villas</t>
        </is>
      </c>
      <c r="C1218" t="inlineStr">
        <is>
          <t>dining_menu</t>
        </is>
      </c>
      <c r="D1218" t="inlineStr">
        <is>
          <t>2018_Diamonds-Resorts_Gentleman-Italia-Top-Hotels-Resorts_Nov-2018.pdf</t>
        </is>
      </c>
      <c r="E1218" t="n">
        <v>2018</v>
      </c>
      <c r="H1218" t="n">
        <v>3</v>
      </c>
      <c r="I1218" t="n">
        <v>2305</v>
      </c>
      <c r="J1218" t="inlineStr">
        <is>
          <t>Y</t>
        </is>
      </c>
      <c r="K1218" t="inlineStr">
        <is>
          <t>planhotel.com</t>
        </is>
      </c>
      <c r="L1218" t="inlineStr">
        <is>
          <t>official</t>
        </is>
      </c>
      <c r="M1218" t="inlineStr">
        <is>
          <t>https://d1vp8nomjxwyf1.cloudfront.net/wp-content/uploads/sites/212/2017/07/21144133/Diamonds-Resorts_Gentleman-Italia-Top-Hotels-Resorts_Nov-2018.pdf</t>
        </is>
      </c>
      <c r="N1218" t="inlineStr">
        <is>
          <t>https://d1vp8nomjxwyf1.cloudfront.net/wp-content/uploads/sites/212/2017/07/21144133/Diamonds-Resorts_Gentleman-Italia-Top-Hotels-Resorts_Nov-2018.pdf</t>
        </is>
      </c>
      <c r="O1218" t="inlineStr">
        <is>
          <t>21b461beaa59c6df414dbb9bf811433df08382d394c864dfcedf011e0bd3ca71</t>
        </is>
      </c>
      <c r="P1218" t="inlineStr">
        <is>
          <t>library/135_diamonds-thudufushi-beach-and-water-villas/dining_menu/2018_Diamonds-Resorts_Gentleman-Italia-Top-Hotels-Resorts_Nov-2018.pdf</t>
        </is>
      </c>
      <c r="R1218" t="inlineStr">
        <is>
          <t>outdated</t>
        </is>
      </c>
      <c r="S1218" t="inlineStr">
        <is>
          <t>N</t>
        </is>
      </c>
      <c r="T1218" t="inlineStr">
        <is>
          <t>needs-review</t>
        </is>
      </c>
      <c r="U1218" t="inlineStr">
        <is>
          <t>2026-10-04</t>
        </is>
      </c>
      <c r="V1218" t="inlineStr">
        <is>
          <t>ambiguous match [135, 178]</t>
        </is>
      </c>
    </row>
    <row r="1219">
      <c r="A1219" t="n">
        <v>178</v>
      </c>
      <c r="B1219" t="inlineStr">
        <is>
          <t>Diamonds Athuruga Beach &amp; Water Villas</t>
        </is>
      </c>
      <c r="C1219" t="inlineStr">
        <is>
          <t>dining_menu</t>
        </is>
      </c>
      <c r="D1219" t="inlineStr">
        <is>
          <t>2018_Diamonds-Resorts_Gentleman-Italia-Top-Hotels-Resorts_Nov-2018.pdf</t>
        </is>
      </c>
      <c r="E1219" t="n">
        <v>2018</v>
      </c>
      <c r="H1219" t="n">
        <v>3</v>
      </c>
      <c r="I1219" t="n">
        <v>2305</v>
      </c>
      <c r="J1219" t="inlineStr">
        <is>
          <t>Y</t>
        </is>
      </c>
      <c r="K1219" t="inlineStr">
        <is>
          <t>planhotel.com</t>
        </is>
      </c>
      <c r="L1219" t="inlineStr">
        <is>
          <t>official</t>
        </is>
      </c>
      <c r="M1219" t="inlineStr">
        <is>
          <t>https://d1vp8nomjxwyf1.cloudfront.net/wp-content/uploads/sites/212/2017/07/21144133/Diamonds-Resorts_Gentleman-Italia-Top-Hotels-Resorts_Nov-2018.pdf</t>
        </is>
      </c>
      <c r="N1219" t="inlineStr">
        <is>
          <t>https://d1vp8nomjxwyf1.cloudfront.net/wp-content/uploads/sites/212/2017/07/21144133/Diamonds-Resorts_Gentleman-Italia-Top-Hotels-Resorts_Nov-2018.pdf</t>
        </is>
      </c>
      <c r="O1219" t="inlineStr">
        <is>
          <t>21b461beaa59c6df414dbb9bf811433df08382d394c864dfcedf011e0bd3ca71</t>
        </is>
      </c>
      <c r="P1219" t="inlineStr">
        <is>
          <t>library/135_diamonds-thudufushi-beach-and-water-villas/dining_menu/2018_Diamonds-Resorts_Gentleman-Italia-Top-Hotels-Resorts_Nov-2018.pdf</t>
        </is>
      </c>
      <c r="R1219" t="inlineStr">
        <is>
          <t>outdated</t>
        </is>
      </c>
      <c r="S1219" t="inlineStr">
        <is>
          <t>N</t>
        </is>
      </c>
      <c r="T1219" t="inlineStr">
        <is>
          <t>needs-review</t>
        </is>
      </c>
      <c r="U1219" t="inlineStr">
        <is>
          <t>2026-10-04</t>
        </is>
      </c>
      <c r="V1219" t="inlineStr">
        <is>
          <t>ambiguous match [135, 178]</t>
        </is>
      </c>
    </row>
    <row r="1220">
      <c r="A1220" t="n">
        <v>135</v>
      </c>
      <c r="B1220" t="inlineStr">
        <is>
          <t>Diamonds Thudufushi Beach and Water Villas</t>
        </is>
      </c>
      <c r="C1220" t="inlineStr">
        <is>
          <t>dive_prices</t>
        </is>
      </c>
      <c r="D1220" t="inlineStr">
        <is>
          <t>2019_WALLSTREETITALIA_DIAMONDSRESORTS.pdf</t>
        </is>
      </c>
      <c r="E1220" t="n">
        <v>2019</v>
      </c>
      <c r="H1220" t="n">
        <v>3</v>
      </c>
      <c r="I1220" t="n">
        <v>4248</v>
      </c>
      <c r="J1220" t="inlineStr">
        <is>
          <t>Y</t>
        </is>
      </c>
      <c r="K1220" t="inlineStr">
        <is>
          <t>planhotel.com</t>
        </is>
      </c>
      <c r="L1220" t="inlineStr">
        <is>
          <t>official</t>
        </is>
      </c>
      <c r="M1220" t="inlineStr">
        <is>
          <t>https://d1vp8nomjxwyf1.cloudfront.net/wp-content/uploads/sites/110/2017/03/17111448/WALLSTREETITALIA_DIAMONDSRESORTS.pdf</t>
        </is>
      </c>
      <c r="N1220" t="inlineStr">
        <is>
          <t>https://d1vp8nomjxwyf1.cloudfront.net/wp-content/uploads/sites/110/2017/03/17111448/WALLSTREETITALIA_DIAMONDSRESORTS.pdf</t>
        </is>
      </c>
      <c r="O1220" t="inlineStr">
        <is>
          <t>3361e2575fd3f83484eacf50a985b2439a693042b8a30f6d470f0ac15182bbbb</t>
        </is>
      </c>
      <c r="P1220" t="inlineStr">
        <is>
          <t>library/135_diamonds-thudufushi-beach-and-water-villas/dive_prices/2019_WALLSTREETITALIA_DIAMONDSRESORTS.pdf</t>
        </is>
      </c>
      <c r="R1220" t="inlineStr">
        <is>
          <t>outdated</t>
        </is>
      </c>
      <c r="S1220" t="inlineStr">
        <is>
          <t>Y</t>
        </is>
      </c>
      <c r="T1220" t="inlineStr">
        <is>
          <t>matched</t>
        </is>
      </c>
      <c r="U1220" t="inlineStr">
        <is>
          <t>2026-10-04</t>
        </is>
      </c>
      <c r="V1220" t="inlineStr"/>
    </row>
    <row r="1221">
      <c r="A1221" t="n">
        <v>135</v>
      </c>
      <c r="B1221" t="inlineStr">
        <is>
          <t>Diamonds Thudufushi Beach and Water Villas</t>
        </is>
      </c>
      <c r="C1221" t="inlineStr">
        <is>
          <t>dive_prices</t>
        </is>
      </c>
      <c r="D1221" t="inlineStr">
        <is>
          <t>2017_Society-Magazine-2017-Diamonds-Resorts-5-2.pdf</t>
        </is>
      </c>
      <c r="E1221" t="n">
        <v>2017</v>
      </c>
      <c r="H1221" t="n">
        <v>4</v>
      </c>
      <c r="I1221" t="n">
        <v>1116</v>
      </c>
      <c r="J1221" t="inlineStr">
        <is>
          <t>Y</t>
        </is>
      </c>
      <c r="K1221" t="inlineStr">
        <is>
          <t>planhotel.com</t>
        </is>
      </c>
      <c r="L1221" t="inlineStr">
        <is>
          <t>official</t>
        </is>
      </c>
      <c r="M1221" t="inlineStr">
        <is>
          <t>https://d1vp8nomjxwyf1.cloudfront.net/wp-content/uploads/sites/110/2017/03/13084012/Society-Magazine-2017-Diamonds-Resorts-5-2.pdf</t>
        </is>
      </c>
      <c r="N1221" t="inlineStr">
        <is>
          <t>https://d1vp8nomjxwyf1.cloudfront.net/wp-content/uploads/sites/110/2017/03/13084012/Society-Magazine-2017-Diamonds-Resorts-5-2.pdf</t>
        </is>
      </c>
      <c r="O1221" t="inlineStr">
        <is>
          <t>d1bffc8ebc1311d14b4f08bd9e2e022e4f4bb6733b262117f8146da9969a04e3</t>
        </is>
      </c>
      <c r="P1221" t="inlineStr">
        <is>
          <t>library/135_diamonds-thudufushi-beach-and-water-villas/dive_prices/2017_Society-Magazine-2017-Diamonds-Resorts-5-2.pdf</t>
        </is>
      </c>
      <c r="R1221" t="inlineStr">
        <is>
          <t>outdated</t>
        </is>
      </c>
      <c r="S1221" t="inlineStr">
        <is>
          <t>Y</t>
        </is>
      </c>
      <c r="T1221" t="inlineStr">
        <is>
          <t>needs-review</t>
        </is>
      </c>
      <c r="U1221" t="inlineStr">
        <is>
          <t>2026-10-04</t>
        </is>
      </c>
      <c r="V1221" t="inlineStr">
        <is>
          <t>ambiguous match [135, 178]</t>
        </is>
      </c>
    </row>
    <row r="1222">
      <c r="A1222" t="n">
        <v>178</v>
      </c>
      <c r="B1222" t="inlineStr">
        <is>
          <t>Diamonds Athuruga Beach &amp; Water Villas</t>
        </is>
      </c>
      <c r="C1222" t="inlineStr">
        <is>
          <t>dive_prices</t>
        </is>
      </c>
      <c r="D1222" t="inlineStr">
        <is>
          <t>2017_Society-Magazine-2017-Diamonds-Resorts-5-2.pdf</t>
        </is>
      </c>
      <c r="E1222" t="n">
        <v>2017</v>
      </c>
      <c r="H1222" t="n">
        <v>4</v>
      </c>
      <c r="I1222" t="n">
        <v>1116</v>
      </c>
      <c r="J1222" t="inlineStr">
        <is>
          <t>Y</t>
        </is>
      </c>
      <c r="K1222" t="inlineStr">
        <is>
          <t>planhotel.com</t>
        </is>
      </c>
      <c r="L1222" t="inlineStr">
        <is>
          <t>official</t>
        </is>
      </c>
      <c r="M1222" t="inlineStr">
        <is>
          <t>https://d1vp8nomjxwyf1.cloudfront.net/wp-content/uploads/sites/110/2017/03/13084012/Society-Magazine-2017-Diamonds-Resorts-5-2.pdf</t>
        </is>
      </c>
      <c r="N1222" t="inlineStr">
        <is>
          <t>https://d1vp8nomjxwyf1.cloudfront.net/wp-content/uploads/sites/110/2017/03/13084012/Society-Magazine-2017-Diamonds-Resorts-5-2.pdf</t>
        </is>
      </c>
      <c r="O1222" t="inlineStr">
        <is>
          <t>d1bffc8ebc1311d14b4f08bd9e2e022e4f4bb6733b262117f8146da9969a04e3</t>
        </is>
      </c>
      <c r="P1222" t="inlineStr">
        <is>
          <t>library/135_diamonds-thudufushi-beach-and-water-villas/dive_prices/2017_Society-Magazine-2017-Diamonds-Resorts-5-2.pdf</t>
        </is>
      </c>
      <c r="R1222" t="inlineStr">
        <is>
          <t>outdated</t>
        </is>
      </c>
      <c r="S1222" t="inlineStr">
        <is>
          <t>Y</t>
        </is>
      </c>
      <c r="T1222" t="inlineStr">
        <is>
          <t>needs-review</t>
        </is>
      </c>
      <c r="U1222" t="inlineStr">
        <is>
          <t>2026-10-04</t>
        </is>
      </c>
      <c r="V1222" t="inlineStr">
        <is>
          <t>ambiguous match [135, 178]</t>
        </is>
      </c>
    </row>
    <row r="1223">
      <c r="A1223" t="n">
        <v>135</v>
      </c>
      <c r="B1223" t="inlineStr">
        <is>
          <t>Diamonds Thudufushi Beach and Water Villas</t>
        </is>
      </c>
      <c r="C1223" t="inlineStr">
        <is>
          <t>villa_plans</t>
        </is>
      </c>
      <c r="D1223" t="inlineStr">
        <is>
          <t>2019_VANITYFAIR.pdf</t>
        </is>
      </c>
      <c r="E1223" t="n">
        <v>2019</v>
      </c>
      <c r="H1223" t="n">
        <v>4</v>
      </c>
      <c r="I1223" t="n">
        <v>1146</v>
      </c>
      <c r="J1223" t="inlineStr">
        <is>
          <t>Y</t>
        </is>
      </c>
      <c r="K1223" t="inlineStr">
        <is>
          <t>planhotel.com</t>
        </is>
      </c>
      <c r="L1223" t="inlineStr">
        <is>
          <t>official</t>
        </is>
      </c>
      <c r="M1223" t="inlineStr">
        <is>
          <t>https://d1vp8nomjxwyf1.cloudfront.net/wp-content/uploads/sites/110/2017/03/27134941/VANITYFAIR.pdf</t>
        </is>
      </c>
      <c r="N1223" t="inlineStr">
        <is>
          <t>https://d1vp8nomjxwyf1.cloudfront.net/wp-content/uploads/sites/110/2017/03/27134941/VANITYFAIR.pdf</t>
        </is>
      </c>
      <c r="O1223" t="inlineStr">
        <is>
          <t>3db8cb04cda2fd4221f3f723867c23e5f46b42e4afbe34b89983234a7781523e</t>
        </is>
      </c>
      <c r="P1223" t="inlineStr">
        <is>
          <t>library/135_diamonds-thudufushi-beach-and-water-villas/villa_plans/2019_VANITYFAIR.pdf</t>
        </is>
      </c>
      <c r="R1223" t="inlineStr">
        <is>
          <t>outdated</t>
        </is>
      </c>
      <c r="S1223" t="inlineStr">
        <is>
          <t>Y</t>
        </is>
      </c>
      <c r="T1223" t="inlineStr">
        <is>
          <t>needs-review</t>
        </is>
      </c>
      <c r="U1223" t="inlineStr">
        <is>
          <t>2026-10-04</t>
        </is>
      </c>
      <c r="V1223" t="inlineStr">
        <is>
          <t>ambiguous match [135, 178]</t>
        </is>
      </c>
    </row>
    <row r="1224">
      <c r="A1224" t="n">
        <v>178</v>
      </c>
      <c r="B1224" t="inlineStr">
        <is>
          <t>Diamonds Athuruga Beach &amp; Water Villas</t>
        </is>
      </c>
      <c r="C1224" t="inlineStr">
        <is>
          <t>villa_plans</t>
        </is>
      </c>
      <c r="D1224" t="inlineStr">
        <is>
          <t>2019_VANITYFAIR.pdf</t>
        </is>
      </c>
      <c r="E1224" t="n">
        <v>2019</v>
      </c>
      <c r="H1224" t="n">
        <v>4</v>
      </c>
      <c r="I1224" t="n">
        <v>1146</v>
      </c>
      <c r="J1224" t="inlineStr">
        <is>
          <t>Y</t>
        </is>
      </c>
      <c r="K1224" t="inlineStr">
        <is>
          <t>planhotel.com</t>
        </is>
      </c>
      <c r="L1224" t="inlineStr">
        <is>
          <t>official</t>
        </is>
      </c>
      <c r="M1224" t="inlineStr">
        <is>
          <t>https://d1vp8nomjxwyf1.cloudfront.net/wp-content/uploads/sites/110/2017/03/27134941/VANITYFAIR.pdf</t>
        </is>
      </c>
      <c r="N1224" t="inlineStr">
        <is>
          <t>https://d1vp8nomjxwyf1.cloudfront.net/wp-content/uploads/sites/110/2017/03/27134941/VANITYFAIR.pdf</t>
        </is>
      </c>
      <c r="O1224" t="inlineStr">
        <is>
          <t>3db8cb04cda2fd4221f3f723867c23e5f46b42e4afbe34b89983234a7781523e</t>
        </is>
      </c>
      <c r="P1224" t="inlineStr">
        <is>
          <t>library/135_diamonds-thudufushi-beach-and-water-villas/villa_plans/2019_VANITYFAIR.pdf</t>
        </is>
      </c>
      <c r="R1224" t="inlineStr">
        <is>
          <t>outdated</t>
        </is>
      </c>
      <c r="S1224" t="inlineStr">
        <is>
          <t>Y</t>
        </is>
      </c>
      <c r="T1224" t="inlineStr">
        <is>
          <t>needs-review</t>
        </is>
      </c>
      <c r="U1224" t="inlineStr">
        <is>
          <t>2026-10-04</t>
        </is>
      </c>
      <c r="V1224" t="inlineStr">
        <is>
          <t>ambiguous match [135, 178]</t>
        </is>
      </c>
    </row>
    <row r="1225">
      <c r="A1225" t="n">
        <v>135</v>
      </c>
      <c r="B1225" t="inlineStr">
        <is>
          <t>Diamonds Thudufushi Beach and Water Villas</t>
        </is>
      </c>
      <c r="C1225" t="inlineStr">
        <is>
          <t>villa_plans</t>
        </is>
      </c>
      <c r="D1225" t="inlineStr">
        <is>
          <t>2018_Excellence-Magazine.pdf</t>
        </is>
      </c>
      <c r="E1225" t="n">
        <v>2018</v>
      </c>
      <c r="H1225" t="n">
        <v>7</v>
      </c>
      <c r="I1225" t="n">
        <v>615</v>
      </c>
      <c r="J1225" t="inlineStr">
        <is>
          <t>Y</t>
        </is>
      </c>
      <c r="K1225" t="inlineStr">
        <is>
          <t>planhotel.com</t>
        </is>
      </c>
      <c r="L1225" t="inlineStr">
        <is>
          <t>official</t>
        </is>
      </c>
      <c r="M1225" t="inlineStr">
        <is>
          <t>https://d1vp8nomjxwyf1.cloudfront.net/wp-content/uploads/sites/110/2017/03/07095823/Excellence-Magazine.pdf</t>
        </is>
      </c>
      <c r="N1225" t="inlineStr">
        <is>
          <t>https://d1vp8nomjxwyf1.cloudfront.net/wp-content/uploads/sites/110/2017/03/07095823/Excellence-Magazine.pdf | https://d1vp8nomjxwyf1.cloudfront.net/wp-content/uploads/sites/109/2017/03/07095342/Excellence-Magazine.pdf</t>
        </is>
      </c>
      <c r="O1225" t="inlineStr">
        <is>
          <t>b3fe21622d28d99e4606c2ea4929601fd780374abb4710aa054f5ca8fb9ff837</t>
        </is>
      </c>
      <c r="P1225" t="inlineStr">
        <is>
          <t>library/135_diamonds-thudufushi-beach-and-water-villas/villa_plans/2018_Excellence-Magazine.pdf</t>
        </is>
      </c>
      <c r="R1225" t="inlineStr">
        <is>
          <t>outdated</t>
        </is>
      </c>
      <c r="S1225" t="inlineStr">
        <is>
          <t>N</t>
        </is>
      </c>
      <c r="T1225" t="inlineStr">
        <is>
          <t>needs-review</t>
        </is>
      </c>
      <c r="U1225" t="inlineStr">
        <is>
          <t>2026-10-04</t>
        </is>
      </c>
      <c r="V1225" t="inlineStr">
        <is>
          <t>ambiguous match [135, 178]</t>
        </is>
      </c>
    </row>
    <row r="1226">
      <c r="A1226" t="n">
        <v>178</v>
      </c>
      <c r="B1226" t="inlineStr">
        <is>
          <t>Diamonds Athuruga Beach &amp; Water Villas</t>
        </is>
      </c>
      <c r="C1226" t="inlineStr">
        <is>
          <t>villa_plans</t>
        </is>
      </c>
      <c r="D1226" t="inlineStr">
        <is>
          <t>2018_Excellence-Magazine.pdf</t>
        </is>
      </c>
      <c r="E1226" t="n">
        <v>2018</v>
      </c>
      <c r="H1226" t="n">
        <v>7</v>
      </c>
      <c r="I1226" t="n">
        <v>615</v>
      </c>
      <c r="J1226" t="inlineStr">
        <is>
          <t>Y</t>
        </is>
      </c>
      <c r="K1226" t="inlineStr">
        <is>
          <t>planhotel.com</t>
        </is>
      </c>
      <c r="L1226" t="inlineStr">
        <is>
          <t>official</t>
        </is>
      </c>
      <c r="M1226" t="inlineStr">
        <is>
          <t>https://d1vp8nomjxwyf1.cloudfront.net/wp-content/uploads/sites/110/2017/03/07095823/Excellence-Magazine.pdf</t>
        </is>
      </c>
      <c r="N1226" t="inlineStr">
        <is>
          <t>https://d1vp8nomjxwyf1.cloudfront.net/wp-content/uploads/sites/110/2017/03/07095823/Excellence-Magazine.pdf | https://d1vp8nomjxwyf1.cloudfront.net/wp-content/uploads/sites/109/2017/03/07095342/Excellence-Magazine.pdf</t>
        </is>
      </c>
      <c r="O1226" t="inlineStr">
        <is>
          <t>b3fe21622d28d99e4606c2ea4929601fd780374abb4710aa054f5ca8fb9ff837</t>
        </is>
      </c>
      <c r="P1226" t="inlineStr">
        <is>
          <t>library/135_diamonds-thudufushi-beach-and-water-villas/villa_plans/2018_Excellence-Magazine.pdf</t>
        </is>
      </c>
      <c r="R1226" t="inlineStr">
        <is>
          <t>outdated</t>
        </is>
      </c>
      <c r="S1226" t="inlineStr">
        <is>
          <t>N</t>
        </is>
      </c>
      <c r="T1226" t="inlineStr">
        <is>
          <t>needs-review</t>
        </is>
      </c>
      <c r="U1226" t="inlineStr">
        <is>
          <t>2026-10-04</t>
        </is>
      </c>
      <c r="V1226" t="inlineStr">
        <is>
          <t>ambiguous match [135, 178]</t>
        </is>
      </c>
    </row>
    <row r="1227">
      <c r="A1227" t="n">
        <v>135</v>
      </c>
      <c r="B1227" t="inlineStr">
        <is>
          <t>Diamonds Thudufushi Beach and Water Villas</t>
        </is>
      </c>
      <c r="C1227" t="inlineStr">
        <is>
          <t>other</t>
        </is>
      </c>
      <c r="D1227" t="inlineStr">
        <is>
          <t>2019_Diamonds-Thudufushi.pdf</t>
        </is>
      </c>
      <c r="E1227" t="n">
        <v>2019</v>
      </c>
      <c r="H1227" t="n">
        <v>13</v>
      </c>
      <c r="I1227" t="n">
        <v>6246</v>
      </c>
      <c r="J1227" t="inlineStr">
        <is>
          <t>Y</t>
        </is>
      </c>
      <c r="K1227" t="inlineStr">
        <is>
          <t>planhotel.com</t>
        </is>
      </c>
      <c r="L1227" t="inlineStr">
        <is>
          <t>official</t>
        </is>
      </c>
      <c r="M1227" t="inlineStr">
        <is>
          <t>https://d1vp8nomjxwyf1.cloudfront.net/wp-content/uploads/sites/212/2023/03/17095041/Diamonds-Thudufushi.pdf</t>
        </is>
      </c>
      <c r="N1227" t="inlineStr">
        <is>
          <t>https://d1vp8nomjxwyf1.cloudfront.net/wp-content/uploads/sites/212/2023/03/17095041/Diamonds-Thudufushi.pdf</t>
        </is>
      </c>
      <c r="O1227" t="inlineStr">
        <is>
          <t>b843867382b326348dcc03fd7e66a6f9b562a0fd8b05312007211a38c2d678c1</t>
        </is>
      </c>
      <c r="P1227" t="inlineStr">
        <is>
          <t>library/135_diamonds-thudufushi-beach-and-water-villas/other/2019_Diamonds-Thudufushi.pdf</t>
        </is>
      </c>
      <c r="R1227" t="inlineStr">
        <is>
          <t>outdated</t>
        </is>
      </c>
      <c r="S1227" t="inlineStr">
        <is>
          <t>Y</t>
        </is>
      </c>
      <c r="T1227" t="inlineStr">
        <is>
          <t>matched</t>
        </is>
      </c>
      <c r="U1227" t="inlineStr">
        <is>
          <t>2026-10-04</t>
        </is>
      </c>
      <c r="V1227" t="inlineStr"/>
    </row>
    <row r="1228">
      <c r="A1228" t="n">
        <v>136</v>
      </c>
      <c r="B1228" t="inlineStr">
        <is>
          <t>Finolhu Baa Atoll Maldives</t>
        </is>
      </c>
      <c r="C1228" t="inlineStr">
        <is>
          <t>factsheet</t>
        </is>
      </c>
      <c r="D1228" t="inlineStr">
        <is>
          <t>2021_Finolhu-2021FactSheet_English-1.pdf</t>
        </is>
      </c>
      <c r="E1228" t="n">
        <v>2021</v>
      </c>
      <c r="H1228" t="n">
        <v>5</v>
      </c>
      <c r="I1228" t="n">
        <v>2179</v>
      </c>
      <c r="J1228" t="inlineStr">
        <is>
          <t>Y</t>
        </is>
      </c>
      <c r="K1228" t="inlineStr">
        <is>
          <t>neoscapesmaldives.com</t>
        </is>
      </c>
      <c r="L1228" t="inlineStr">
        <is>
          <t>dmc-agency</t>
        </is>
      </c>
      <c r="M1228" t="inlineStr">
        <is>
          <t>https://www.neoscapesmaldives.com/wp-content/uploads/Finolhu-2021FactSheet_English-1.pdf</t>
        </is>
      </c>
      <c r="N1228" t="inlineStr">
        <is>
          <t>https://www.neoscapesmaldives.com/wp-content/uploads/Finolhu-2021FactSheet_English-1.pdf</t>
        </is>
      </c>
      <c r="O1228" t="inlineStr">
        <is>
          <t>9932bee26f4ecf0dc6f10e7f338456e138da75172e9b8690eb5733f226de0d74</t>
        </is>
      </c>
      <c r="P1228" t="inlineStr">
        <is>
          <t>library/136_finolhu-baa-atoll-maldives/factsheet/2021_Finolhu-2021FactSheet_English-1.pdf</t>
        </is>
      </c>
      <c r="R1228" t="inlineStr">
        <is>
          <t>outdated</t>
        </is>
      </c>
      <c r="S1228" t="inlineStr">
        <is>
          <t>Y</t>
        </is>
      </c>
      <c r="T1228" t="inlineStr">
        <is>
          <t>matched</t>
        </is>
      </c>
      <c r="U1228" t="inlineStr">
        <is>
          <t>2026-10-04</t>
        </is>
      </c>
      <c r="V1228" t="inlineStr"/>
    </row>
    <row r="1229">
      <c r="A1229" t="n">
        <v>136</v>
      </c>
      <c r="B1229" t="inlineStr">
        <is>
          <t>Finolhu Baa Atoll Maldives</t>
        </is>
      </c>
      <c r="C1229" t="inlineStr">
        <is>
          <t>events</t>
        </is>
      </c>
      <c r="D1229" t="inlineStr">
        <is>
          <t>2025_D2MD-MICE-Brochure-2.pdf</t>
        </is>
      </c>
      <c r="E1229" t="n">
        <v>2025</v>
      </c>
      <c r="H1229" t="n">
        <v>10</v>
      </c>
      <c r="I1229" t="n">
        <v>51530</v>
      </c>
      <c r="J1229" t="inlineStr">
        <is>
          <t>Y</t>
        </is>
      </c>
      <c r="K1229" t="inlineStr">
        <is>
          <t>neoscapesmaldives.com</t>
        </is>
      </c>
      <c r="L1229" t="inlineStr">
        <is>
          <t>dmc-agency</t>
        </is>
      </c>
      <c r="M1229" t="inlineStr">
        <is>
          <t>https://www.neoscapesmaldives.com/wp-content/uploads/D2MD-MICE-Brochure-2.pdf</t>
        </is>
      </c>
      <c r="N1229" t="inlineStr">
        <is>
          <t>https://www.neoscapesmaldives.com/wp-content/uploads/D2MD-MICE-Brochure-2.pdf</t>
        </is>
      </c>
      <c r="O1229" t="inlineStr">
        <is>
          <t>2323e90ccea92a222b1795398d8e00d37a74479a82d7a83c138cd865af0d73bf</t>
        </is>
      </c>
      <c r="P1229" t="inlineStr">
        <is>
          <t>library/136_finolhu-baa-atoll-maldives/events/2025_D2MD-MICE-Brochure-2.pdf</t>
        </is>
      </c>
      <c r="R1229" t="inlineStr">
        <is>
          <t>current</t>
        </is>
      </c>
      <c r="S1229" t="inlineStr">
        <is>
          <t>Y</t>
        </is>
      </c>
      <c r="T1229" t="inlineStr">
        <is>
          <t>matched</t>
        </is>
      </c>
      <c r="U1229" t="inlineStr">
        <is>
          <t>2026-10-04</t>
        </is>
      </c>
      <c r="V1229" t="inlineStr"/>
    </row>
    <row r="1230">
      <c r="A1230" t="n">
        <v>136</v>
      </c>
      <c r="B1230" t="inlineStr">
        <is>
          <t>Finolhu Baa Atoll Maldives</t>
        </is>
      </c>
      <c r="C1230" t="inlineStr">
        <is>
          <t>map</t>
        </is>
      </c>
      <c r="D1230" t="inlineStr">
        <is>
          <t>2020_Island-Map-Portrait-Finolhu-Baa-Atoll.pdf</t>
        </is>
      </c>
      <c r="E1230" t="n">
        <v>2020</v>
      </c>
      <c r="H1230" t="n">
        <v>1</v>
      </c>
      <c r="I1230" t="n">
        <v>3257</v>
      </c>
      <c r="J1230" t="inlineStr">
        <is>
          <t>Y</t>
        </is>
      </c>
      <c r="K1230" t="inlineStr">
        <is>
          <t>neoscapesmaldives.com</t>
        </is>
      </c>
      <c r="L1230" t="inlineStr">
        <is>
          <t>dmc-agency</t>
        </is>
      </c>
      <c r="M1230" t="inlineStr">
        <is>
          <t>https://www.neoscapesmaldives.com/wp-content/uploads/Island-Map-Portrait-Finolhu-Baa-Atoll.pdf</t>
        </is>
      </c>
      <c r="N1230" t="inlineStr">
        <is>
          <t>https://www.neoscapesmaldives.com/wp-content/uploads/Island-Map-Portrait-Finolhu-Baa-Atoll.pdf</t>
        </is>
      </c>
      <c r="O1230" t="inlineStr">
        <is>
          <t>45facad5532e2432c5e83b0277526c79f8dd5be694e802e572c36b359ebea0e1</t>
        </is>
      </c>
      <c r="P1230" t="inlineStr">
        <is>
          <t>library/136_finolhu-baa-atoll-maldives/map/2020_Island-Map-Portrait-Finolhu-Baa-Atoll.pdf</t>
        </is>
      </c>
      <c r="R1230" t="inlineStr">
        <is>
          <t>outdated</t>
        </is>
      </c>
      <c r="S1230" t="inlineStr">
        <is>
          <t>Y</t>
        </is>
      </c>
      <c r="T1230" t="inlineStr">
        <is>
          <t>matched</t>
        </is>
      </c>
      <c r="U1230" t="inlineStr">
        <is>
          <t>2026-10-04</t>
        </is>
      </c>
      <c r="V1230" t="inlineStr"/>
    </row>
    <row r="1231">
      <c r="A1231" t="n">
        <v>137</v>
      </c>
      <c r="B1231" t="inlineStr">
        <is>
          <t>Soneva Secret</t>
        </is>
      </c>
      <c r="C1231" t="inlineStr">
        <is>
          <t>calendar</t>
        </is>
      </c>
      <c r="D1231" t="inlineStr">
        <is>
          <t>2026_easter-celebrations-at-soneva.pdf</t>
        </is>
      </c>
      <c r="E1231" t="n">
        <v>2026</v>
      </c>
      <c r="H1231" t="n">
        <v>19</v>
      </c>
      <c r="I1231" t="n">
        <v>1809</v>
      </c>
      <c r="J1231" t="inlineStr">
        <is>
          <t>Y</t>
        </is>
      </c>
      <c r="K1231" t="inlineStr">
        <is>
          <t>letsgomaldives.com</t>
        </is>
      </c>
      <c r="L1231" t="inlineStr">
        <is>
          <t>dmc-agency</t>
        </is>
      </c>
      <c r="M1231" t="inlineStr">
        <is>
          <t>https://letsgomaldives.com/wp-content/uploads/2026/02/easter-celebrations-at-soneva.pdf</t>
        </is>
      </c>
      <c r="N1231" t="inlineStr">
        <is>
          <t>https://letsgomaldives.com/wp-content/uploads/2026/02/easter-celebrations-at-soneva.pdf</t>
        </is>
      </c>
      <c r="O1231" t="inlineStr">
        <is>
          <t>06e9c849a0678a402324a604071d2f9cfc4e32414ada2addb4b9ae061defcf3e</t>
        </is>
      </c>
      <c r="P1231" t="inlineStr">
        <is>
          <t>library/137_soneva-secret/calendar/2026_easter-celebrations-at-soneva.pdf</t>
        </is>
      </c>
      <c r="R1231" t="inlineStr">
        <is>
          <t>current</t>
        </is>
      </c>
      <c r="S1231" t="inlineStr">
        <is>
          <t>Y</t>
        </is>
      </c>
      <c r="T1231" t="inlineStr">
        <is>
          <t>needs-review</t>
        </is>
      </c>
      <c r="U1231" t="inlineStr">
        <is>
          <t>2026-10-04</t>
        </is>
      </c>
      <c r="V1231" t="inlineStr">
        <is>
          <t>ambiguous match [137, 143]</t>
        </is>
      </c>
    </row>
    <row r="1232">
      <c r="A1232" t="n">
        <v>143</v>
      </c>
      <c r="B1232" t="inlineStr">
        <is>
          <t>Soneva Jani</t>
        </is>
      </c>
      <c r="C1232" t="inlineStr">
        <is>
          <t>calendar</t>
        </is>
      </c>
      <c r="D1232" t="inlineStr">
        <is>
          <t>2026_easter-celebrations-at-soneva.pdf</t>
        </is>
      </c>
      <c r="E1232" t="n">
        <v>2026</v>
      </c>
      <c r="H1232" t="n">
        <v>19</v>
      </c>
      <c r="I1232" t="n">
        <v>1809</v>
      </c>
      <c r="J1232" t="inlineStr">
        <is>
          <t>Y</t>
        </is>
      </c>
      <c r="K1232" t="inlineStr">
        <is>
          <t>letsgomaldives.com</t>
        </is>
      </c>
      <c r="L1232" t="inlineStr">
        <is>
          <t>dmc-agency</t>
        </is>
      </c>
      <c r="M1232" t="inlineStr">
        <is>
          <t>https://letsgomaldives.com/wp-content/uploads/2026/02/easter-celebrations-at-soneva.pdf</t>
        </is>
      </c>
      <c r="N1232" t="inlineStr">
        <is>
          <t>https://letsgomaldives.com/wp-content/uploads/2026/02/easter-celebrations-at-soneva.pdf</t>
        </is>
      </c>
      <c r="O1232" t="inlineStr">
        <is>
          <t>06e9c849a0678a402324a604071d2f9cfc4e32414ada2addb4b9ae061defcf3e</t>
        </is>
      </c>
      <c r="P1232" t="inlineStr">
        <is>
          <t>library/137_soneva-secret/calendar/2026_easter-celebrations-at-soneva.pdf</t>
        </is>
      </c>
      <c r="R1232" t="inlineStr">
        <is>
          <t>current</t>
        </is>
      </c>
      <c r="S1232" t="inlineStr">
        <is>
          <t>Y</t>
        </is>
      </c>
      <c r="T1232" t="inlineStr">
        <is>
          <t>needs-review</t>
        </is>
      </c>
      <c r="U1232" t="inlineStr">
        <is>
          <t>2026-10-04</t>
        </is>
      </c>
      <c r="V1232" t="inlineStr">
        <is>
          <t>ambiguous match [137, 143]</t>
        </is>
      </c>
    </row>
    <row r="1233">
      <c r="A1233" t="n">
        <v>138</v>
      </c>
      <c r="B1233" t="inlineStr">
        <is>
          <t>Varu Island Resort</t>
        </is>
      </c>
      <c r="C1233" t="inlineStr">
        <is>
          <t>map</t>
        </is>
      </c>
      <c r="D1233" t="inlineStr">
        <is>
          <t>2019_Map-VARU-by-Atmosphere.pdf</t>
        </is>
      </c>
      <c r="E1233" t="n">
        <v>2019</v>
      </c>
      <c r="H1233" t="n">
        <v>1</v>
      </c>
      <c r="I1233" t="n">
        <v>4996</v>
      </c>
      <c r="J1233" t="inlineStr">
        <is>
          <t>Y</t>
        </is>
      </c>
      <c r="K1233" t="inlineStr">
        <is>
          <t>neoscapesmaldives.com</t>
        </is>
      </c>
      <c r="L1233" t="inlineStr">
        <is>
          <t>dmc-agency</t>
        </is>
      </c>
      <c r="M1233" t="inlineStr">
        <is>
          <t>https://www.neoscapesmaldives.com/wp-content/uploads/Map-VARU-by-Atmosphere.pdf</t>
        </is>
      </c>
      <c r="N1233" t="inlineStr">
        <is>
          <t>https://www.neoscapesmaldives.com/wp-content/uploads/Map-VARU-by-Atmosphere.pdf</t>
        </is>
      </c>
      <c r="O1233" t="inlineStr">
        <is>
          <t>9e32ec68b7389057754b97a809918151e202d723a72d09f8f31ab123fe8d8f6d</t>
        </is>
      </c>
      <c r="P1233" t="inlineStr">
        <is>
          <t>library/138_varu-island-resort/map/2019_Map-VARU-by-Atmosphere.pdf</t>
        </is>
      </c>
      <c r="R1233" t="inlineStr">
        <is>
          <t>outdated</t>
        </is>
      </c>
      <c r="S1233" t="inlineStr">
        <is>
          <t>Y</t>
        </is>
      </c>
      <c r="T1233" t="inlineStr">
        <is>
          <t>matched</t>
        </is>
      </c>
      <c r="U1233" t="inlineStr">
        <is>
          <t>2026-10-04</t>
        </is>
      </c>
      <c r="V1233" t="inlineStr"/>
    </row>
    <row r="1234">
      <c r="A1234" t="n">
        <v>138</v>
      </c>
      <c r="B1234" t="inlineStr">
        <is>
          <t>Varu Island Resort</t>
        </is>
      </c>
      <c r="C1234" t="inlineStr">
        <is>
          <t>brochure</t>
        </is>
      </c>
      <c r="D1234" t="inlineStr">
        <is>
          <t>2019_VARU-BY-ATMOSPHERE-FLYER-DEC2019.pdf</t>
        </is>
      </c>
      <c r="E1234" t="n">
        <v>2019</v>
      </c>
      <c r="H1234" t="n">
        <v>4</v>
      </c>
      <c r="I1234" t="n">
        <v>3392</v>
      </c>
      <c r="J1234" t="inlineStr">
        <is>
          <t>Y</t>
        </is>
      </c>
      <c r="K1234" t="inlineStr">
        <is>
          <t>neoscapesmaldives.com</t>
        </is>
      </c>
      <c r="L1234" t="inlineStr">
        <is>
          <t>dmc-agency</t>
        </is>
      </c>
      <c r="M1234" t="inlineStr">
        <is>
          <t>https://www.neoscapesmaldives.com/wp-content/uploads/VARU-BY-ATMOSPHERE-FLYER-DEC2019.pdf</t>
        </is>
      </c>
      <c r="N1234" t="inlineStr">
        <is>
          <t>https://www.neoscapesmaldives.com/wp-content/uploads/VARU-BY-ATMOSPHERE-FLYER-DEC2019.pdf</t>
        </is>
      </c>
      <c r="O1234" t="inlineStr">
        <is>
          <t>c37271744af63915c408a908faed6afa085db1a533b9d808dee9529518d44b10</t>
        </is>
      </c>
      <c r="P1234" t="inlineStr">
        <is>
          <t>library/138_varu-island-resort/brochure/2019_VARU-BY-ATMOSPHERE-FLYER-DEC2019.pdf</t>
        </is>
      </c>
      <c r="R1234" t="inlineStr">
        <is>
          <t>outdated</t>
        </is>
      </c>
      <c r="S1234" t="inlineStr">
        <is>
          <t>Y</t>
        </is>
      </c>
      <c r="T1234" t="inlineStr">
        <is>
          <t>matched</t>
        </is>
      </c>
      <c r="U1234" t="inlineStr">
        <is>
          <t>2026-10-04</t>
        </is>
      </c>
      <c r="V1234" t="inlineStr"/>
    </row>
    <row r="1235">
      <c r="A1235" t="n">
        <v>139</v>
      </c>
      <c r="B1235" t="inlineStr">
        <is>
          <t>Kudafushi Resort &amp; Spa</t>
        </is>
      </c>
      <c r="C1235" t="inlineStr">
        <is>
          <t>factsheet</t>
        </is>
      </c>
      <c r="D1235" t="inlineStr">
        <is>
          <t>2019_KUDAFUSHI_FACTSHEET.pdf</t>
        </is>
      </c>
      <c r="E1235" t="n">
        <v>2019</v>
      </c>
      <c r="H1235" t="n">
        <v>11</v>
      </c>
      <c r="I1235" t="n">
        <v>4332</v>
      </c>
      <c r="J1235" t="inlineStr">
        <is>
          <t>Y</t>
        </is>
      </c>
      <c r="K1235" t="inlineStr">
        <is>
          <t>neoscapesmaldives.com</t>
        </is>
      </c>
      <c r="L1235" t="inlineStr">
        <is>
          <t>dmc-agency</t>
        </is>
      </c>
      <c r="M1235" t="inlineStr">
        <is>
          <t>https://www.neoscapesmaldives.com/wp-content/uploads/KUDAFUSHI_FACTSHEET.pdf</t>
        </is>
      </c>
      <c r="N1235" t="inlineStr">
        <is>
          <t>https://www.neoscapesmaldives.com/wp-content/uploads/KUDAFUSHI_FACTSHEET.pdf</t>
        </is>
      </c>
      <c r="O1235" t="inlineStr">
        <is>
          <t>5ba1a050a7371fc86448c5566878e52b87ab1d2854f772ae42a662d44fd14de5</t>
        </is>
      </c>
      <c r="P1235" t="inlineStr">
        <is>
          <t>library/139_kudafushi-resort-spa/factsheet/2019_KUDAFUSHI_FACTSHEET.pdf</t>
        </is>
      </c>
      <c r="R1235" t="inlineStr">
        <is>
          <t>outdated</t>
        </is>
      </c>
      <c r="S1235" t="inlineStr">
        <is>
          <t>Y</t>
        </is>
      </c>
      <c r="T1235" t="inlineStr">
        <is>
          <t>matched</t>
        </is>
      </c>
      <c r="U1235" t="inlineStr">
        <is>
          <t>2026-10-04</t>
        </is>
      </c>
      <c r="V1235" t="inlineStr"/>
    </row>
    <row r="1236">
      <c r="A1236" t="n">
        <v>139</v>
      </c>
      <c r="B1236" t="inlineStr">
        <is>
          <t>Kudafushi Resort &amp; Spa</t>
        </is>
      </c>
      <c r="C1236" t="inlineStr">
        <is>
          <t>map</t>
        </is>
      </c>
      <c r="D1236" t="inlineStr">
        <is>
          <t>2019_KUDAFUSHI_MAP.pdf</t>
        </is>
      </c>
      <c r="E1236" t="n">
        <v>2019</v>
      </c>
      <c r="H1236" t="n">
        <v>1</v>
      </c>
      <c r="I1236" t="n">
        <v>253</v>
      </c>
      <c r="J1236" t="inlineStr">
        <is>
          <t>N</t>
        </is>
      </c>
      <c r="K1236" t="inlineStr">
        <is>
          <t>neoscapesmaldives.com</t>
        </is>
      </c>
      <c r="L1236" t="inlineStr">
        <is>
          <t>dmc-agency</t>
        </is>
      </c>
      <c r="M1236" t="inlineStr">
        <is>
          <t>https://www.neoscapesmaldives.com/wp-content/uploads/KUDAFUSHI_MAP.pdf</t>
        </is>
      </c>
      <c r="N1236" t="inlineStr">
        <is>
          <t>https://www.neoscapesmaldives.com/wp-content/uploads/KUDAFUSHI_MAP.pdf</t>
        </is>
      </c>
      <c r="O1236" t="inlineStr">
        <is>
          <t>aa3a08a224f7e3d7a2b582537a5e3d568a597c78a92c9e064f5252f7c1216102</t>
        </is>
      </c>
      <c r="P1236" t="inlineStr">
        <is>
          <t>library/139_kudafushi-resort-spa/map/2019_KUDAFUSHI_MAP.pdf</t>
        </is>
      </c>
      <c r="R1236" t="inlineStr">
        <is>
          <t>outdated</t>
        </is>
      </c>
      <c r="S1236" t="inlineStr">
        <is>
          <t>Y</t>
        </is>
      </c>
      <c r="T1236" t="inlineStr">
        <is>
          <t>matched</t>
        </is>
      </c>
      <c r="U1236" t="inlineStr">
        <is>
          <t>2026-10-04</t>
        </is>
      </c>
      <c r="V1236" t="inlineStr"/>
    </row>
    <row r="1237">
      <c r="A1237" t="n">
        <v>140</v>
      </c>
      <c r="B1237" t="inlineStr">
        <is>
          <t>The Standard Huruvalhi Maldives</t>
        </is>
      </c>
      <c r="C1237" t="inlineStr">
        <is>
          <t>factsheet</t>
        </is>
      </c>
      <c r="D1237" t="inlineStr">
        <is>
          <t>2025_STMV_Factsheet__Eng-.pdf</t>
        </is>
      </c>
      <c r="E1237" t="n">
        <v>2025</v>
      </c>
      <c r="H1237" t="n">
        <v>4</v>
      </c>
      <c r="I1237" t="n">
        <v>5012</v>
      </c>
      <c r="J1237" t="inlineStr">
        <is>
          <t>Y</t>
        </is>
      </c>
      <c r="K1237" t="inlineStr">
        <is>
          <t>neoscapesmaldives.com</t>
        </is>
      </c>
      <c r="L1237" t="inlineStr">
        <is>
          <t>dmc-agency</t>
        </is>
      </c>
      <c r="M1237" t="inlineStr">
        <is>
          <t>https://www.neoscapesmaldives.com/wp-content/uploads/STMV_Factsheet__Eng-.pdf</t>
        </is>
      </c>
      <c r="N1237" t="inlineStr">
        <is>
          <t>https://www.neoscapesmaldives.com/wp-content/uploads/STMV_Factsheet__Eng-.pdf</t>
        </is>
      </c>
      <c r="O1237" t="inlineStr">
        <is>
          <t>d6d895f93831c7caf321f37a9a84e6d7a3b8f103ad9f344e60cc5f4817fa912b</t>
        </is>
      </c>
      <c r="P1237" t="inlineStr">
        <is>
          <t>library/140_the-standard-huruvalhi-maldives/factsheet/2025_STMV_Factsheet__Eng-.pdf</t>
        </is>
      </c>
      <c r="R1237" t="inlineStr">
        <is>
          <t>current</t>
        </is>
      </c>
      <c r="S1237" t="inlineStr">
        <is>
          <t>Y</t>
        </is>
      </c>
      <c r="T1237" t="inlineStr">
        <is>
          <t>matched</t>
        </is>
      </c>
      <c r="U1237" t="inlineStr">
        <is>
          <t>2026-10-04</t>
        </is>
      </c>
      <c r="V1237" t="inlineStr"/>
    </row>
    <row r="1238">
      <c r="A1238" t="n">
        <v>140</v>
      </c>
      <c r="B1238" t="inlineStr">
        <is>
          <t>The Standard Huruvalhi Maldives</t>
        </is>
      </c>
      <c r="C1238" t="inlineStr">
        <is>
          <t>map</t>
        </is>
      </c>
      <c r="D1238" t="inlineStr">
        <is>
          <t>2024_The-Standard-Huruvalhi-Maldives-RESORT-MAP.pdf</t>
        </is>
      </c>
      <c r="E1238" t="n">
        <v>2024</v>
      </c>
      <c r="H1238" t="n">
        <v>1</v>
      </c>
      <c r="I1238" t="n">
        <v>1018</v>
      </c>
      <c r="J1238" t="inlineStr">
        <is>
          <t>Y</t>
        </is>
      </c>
      <c r="K1238" t="inlineStr">
        <is>
          <t>neoscapesmaldives.com</t>
        </is>
      </c>
      <c r="L1238" t="inlineStr">
        <is>
          <t>dmc-agency</t>
        </is>
      </c>
      <c r="M1238" t="inlineStr">
        <is>
          <t>https://www.neoscapesmaldives.com/wp-content/uploads/The-Standard-Huruvalhi-Maldives-RESORT-MAP.pdf</t>
        </is>
      </c>
      <c r="N1238" t="inlineStr">
        <is>
          <t>https://www.neoscapesmaldives.com/wp-content/uploads/The-Standard-Huruvalhi-Maldives-RESORT-MAP.pdf</t>
        </is>
      </c>
      <c r="O1238" t="inlineStr">
        <is>
          <t>76c1547c30de786b5381bafe71305276969fb4d01842790f19a4c4841561043a</t>
        </is>
      </c>
      <c r="P1238" t="inlineStr">
        <is>
          <t>library/140_the-standard-huruvalhi-maldives/map/2024_The-Standard-Huruvalhi-Maldives-RESORT-MAP.pdf</t>
        </is>
      </c>
      <c r="R1238" t="inlineStr">
        <is>
          <t>outdated</t>
        </is>
      </c>
      <c r="S1238" t="inlineStr">
        <is>
          <t>Y</t>
        </is>
      </c>
      <c r="T1238" t="inlineStr">
        <is>
          <t>matched</t>
        </is>
      </c>
      <c r="U1238" t="inlineStr">
        <is>
          <t>2026-10-04</t>
        </is>
      </c>
      <c r="V1238" t="inlineStr"/>
    </row>
    <row r="1239">
      <c r="A1239" t="n">
        <v>141</v>
      </c>
      <c r="B1239" t="inlineStr">
        <is>
          <t>Soneva Fushi Resort</t>
        </is>
      </c>
      <c r="C1239" t="inlineStr">
        <is>
          <t>factsheet</t>
        </is>
      </c>
      <c r="D1239" t="inlineStr">
        <is>
          <t>2019_11747_Soneva-Fushi-Factsheet-2019.pdf</t>
        </is>
      </c>
      <c r="E1239" t="n">
        <v>2019</v>
      </c>
      <c r="H1239" t="n">
        <v>8</v>
      </c>
      <c r="I1239" t="n">
        <v>1674</v>
      </c>
      <c r="J1239" t="inlineStr">
        <is>
          <t>Y</t>
        </is>
      </c>
      <c r="K1239" t="inlineStr">
        <is>
          <t>neoscapesmaldives.com</t>
        </is>
      </c>
      <c r="L1239" t="inlineStr">
        <is>
          <t>dmc-agency</t>
        </is>
      </c>
      <c r="M1239" t="inlineStr">
        <is>
          <t>https://neoscapesmaldives.com/wp-content/uploads/11747_Soneva-Fushi-Factsheet-2019.pdf</t>
        </is>
      </c>
      <c r="N1239" t="inlineStr">
        <is>
          <t>https://neoscapesmaldives.com/wp-content/uploads/11747_Soneva-Fushi-Factsheet-2019.pdf</t>
        </is>
      </c>
      <c r="O1239" t="inlineStr">
        <is>
          <t>5d53418e9dbde7fd635170172c87756b210913553477d6a0b08c34561990255a</t>
        </is>
      </c>
      <c r="P1239" t="inlineStr">
        <is>
          <t>library/141_soneva-fushi-resort/factsheet/2019_11747_Soneva-Fushi-Factsheet-2019.pdf</t>
        </is>
      </c>
      <c r="R1239" t="inlineStr">
        <is>
          <t>outdated</t>
        </is>
      </c>
      <c r="S1239" t="inlineStr">
        <is>
          <t>Y</t>
        </is>
      </c>
      <c r="T1239" t="inlineStr">
        <is>
          <t>needs-review</t>
        </is>
      </c>
      <c r="U1239" t="inlineStr">
        <is>
          <t>2026-10-04</t>
        </is>
      </c>
      <c r="V1239" t="inlineStr">
        <is>
          <t>ambiguous match [141, 143]</t>
        </is>
      </c>
    </row>
    <row r="1240">
      <c r="A1240" t="n">
        <v>143</v>
      </c>
      <c r="B1240" t="inlineStr">
        <is>
          <t>Soneva Jani</t>
        </is>
      </c>
      <c r="C1240" t="inlineStr">
        <is>
          <t>factsheet</t>
        </is>
      </c>
      <c r="D1240" t="inlineStr">
        <is>
          <t>2019_11747_Soneva-Fushi-Factsheet-2019.pdf</t>
        </is>
      </c>
      <c r="E1240" t="n">
        <v>2019</v>
      </c>
      <c r="H1240" t="n">
        <v>8</v>
      </c>
      <c r="I1240" t="n">
        <v>1674</v>
      </c>
      <c r="J1240" t="inlineStr">
        <is>
          <t>Y</t>
        </is>
      </c>
      <c r="K1240" t="inlineStr">
        <is>
          <t>neoscapesmaldives.com</t>
        </is>
      </c>
      <c r="L1240" t="inlineStr">
        <is>
          <t>dmc-agency</t>
        </is>
      </c>
      <c r="M1240" t="inlineStr">
        <is>
          <t>https://neoscapesmaldives.com/wp-content/uploads/11747_Soneva-Fushi-Factsheet-2019.pdf</t>
        </is>
      </c>
      <c r="N1240" t="inlineStr">
        <is>
          <t>https://neoscapesmaldives.com/wp-content/uploads/11747_Soneva-Fushi-Factsheet-2019.pdf</t>
        </is>
      </c>
      <c r="O1240" t="inlineStr">
        <is>
          <t>5d53418e9dbde7fd635170172c87756b210913553477d6a0b08c34561990255a</t>
        </is>
      </c>
      <c r="P1240" t="inlineStr">
        <is>
          <t>library/141_soneva-fushi-resort/factsheet/2019_11747_Soneva-Fushi-Factsheet-2019.pdf</t>
        </is>
      </c>
      <c r="R1240" t="inlineStr">
        <is>
          <t>outdated</t>
        </is>
      </c>
      <c r="S1240" t="inlineStr">
        <is>
          <t>Y</t>
        </is>
      </c>
      <c r="T1240" t="inlineStr">
        <is>
          <t>needs-review</t>
        </is>
      </c>
      <c r="U1240" t="inlineStr">
        <is>
          <t>2026-10-04</t>
        </is>
      </c>
      <c r="V1240" t="inlineStr">
        <is>
          <t>ambiguous match [141, 143]</t>
        </is>
      </c>
    </row>
    <row r="1241">
      <c r="A1241" t="n">
        <v>141</v>
      </c>
      <c r="B1241" t="inlineStr">
        <is>
          <t>Soneva Fushi Resort</t>
        </is>
      </c>
      <c r="C1241" t="inlineStr">
        <is>
          <t>map</t>
        </is>
      </c>
      <c r="D1241" t="inlineStr">
        <is>
          <t>2019_11654_Soneva-Fushi-Resort-Features-Map.pdf</t>
        </is>
      </c>
      <c r="E1241" t="n">
        <v>2019</v>
      </c>
      <c r="H1241" t="n">
        <v>1</v>
      </c>
      <c r="I1241" t="n">
        <v>2811</v>
      </c>
      <c r="J1241" t="inlineStr">
        <is>
          <t>Y</t>
        </is>
      </c>
      <c r="K1241" t="inlineStr">
        <is>
          <t>neoscapesmaldives.com</t>
        </is>
      </c>
      <c r="L1241" t="inlineStr">
        <is>
          <t>dmc-agency</t>
        </is>
      </c>
      <c r="M1241" t="inlineStr">
        <is>
          <t>https://neoscapesmaldives.com/wp-content/uploads/11654_Soneva-Fushi-Resort-Features-Map.pdf</t>
        </is>
      </c>
      <c r="N1241" t="inlineStr">
        <is>
          <t>https://neoscapesmaldives.com/wp-content/uploads/11654_Soneva-Fushi-Resort-Features-Map.pdf</t>
        </is>
      </c>
      <c r="O1241" t="inlineStr">
        <is>
          <t>8da7073bfa99c060152d2736d9cdc06eaf10c6904ea70c04db18c5ab060d716a</t>
        </is>
      </c>
      <c r="P1241" t="inlineStr">
        <is>
          <t>library/141_soneva-fushi-resort/map/2019_11654_Soneva-Fushi-Resort-Features-Map.pdf</t>
        </is>
      </c>
      <c r="R1241" t="inlineStr">
        <is>
          <t>outdated</t>
        </is>
      </c>
      <c r="S1241" t="inlineStr">
        <is>
          <t>Y</t>
        </is>
      </c>
      <c r="T1241" t="inlineStr">
        <is>
          <t>matched</t>
        </is>
      </c>
      <c r="U1241" t="inlineStr">
        <is>
          <t>2026-10-04</t>
        </is>
      </c>
      <c r="V1241" t="inlineStr"/>
    </row>
    <row r="1242">
      <c r="A1242" t="n">
        <v>142</v>
      </c>
      <c r="B1242" t="inlineStr">
        <is>
          <t>Safari Island</t>
        </is>
      </c>
      <c r="C1242" t="inlineStr">
        <is>
          <t>dive_prices</t>
        </is>
      </c>
      <c r="D1242" t="inlineStr">
        <is>
          <t>2018_DREAMLAND-Diving-FAQs-English.pdf</t>
        </is>
      </c>
      <c r="E1242" t="n">
        <v>2018</v>
      </c>
      <c r="H1242" t="n">
        <v>2</v>
      </c>
      <c r="I1242" t="n">
        <v>188</v>
      </c>
      <c r="J1242" t="inlineStr">
        <is>
          <t>Y</t>
        </is>
      </c>
      <c r="K1242" t="inlineStr">
        <is>
          <t>dreamland.com.mv</t>
        </is>
      </c>
      <c r="L1242" t="inlineStr">
        <is>
          <t>official</t>
        </is>
      </c>
      <c r="M1242" t="inlineStr">
        <is>
          <t>https://dreamland.com.mv/wp-content/uploads/2024/08/DREAMLAND-Diving-FAQs-English.pdf</t>
        </is>
      </c>
      <c r="N1242" t="inlineStr">
        <is>
          <t>https://dreamland.com.mv/wp-content/uploads/2024/08/DREAMLAND-Diving-FAQs-English.pdf | https://dreamland.com.mv/wp-content/uploads/2023/08/DREAMLAND-Diving-FAQs-English.pdf</t>
        </is>
      </c>
      <c r="O1242" t="inlineStr">
        <is>
          <t>4955258ce769ef96955c21001cd99712ad0585db81389e6f13d51382e4fd2d0b</t>
        </is>
      </c>
      <c r="P1242" t="inlineStr">
        <is>
          <t>library/142_safari-island/dive_prices/2018_DREAMLAND-Diving-FAQs-English.pdf</t>
        </is>
      </c>
      <c r="R1242" t="inlineStr">
        <is>
          <t>outdated</t>
        </is>
      </c>
      <c r="S1242" t="inlineStr">
        <is>
          <t>Y</t>
        </is>
      </c>
      <c r="T1242" t="inlineStr">
        <is>
          <t>needs-review</t>
        </is>
      </c>
      <c r="U1242" t="inlineStr">
        <is>
          <t>2026-10-04</t>
        </is>
      </c>
      <c r="V1242" t="inlineStr">
        <is>
          <t>ambiguous match [142, 10]</t>
        </is>
      </c>
    </row>
    <row r="1243">
      <c r="A1243" t="n">
        <v>10</v>
      </c>
      <c r="B1243" t="inlineStr">
        <is>
          <t>Dreamland - The Unique Sea &amp; Lake Resort/Spa</t>
        </is>
      </c>
      <c r="C1243" t="inlineStr">
        <is>
          <t>dive_prices</t>
        </is>
      </c>
      <c r="D1243" t="inlineStr">
        <is>
          <t>2018_DREAMLAND-Diving-FAQs-English.pdf</t>
        </is>
      </c>
      <c r="E1243" t="n">
        <v>2018</v>
      </c>
      <c r="H1243" t="n">
        <v>2</v>
      </c>
      <c r="I1243" t="n">
        <v>188</v>
      </c>
      <c r="J1243" t="inlineStr">
        <is>
          <t>Y</t>
        </is>
      </c>
      <c r="K1243" t="inlineStr">
        <is>
          <t>dreamland.com.mv</t>
        </is>
      </c>
      <c r="L1243" t="inlineStr">
        <is>
          <t>official</t>
        </is>
      </c>
      <c r="M1243" t="inlineStr">
        <is>
          <t>https://dreamland.com.mv/wp-content/uploads/2024/08/DREAMLAND-Diving-FAQs-English.pdf</t>
        </is>
      </c>
      <c r="N1243" t="inlineStr">
        <is>
          <t>https://dreamland.com.mv/wp-content/uploads/2024/08/DREAMLAND-Diving-FAQs-English.pdf | https://dreamland.com.mv/wp-content/uploads/2023/08/DREAMLAND-Diving-FAQs-English.pdf</t>
        </is>
      </c>
      <c r="O1243" t="inlineStr">
        <is>
          <t>4955258ce769ef96955c21001cd99712ad0585db81389e6f13d51382e4fd2d0b</t>
        </is>
      </c>
      <c r="P1243" t="inlineStr">
        <is>
          <t>library/142_safari-island/dive_prices/2018_DREAMLAND-Diving-FAQs-English.pdf</t>
        </is>
      </c>
      <c r="R1243" t="inlineStr">
        <is>
          <t>outdated</t>
        </is>
      </c>
      <c r="S1243" t="inlineStr">
        <is>
          <t>Y</t>
        </is>
      </c>
      <c r="T1243" t="inlineStr">
        <is>
          <t>needs-review</t>
        </is>
      </c>
      <c r="U1243" t="inlineStr">
        <is>
          <t>2026-10-04</t>
        </is>
      </c>
      <c r="V1243" t="inlineStr">
        <is>
          <t>ambiguous match [142, 10]</t>
        </is>
      </c>
    </row>
    <row r="1244">
      <c r="A1244" t="n">
        <v>143</v>
      </c>
      <c r="B1244" t="inlineStr">
        <is>
          <t>Soneva Jani</t>
        </is>
      </c>
      <c r="C1244" t="inlineStr">
        <is>
          <t>factsheet</t>
        </is>
      </c>
      <c r="D1244" t="inlineStr">
        <is>
          <t>2019_12291_Soneva-Jani-Resort-Factesheet-NEO.pdf</t>
        </is>
      </c>
      <c r="E1244" t="n">
        <v>2019</v>
      </c>
      <c r="H1244" t="n">
        <v>7</v>
      </c>
      <c r="I1244" t="n">
        <v>2829</v>
      </c>
      <c r="J1244" t="inlineStr">
        <is>
          <t>Y</t>
        </is>
      </c>
      <c r="K1244" t="inlineStr">
        <is>
          <t>neoscapesmaldives.com</t>
        </is>
      </c>
      <c r="L1244" t="inlineStr">
        <is>
          <t>dmc-agency</t>
        </is>
      </c>
      <c r="M1244" t="inlineStr">
        <is>
          <t>https://www.neoscapesmaldives.com/wp-content/uploads/12291_Soneva-Jani-Resort-Factesheet-NEO.pdf</t>
        </is>
      </c>
      <c r="N1244" t="inlineStr">
        <is>
          <t>https://www.neoscapesmaldives.com/wp-content/uploads/12291_Soneva-Jani-Resort-Factesheet-NEO.pdf</t>
        </is>
      </c>
      <c r="O1244" t="inlineStr">
        <is>
          <t>84cace796d3df921a612ed1b10bc0383d461b3571a85d7d6a727fdf3a7c22fd3</t>
        </is>
      </c>
      <c r="P1244" t="inlineStr">
        <is>
          <t>library/143_soneva-jani/factsheet/2019_12291_Soneva-Jani-Resort-Factesheet-NEO.pdf</t>
        </is>
      </c>
      <c r="R1244" t="inlineStr">
        <is>
          <t>outdated</t>
        </is>
      </c>
      <c r="S1244" t="inlineStr">
        <is>
          <t>N</t>
        </is>
      </c>
      <c r="T1244" t="inlineStr">
        <is>
          <t>matched</t>
        </is>
      </c>
      <c r="U1244" t="inlineStr">
        <is>
          <t>2026-10-04</t>
        </is>
      </c>
      <c r="V1244" t="inlineStr"/>
    </row>
    <row r="1245">
      <c r="A1245" t="n">
        <v>143</v>
      </c>
      <c r="B1245" t="inlineStr">
        <is>
          <t>Soneva Jani</t>
        </is>
      </c>
      <c r="C1245" t="inlineStr">
        <is>
          <t>map</t>
        </is>
      </c>
      <c r="D1245" t="inlineStr">
        <is>
          <t>2019_12096_Soneva-Jani-Resort-Map-1.pdf</t>
        </is>
      </c>
      <c r="E1245" t="n">
        <v>2019</v>
      </c>
      <c r="H1245" t="n">
        <v>1</v>
      </c>
      <c r="I1245" t="n">
        <v>292</v>
      </c>
      <c r="J1245" t="inlineStr">
        <is>
          <t>Y</t>
        </is>
      </c>
      <c r="K1245" t="inlineStr">
        <is>
          <t>neoscapesmaldives.com</t>
        </is>
      </c>
      <c r="L1245" t="inlineStr">
        <is>
          <t>dmc-agency</t>
        </is>
      </c>
      <c r="M1245" t="inlineStr">
        <is>
          <t>https://www.neoscapesmaldives.com/wp-content/uploads/12096_Soneva-Jani-Resort-Map-1.pdf</t>
        </is>
      </c>
      <c r="N1245" t="inlineStr">
        <is>
          <t>https://www.neoscapesmaldives.com/wp-content/uploads/12096_Soneva-Jani-Resort-Map-1.pdf</t>
        </is>
      </c>
      <c r="O1245" t="inlineStr">
        <is>
          <t>229239703f8996ad0554a9df5201f8f69ea4e5364b81cac55f770eb3fb815fc0</t>
        </is>
      </c>
      <c r="P1245" t="inlineStr">
        <is>
          <t>library/143_soneva-jani/map/2019_12096_Soneva-Jani-Resort-Map-1.pdf</t>
        </is>
      </c>
      <c r="R1245" t="inlineStr">
        <is>
          <t>outdated</t>
        </is>
      </c>
      <c r="S1245" t="inlineStr">
        <is>
          <t>Y</t>
        </is>
      </c>
      <c r="T1245" t="inlineStr">
        <is>
          <t>matched</t>
        </is>
      </c>
      <c r="U1245" t="inlineStr">
        <is>
          <t>2026-10-04</t>
        </is>
      </c>
      <c r="V1245" t="inlineStr"/>
    </row>
    <row r="1246">
      <c r="A1246" t="n">
        <v>143</v>
      </c>
      <c r="B1246" t="inlineStr">
        <is>
          <t>Soneva Jani</t>
        </is>
      </c>
      <c r="C1246" t="inlineStr">
        <is>
          <t>excursions</t>
        </is>
      </c>
      <c r="D1246" t="inlineStr">
        <is>
          <t>2025_Soneva-Fushi.pdf</t>
        </is>
      </c>
      <c r="E1246" t="n">
        <v>2025</v>
      </c>
      <c r="H1246" t="n">
        <v>6</v>
      </c>
      <c r="I1246" t="n">
        <v>2659</v>
      </c>
      <c r="J1246" t="inlineStr">
        <is>
          <t>Y</t>
        </is>
      </c>
      <c r="K1246" t="inlineStr">
        <is>
          <t>awesomegetawaymaldives.com</t>
        </is>
      </c>
      <c r="L1246" t="inlineStr">
        <is>
          <t>dmc-agency</t>
        </is>
      </c>
      <c r="M1246" t="inlineStr">
        <is>
          <t>https://awesomegetawaymaldives.com/wp-content/uploads/2026/03/Soneva-Fushi.pdf</t>
        </is>
      </c>
      <c r="N1246" t="inlineStr">
        <is>
          <t>https://awesomegetawaymaldives.com/wp-content/uploads/2026/03/Soneva-Fushi.pdf | https://awesomegetawaymaldives.com/wp-content/uploads/2026/03/Soneva-Fushi-Resort-Factsheet.pdf</t>
        </is>
      </c>
      <c r="O1246" t="inlineStr">
        <is>
          <t>142c2d5384a389e869130f9a7576cb040aafc21889fe7fa8a1b47abeb350d59f</t>
        </is>
      </c>
      <c r="P1246" t="inlineStr">
        <is>
          <t>library/143_soneva-jani/excursions/2025_Soneva-Fushi.pdf</t>
        </is>
      </c>
      <c r="R1246" t="inlineStr">
        <is>
          <t>current</t>
        </is>
      </c>
      <c r="S1246" t="inlineStr">
        <is>
          <t>Y</t>
        </is>
      </c>
      <c r="T1246" t="inlineStr">
        <is>
          <t>matched</t>
        </is>
      </c>
      <c r="U1246" t="inlineStr">
        <is>
          <t>2026-10-04</t>
        </is>
      </c>
      <c r="V1246" t="inlineStr"/>
    </row>
    <row r="1247">
      <c r="A1247" t="n">
        <v>143</v>
      </c>
      <c r="B1247" t="inlineStr">
        <is>
          <t>Soneva Jani</t>
        </is>
      </c>
      <c r="C1247" t="inlineStr">
        <is>
          <t>villa_plans</t>
        </is>
      </c>
      <c r="D1247" t="inlineStr">
        <is>
          <t>2019_Soneva-Jani.pdf</t>
        </is>
      </c>
      <c r="E1247" t="n">
        <v>2019</v>
      </c>
      <c r="H1247" t="n">
        <v>6</v>
      </c>
      <c r="I1247" t="n">
        <v>2222</v>
      </c>
      <c r="J1247" t="inlineStr">
        <is>
          <t>Y</t>
        </is>
      </c>
      <c r="K1247" t="inlineStr">
        <is>
          <t>awesomegetawaymaldives.com</t>
        </is>
      </c>
      <c r="L1247" t="inlineStr">
        <is>
          <t>dmc-agency</t>
        </is>
      </c>
      <c r="M1247" t="inlineStr">
        <is>
          <t>https://awesomegetawaymaldives.com/wp-content/uploads/2026/03/Soneva-Jani.pdf</t>
        </is>
      </c>
      <c r="N1247" t="inlineStr">
        <is>
          <t>https://awesomegetawaymaldives.com/wp-content/uploads/2026/03/Soneva-Jani.pdf | https://awesomegetawaymaldives.com/wp-content/uploads/2026/03/Soneva-Jani-Resort-Factesheet.pdf</t>
        </is>
      </c>
      <c r="O1247" t="inlineStr">
        <is>
          <t>f2c28a475ea2dd8d9e758cfb464ac2eacf374abb81895d5f327a85abf485f30b</t>
        </is>
      </c>
      <c r="P1247" t="inlineStr">
        <is>
          <t>library/143_soneva-jani/villa_plans/2019_Soneva-Jani.pdf</t>
        </is>
      </c>
      <c r="R1247" t="inlineStr">
        <is>
          <t>outdated</t>
        </is>
      </c>
      <c r="S1247" t="inlineStr">
        <is>
          <t>Y</t>
        </is>
      </c>
      <c r="T1247" t="inlineStr">
        <is>
          <t>matched</t>
        </is>
      </c>
      <c r="U1247" t="inlineStr">
        <is>
          <t>2026-10-04</t>
        </is>
      </c>
      <c r="V1247" t="inlineStr"/>
    </row>
    <row r="1248">
      <c r="A1248" t="n">
        <v>145</v>
      </c>
      <c r="B1248" t="inlineStr">
        <is>
          <t>Anantara Resort and Spa Maldives</t>
        </is>
      </c>
      <c r="C1248" t="inlineStr">
        <is>
          <t>factsheet</t>
        </is>
      </c>
      <c r="D1248" t="inlineStr">
        <is>
          <t>2023_Anantara_Dhigu_Maldives_Factsheet_January_2023.pdf</t>
        </is>
      </c>
      <c r="E1248" t="n">
        <v>2023</v>
      </c>
      <c r="H1248" t="n">
        <v>12</v>
      </c>
      <c r="I1248" t="n">
        <v>2618</v>
      </c>
      <c r="J1248" t="inlineStr">
        <is>
          <t>Y</t>
        </is>
      </c>
      <c r="K1248" t="inlineStr">
        <is>
          <t>neoscapesmaldives.com</t>
        </is>
      </c>
      <c r="L1248" t="inlineStr">
        <is>
          <t>dmc-agency</t>
        </is>
      </c>
      <c r="M1248" t="inlineStr">
        <is>
          <t>https://www.neoscapesmaldives.com/wp-content/uploads/Anantara_Dhigu_Maldives_Factsheet_January_2023.pdf</t>
        </is>
      </c>
      <c r="N1248" t="inlineStr">
        <is>
          <t>https://www.neoscapesmaldives.com/wp-content/uploads/Anantara_Dhigu_Maldives_Factsheet_January_2023.pdf</t>
        </is>
      </c>
      <c r="O1248" t="inlineStr">
        <is>
          <t>517249b58dd75812e0e056bf0102ead43622f07fecfd45897d17c3d8dc4e118d</t>
        </is>
      </c>
      <c r="P1248" t="inlineStr">
        <is>
          <t>library/145_anantara-resort-and-spa-maldives/factsheet/2023_Anantara_Dhigu_Maldives_Factsheet_January_2023.pdf</t>
        </is>
      </c>
      <c r="R1248" t="inlineStr">
        <is>
          <t>outdated</t>
        </is>
      </c>
      <c r="S1248" t="inlineStr">
        <is>
          <t>Y</t>
        </is>
      </c>
      <c r="T1248" t="inlineStr">
        <is>
          <t>matched</t>
        </is>
      </c>
      <c r="U1248" t="inlineStr">
        <is>
          <t>2026-10-04</t>
        </is>
      </c>
      <c r="V1248" t="inlineStr"/>
    </row>
    <row r="1249">
      <c r="A1249" t="n">
        <v>145</v>
      </c>
      <c r="B1249" t="inlineStr">
        <is>
          <t>Anantara Resort and Spa Maldives</t>
        </is>
      </c>
      <c r="C1249" t="inlineStr">
        <is>
          <t>map</t>
        </is>
      </c>
      <c r="D1249" t="inlineStr">
        <is>
          <t>2021_Anantara_Dhigu_Maldives_Island_Map_December_2021.pdf</t>
        </is>
      </c>
      <c r="E1249" t="n">
        <v>2021</v>
      </c>
      <c r="H1249" t="n">
        <v>1</v>
      </c>
      <c r="I1249" t="n">
        <v>2400</v>
      </c>
      <c r="J1249" t="inlineStr">
        <is>
          <t>Y</t>
        </is>
      </c>
      <c r="K1249" t="inlineStr">
        <is>
          <t>neoscapesmaldives.com</t>
        </is>
      </c>
      <c r="L1249" t="inlineStr">
        <is>
          <t>dmc-agency</t>
        </is>
      </c>
      <c r="M1249" t="inlineStr">
        <is>
          <t>https://www.neoscapesmaldives.com/wp-content/uploads/Anantara_Dhigu_Maldives_Island_Map_December_2021.pdf</t>
        </is>
      </c>
      <c r="N1249" t="inlineStr">
        <is>
          <t>https://www.neoscapesmaldives.com/wp-content/uploads/Anantara_Dhigu_Maldives_Island_Map_December_2021.pdf</t>
        </is>
      </c>
      <c r="O1249" t="inlineStr">
        <is>
          <t>d3a4041ba26236e0b12371a6253274b830f937115573c64be98c7e8009dbb45c</t>
        </is>
      </c>
      <c r="P1249" t="inlineStr">
        <is>
          <t>library/145_anantara-resort-and-spa-maldives/map/2021_Anantara_Dhigu_Maldives_Island_Map_December_2021.pdf</t>
        </is>
      </c>
      <c r="R1249" t="inlineStr">
        <is>
          <t>outdated</t>
        </is>
      </c>
      <c r="S1249" t="inlineStr">
        <is>
          <t>Y</t>
        </is>
      </c>
      <c r="T1249" t="inlineStr">
        <is>
          <t>matched</t>
        </is>
      </c>
      <c r="U1249" t="inlineStr">
        <is>
          <t>2026-10-04</t>
        </is>
      </c>
      <c r="V1249" t="inlineStr"/>
    </row>
    <row r="1250">
      <c r="A1250" t="n">
        <v>146</v>
      </c>
      <c r="B1250" t="inlineStr">
        <is>
          <t>Anantara Veli and Naladhu</t>
        </is>
      </c>
      <c r="C1250" t="inlineStr">
        <is>
          <t>factsheet</t>
        </is>
      </c>
      <c r="D1250" t="inlineStr">
        <is>
          <t>2023_Anantara_Veli_Maldives_Factsheet_January_2023.pdf</t>
        </is>
      </c>
      <c r="E1250" t="n">
        <v>2023</v>
      </c>
      <c r="H1250" t="n">
        <v>12</v>
      </c>
      <c r="I1250" t="n">
        <v>2723</v>
      </c>
      <c r="J1250" t="inlineStr">
        <is>
          <t>Y</t>
        </is>
      </c>
      <c r="K1250" t="inlineStr">
        <is>
          <t>neoscapesmaldives.com</t>
        </is>
      </c>
      <c r="L1250" t="inlineStr">
        <is>
          <t>dmc-agency</t>
        </is>
      </c>
      <c r="M1250" t="inlineStr">
        <is>
          <t>https://www.neoscapesmaldives.com/wp-content/uploads/Anantara_Veli_Maldives_Factsheet_January_2023.pdf</t>
        </is>
      </c>
      <c r="N1250" t="inlineStr">
        <is>
          <t>https://www.neoscapesmaldives.com/wp-content/uploads/Anantara_Veli_Maldives_Factsheet_January_2023.pdf</t>
        </is>
      </c>
      <c r="O1250" t="inlineStr">
        <is>
          <t>612aa3fe2e0168c9a115ef485a3cd0938bacf1afe20f251ae8c7123a235826cd</t>
        </is>
      </c>
      <c r="P1250" t="inlineStr">
        <is>
          <t>library/146_anantara-veli-and-naladhu/factsheet/2023_Anantara_Veli_Maldives_Factsheet_January_2023.pdf</t>
        </is>
      </c>
      <c r="R1250" t="inlineStr">
        <is>
          <t>outdated</t>
        </is>
      </c>
      <c r="S1250" t="inlineStr">
        <is>
          <t>Y</t>
        </is>
      </c>
      <c r="T1250" t="inlineStr">
        <is>
          <t>matched</t>
        </is>
      </c>
      <c r="U1250" t="inlineStr">
        <is>
          <t>2026-10-04</t>
        </is>
      </c>
      <c r="V1250" t="inlineStr"/>
    </row>
    <row r="1251">
      <c r="A1251" t="n">
        <v>146</v>
      </c>
      <c r="B1251" t="inlineStr">
        <is>
          <t>Anantara Veli and Naladhu</t>
        </is>
      </c>
      <c r="C1251" t="inlineStr">
        <is>
          <t>map</t>
        </is>
      </c>
      <c r="D1251" t="inlineStr">
        <is>
          <t>2023_Anantara_Veli_Maldives_Siteplan_January_2023.pdf</t>
        </is>
      </c>
      <c r="E1251" t="n">
        <v>2023</v>
      </c>
      <c r="H1251" t="n">
        <v>1</v>
      </c>
      <c r="I1251" t="n">
        <v>872</v>
      </c>
      <c r="J1251" t="inlineStr">
        <is>
          <t>Y</t>
        </is>
      </c>
      <c r="K1251" t="inlineStr">
        <is>
          <t>neoscapesmaldives.com</t>
        </is>
      </c>
      <c r="L1251" t="inlineStr">
        <is>
          <t>dmc-agency</t>
        </is>
      </c>
      <c r="M1251" t="inlineStr">
        <is>
          <t>https://www.neoscapesmaldives.com/wp-content/uploads/Anantara_Veli_Maldives_Siteplan_January_2023.pdf</t>
        </is>
      </c>
      <c r="N1251" t="inlineStr">
        <is>
          <t>https://www.neoscapesmaldives.com/wp-content/uploads/Anantara_Veli_Maldives_Siteplan_January_2023.pdf</t>
        </is>
      </c>
      <c r="O1251" t="inlineStr">
        <is>
          <t>f04d4fab6af6b6810d8564b87544b7fef5026fd01bedcb2ad95f7e04cfec3fb3</t>
        </is>
      </c>
      <c r="P1251" t="inlineStr">
        <is>
          <t>library/146_anantara-veli-and-naladhu/map/2023_Anantara_Veli_Maldives_Siteplan_January_2023.pdf</t>
        </is>
      </c>
      <c r="R1251" t="inlineStr">
        <is>
          <t>outdated</t>
        </is>
      </c>
      <c r="S1251" t="inlineStr">
        <is>
          <t>Y</t>
        </is>
      </c>
      <c r="T1251" t="inlineStr">
        <is>
          <t>matched</t>
        </is>
      </c>
      <c r="U1251" t="inlineStr">
        <is>
          <t>2026-10-04</t>
        </is>
      </c>
      <c r="V1251" t="inlineStr"/>
    </row>
    <row r="1252">
      <c r="A1252" t="n">
        <v>147</v>
      </c>
      <c r="B1252" t="inlineStr">
        <is>
          <t>Sun Siyam Vilu Reef Maldives</t>
        </is>
      </c>
      <c r="C1252" t="inlineStr">
        <is>
          <t>factsheet</t>
        </is>
      </c>
      <c r="D1252" t="inlineStr">
        <is>
          <t>2019_Fact-Sheet-2019.pdf</t>
        </is>
      </c>
      <c r="E1252" t="n">
        <v>2019</v>
      </c>
      <c r="H1252" t="n">
        <v>6</v>
      </c>
      <c r="I1252" t="n">
        <v>3000</v>
      </c>
      <c r="J1252" t="inlineStr">
        <is>
          <t>Y</t>
        </is>
      </c>
      <c r="K1252" t="inlineStr">
        <is>
          <t>neoscapesmaldives.com</t>
        </is>
      </c>
      <c r="L1252" t="inlineStr">
        <is>
          <t>dmc-agency</t>
        </is>
      </c>
      <c r="M1252" t="inlineStr">
        <is>
          <t>https://www.neoscapesmaldives.com/wp-content/uploads/Fact-Sheet-2019.pdf</t>
        </is>
      </c>
      <c r="N1252" t="inlineStr">
        <is>
          <t>https://www.neoscapesmaldives.com/wp-content/uploads/Fact-Sheet-2019.pdf</t>
        </is>
      </c>
      <c r="O1252" t="inlineStr">
        <is>
          <t>2aca940ba91a9e21b72841aa510d4a2283b4caf422e30ee46954b6a9a1c24322</t>
        </is>
      </c>
      <c r="P1252" t="inlineStr">
        <is>
          <t>library/147_sun-siyam-vilu-reef-maldives/factsheet/2019_Fact-Sheet-2019.pdf</t>
        </is>
      </c>
      <c r="R1252" t="inlineStr">
        <is>
          <t>outdated</t>
        </is>
      </c>
      <c r="S1252" t="inlineStr">
        <is>
          <t>Y</t>
        </is>
      </c>
      <c r="T1252" t="inlineStr">
        <is>
          <t>matched</t>
        </is>
      </c>
      <c r="U1252" t="inlineStr">
        <is>
          <t>2026-10-04</t>
        </is>
      </c>
      <c r="V1252" t="inlineStr"/>
    </row>
    <row r="1253">
      <c r="A1253" t="n">
        <v>147</v>
      </c>
      <c r="B1253" t="inlineStr">
        <is>
          <t>Sun Siyam Vilu Reef Maldives</t>
        </is>
      </c>
      <c r="C1253" t="inlineStr">
        <is>
          <t>map</t>
        </is>
      </c>
      <c r="D1253" t="inlineStr">
        <is>
          <t>2019_MAP.pdf</t>
        </is>
      </c>
      <c r="E1253" t="n">
        <v>2019</v>
      </c>
      <c r="H1253" t="n">
        <v>1</v>
      </c>
      <c r="I1253" t="n">
        <v>4228</v>
      </c>
      <c r="J1253" t="inlineStr">
        <is>
          <t>N</t>
        </is>
      </c>
      <c r="K1253" t="inlineStr">
        <is>
          <t>neoscapesmaldives.com</t>
        </is>
      </c>
      <c r="L1253" t="inlineStr">
        <is>
          <t>dmc-agency</t>
        </is>
      </c>
      <c r="M1253" t="inlineStr">
        <is>
          <t>https://www.neoscapesmaldives.com/wp-content/uploads/MAP.pdf</t>
        </is>
      </c>
      <c r="N1253" t="inlineStr">
        <is>
          <t>https://www.neoscapesmaldives.com/wp-content/uploads/MAP.pdf</t>
        </is>
      </c>
      <c r="O1253" t="inlineStr">
        <is>
          <t>e888e4e5991eddac91c1b4bc69d2d17edfaf950952dbaf6a43b10d9d10a07d92</t>
        </is>
      </c>
      <c r="P1253" t="inlineStr">
        <is>
          <t>library/147_sun-siyam-vilu-reef-maldives/map/2019_MAP.pdf</t>
        </is>
      </c>
      <c r="R1253" t="inlineStr">
        <is>
          <t>outdated</t>
        </is>
      </c>
      <c r="S1253" t="inlineStr">
        <is>
          <t>Y</t>
        </is>
      </c>
      <c r="T1253" t="inlineStr">
        <is>
          <t>needs-review</t>
        </is>
      </c>
      <c r="U1253" t="inlineStr">
        <is>
          <t>2026-10-04</t>
        </is>
      </c>
      <c r="V1253" t="inlineStr">
        <is>
          <t>ambiguous match [147]</t>
        </is>
      </c>
    </row>
    <row r="1254">
      <c r="A1254" t="n">
        <v>148</v>
      </c>
      <c r="B1254" t="inlineStr">
        <is>
          <t>Sun Siyam Iru Fushi Maldives</t>
        </is>
      </c>
      <c r="C1254" t="inlineStr">
        <is>
          <t>factsheet</t>
        </is>
      </c>
      <c r="D1254" t="inlineStr">
        <is>
          <t>2019_TSSI-Factsheet.pdf</t>
        </is>
      </c>
      <c r="E1254" t="n">
        <v>2019</v>
      </c>
      <c r="H1254" t="n">
        <v>8</v>
      </c>
      <c r="I1254" t="n">
        <v>3258</v>
      </c>
      <c r="J1254" t="inlineStr">
        <is>
          <t>Y</t>
        </is>
      </c>
      <c r="K1254" t="inlineStr">
        <is>
          <t>neoscapesmaldives.com</t>
        </is>
      </c>
      <c r="L1254" t="inlineStr">
        <is>
          <t>dmc-agency</t>
        </is>
      </c>
      <c r="M1254" t="inlineStr">
        <is>
          <t>https://www.neoscapesmaldives.com/wp-content/uploads/TSSI-Factsheet.pdf</t>
        </is>
      </c>
      <c r="N1254" t="inlineStr">
        <is>
          <t>https://www.neoscapesmaldives.com/wp-content/uploads/TSSI-Factsheet.pdf</t>
        </is>
      </c>
      <c r="O1254" t="inlineStr">
        <is>
          <t>68fdbde2d08d5c31fabd0334f45ed3fa375f9b02bfdd1177348393a19b5be867</t>
        </is>
      </c>
      <c r="P1254" t="inlineStr">
        <is>
          <t>library/148_sun-siyam-iru-fushi-maldives/factsheet/2019_TSSI-Factsheet.pdf</t>
        </is>
      </c>
      <c r="R1254" t="inlineStr">
        <is>
          <t>outdated</t>
        </is>
      </c>
      <c r="S1254" t="inlineStr">
        <is>
          <t>Y</t>
        </is>
      </c>
      <c r="T1254" t="inlineStr">
        <is>
          <t>matched</t>
        </is>
      </c>
      <c r="U1254" t="inlineStr">
        <is>
          <t>2026-10-04</t>
        </is>
      </c>
      <c r="V1254" t="inlineStr"/>
    </row>
    <row r="1255">
      <c r="A1255" t="n">
        <v>148</v>
      </c>
      <c r="B1255" t="inlineStr">
        <is>
          <t>Sun Siyam Iru Fushi Maldives</t>
        </is>
      </c>
      <c r="C1255" t="inlineStr">
        <is>
          <t>map</t>
        </is>
      </c>
      <c r="D1255" t="inlineStr">
        <is>
          <t>2019_TSSI-Island-Map.pdf</t>
        </is>
      </c>
      <c r="E1255" t="n">
        <v>2019</v>
      </c>
      <c r="H1255" t="n">
        <v>1</v>
      </c>
      <c r="I1255" t="n">
        <v>1828</v>
      </c>
      <c r="J1255" t="inlineStr">
        <is>
          <t>Y</t>
        </is>
      </c>
      <c r="K1255" t="inlineStr">
        <is>
          <t>neoscapesmaldives.com</t>
        </is>
      </c>
      <c r="L1255" t="inlineStr">
        <is>
          <t>dmc-agency</t>
        </is>
      </c>
      <c r="M1255" t="inlineStr">
        <is>
          <t>https://www.neoscapesmaldives.com/wp-content/uploads/TSSI-Island-Map.pdf</t>
        </is>
      </c>
      <c r="N1255" t="inlineStr">
        <is>
          <t>https://www.neoscapesmaldives.com/wp-content/uploads/TSSI-Island-Map.pdf</t>
        </is>
      </c>
      <c r="O1255" t="inlineStr">
        <is>
          <t>6f5e4f25df19555ccfee60449a2c564a5d791ad64882b7c843eddd072014c80c</t>
        </is>
      </c>
      <c r="P1255" t="inlineStr">
        <is>
          <t>library/148_sun-siyam-iru-fushi-maldives/map/2019_TSSI-Island-Map.pdf</t>
        </is>
      </c>
      <c r="R1255" t="inlineStr">
        <is>
          <t>outdated</t>
        </is>
      </c>
      <c r="S1255" t="inlineStr">
        <is>
          <t>Y</t>
        </is>
      </c>
      <c r="T1255" t="inlineStr">
        <is>
          <t>matched</t>
        </is>
      </c>
      <c r="U1255" t="inlineStr">
        <is>
          <t>2026-10-04</t>
        </is>
      </c>
      <c r="V1255" t="inlineStr"/>
    </row>
    <row r="1256">
      <c r="A1256" t="n">
        <v>148</v>
      </c>
      <c r="B1256" t="inlineStr">
        <is>
          <t>Sun Siyam Iru Fushi Maldives</t>
        </is>
      </c>
      <c r="C1256" t="inlineStr">
        <is>
          <t>sustainability</t>
        </is>
      </c>
      <c r="D1256" t="inlineStr">
        <is>
          <t>2026_so_sotogrande_press-release_green-key_EN.pdf</t>
        </is>
      </c>
      <c r="E1256" t="n">
        <v>2026</v>
      </c>
      <c r="H1256" t="n">
        <v>3</v>
      </c>
      <c r="I1256" t="n">
        <v>713</v>
      </c>
      <c r="J1256" t="inlineStr">
        <is>
          <t>Y</t>
        </is>
      </c>
      <c r="K1256" t="inlineStr">
        <is>
          <t>so-hotels.com</t>
        </is>
      </c>
      <c r="L1256" t="inlineStr">
        <is>
          <t>official</t>
        </is>
      </c>
      <c r="M1256" t="inlineStr">
        <is>
          <t>https://so-hotels.com/wp-content/uploads/sites/19/2026/01/so_sotogrande_press-release_green-key_EN.pdf</t>
        </is>
      </c>
      <c r="N1256" t="inlineStr">
        <is>
          <t>https://so-hotels.com/wp-content/uploads/sites/19/2026/01/so_sotogrande_press-release_green-key_EN.pdf</t>
        </is>
      </c>
      <c r="O1256" t="inlineStr">
        <is>
          <t>c73268153eaeedc2aace1d3e9eaa0bfee677ba2e2dccd82537e73a22a7329b77</t>
        </is>
      </c>
      <c r="P1256" t="inlineStr">
        <is>
          <t>library/148_sun-siyam-iru-fushi-maldives/sustainability/2026_so_sotogrande_press-release_green-key_EN.pdf</t>
        </is>
      </c>
      <c r="R1256" t="inlineStr">
        <is>
          <t>current</t>
        </is>
      </c>
      <c r="S1256" t="inlineStr">
        <is>
          <t>Y</t>
        </is>
      </c>
      <c r="T1256" t="inlineStr">
        <is>
          <t>matched</t>
        </is>
      </c>
      <c r="U1256" t="inlineStr">
        <is>
          <t>2026-10-04</t>
        </is>
      </c>
      <c r="V1256" t="inlineStr"/>
    </row>
    <row r="1257">
      <c r="A1257" t="n">
        <v>148</v>
      </c>
      <c r="B1257" t="inlineStr">
        <is>
          <t>Sun Siyam Iru Fushi Maldives</t>
        </is>
      </c>
      <c r="C1257" t="inlineStr">
        <is>
          <t>calendar</t>
        </is>
      </c>
      <c r="D1257" t="inlineStr">
        <is>
          <t>2027_Sun-Siyam-Iru-Fushi-Our-Festive-Brochure-2026-2027.pdf</t>
        </is>
      </c>
      <c r="E1257" t="n">
        <v>2027</v>
      </c>
      <c r="H1257" t="n">
        <v>25</v>
      </c>
      <c r="I1257" t="n">
        <v>2997</v>
      </c>
      <c r="J1257" t="inlineStr">
        <is>
          <t>Y</t>
        </is>
      </c>
      <c r="K1257" t="inlineStr">
        <is>
          <t>letsgomaldives.com</t>
        </is>
      </c>
      <c r="L1257" t="inlineStr">
        <is>
          <t>dmc-agency</t>
        </is>
      </c>
      <c r="M1257" t="inlineStr">
        <is>
          <t>https://letsgomaldives.com/wp-content/uploads/2026/08/Sun-Siyam-Iru-Fushi-Our-Festive-Brochure-2026-2027.pdf</t>
        </is>
      </c>
      <c r="N1257" t="inlineStr">
        <is>
          <t>https://letsgomaldives.com/wp-content/uploads/2026/08/Sun-Siyam-Iru-Fushi-Our-Festive-Brochure-2026-2027.pdf</t>
        </is>
      </c>
      <c r="O1257" t="inlineStr">
        <is>
          <t>a04b8d1178c701bd644e4fe0dec0ef08c5e7f72b9d4c988e48f7906da91b4e88</t>
        </is>
      </c>
      <c r="P1257" t="inlineStr">
        <is>
          <t>library/148_sun-siyam-iru-fushi-maldives/calendar/2027_Sun-Siyam-Iru-Fushi-Our-Festive-Brochure-2026-2027.pdf</t>
        </is>
      </c>
      <c r="R1257" t="inlineStr">
        <is>
          <t>current</t>
        </is>
      </c>
      <c r="S1257" t="inlineStr">
        <is>
          <t>Y</t>
        </is>
      </c>
      <c r="T1257" t="inlineStr">
        <is>
          <t>matched</t>
        </is>
      </c>
      <c r="U1257" t="inlineStr">
        <is>
          <t>2026-10-04</t>
        </is>
      </c>
      <c r="V1257" t="inlineStr"/>
    </row>
    <row r="1258">
      <c r="A1258" t="n">
        <v>148</v>
      </c>
      <c r="B1258" t="inlineStr">
        <is>
          <t>Sun Siyam Iru Fushi Maldives</t>
        </is>
      </c>
      <c r="C1258" t="inlineStr">
        <is>
          <t>calendar</t>
        </is>
      </c>
      <c r="D1258" t="inlineStr">
        <is>
          <t>2023_Sun_Siyam_Iru_Fushi-A-BEACHY-AFFAIR-FESTIVE-BOOKLET-2022-2023.pdf</t>
        </is>
      </c>
      <c r="E1258" t="n">
        <v>2023</v>
      </c>
      <c r="H1258" t="n">
        <v>35</v>
      </c>
      <c r="I1258" t="n">
        <v>4812</v>
      </c>
      <c r="J1258" t="inlineStr">
        <is>
          <t>Y</t>
        </is>
      </c>
      <c r="K1258" t="inlineStr">
        <is>
          <t>letsgomaldives.com</t>
        </is>
      </c>
      <c r="L1258" t="inlineStr">
        <is>
          <t>dmc-agency</t>
        </is>
      </c>
      <c r="M1258" t="inlineStr">
        <is>
          <t>https://letsgomaldives.com/wp-content/uploads/2022/11/Sun_Siyam_Iru_Fushi-A-BEACHY-AFFAIR-FESTIVE-BOOKLET-2022-2023.pdf</t>
        </is>
      </c>
      <c r="N1258" t="inlineStr">
        <is>
          <t>https://letsgomaldives.com/wp-content/uploads/2022/11/Sun_Siyam_Iru_Fushi-A-BEACHY-AFFAIR-FESTIVE-BOOKLET-2022-2023.pdf</t>
        </is>
      </c>
      <c r="O1258" t="inlineStr">
        <is>
          <t>cc7363c0fa99e040294a24260ec8bee2f248f977da4230c8f344d73d0d3f36fe</t>
        </is>
      </c>
      <c r="P1258" t="inlineStr">
        <is>
          <t>library/148_sun-siyam-iru-fushi-maldives/calendar/2023_Sun_Siyam_Iru_Fushi-A-BEACHY-AFFAIR-FESTIVE-BOOKLET-2022-2023.pdf</t>
        </is>
      </c>
      <c r="R1258" t="inlineStr">
        <is>
          <t>outdated</t>
        </is>
      </c>
      <c r="S1258" t="inlineStr">
        <is>
          <t>N</t>
        </is>
      </c>
      <c r="T1258" t="inlineStr">
        <is>
          <t>matched</t>
        </is>
      </c>
      <c r="U1258" t="inlineStr">
        <is>
          <t>2026-10-04</t>
        </is>
      </c>
      <c r="V1258" t="inlineStr"/>
    </row>
    <row r="1259">
      <c r="A1259" t="n">
        <v>148</v>
      </c>
      <c r="B1259" t="inlineStr">
        <is>
          <t>Sun Siyam Iru Fushi Maldives</t>
        </is>
      </c>
      <c r="C1259" t="inlineStr">
        <is>
          <t>brochure</t>
        </is>
      </c>
      <c r="D1259" t="inlineStr">
        <is>
          <t>2026_SOVienna_Edit.pdf</t>
        </is>
      </c>
      <c r="E1259" t="n">
        <v>2026</v>
      </c>
      <c r="H1259" t="n">
        <v>4</v>
      </c>
      <c r="I1259" t="n">
        <v>1688</v>
      </c>
      <c r="J1259" t="inlineStr">
        <is>
          <t>Y</t>
        </is>
      </c>
      <c r="K1259" t="inlineStr">
        <is>
          <t>so-hotels.com</t>
        </is>
      </c>
      <c r="L1259" t="inlineStr">
        <is>
          <t>official</t>
        </is>
      </c>
      <c r="M1259" t="inlineStr">
        <is>
          <t>https://so-hotels.com/wp-content/uploads/sites/19/2026/07/SOVienna_Edit.pdf</t>
        </is>
      </c>
      <c r="N1259" t="inlineStr">
        <is>
          <t>https://so-hotels.com/wp-content/uploads/sites/19/2026/07/SOVienna_Edit.pdf</t>
        </is>
      </c>
      <c r="O1259" t="inlineStr">
        <is>
          <t>f27f48c01aa68af7f8c2b9f65bb6786adafa34643eca91f5aa580e682bc3b9f2</t>
        </is>
      </c>
      <c r="P1259" t="inlineStr">
        <is>
          <t>library/148_sun-siyam-iru-fushi-maldives/brochure/2026_SOVienna_Edit.pdf</t>
        </is>
      </c>
      <c r="R1259" t="inlineStr">
        <is>
          <t>current</t>
        </is>
      </c>
      <c r="S1259" t="inlineStr">
        <is>
          <t>Y</t>
        </is>
      </c>
      <c r="T1259" t="inlineStr">
        <is>
          <t>matched</t>
        </is>
      </c>
      <c r="U1259" t="inlineStr">
        <is>
          <t>2026-10-04</t>
        </is>
      </c>
      <c r="V1259" t="inlineStr"/>
    </row>
    <row r="1260">
      <c r="A1260" t="n">
        <v>148</v>
      </c>
      <c r="B1260" t="inlineStr">
        <is>
          <t>Sun Siyam Iru Fushi Maldives</t>
        </is>
      </c>
      <c r="C1260" t="inlineStr">
        <is>
          <t>brochure</t>
        </is>
      </c>
      <c r="D1260" t="inlineStr">
        <is>
          <t>2021_BREAKOUT_Playbook.pdf</t>
        </is>
      </c>
      <c r="E1260" t="n">
        <v>2021</v>
      </c>
      <c r="H1260" t="n">
        <v>24</v>
      </c>
      <c r="I1260" t="n">
        <v>1479</v>
      </c>
      <c r="J1260" t="inlineStr">
        <is>
          <t>Y</t>
        </is>
      </c>
      <c r="K1260" t="inlineStr">
        <is>
          <t>hardrockhotels.com</t>
        </is>
      </c>
      <c r="L1260" t="inlineStr">
        <is>
          <t>official</t>
        </is>
      </c>
      <c r="M1260" t="inlineStr">
        <is>
          <t>https://hotel.hardrock.com/maldives/files/6016/BREAKOUT_Playbook.pdf</t>
        </is>
      </c>
      <c r="N1260" t="inlineStr">
        <is>
          <t>https://hotel.hardrock.com/maldives/files/6016/BREAKOUT_Playbook.pdf</t>
        </is>
      </c>
      <c r="O1260" t="inlineStr">
        <is>
          <t>4f4a43de8825556ca618eace15390b47ae058430ab37fc386461174c032a8eee</t>
        </is>
      </c>
      <c r="P1260" t="inlineStr">
        <is>
          <t>library/148_sun-siyam-iru-fushi-maldives/brochure/2021_BREAKOUT_Playbook.pdf</t>
        </is>
      </c>
      <c r="R1260" t="inlineStr">
        <is>
          <t>outdated</t>
        </is>
      </c>
      <c r="S1260" t="inlineStr">
        <is>
          <t>N</t>
        </is>
      </c>
      <c r="T1260" t="inlineStr">
        <is>
          <t>matched</t>
        </is>
      </c>
      <c r="U1260" t="inlineStr">
        <is>
          <t>2026-10-04</t>
        </is>
      </c>
      <c r="V1260" t="inlineStr"/>
    </row>
    <row r="1261">
      <c r="A1261" t="n">
        <v>148</v>
      </c>
      <c r="B1261" t="inlineStr">
        <is>
          <t>Sun Siyam Iru Fushi Maldives</t>
        </is>
      </c>
      <c r="C1261" t="inlineStr">
        <is>
          <t>press_kit</t>
        </is>
      </c>
      <c r="D1261" t="inlineStr">
        <is>
          <t>2026_so_sotogrand_press-release_valentines-2026_EN.pdf</t>
        </is>
      </c>
      <c r="E1261" t="n">
        <v>2026</v>
      </c>
      <c r="H1261" t="n">
        <v>3</v>
      </c>
      <c r="I1261" t="n">
        <v>644</v>
      </c>
      <c r="J1261" t="inlineStr">
        <is>
          <t>Y</t>
        </is>
      </c>
      <c r="K1261" t="inlineStr">
        <is>
          <t>so-hotels.com</t>
        </is>
      </c>
      <c r="L1261" t="inlineStr">
        <is>
          <t>official</t>
        </is>
      </c>
      <c r="M1261" t="inlineStr">
        <is>
          <t>https://so-hotels.com/wp-content/uploads/sites/19/2026/01/so_sotogrand_press-release_valentines-2026_EN.pdf</t>
        </is>
      </c>
      <c r="N1261" t="inlineStr">
        <is>
          <t>https://so-hotels.com/wp-content/uploads/sites/19/2026/01/so_sotogrand_press-release_valentines-2026_EN.pdf</t>
        </is>
      </c>
      <c r="O1261" t="inlineStr">
        <is>
          <t>aa7b6495b2e2c2159299997ef433dd69e6359e42262fb5e2235fefe1c28ee375</t>
        </is>
      </c>
      <c r="P1261" t="inlineStr">
        <is>
          <t>library/148_sun-siyam-iru-fushi-maldives/press_kit/2026_so_sotogrand_press-release_valentines-2026_EN.pdf</t>
        </is>
      </c>
      <c r="R1261" t="inlineStr">
        <is>
          <t>current</t>
        </is>
      </c>
      <c r="S1261" t="inlineStr">
        <is>
          <t>Y</t>
        </is>
      </c>
      <c r="T1261" t="inlineStr">
        <is>
          <t>matched</t>
        </is>
      </c>
      <c r="U1261" t="inlineStr">
        <is>
          <t>2026-10-04</t>
        </is>
      </c>
      <c r="V1261" t="inlineStr"/>
    </row>
    <row r="1262">
      <c r="A1262" t="n">
        <v>148</v>
      </c>
      <c r="B1262" t="inlineStr">
        <is>
          <t>Sun Siyam Iru Fushi Maldives</t>
        </is>
      </c>
      <c r="C1262" t="inlineStr">
        <is>
          <t>other</t>
        </is>
      </c>
      <c r="D1262" t="inlineStr">
        <is>
          <t>2015_Proce_dure-de-re_servation.pdf</t>
        </is>
      </c>
      <c r="E1262" t="n">
        <v>2015</v>
      </c>
      <c r="H1262" t="n">
        <v>2</v>
      </c>
      <c r="I1262" t="n">
        <v>689</v>
      </c>
      <c r="J1262" t="inlineStr">
        <is>
          <t>Y</t>
        </is>
      </c>
      <c r="K1262" t="inlineStr">
        <is>
          <t>planhotel.com</t>
        </is>
      </c>
      <c r="L1262" t="inlineStr">
        <is>
          <t>official</t>
        </is>
      </c>
      <c r="M1262" t="inlineStr">
        <is>
          <t>https://d1vp8nomjxwyf1.cloudfront.net/wp-content/uploads/sites/212/2017/08/08083505/Proce%CC%81dure-de-re%CC%81servation.pdf</t>
        </is>
      </c>
      <c r="N1262" t="inlineStr">
        <is>
          <t>https://d1vp8nomjxwyf1.cloudfront.net/wp-content/uploads/sites/212/2017/08/08083505/Proce%CC%81dure-de-re%CC%81servation.pdf</t>
        </is>
      </c>
      <c r="O1262" t="inlineStr">
        <is>
          <t>084855f3650af2b902fd46a79375910ad721a3ca7fe505204a88c9a71b986100</t>
        </is>
      </c>
      <c r="P1262" t="inlineStr">
        <is>
          <t>library/148_sun-siyam-iru-fushi-maldives/other/2015_Proce_dure-de-re_servation.pdf</t>
        </is>
      </c>
      <c r="R1262" t="inlineStr">
        <is>
          <t>outdated</t>
        </is>
      </c>
      <c r="S1262" t="inlineStr">
        <is>
          <t>Y</t>
        </is>
      </c>
      <c r="T1262" t="inlineStr">
        <is>
          <t>matched</t>
        </is>
      </c>
      <c r="U1262" t="inlineStr">
        <is>
          <t>2026-10-04</t>
        </is>
      </c>
      <c r="V1262" t="inlineStr"/>
    </row>
    <row r="1263">
      <c r="A1263" t="n">
        <v>150</v>
      </c>
      <c r="B1263" t="inlineStr">
        <is>
          <t>Coco Bodu Hithi</t>
        </is>
      </c>
      <c r="C1263" t="inlineStr">
        <is>
          <t>factsheet</t>
        </is>
      </c>
      <c r="D1263" t="inlineStr">
        <is>
          <t>2020_02.-Coco-Bodu-Hithi-Factsheet.pdf</t>
        </is>
      </c>
      <c r="E1263" t="n">
        <v>2020</v>
      </c>
      <c r="H1263" t="n">
        <v>9</v>
      </c>
      <c r="I1263" t="n">
        <v>1706</v>
      </c>
      <c r="J1263" t="inlineStr">
        <is>
          <t>Y</t>
        </is>
      </c>
      <c r="K1263" t="inlineStr">
        <is>
          <t>neoscapesmaldives.com</t>
        </is>
      </c>
      <c r="L1263" t="inlineStr">
        <is>
          <t>dmc-agency</t>
        </is>
      </c>
      <c r="M1263" t="inlineStr">
        <is>
          <t>https://www.neoscapesmaldives.com/wp-content/uploads/02.-Coco-Bodu-Hithi-Factsheet.pdf</t>
        </is>
      </c>
      <c r="N1263" t="inlineStr">
        <is>
          <t>https://www.neoscapesmaldives.com/wp-content/uploads/02.-Coco-Bodu-Hithi-Factsheet.pdf</t>
        </is>
      </c>
      <c r="O1263" t="inlineStr">
        <is>
          <t>191aa17012bc07d1117d94febd7ef68ced0e690ee9ee584a4d37cdb060e22c89</t>
        </is>
      </c>
      <c r="P1263" t="inlineStr">
        <is>
          <t>library/150_coco-bodu-hithi/factsheet/2020_02.-Coco-Bodu-Hithi-Factsheet.pdf</t>
        </is>
      </c>
      <c r="R1263" t="inlineStr">
        <is>
          <t>outdated</t>
        </is>
      </c>
      <c r="S1263" t="inlineStr">
        <is>
          <t>Y</t>
        </is>
      </c>
      <c r="T1263" t="inlineStr">
        <is>
          <t>matched</t>
        </is>
      </c>
      <c r="U1263" t="inlineStr">
        <is>
          <t>2026-10-04</t>
        </is>
      </c>
      <c r="V1263" t="inlineStr"/>
    </row>
    <row r="1264">
      <c r="A1264" t="n">
        <v>150</v>
      </c>
      <c r="B1264" t="inlineStr">
        <is>
          <t>Coco Bodu Hithi</t>
        </is>
      </c>
      <c r="C1264" t="inlineStr">
        <is>
          <t>map</t>
        </is>
      </c>
      <c r="D1264" t="inlineStr">
        <is>
          <t>2025_03.-Coco-Bodu-Hithi-Map.pdf</t>
        </is>
      </c>
      <c r="E1264" t="n">
        <v>2025</v>
      </c>
      <c r="H1264" t="n">
        <v>1</v>
      </c>
      <c r="I1264" t="n">
        <v>1662</v>
      </c>
      <c r="J1264" t="inlineStr">
        <is>
          <t>Y</t>
        </is>
      </c>
      <c r="K1264" t="inlineStr">
        <is>
          <t>neoscapesmaldives.com</t>
        </is>
      </c>
      <c r="L1264" t="inlineStr">
        <is>
          <t>dmc-agency</t>
        </is>
      </c>
      <c r="M1264" t="inlineStr">
        <is>
          <t>https://www.neoscapesmaldives.com/wp-content/uploads/03.-Coco-Bodu-Hithi-Map.pdf</t>
        </is>
      </c>
      <c r="N1264" t="inlineStr">
        <is>
          <t>https://www.neoscapesmaldives.com/wp-content/uploads/03.-Coco-Bodu-Hithi-Map.pdf</t>
        </is>
      </c>
      <c r="O1264" t="inlineStr">
        <is>
          <t>27143fd20a3a8e5ac36b6521edaf522725b9883a6b794e38577485600e5dc87b</t>
        </is>
      </c>
      <c r="P1264" t="inlineStr">
        <is>
          <t>library/150_coco-bodu-hithi/map/2025_03.-Coco-Bodu-Hithi-Map.pdf</t>
        </is>
      </c>
      <c r="R1264" t="inlineStr">
        <is>
          <t>current</t>
        </is>
      </c>
      <c r="S1264" t="inlineStr">
        <is>
          <t>Y</t>
        </is>
      </c>
      <c r="T1264" t="inlineStr">
        <is>
          <t>matched</t>
        </is>
      </c>
      <c r="U1264" t="inlineStr">
        <is>
          <t>2026-10-04</t>
        </is>
      </c>
      <c r="V1264" t="inlineStr"/>
    </row>
    <row r="1265">
      <c r="A1265" t="n">
        <v>153</v>
      </c>
      <c r="B1265" t="inlineStr">
        <is>
          <t>Taj Coral Reef Resort and Spa</t>
        </is>
      </c>
      <c r="C1265" t="inlineStr">
        <is>
          <t>factsheet</t>
        </is>
      </c>
      <c r="D1265" t="inlineStr">
        <is>
          <t>2021_FactSheet-Taj-Coral-Reef-Maldives-NEO.pdf</t>
        </is>
      </c>
      <c r="E1265" t="n">
        <v>2021</v>
      </c>
      <c r="H1265" t="n">
        <v>7</v>
      </c>
      <c r="I1265" t="n">
        <v>2675</v>
      </c>
      <c r="J1265" t="inlineStr">
        <is>
          <t>N</t>
        </is>
      </c>
      <c r="K1265" t="inlineStr">
        <is>
          <t>neoscapesmaldives.com</t>
        </is>
      </c>
      <c r="L1265" t="inlineStr">
        <is>
          <t>dmc-agency</t>
        </is>
      </c>
      <c r="M1265" t="inlineStr">
        <is>
          <t>https://www.neoscapesmaldives.com/wp-content/uploads/FactSheet-Taj-Coral-Reef-Maldives-NEO.pdf</t>
        </is>
      </c>
      <c r="N1265" t="inlineStr">
        <is>
          <t>https://www.neoscapesmaldives.com/wp-content/uploads/FactSheet-Taj-Coral-Reef-Maldives-NEO.pdf</t>
        </is>
      </c>
      <c r="O1265" t="inlineStr">
        <is>
          <t>b6a72fa0bec576dd8feaf3f1e9e59ccfd62315858c0325c3a679a3f9bf1457b6</t>
        </is>
      </c>
      <c r="P1265" t="inlineStr">
        <is>
          <t>library/153_taj-coral-reef-resort-and-spa/factsheet/2021_FactSheet-Taj-Coral-Reef-Maldives-NEO.pdf</t>
        </is>
      </c>
      <c r="R1265" t="inlineStr">
        <is>
          <t>outdated</t>
        </is>
      </c>
      <c r="S1265" t="inlineStr">
        <is>
          <t>Y</t>
        </is>
      </c>
      <c r="T1265" t="inlineStr">
        <is>
          <t>matched</t>
        </is>
      </c>
      <c r="U1265" t="inlineStr">
        <is>
          <t>2026-10-04</t>
        </is>
      </c>
      <c r="V1265" t="inlineStr"/>
    </row>
    <row r="1266">
      <c r="A1266" t="n">
        <v>153</v>
      </c>
      <c r="B1266" t="inlineStr">
        <is>
          <t>Taj Coral Reef Resort and Spa</t>
        </is>
      </c>
      <c r="C1266" t="inlineStr">
        <is>
          <t>map</t>
        </is>
      </c>
      <c r="D1266" t="inlineStr">
        <is>
          <t>2021_Resort-Map-Taj-Coral-Reef-Resort-and-Spa-Maldives.pdf</t>
        </is>
      </c>
      <c r="E1266" t="n">
        <v>2021</v>
      </c>
      <c r="H1266" t="n">
        <v>1</v>
      </c>
      <c r="I1266" t="n">
        <v>390</v>
      </c>
      <c r="J1266" t="inlineStr">
        <is>
          <t>N</t>
        </is>
      </c>
      <c r="K1266" t="inlineStr">
        <is>
          <t>neoscapesmaldives.com</t>
        </is>
      </c>
      <c r="L1266" t="inlineStr">
        <is>
          <t>dmc-agency</t>
        </is>
      </c>
      <c r="M1266" t="inlineStr">
        <is>
          <t>https://www.neoscapesmaldives.com/wp-content/uploads/Resort-Map-Taj-Coral-Reef-Resort-and-Spa-Maldives.pdf</t>
        </is>
      </c>
      <c r="N1266" t="inlineStr">
        <is>
          <t>https://www.neoscapesmaldives.com/wp-content/uploads/Resort-Map-Taj-Coral-Reef-Resort-and-Spa-Maldives.pdf</t>
        </is>
      </c>
      <c r="O1266" t="inlineStr">
        <is>
          <t>0d24980534e7851b96e1c6ab9802e8218af3a746778a2e75c5d91e6837bf9083</t>
        </is>
      </c>
      <c r="P1266" t="inlineStr">
        <is>
          <t>library/153_taj-coral-reef-resort-and-spa/map/2021_Resort-Map-Taj-Coral-Reef-Resort-and-Spa-Maldives.pdf</t>
        </is>
      </c>
      <c r="R1266" t="inlineStr">
        <is>
          <t>outdated</t>
        </is>
      </c>
      <c r="S1266" t="inlineStr">
        <is>
          <t>Y</t>
        </is>
      </c>
      <c r="T1266" t="inlineStr">
        <is>
          <t>matched</t>
        </is>
      </c>
      <c r="U1266" t="inlineStr">
        <is>
          <t>2026-10-04</t>
        </is>
      </c>
      <c r="V1266" t="inlineStr"/>
    </row>
    <row r="1267">
      <c r="A1267" t="n">
        <v>154</v>
      </c>
      <c r="B1267" t="inlineStr">
        <is>
          <t>Taj Exotica Resort &amp; Spa Maldives</t>
        </is>
      </c>
      <c r="C1267" t="inlineStr">
        <is>
          <t>factsheet</t>
        </is>
      </c>
      <c r="D1267" t="inlineStr">
        <is>
          <t>2021_Factsheet-Taj-Exotica-Resort-Spa-_Maldives-NEO.pdf</t>
        </is>
      </c>
      <c r="E1267" t="n">
        <v>2021</v>
      </c>
      <c r="H1267" t="n">
        <v>7</v>
      </c>
      <c r="I1267" t="n">
        <v>1961</v>
      </c>
      <c r="J1267" t="inlineStr">
        <is>
          <t>N</t>
        </is>
      </c>
      <c r="K1267" t="inlineStr">
        <is>
          <t>neoscapesmaldives.com</t>
        </is>
      </c>
      <c r="L1267" t="inlineStr">
        <is>
          <t>dmc-agency</t>
        </is>
      </c>
      <c r="M1267" t="inlineStr">
        <is>
          <t>https://www.neoscapesmaldives.com/wp-content/uploads/Factsheet-Taj-Exotica-Resort-Spa-_Maldives-NEO.pdf</t>
        </is>
      </c>
      <c r="N1267" t="inlineStr">
        <is>
          <t>https://www.neoscapesmaldives.com/wp-content/uploads/Factsheet-Taj-Exotica-Resort-Spa-_Maldives-NEO.pdf</t>
        </is>
      </c>
      <c r="O1267" t="inlineStr">
        <is>
          <t>61d840d9f7314e92a97615697f4b448248ca640e0af235058671d1ded9406c5b</t>
        </is>
      </c>
      <c r="P1267" t="inlineStr">
        <is>
          <t>library/154_taj-exotica-resort-spa-maldives/factsheet/2021_Factsheet-Taj-Exotica-Resort-Spa-_Maldives-NEO.pdf</t>
        </is>
      </c>
      <c r="R1267" t="inlineStr">
        <is>
          <t>outdated</t>
        </is>
      </c>
      <c r="S1267" t="inlineStr">
        <is>
          <t>Y</t>
        </is>
      </c>
      <c r="T1267" t="inlineStr">
        <is>
          <t>matched</t>
        </is>
      </c>
      <c r="U1267" t="inlineStr">
        <is>
          <t>2026-10-04</t>
        </is>
      </c>
      <c r="V1267" t="inlineStr"/>
    </row>
    <row r="1268">
      <c r="A1268" t="n">
        <v>154</v>
      </c>
      <c r="B1268" t="inlineStr">
        <is>
          <t>Taj Exotica Resort &amp; Spa Maldives</t>
        </is>
      </c>
      <c r="C1268" t="inlineStr">
        <is>
          <t>map</t>
        </is>
      </c>
      <c r="D1268" t="inlineStr">
        <is>
          <t>2021_Taj-Exotica-Resort-Spa-Map.pdf</t>
        </is>
      </c>
      <c r="E1268" t="n">
        <v>2021</v>
      </c>
      <c r="H1268" t="n">
        <v>1</v>
      </c>
      <c r="I1268" t="n">
        <v>309</v>
      </c>
      <c r="J1268" t="inlineStr">
        <is>
          <t>N</t>
        </is>
      </c>
      <c r="K1268" t="inlineStr">
        <is>
          <t>neoscapesmaldives.com</t>
        </is>
      </c>
      <c r="L1268" t="inlineStr">
        <is>
          <t>dmc-agency</t>
        </is>
      </c>
      <c r="M1268" t="inlineStr">
        <is>
          <t>https://www.neoscapesmaldives.com/wp-content/uploads/Taj-Exotica-Resort-Spa-Map.pdf</t>
        </is>
      </c>
      <c r="N1268" t="inlineStr">
        <is>
          <t>https://www.neoscapesmaldives.com/wp-content/uploads/Taj-Exotica-Resort-Spa-Map.pdf</t>
        </is>
      </c>
      <c r="O1268" t="inlineStr">
        <is>
          <t>99ee16c340dbfa6d663e957bcd6a10ac04d69a9aeb23a4fe5f58ea0c190f5fe7</t>
        </is>
      </c>
      <c r="P1268" t="inlineStr">
        <is>
          <t>library/154_taj-exotica-resort-spa-maldives/map/2021_Taj-Exotica-Resort-Spa-Map.pdf</t>
        </is>
      </c>
      <c r="R1268" t="inlineStr">
        <is>
          <t>outdated</t>
        </is>
      </c>
      <c r="S1268" t="inlineStr">
        <is>
          <t>Y</t>
        </is>
      </c>
      <c r="T1268" t="inlineStr">
        <is>
          <t>matched</t>
        </is>
      </c>
      <c r="U1268" t="inlineStr">
        <is>
          <t>2026-10-04</t>
        </is>
      </c>
      <c r="V1268" t="inlineStr"/>
    </row>
    <row r="1269">
      <c r="A1269" t="n">
        <v>155</v>
      </c>
      <c r="B1269" t="inlineStr">
        <is>
          <t>Constance Halaveli Resort</t>
        </is>
      </c>
      <c r="C1269" t="inlineStr">
        <is>
          <t>factsheet</t>
        </is>
      </c>
      <c r="D1269" t="inlineStr">
        <is>
          <t>2023_halaveli-factsheet-en-24april2023.pdf</t>
        </is>
      </c>
      <c r="E1269" t="n">
        <v>2023</v>
      </c>
      <c r="H1269" t="n">
        <v>12</v>
      </c>
      <c r="I1269" t="n">
        <v>2941</v>
      </c>
      <c r="J1269" t="inlineStr">
        <is>
          <t>Y</t>
        </is>
      </c>
      <c r="K1269" t="inlineStr">
        <is>
          <t>neoscapesmaldives.com</t>
        </is>
      </c>
      <c r="L1269" t="inlineStr">
        <is>
          <t>dmc-agency</t>
        </is>
      </c>
      <c r="M1269" t="inlineStr">
        <is>
          <t>https://www.neoscapesmaldives.com/wp-content/uploads/halaveli-factsheet-en-24april2023.pdf</t>
        </is>
      </c>
      <c r="N1269" t="inlineStr">
        <is>
          <t>https://www.neoscapesmaldives.com/wp-content/uploads/halaveli-factsheet-en-24april2023.pdf</t>
        </is>
      </c>
      <c r="O1269" t="inlineStr">
        <is>
          <t>a1c865b185d2a4b57b33ac0d4f10de89d20eff2f930d77fbcce123a885188ea7</t>
        </is>
      </c>
      <c r="P1269" t="inlineStr">
        <is>
          <t>library/155_constance-halaveli-resort/factsheet/2023_halaveli-factsheet-en-24april2023.pdf</t>
        </is>
      </c>
      <c r="R1269" t="inlineStr">
        <is>
          <t>outdated</t>
        </is>
      </c>
      <c r="S1269" t="inlineStr">
        <is>
          <t>Y</t>
        </is>
      </c>
      <c r="T1269" t="inlineStr">
        <is>
          <t>matched</t>
        </is>
      </c>
      <c r="U1269" t="inlineStr">
        <is>
          <t>2026-10-04</t>
        </is>
      </c>
      <c r="V1269" t="inlineStr"/>
    </row>
    <row r="1270">
      <c r="A1270" t="n">
        <v>155</v>
      </c>
      <c r="B1270" t="inlineStr">
        <is>
          <t>Constance Halaveli Resort</t>
        </is>
      </c>
      <c r="C1270" t="inlineStr">
        <is>
          <t>map</t>
        </is>
      </c>
      <c r="D1270" t="inlineStr">
        <is>
          <t>2019_constance-halaveli-location-map.pdf</t>
        </is>
      </c>
      <c r="E1270" t="n">
        <v>2019</v>
      </c>
      <c r="H1270" t="n">
        <v>1</v>
      </c>
      <c r="I1270" t="n">
        <v>59</v>
      </c>
      <c r="J1270" t="inlineStr">
        <is>
          <t>N</t>
        </is>
      </c>
      <c r="K1270" t="inlineStr">
        <is>
          <t>neoscapesmaldives.com</t>
        </is>
      </c>
      <c r="L1270" t="inlineStr">
        <is>
          <t>dmc-agency</t>
        </is>
      </c>
      <c r="M1270" t="inlineStr">
        <is>
          <t>https://www.neoscapesmaldives.com/wp-content/uploads/constance-halaveli-location-map.pdf</t>
        </is>
      </c>
      <c r="N1270" t="inlineStr">
        <is>
          <t>https://www.neoscapesmaldives.com/wp-content/uploads/constance-halaveli-location-map.pdf</t>
        </is>
      </c>
      <c r="O1270" t="inlineStr">
        <is>
          <t>9bb148c31e995e4d38846624cd6d80b62a38eef654643a29658e19b0efd5e297</t>
        </is>
      </c>
      <c r="P1270" t="inlineStr">
        <is>
          <t>library/155_constance-halaveli-resort/map/2019_constance-halaveli-location-map.pdf</t>
        </is>
      </c>
      <c r="R1270" t="inlineStr">
        <is>
          <t>outdated</t>
        </is>
      </c>
      <c r="S1270" t="inlineStr">
        <is>
          <t>Y</t>
        </is>
      </c>
      <c r="T1270" t="inlineStr">
        <is>
          <t>matched</t>
        </is>
      </c>
      <c r="U1270" t="inlineStr">
        <is>
          <t>2026-10-04</t>
        </is>
      </c>
      <c r="V1270" t="inlineStr"/>
    </row>
    <row r="1271">
      <c r="A1271" t="n">
        <v>157</v>
      </c>
      <c r="B1271" t="inlineStr">
        <is>
          <t>The Nautilus Maldives</t>
        </is>
      </c>
      <c r="C1271" t="inlineStr">
        <is>
          <t>factsheet</t>
        </is>
      </c>
      <c r="D1271" t="inlineStr">
        <is>
          <t>2026_The Nautilus Maldives - Factsheet 2026.pdf</t>
        </is>
      </c>
      <c r="E1271" t="n">
        <v>2026</v>
      </c>
      <c r="H1271" t="n">
        <v>6</v>
      </c>
      <c r="I1271" t="n">
        <v>2132</v>
      </c>
      <c r="J1271" t="inlineStr">
        <is>
          <t>Y</t>
        </is>
      </c>
      <c r="K1271" t="inlineStr">
        <is>
          <t>pulse.dash.app</t>
        </is>
      </c>
      <c r="L1271" t="inlineStr">
        <is>
          <t>brand-cdn</t>
        </is>
      </c>
      <c r="M1271"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1"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1" t="inlineStr">
        <is>
          <t>ddbe8b3ec3dd7c3b244d84ddb5b893f02b8a834361e56212cca8c6a3ed617c5c</t>
        </is>
      </c>
      <c r="P1271" t="inlineStr">
        <is>
          <t>library/157_the-nautilus-maldives/factsheet/2026_The Nautilus Maldives - Factsheet 2026.pdf</t>
        </is>
      </c>
      <c r="R1271" t="inlineStr">
        <is>
          <t>current</t>
        </is>
      </c>
      <c r="S1271" t="inlineStr">
        <is>
          <t>Y</t>
        </is>
      </c>
      <c r="T1271" t="inlineStr">
        <is>
          <t>matched</t>
        </is>
      </c>
      <c r="U1271" t="inlineStr">
        <is>
          <t>2026-10-04</t>
        </is>
      </c>
      <c r="V1271" t="inlineStr"/>
    </row>
    <row r="1272">
      <c r="A1272" t="n">
        <v>157</v>
      </c>
      <c r="B1272" t="inlineStr">
        <is>
          <t>The Nautilus Maldives</t>
        </is>
      </c>
      <c r="C1272" t="inlineStr">
        <is>
          <t>factsheet</t>
        </is>
      </c>
      <c r="D1272" t="inlineStr">
        <is>
          <t>2026_The-Nautilus-Maldives-.pdf</t>
        </is>
      </c>
      <c r="E1272" t="n">
        <v>2026</v>
      </c>
      <c r="H1272" t="n">
        <v>6</v>
      </c>
      <c r="I1272" t="n">
        <v>2000</v>
      </c>
      <c r="J1272" t="inlineStr">
        <is>
          <t>Y</t>
        </is>
      </c>
      <c r="K1272" t="inlineStr">
        <is>
          <t>awesomegetawaymaldives.com</t>
        </is>
      </c>
      <c r="L1272" t="inlineStr">
        <is>
          <t>dmc-agency</t>
        </is>
      </c>
      <c r="M1272" t="inlineStr">
        <is>
          <t>https://awesomegetawaymaldives.com/wp-content/uploads/2026/04/The-Nautilus-Maldives-.pdf</t>
        </is>
      </c>
      <c r="N1272" t="inlineStr">
        <is>
          <t>https://awesomegetawaymaldives.com/wp-content/uploads/2026/04/The-Nautilus-Maldives-.pdf</t>
        </is>
      </c>
      <c r="O1272" t="inlineStr">
        <is>
          <t>2e97dba1f64edd0ab166f2d9e4da9bfe10967b1e9b6ae6e56a731a93794da135</t>
        </is>
      </c>
      <c r="P1272" t="inlineStr">
        <is>
          <t>library/157_the-nautilus-maldives/factsheet/2026_The-Nautilus-Maldives-.pdf</t>
        </is>
      </c>
      <c r="R1272" t="inlineStr">
        <is>
          <t>current</t>
        </is>
      </c>
      <c r="S1272" t="inlineStr">
        <is>
          <t>N</t>
        </is>
      </c>
      <c r="T1272" t="inlineStr">
        <is>
          <t>matched</t>
        </is>
      </c>
      <c r="U1272" t="inlineStr">
        <is>
          <t>2026-10-04</t>
        </is>
      </c>
      <c r="V1272" t="inlineStr"/>
    </row>
    <row r="1273">
      <c r="A1273" t="n">
        <v>157</v>
      </c>
      <c r="B1273" t="inlineStr">
        <is>
          <t>The Nautilus Maldives</t>
        </is>
      </c>
      <c r="C1273" t="inlineStr">
        <is>
          <t>factsheet</t>
        </is>
      </c>
      <c r="D1273" t="inlineStr">
        <is>
          <t>2024_Yacht Factsheet.pdf</t>
        </is>
      </c>
      <c r="E1273" t="n">
        <v>2024</v>
      </c>
      <c r="H1273" t="n">
        <v>6</v>
      </c>
      <c r="I1273" t="n">
        <v>6931</v>
      </c>
      <c r="J1273" t="inlineStr">
        <is>
          <t>Y</t>
        </is>
      </c>
      <c r="K1273" t="inlineStr">
        <is>
          <t>pulse.dash.app</t>
        </is>
      </c>
      <c r="L1273" t="inlineStr">
        <is>
          <t>brand-cdn</t>
        </is>
      </c>
      <c r="M1273"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3"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3" t="inlineStr">
        <is>
          <t>ba335ac610e1e68f2f68cfe4a59ded5e685367b7ef678da05bb8f7d9dc83011e</t>
        </is>
      </c>
      <c r="P1273" t="inlineStr">
        <is>
          <t>library/157_the-nautilus-maldives/factsheet/2024_Yacht Factsheet.pdf</t>
        </is>
      </c>
      <c r="R1273" t="inlineStr">
        <is>
          <t>outdated</t>
        </is>
      </c>
      <c r="S1273" t="inlineStr">
        <is>
          <t>N</t>
        </is>
      </c>
      <c r="T1273" t="inlineStr">
        <is>
          <t>matched</t>
        </is>
      </c>
      <c r="U1273" t="inlineStr">
        <is>
          <t>2026-10-04</t>
        </is>
      </c>
      <c r="V1273" t="inlineStr"/>
    </row>
    <row r="1274">
      <c r="A1274" t="n">
        <v>157</v>
      </c>
      <c r="B1274" t="inlineStr">
        <is>
          <t>The Nautilus Maldives</t>
        </is>
      </c>
      <c r="C1274" t="inlineStr">
        <is>
          <t>factsheet</t>
        </is>
      </c>
      <c r="D1274" t="inlineStr">
        <is>
          <t>2021_The Nautilus Maldives Factsheet.pdf</t>
        </is>
      </c>
      <c r="E1274" t="n">
        <v>2021</v>
      </c>
      <c r="H1274" t="n">
        <v>6</v>
      </c>
      <c r="I1274" t="n">
        <v>1820</v>
      </c>
      <c r="J1274" t="inlineStr">
        <is>
          <t>Y</t>
        </is>
      </c>
      <c r="K1274" t="inlineStr">
        <is>
          <t>pulse.dash.app</t>
        </is>
      </c>
      <c r="L1274" t="inlineStr">
        <is>
          <t>brand-cdn</t>
        </is>
      </c>
      <c r="M1274"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4"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4" t="inlineStr">
        <is>
          <t>0a09c822b10281397787ea25360f8a4136a5834f9f452fdf57b1a858ba7048a6</t>
        </is>
      </c>
      <c r="P1274" t="inlineStr">
        <is>
          <t>library/157_the-nautilus-maldives/factsheet/2021_The Nautilus Maldives Factsheet.pdf</t>
        </is>
      </c>
      <c r="R1274" t="inlineStr">
        <is>
          <t>outdated</t>
        </is>
      </c>
      <c r="S1274" t="inlineStr">
        <is>
          <t>N</t>
        </is>
      </c>
      <c r="T1274" t="inlineStr">
        <is>
          <t>matched</t>
        </is>
      </c>
      <c r="U1274" t="inlineStr">
        <is>
          <t>2026-10-04</t>
        </is>
      </c>
      <c r="V1274" t="inlineStr"/>
    </row>
    <row r="1275">
      <c r="A1275" t="n">
        <v>157</v>
      </c>
      <c r="B1275" t="inlineStr">
        <is>
          <t>The Nautilus Maldives</t>
        </is>
      </c>
      <c r="C1275" t="inlineStr">
        <is>
          <t>wedding</t>
        </is>
      </c>
      <c r="D1275" t="inlineStr">
        <is>
          <t>2024_Your bespoke Indian Wedding.pdf</t>
        </is>
      </c>
      <c r="E1275" t="n">
        <v>2024</v>
      </c>
      <c r="H1275" t="n">
        <v>22</v>
      </c>
      <c r="I1275" t="n">
        <v>52958</v>
      </c>
      <c r="J1275" t="inlineStr">
        <is>
          <t>Y</t>
        </is>
      </c>
      <c r="K1275" t="inlineStr">
        <is>
          <t>pulse.dash.app</t>
        </is>
      </c>
      <c r="L1275" t="inlineStr">
        <is>
          <t>brand-cdn</t>
        </is>
      </c>
      <c r="M1275"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5"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5" t="inlineStr">
        <is>
          <t>45c31fc67d9b314efabadde3e636abd33e27398465edeb136f59d7e8ce317de4</t>
        </is>
      </c>
      <c r="P1275" t="inlineStr">
        <is>
          <t>library/157_the-nautilus-maldives/wedding/2024_Your bespoke Indian Wedding.pdf</t>
        </is>
      </c>
      <c r="R1275" t="inlineStr">
        <is>
          <t>outdated</t>
        </is>
      </c>
      <c r="S1275" t="inlineStr">
        <is>
          <t>Y</t>
        </is>
      </c>
      <c r="T1275" t="inlineStr">
        <is>
          <t>matched</t>
        </is>
      </c>
      <c r="U1275" t="inlineStr">
        <is>
          <t>2026-10-04</t>
        </is>
      </c>
      <c r="V1275" t="inlineStr"/>
    </row>
    <row r="1276">
      <c r="A1276" t="n">
        <v>157</v>
      </c>
      <c r="B1276" t="inlineStr">
        <is>
          <t>The Nautilus Maldives</t>
        </is>
      </c>
      <c r="C1276" t="inlineStr">
        <is>
          <t>spa_menu</t>
        </is>
      </c>
      <c r="D1276" t="inlineStr">
        <is>
          <t>2020_Solasta_Spa_Brochure_compressed.pdf</t>
        </is>
      </c>
      <c r="E1276" t="n">
        <v>2020</v>
      </c>
      <c r="H1276" t="n">
        <v>15</v>
      </c>
      <c r="I1276" t="n">
        <v>1950</v>
      </c>
      <c r="J1276" t="inlineStr">
        <is>
          <t>Y</t>
        </is>
      </c>
      <c r="K1276" t="inlineStr">
        <is>
          <t>pulse.dash.app</t>
        </is>
      </c>
      <c r="L1276" t="inlineStr">
        <is>
          <t>brand-cdn</t>
        </is>
      </c>
      <c r="M1276"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6"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6" t="inlineStr">
        <is>
          <t>0b167e69d2aac7d54c8c7681d5f1e42a08bd8428f8187c3fb33b5eaa7ecacc75</t>
        </is>
      </c>
      <c r="P1276" t="inlineStr">
        <is>
          <t>library/157_the-nautilus-maldives/spa_menu/2020_Solasta_Spa_Brochure_compressed.pdf</t>
        </is>
      </c>
      <c r="R1276" t="inlineStr">
        <is>
          <t>outdated</t>
        </is>
      </c>
      <c r="S1276" t="inlineStr">
        <is>
          <t>Y</t>
        </is>
      </c>
      <c r="T1276" t="inlineStr">
        <is>
          <t>matched</t>
        </is>
      </c>
      <c r="U1276" t="inlineStr">
        <is>
          <t>2026-10-04</t>
        </is>
      </c>
      <c r="V1276" t="inlineStr"/>
    </row>
    <row r="1277">
      <c r="A1277" t="n">
        <v>157</v>
      </c>
      <c r="B1277" t="inlineStr">
        <is>
          <t>The Nautilus Maldives</t>
        </is>
      </c>
      <c r="C1277" t="inlineStr">
        <is>
          <t>dining_menu</t>
        </is>
      </c>
      <c r="D1277" t="inlineStr">
        <is>
          <t>2023_The Nautilus Maldives Sales Kit _1_.pdf</t>
        </is>
      </c>
      <c r="E1277" t="n">
        <v>2023</v>
      </c>
      <c r="H1277" t="n">
        <v>1</v>
      </c>
      <c r="I1277" t="n">
        <v>806</v>
      </c>
      <c r="J1277" t="inlineStr">
        <is>
          <t>Y</t>
        </is>
      </c>
      <c r="K1277" t="inlineStr">
        <is>
          <t>pulse.dash.app</t>
        </is>
      </c>
      <c r="L1277" t="inlineStr">
        <is>
          <t>brand-cdn</t>
        </is>
      </c>
      <c r="M1277"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7"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7" t="inlineStr">
        <is>
          <t>79a2797792a3a5095991bf67eb8564280b7084677196a6cabfaa0110f8a1b547</t>
        </is>
      </c>
      <c r="P1277" t="inlineStr">
        <is>
          <t>library/157_the-nautilus-maldives/dining_menu/2023_The Nautilus Maldives Sales Kit _1_.pdf</t>
        </is>
      </c>
      <c r="R1277" t="inlineStr">
        <is>
          <t>outdated</t>
        </is>
      </c>
      <c r="S1277" t="inlineStr">
        <is>
          <t>Y</t>
        </is>
      </c>
      <c r="T1277" t="inlineStr">
        <is>
          <t>matched</t>
        </is>
      </c>
      <c r="U1277" t="inlineStr">
        <is>
          <t>2026-10-04</t>
        </is>
      </c>
      <c r="V1277" t="inlineStr"/>
    </row>
    <row r="1278">
      <c r="A1278" t="n">
        <v>157</v>
      </c>
      <c r="B1278" t="inlineStr">
        <is>
          <t>The Nautilus Maldives</t>
        </is>
      </c>
      <c r="C1278" t="inlineStr">
        <is>
          <t>excursions</t>
        </is>
      </c>
      <c r="D1278" t="inlineStr">
        <is>
          <t>2024_The Nautilus Maldives - Families.pdf</t>
        </is>
      </c>
      <c r="E1278" t="n">
        <v>2024</v>
      </c>
      <c r="H1278" t="n">
        <v>22</v>
      </c>
      <c r="I1278" t="n">
        <v>10130</v>
      </c>
      <c r="J1278" t="inlineStr">
        <is>
          <t>Y</t>
        </is>
      </c>
      <c r="K1278" t="inlineStr">
        <is>
          <t>pulse.dash.app</t>
        </is>
      </c>
      <c r="L1278" t="inlineStr">
        <is>
          <t>brand-cdn</t>
        </is>
      </c>
      <c r="M1278"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8"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8" t="inlineStr">
        <is>
          <t>b889641d431c18d0c7b9b733cff7cfb728dd86012c112a1279c4b8a88e663d75</t>
        </is>
      </c>
      <c r="P1278" t="inlineStr">
        <is>
          <t>library/157_the-nautilus-maldives/excursions/2024_The Nautilus Maldives - Families.pdf</t>
        </is>
      </c>
      <c r="R1278" t="inlineStr">
        <is>
          <t>outdated</t>
        </is>
      </c>
      <c r="S1278" t="inlineStr">
        <is>
          <t>Y</t>
        </is>
      </c>
      <c r="T1278" t="inlineStr">
        <is>
          <t>matched</t>
        </is>
      </c>
      <c r="U1278" t="inlineStr">
        <is>
          <t>2026-10-04</t>
        </is>
      </c>
      <c r="V1278" t="inlineStr"/>
    </row>
    <row r="1279">
      <c r="A1279" t="n">
        <v>157</v>
      </c>
      <c r="B1279" t="inlineStr">
        <is>
          <t>The Nautilus Maldives</t>
        </is>
      </c>
      <c r="C1279" t="inlineStr">
        <is>
          <t>excursions</t>
        </is>
      </c>
      <c r="D1279" t="inlineStr">
        <is>
          <t>2021_Press Release_The Nautilus Maldives is Calling for Ocean Discovery.pdf</t>
        </is>
      </c>
      <c r="E1279" t="n">
        <v>2021</v>
      </c>
      <c r="H1279" t="n">
        <v>3</v>
      </c>
      <c r="I1279" t="n">
        <v>183</v>
      </c>
      <c r="J1279" t="inlineStr">
        <is>
          <t>Y</t>
        </is>
      </c>
      <c r="K1279" t="inlineStr">
        <is>
          <t>pulse.dash.app</t>
        </is>
      </c>
      <c r="L1279" t="inlineStr">
        <is>
          <t>brand-cdn</t>
        </is>
      </c>
      <c r="M1279"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9"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9" t="inlineStr">
        <is>
          <t>525fdbe114f71573c691dc1ebfee9ac26d140fe0237835f730225260759a01b9</t>
        </is>
      </c>
      <c r="P1279" t="inlineStr">
        <is>
          <t>library/157_the-nautilus-maldives/excursions/2021_Press Release_The Nautilus Maldives is Calling for Ocean Discovery.pdf</t>
        </is>
      </c>
      <c r="R1279" t="inlineStr">
        <is>
          <t>outdated</t>
        </is>
      </c>
      <c r="S1279" t="inlineStr">
        <is>
          <t>N</t>
        </is>
      </c>
      <c r="T1279" t="inlineStr">
        <is>
          <t>matched</t>
        </is>
      </c>
      <c r="U1279" t="inlineStr">
        <is>
          <t>2026-10-04</t>
        </is>
      </c>
      <c r="V1279" t="inlineStr"/>
    </row>
    <row r="1280">
      <c r="A1280" t="n">
        <v>157</v>
      </c>
      <c r="B1280" t="inlineStr">
        <is>
          <t>The Nautilus Maldives</t>
        </is>
      </c>
      <c r="C1280" t="inlineStr">
        <is>
          <t>villa_plans</t>
        </is>
      </c>
      <c r="D1280" t="inlineStr">
        <is>
          <t>2026_The Nautilus Maldives - Sales Kit 2026.pdf</t>
        </is>
      </c>
      <c r="E1280" t="n">
        <v>2026</v>
      </c>
      <c r="H1280" t="n">
        <v>1</v>
      </c>
      <c r="I1280" t="n">
        <v>1018</v>
      </c>
      <c r="J1280" t="inlineStr">
        <is>
          <t>Y</t>
        </is>
      </c>
      <c r="K1280" t="inlineStr">
        <is>
          <t>pulse.dash.app</t>
        </is>
      </c>
      <c r="L1280" t="inlineStr">
        <is>
          <t>brand-cdn</t>
        </is>
      </c>
      <c r="M1280"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0"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0" t="inlineStr">
        <is>
          <t>9089dd1219006dc07e7a42066bd317af0d23dddf066c172010eca28bf7fcccf0</t>
        </is>
      </c>
      <c r="P1280" t="inlineStr">
        <is>
          <t>library/157_the-nautilus-maldives/villa_plans/2026_The Nautilus Maldives - Sales Kit 2026.pdf</t>
        </is>
      </c>
      <c r="R1280" t="inlineStr">
        <is>
          <t>current</t>
        </is>
      </c>
      <c r="S1280" t="inlineStr">
        <is>
          <t>Y</t>
        </is>
      </c>
      <c r="T1280" t="inlineStr">
        <is>
          <t>matched</t>
        </is>
      </c>
      <c r="U1280" t="inlineStr">
        <is>
          <t>2026-10-04</t>
        </is>
      </c>
      <c r="V1280" t="inlineStr"/>
    </row>
    <row r="1281">
      <c r="A1281" t="n">
        <v>157</v>
      </c>
      <c r="B1281" t="inlineStr">
        <is>
          <t>The Nautilus Maldives</t>
        </is>
      </c>
      <c r="C1281" t="inlineStr">
        <is>
          <t>villa_plans</t>
        </is>
      </c>
      <c r="D1281" t="inlineStr">
        <is>
          <t>2024_TNM Sales Kit as of 2462025.pdf</t>
        </is>
      </c>
      <c r="E1281" t="n">
        <v>2024</v>
      </c>
      <c r="H1281" t="n">
        <v>1</v>
      </c>
      <c r="I1281" t="n">
        <v>837</v>
      </c>
      <c r="J1281" t="inlineStr">
        <is>
          <t>Y</t>
        </is>
      </c>
      <c r="K1281" t="inlineStr">
        <is>
          <t>pulse.dash.app</t>
        </is>
      </c>
      <c r="L1281" t="inlineStr">
        <is>
          <t>brand-cdn</t>
        </is>
      </c>
      <c r="M1281"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1"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1" t="inlineStr">
        <is>
          <t>b03b17530cd7937ebf35625ba2216dfa08d2b0d83309b7b6e5ce36d5d03a5a01</t>
        </is>
      </c>
      <c r="P1281" t="inlineStr">
        <is>
          <t>library/157_the-nautilus-maldives/villa_plans/2024_TNM Sales Kit as of 2462025.pdf</t>
        </is>
      </c>
      <c r="R1281" t="inlineStr">
        <is>
          <t>outdated</t>
        </is>
      </c>
      <c r="S1281" t="inlineStr">
        <is>
          <t>N</t>
        </is>
      </c>
      <c r="T1281" t="inlineStr">
        <is>
          <t>matched</t>
        </is>
      </c>
      <c r="U1281" t="inlineStr">
        <is>
          <t>2026-10-04</t>
        </is>
      </c>
      <c r="V1281" t="inlineStr"/>
    </row>
    <row r="1282">
      <c r="A1282" t="n">
        <v>157</v>
      </c>
      <c r="B1282" t="inlineStr">
        <is>
          <t>The Nautilus Maldives</t>
        </is>
      </c>
      <c r="C1282" t="inlineStr">
        <is>
          <t>villa_plans</t>
        </is>
      </c>
      <c r="D1282" t="inlineStr">
        <is>
          <t>2019_Nautilus-Maldives-Floorplan-6-The-Nautilus-Retreat.pdf</t>
        </is>
      </c>
      <c r="E1282" t="n">
        <v>2019</v>
      </c>
      <c r="H1282" t="n">
        <v>1</v>
      </c>
      <c r="I1282" t="n">
        <v>1221</v>
      </c>
      <c r="J1282" t="inlineStr">
        <is>
          <t>N</t>
        </is>
      </c>
      <c r="K1282" t="inlineStr">
        <is>
          <t>pulse.dash.app</t>
        </is>
      </c>
      <c r="L1282" t="inlineStr">
        <is>
          <t>brand-cdn</t>
        </is>
      </c>
      <c r="M1282"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2"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2" t="inlineStr">
        <is>
          <t>56efa0c5af765f5859636674ca0dee2e7deeda302f805838e0d705bea9e333a6</t>
        </is>
      </c>
      <c r="P1282" t="inlineStr">
        <is>
          <t>library/157_the-nautilus-maldives/villa_plans/2019_Nautilus-Maldives-Floorplan-6-The-Nautilus-Retreat.pdf</t>
        </is>
      </c>
      <c r="R1282" t="inlineStr">
        <is>
          <t>outdated</t>
        </is>
      </c>
      <c r="S1282" t="inlineStr">
        <is>
          <t>N</t>
        </is>
      </c>
      <c r="T1282" t="inlineStr">
        <is>
          <t>matched</t>
        </is>
      </c>
      <c r="U1282" t="inlineStr">
        <is>
          <t>2026-10-04</t>
        </is>
      </c>
      <c r="V1282" t="inlineStr"/>
    </row>
    <row r="1283">
      <c r="A1283" t="n">
        <v>157</v>
      </c>
      <c r="B1283" t="inlineStr">
        <is>
          <t>The Nautilus Maldives</t>
        </is>
      </c>
      <c r="C1283" t="inlineStr">
        <is>
          <t>villa_plans</t>
        </is>
      </c>
      <c r="D1283" t="inlineStr">
        <is>
          <t>2019_Nautilus-Maldives-Floorplan-3-Ocean-Residence.pdf</t>
        </is>
      </c>
      <c r="E1283" t="n">
        <v>2019</v>
      </c>
      <c r="H1283" t="n">
        <v>1</v>
      </c>
      <c r="I1283" t="n">
        <v>1171</v>
      </c>
      <c r="J1283" t="inlineStr">
        <is>
          <t>N</t>
        </is>
      </c>
      <c r="K1283" t="inlineStr">
        <is>
          <t>pulse.dash.app</t>
        </is>
      </c>
      <c r="L1283" t="inlineStr">
        <is>
          <t>brand-cdn</t>
        </is>
      </c>
      <c r="M1283"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3"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3" t="inlineStr">
        <is>
          <t>bb64be46ca7bbef6860df024658b1eebb1c70265132db3b8e34fa648345cced3</t>
        </is>
      </c>
      <c r="P1283" t="inlineStr">
        <is>
          <t>library/157_the-nautilus-maldives/villa_plans/2019_Nautilus-Maldives-Floorplan-3-Ocean-Residence.pdf</t>
        </is>
      </c>
      <c r="R1283" t="inlineStr">
        <is>
          <t>outdated</t>
        </is>
      </c>
      <c r="S1283" t="inlineStr">
        <is>
          <t>N</t>
        </is>
      </c>
      <c r="T1283" t="inlineStr">
        <is>
          <t>matched</t>
        </is>
      </c>
      <c r="U1283" t="inlineStr">
        <is>
          <t>2026-10-04</t>
        </is>
      </c>
      <c r="V1283" t="inlineStr"/>
    </row>
    <row r="1284">
      <c r="A1284" t="n">
        <v>157</v>
      </c>
      <c r="B1284" t="inlineStr">
        <is>
          <t>The Nautilus Maldives</t>
        </is>
      </c>
      <c r="C1284" t="inlineStr">
        <is>
          <t>villa_plans</t>
        </is>
      </c>
      <c r="D1284" t="inlineStr">
        <is>
          <t>2019_Nautilus-Maldives-Floorplan-2-Ocean-House.pdf</t>
        </is>
      </c>
      <c r="E1284" t="n">
        <v>2019</v>
      </c>
      <c r="H1284" t="n">
        <v>1</v>
      </c>
      <c r="I1284" t="n">
        <v>1196</v>
      </c>
      <c r="J1284" t="inlineStr">
        <is>
          <t>N</t>
        </is>
      </c>
      <c r="K1284" t="inlineStr">
        <is>
          <t>pulse.dash.app</t>
        </is>
      </c>
      <c r="L1284" t="inlineStr">
        <is>
          <t>brand-cdn</t>
        </is>
      </c>
      <c r="M1284"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4"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4" t="inlineStr">
        <is>
          <t>a1d8694d0103cffccd95c767ae8214203708e5f9097c9db5e6a5f55448efdcd1</t>
        </is>
      </c>
      <c r="P1284" t="inlineStr">
        <is>
          <t>library/157_the-nautilus-maldives/villa_plans/2019_Nautilus-Maldives-Floorplan-2-Ocean-House.pdf</t>
        </is>
      </c>
      <c r="R1284" t="inlineStr">
        <is>
          <t>outdated</t>
        </is>
      </c>
      <c r="S1284" t="inlineStr">
        <is>
          <t>N</t>
        </is>
      </c>
      <c r="T1284" t="inlineStr">
        <is>
          <t>matched</t>
        </is>
      </c>
      <c r="U1284" t="inlineStr">
        <is>
          <t>2026-10-04</t>
        </is>
      </c>
      <c r="V1284" t="inlineStr"/>
    </row>
    <row r="1285">
      <c r="A1285" t="n">
        <v>157</v>
      </c>
      <c r="B1285" t="inlineStr">
        <is>
          <t>The Nautilus Maldives</t>
        </is>
      </c>
      <c r="C1285" t="inlineStr">
        <is>
          <t>villa_plans</t>
        </is>
      </c>
      <c r="D1285" t="inlineStr">
        <is>
          <t>2019_Nautilus-Maldives-Floorplan-4-Beach-Residence.pdf</t>
        </is>
      </c>
      <c r="E1285" t="n">
        <v>2019</v>
      </c>
      <c r="H1285" t="n">
        <v>2</v>
      </c>
      <c r="I1285" t="n">
        <v>2183</v>
      </c>
      <c r="J1285" t="inlineStr">
        <is>
          <t>N</t>
        </is>
      </c>
      <c r="K1285" t="inlineStr">
        <is>
          <t>pulse.dash.app</t>
        </is>
      </c>
      <c r="L1285" t="inlineStr">
        <is>
          <t>brand-cdn</t>
        </is>
      </c>
      <c r="M1285"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5"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5" t="inlineStr">
        <is>
          <t>e524ad32ec7a58160f9b2f9516fdc00ea396146a5966bd98a1122c9fa8e1b194</t>
        </is>
      </c>
      <c r="P1285" t="inlineStr">
        <is>
          <t>library/157_the-nautilus-maldives/villa_plans/2019_Nautilus-Maldives-Floorplan-4-Beach-Residence.pdf</t>
        </is>
      </c>
      <c r="R1285" t="inlineStr">
        <is>
          <t>outdated</t>
        </is>
      </c>
      <c r="S1285" t="inlineStr">
        <is>
          <t>N</t>
        </is>
      </c>
      <c r="T1285" t="inlineStr">
        <is>
          <t>matched</t>
        </is>
      </c>
      <c r="U1285" t="inlineStr">
        <is>
          <t>2026-10-04</t>
        </is>
      </c>
      <c r="V1285" t="inlineStr"/>
    </row>
    <row r="1286">
      <c r="A1286" t="n">
        <v>157</v>
      </c>
      <c r="B1286" t="inlineStr">
        <is>
          <t>The Nautilus Maldives</t>
        </is>
      </c>
      <c r="C1286" t="inlineStr">
        <is>
          <t>villa_plans</t>
        </is>
      </c>
      <c r="D1286" t="inlineStr">
        <is>
          <t>2019_Nautilus-Maldives-Floorplan-5-two-bed-beach-residence.pdf</t>
        </is>
      </c>
      <c r="E1286" t="n">
        <v>2019</v>
      </c>
      <c r="H1286" t="n">
        <v>2</v>
      </c>
      <c r="I1286" t="n">
        <v>2590</v>
      </c>
      <c r="J1286" t="inlineStr">
        <is>
          <t>N</t>
        </is>
      </c>
      <c r="K1286" t="inlineStr">
        <is>
          <t>pulse.dash.app</t>
        </is>
      </c>
      <c r="L1286" t="inlineStr">
        <is>
          <t>brand-cdn</t>
        </is>
      </c>
      <c r="M1286"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6"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6" t="inlineStr">
        <is>
          <t>1fc878ba8eabda72b71d5d52fad239809da09f53c5857075cda2eb39da3b7ec8</t>
        </is>
      </c>
      <c r="P1286" t="inlineStr">
        <is>
          <t>library/157_the-nautilus-maldives/villa_plans/2019_Nautilus-Maldives-Floorplan-5-two-bed-beach-residence.pdf</t>
        </is>
      </c>
      <c r="R1286" t="inlineStr">
        <is>
          <t>outdated</t>
        </is>
      </c>
      <c r="S1286" t="inlineStr">
        <is>
          <t>N</t>
        </is>
      </c>
      <c r="T1286" t="inlineStr">
        <is>
          <t>matched</t>
        </is>
      </c>
      <c r="U1286" t="inlineStr">
        <is>
          <t>2026-10-04</t>
        </is>
      </c>
      <c r="V1286" t="inlineStr"/>
    </row>
    <row r="1287">
      <c r="A1287" t="n">
        <v>157</v>
      </c>
      <c r="B1287" t="inlineStr">
        <is>
          <t>The Nautilus Maldives</t>
        </is>
      </c>
      <c r="C1287" t="inlineStr">
        <is>
          <t>villa_plans</t>
        </is>
      </c>
      <c r="D1287" t="inlineStr">
        <is>
          <t>2019_Nautilus-Maldives-Floorplan-7-The-Nautilus-Mansion.pdf</t>
        </is>
      </c>
      <c r="E1287" t="n">
        <v>2019</v>
      </c>
      <c r="H1287" t="n">
        <v>2</v>
      </c>
      <c r="I1287" t="n">
        <v>2380</v>
      </c>
      <c r="J1287" t="inlineStr">
        <is>
          <t>N</t>
        </is>
      </c>
      <c r="K1287" t="inlineStr">
        <is>
          <t>pulse.dash.app</t>
        </is>
      </c>
      <c r="L1287" t="inlineStr">
        <is>
          <t>brand-cdn</t>
        </is>
      </c>
      <c r="M1287"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7"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7" t="inlineStr">
        <is>
          <t>185d885d9eae5d9113d9f3f2686adc4083bfb16ebd5351d2cc29d14c18071311</t>
        </is>
      </c>
      <c r="P1287" t="inlineStr">
        <is>
          <t>library/157_the-nautilus-maldives/villa_plans/2019_Nautilus-Maldives-Floorplan-7-The-Nautilus-Mansion.pdf</t>
        </is>
      </c>
      <c r="R1287" t="inlineStr">
        <is>
          <t>outdated</t>
        </is>
      </c>
      <c r="S1287" t="inlineStr">
        <is>
          <t>N</t>
        </is>
      </c>
      <c r="T1287" t="inlineStr">
        <is>
          <t>matched</t>
        </is>
      </c>
      <c r="U1287" t="inlineStr">
        <is>
          <t>2026-10-04</t>
        </is>
      </c>
      <c r="V1287" t="inlineStr"/>
    </row>
    <row r="1288">
      <c r="A1288" t="n">
        <v>157</v>
      </c>
      <c r="B1288" t="inlineStr">
        <is>
          <t>The Nautilus Maldives</t>
        </is>
      </c>
      <c r="C1288" t="inlineStr">
        <is>
          <t>villa_plans</t>
        </is>
      </c>
      <c r="D1288" t="inlineStr">
        <is>
          <t>2019_Nautilus-Maldives-Floorplan-1-Beach-House.pdf</t>
        </is>
      </c>
      <c r="E1288" t="n">
        <v>2019</v>
      </c>
      <c r="H1288" t="n">
        <v>1</v>
      </c>
      <c r="I1288" t="n">
        <v>1310</v>
      </c>
      <c r="J1288" t="inlineStr">
        <is>
          <t>N</t>
        </is>
      </c>
      <c r="K1288" t="inlineStr">
        <is>
          <t>pulse.dash.app</t>
        </is>
      </c>
      <c r="L1288" t="inlineStr">
        <is>
          <t>brand-cdn</t>
        </is>
      </c>
      <c r="M1288"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8"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8" t="inlineStr">
        <is>
          <t>323554b3a9f63f01f7ca91026a11e970af73489ac18a7e8623af6dc8b39d0eb8</t>
        </is>
      </c>
      <c r="P1288" t="inlineStr">
        <is>
          <t>library/157_the-nautilus-maldives/villa_plans/2019_Nautilus-Maldives-Floorplan-1-Beach-House.pdf</t>
        </is>
      </c>
      <c r="R1288" t="inlineStr">
        <is>
          <t>outdated</t>
        </is>
      </c>
      <c r="S1288" t="inlineStr">
        <is>
          <t>N</t>
        </is>
      </c>
      <c r="T1288" t="inlineStr">
        <is>
          <t>matched</t>
        </is>
      </c>
      <c r="U1288" t="inlineStr">
        <is>
          <t>2026-10-04</t>
        </is>
      </c>
      <c r="V1288" t="inlineStr"/>
    </row>
    <row r="1289">
      <c r="A1289" t="n">
        <v>157</v>
      </c>
      <c r="B1289" t="inlineStr">
        <is>
          <t>The Nautilus Maldives</t>
        </is>
      </c>
      <c r="C1289" t="inlineStr">
        <is>
          <t>all_inclusive</t>
        </is>
      </c>
      <c r="D1289" t="inlineStr">
        <is>
          <t>2024_Celebrations at The Nautilus.pdf</t>
        </is>
      </c>
      <c r="E1289" t="n">
        <v>2024</v>
      </c>
      <c r="H1289" t="n">
        <v>23</v>
      </c>
      <c r="I1289" t="n">
        <v>47782</v>
      </c>
      <c r="J1289" t="inlineStr">
        <is>
          <t>Y</t>
        </is>
      </c>
      <c r="K1289" t="inlineStr">
        <is>
          <t>pulse.dash.app</t>
        </is>
      </c>
      <c r="L1289" t="inlineStr">
        <is>
          <t>brand-cdn</t>
        </is>
      </c>
      <c r="M1289"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9"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9" t="inlineStr">
        <is>
          <t>799aa2c063c1e687d1afb5f53be04bbd4b1429f6230df76cbd340cc5f05102dc</t>
        </is>
      </c>
      <c r="P1289" t="inlineStr">
        <is>
          <t>library/157_the-nautilus-maldives/all_inclusive/2024_Celebrations at The Nautilus.pdf</t>
        </is>
      </c>
      <c r="R1289" t="inlineStr">
        <is>
          <t>outdated</t>
        </is>
      </c>
      <c r="S1289" t="inlineStr">
        <is>
          <t>Y</t>
        </is>
      </c>
      <c r="T1289" t="inlineStr">
        <is>
          <t>matched</t>
        </is>
      </c>
      <c r="U1289" t="inlineStr">
        <is>
          <t>2026-10-04</t>
        </is>
      </c>
      <c r="V1289" t="inlineStr"/>
    </row>
    <row r="1290">
      <c r="A1290" t="n">
        <v>157</v>
      </c>
      <c r="B1290" t="inlineStr">
        <is>
          <t>The Nautilus Maldives</t>
        </is>
      </c>
      <c r="C1290" t="inlineStr">
        <is>
          <t>sustainability</t>
        </is>
      </c>
      <c r="D1290" t="inlineStr">
        <is>
          <t>2025_The Nautilus Maldives - Sustainability Guide.pdf</t>
        </is>
      </c>
      <c r="E1290" t="n">
        <v>2025</v>
      </c>
      <c r="H1290" t="n">
        <v>11</v>
      </c>
      <c r="I1290" t="n">
        <v>5297</v>
      </c>
      <c r="J1290" t="inlineStr">
        <is>
          <t>Y</t>
        </is>
      </c>
      <c r="K1290" t="inlineStr">
        <is>
          <t>pulse.dash.app</t>
        </is>
      </c>
      <c r="L1290" t="inlineStr">
        <is>
          <t>brand-cdn</t>
        </is>
      </c>
      <c r="M1290"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0"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0" t="inlineStr">
        <is>
          <t>42c077e8f11ef25e315db6318dc1159f0401e22bb030947aa654fa7a46f71b04</t>
        </is>
      </c>
      <c r="P1290" t="inlineStr">
        <is>
          <t>library/157_the-nautilus-maldives/sustainability/2025_The Nautilus Maldives - Sustainability Guide.pdf</t>
        </is>
      </c>
      <c r="R1290" t="inlineStr">
        <is>
          <t>current</t>
        </is>
      </c>
      <c r="S1290" t="inlineStr">
        <is>
          <t>Y</t>
        </is>
      </c>
      <c r="T1290" t="inlineStr">
        <is>
          <t>matched</t>
        </is>
      </c>
      <c r="U1290" t="inlineStr">
        <is>
          <t>2026-10-04</t>
        </is>
      </c>
      <c r="V1290" t="inlineStr"/>
    </row>
    <row r="1291">
      <c r="A1291" t="n">
        <v>157</v>
      </c>
      <c r="B1291" t="inlineStr">
        <is>
          <t>The Nautilus Maldives</t>
        </is>
      </c>
      <c r="C1291" t="inlineStr">
        <is>
          <t>brochure</t>
        </is>
      </c>
      <c r="D1291" t="inlineStr">
        <is>
          <t>2025_The Nautilus Maldives Buy-out Brochure.pdf</t>
        </is>
      </c>
      <c r="E1291" t="n">
        <v>2025</v>
      </c>
      <c r="H1291" t="n">
        <v>16</v>
      </c>
      <c r="I1291" t="n">
        <v>9685</v>
      </c>
      <c r="J1291" t="inlineStr">
        <is>
          <t>Y</t>
        </is>
      </c>
      <c r="K1291" t="inlineStr">
        <is>
          <t>pulse.dash.app</t>
        </is>
      </c>
      <c r="L1291" t="inlineStr">
        <is>
          <t>brand-cdn</t>
        </is>
      </c>
      <c r="M1291"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1"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1" t="inlineStr">
        <is>
          <t>750bdaeb5f5575774092c484f1e92c31846eac5f2d6aaaa0ab37fd0344686ef1</t>
        </is>
      </c>
      <c r="P1291" t="inlineStr">
        <is>
          <t>library/157_the-nautilus-maldives/brochure/2025_The Nautilus Maldives Buy-out Brochure.pdf</t>
        </is>
      </c>
      <c r="R1291" t="inlineStr">
        <is>
          <t>current</t>
        </is>
      </c>
      <c r="S1291" t="inlineStr">
        <is>
          <t>Y</t>
        </is>
      </c>
      <c r="T1291" t="inlineStr">
        <is>
          <t>matched</t>
        </is>
      </c>
      <c r="U1291" t="inlineStr">
        <is>
          <t>2026-10-04</t>
        </is>
      </c>
      <c r="V1291" t="inlineStr"/>
    </row>
    <row r="1292">
      <c r="A1292" t="n">
        <v>157</v>
      </c>
      <c r="B1292" t="inlineStr">
        <is>
          <t>The Nautilus Maldives</t>
        </is>
      </c>
      <c r="C1292" t="inlineStr">
        <is>
          <t>brochure</t>
        </is>
      </c>
      <c r="D1292" t="inlineStr">
        <is>
          <t>2022_The Nautilus Maldives Brochure.pdf</t>
        </is>
      </c>
      <c r="E1292" t="n">
        <v>2022</v>
      </c>
      <c r="H1292" t="n">
        <v>42</v>
      </c>
      <c r="I1292" t="n">
        <v>39494</v>
      </c>
      <c r="J1292" t="inlineStr">
        <is>
          <t>Y</t>
        </is>
      </c>
      <c r="K1292" t="inlineStr">
        <is>
          <t>pulse.dash.app</t>
        </is>
      </c>
      <c r="L1292" t="inlineStr">
        <is>
          <t>brand-cdn</t>
        </is>
      </c>
      <c r="M1292"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2"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2" t="inlineStr">
        <is>
          <t>b096c32d893e8665061f94bb8957616395bafc1bbe4eb1c66562b53e00c2d31b</t>
        </is>
      </c>
      <c r="P1292" t="inlineStr">
        <is>
          <t>library/157_the-nautilus-maldives/brochure/2022_The Nautilus Maldives Brochure.pdf</t>
        </is>
      </c>
      <c r="R1292" t="inlineStr">
        <is>
          <t>outdated</t>
        </is>
      </c>
      <c r="S1292" t="inlineStr">
        <is>
          <t>N</t>
        </is>
      </c>
      <c r="T1292" t="inlineStr">
        <is>
          <t>matched</t>
        </is>
      </c>
      <c r="U1292" t="inlineStr">
        <is>
          <t>2026-10-04</t>
        </is>
      </c>
      <c r="V1292" t="inlineStr"/>
    </row>
    <row r="1293">
      <c r="A1293" t="n">
        <v>158</v>
      </c>
      <c r="B1293" t="inlineStr">
        <is>
          <t>Patina Maldives, Fari Islands</t>
        </is>
      </c>
      <c r="C1293" t="inlineStr">
        <is>
          <t>factsheet</t>
        </is>
      </c>
      <c r="D1293" t="inlineStr">
        <is>
          <t>2025_PAM_FACTSHEET_2025.pdf</t>
        </is>
      </c>
      <c r="E1293" t="n">
        <v>2025</v>
      </c>
      <c r="H1293" t="n">
        <v>2</v>
      </c>
      <c r="I1293" t="n">
        <v>1131</v>
      </c>
      <c r="J1293" t="inlineStr">
        <is>
          <t>Y</t>
        </is>
      </c>
      <c r="K1293" t="inlineStr">
        <is>
          <t>neoscapesmaldives.com</t>
        </is>
      </c>
      <c r="L1293" t="inlineStr">
        <is>
          <t>dmc-agency</t>
        </is>
      </c>
      <c r="M1293" t="inlineStr">
        <is>
          <t>https://www.neoscapesmaldives.com/wp-content/uploads/PAM_FACTSHEET_2025.pdf</t>
        </is>
      </c>
      <c r="N1293" t="inlineStr">
        <is>
          <t>https://www.neoscapesmaldives.com/wp-content/uploads/PAM_FACTSHEET_2025.pdf</t>
        </is>
      </c>
      <c r="O1293" t="inlineStr">
        <is>
          <t>a062c799005cfe80776baa56e390c74f64a80983dd3c9dc661f96073e6057aeb</t>
        </is>
      </c>
      <c r="P1293" t="inlineStr">
        <is>
          <t>library/158_patina-maldives-fari-islands/factsheet/2025_PAM_FACTSHEET_2025.pdf</t>
        </is>
      </c>
      <c r="R1293" t="inlineStr">
        <is>
          <t>current</t>
        </is>
      </c>
      <c r="S1293" t="inlineStr">
        <is>
          <t>Y</t>
        </is>
      </c>
      <c r="T1293" t="inlineStr">
        <is>
          <t>matched</t>
        </is>
      </c>
      <c r="U1293" t="inlineStr">
        <is>
          <t>2026-10-04</t>
        </is>
      </c>
      <c r="V1293" t="inlineStr"/>
    </row>
    <row r="1294">
      <c r="A1294" t="n">
        <v>158</v>
      </c>
      <c r="B1294" t="inlineStr">
        <is>
          <t>Patina Maldives, Fari Islands</t>
        </is>
      </c>
      <c r="C1294" t="inlineStr">
        <is>
          <t>map</t>
        </is>
      </c>
      <c r="D1294" t="inlineStr">
        <is>
          <t>2021_Patina-Maldives-Fari-Islands_-Resort_Map.pdf</t>
        </is>
      </c>
      <c r="E1294" t="n">
        <v>2021</v>
      </c>
      <c r="H1294" t="n">
        <v>1</v>
      </c>
      <c r="I1294" t="n">
        <v>1472</v>
      </c>
      <c r="J1294" t="inlineStr">
        <is>
          <t>N</t>
        </is>
      </c>
      <c r="K1294" t="inlineStr">
        <is>
          <t>neoscapesmaldives.com</t>
        </is>
      </c>
      <c r="L1294" t="inlineStr">
        <is>
          <t>dmc-agency</t>
        </is>
      </c>
      <c r="M1294" t="inlineStr">
        <is>
          <t>https://www.neoscapesmaldives.com/wp-content/uploads/Patina-Maldives-Fari-Islands_-Resort_Map.pdf</t>
        </is>
      </c>
      <c r="N1294" t="inlineStr">
        <is>
          <t>https://www.neoscapesmaldives.com/wp-content/uploads/Patina-Maldives-Fari-Islands_-Resort_Map.pdf</t>
        </is>
      </c>
      <c r="O1294" t="inlineStr">
        <is>
          <t>6df387c12704fcfcf5734c6e26dce40519aa52ce063ddd42a3229504e39cb4ba</t>
        </is>
      </c>
      <c r="P1294" t="inlineStr">
        <is>
          <t>library/158_patina-maldives-fari-islands/map/2021_Patina-Maldives-Fari-Islands_-Resort_Map.pdf</t>
        </is>
      </c>
      <c r="R1294" t="inlineStr">
        <is>
          <t>outdated</t>
        </is>
      </c>
      <c r="S1294" t="inlineStr">
        <is>
          <t>Y</t>
        </is>
      </c>
      <c r="T1294" t="inlineStr">
        <is>
          <t>matched</t>
        </is>
      </c>
      <c r="U1294" t="inlineStr">
        <is>
          <t>2026-10-04</t>
        </is>
      </c>
      <c r="V1294" t="inlineStr"/>
    </row>
    <row r="1295">
      <c r="A1295" t="n">
        <v>158</v>
      </c>
      <c r="B1295" t="inlineStr">
        <is>
          <t>Patina Maldives, Fari Islands</t>
        </is>
      </c>
      <c r="C1295" t="inlineStr">
        <is>
          <t>calendar</t>
        </is>
      </c>
      <c r="D1295" t="inlineStr">
        <is>
          <t>2027_Patina_Maldives_Festive_Brochure.pdf</t>
        </is>
      </c>
      <c r="E1295" t="n">
        <v>2027</v>
      </c>
      <c r="H1295" t="n">
        <v>13</v>
      </c>
      <c r="I1295" t="n">
        <v>9850</v>
      </c>
      <c r="J1295" t="inlineStr">
        <is>
          <t>Y</t>
        </is>
      </c>
      <c r="K1295" t="inlineStr">
        <is>
          <t>letsgomaldives.com</t>
        </is>
      </c>
      <c r="L1295" t="inlineStr">
        <is>
          <t>dmc-agency</t>
        </is>
      </c>
      <c r="M1295" t="inlineStr">
        <is>
          <t>https://letsgomaldives.com/wp-content/uploads/2026/08/Patina_Maldives_Festive_Brochure.pdf</t>
        </is>
      </c>
      <c r="N1295" t="inlineStr">
        <is>
          <t>https://letsgomaldives.com/wp-content/uploads/2026/08/Patina_Maldives_Festive_Brochure.pdf</t>
        </is>
      </c>
      <c r="O1295" t="inlineStr">
        <is>
          <t>4569c79c3d2616393cb4281cc7203e1b3f73c3ebd6cb90eb3cb184c828affac6</t>
        </is>
      </c>
      <c r="P1295" t="inlineStr">
        <is>
          <t>library/158_patina-maldives-fari-islands/calendar/2027_Patina_Maldives_Festive_Brochure.pdf</t>
        </is>
      </c>
      <c r="R1295" t="inlineStr">
        <is>
          <t>current</t>
        </is>
      </c>
      <c r="S1295" t="inlineStr">
        <is>
          <t>Y</t>
        </is>
      </c>
      <c r="T1295" t="inlineStr">
        <is>
          <t>matched</t>
        </is>
      </c>
      <c r="U1295" t="inlineStr">
        <is>
          <t>2026-10-04</t>
        </is>
      </c>
      <c r="V1295" t="inlineStr"/>
    </row>
    <row r="1296">
      <c r="A1296" t="n">
        <v>158</v>
      </c>
      <c r="B1296" t="inlineStr">
        <is>
          <t>Patina Maldives, Fari Islands</t>
        </is>
      </c>
      <c r="C1296" t="inlineStr">
        <is>
          <t>calendar</t>
        </is>
      </c>
      <c r="D1296" t="inlineStr">
        <is>
          <t>2026_Easter-at-Patina-Maldives_2026.pdf</t>
        </is>
      </c>
      <c r="E1296" t="n">
        <v>2026</v>
      </c>
      <c r="H1296" t="n">
        <v>5</v>
      </c>
      <c r="I1296" t="n">
        <v>20602</v>
      </c>
      <c r="J1296" t="inlineStr">
        <is>
          <t>Y</t>
        </is>
      </c>
      <c r="K1296" t="inlineStr">
        <is>
          <t>letsgomaldives.com</t>
        </is>
      </c>
      <c r="L1296" t="inlineStr">
        <is>
          <t>dmc-agency</t>
        </is>
      </c>
      <c r="M1296" t="inlineStr">
        <is>
          <t>https://letsgomaldives.com/wp-content/uploads/2026/02/Easter-at-Patina-Maldives_2026.pdf</t>
        </is>
      </c>
      <c r="N1296" t="inlineStr">
        <is>
          <t>https://letsgomaldives.com/wp-content/uploads/2026/02/Easter-at-Patina-Maldives_2026.pdf</t>
        </is>
      </c>
      <c r="O1296" t="inlineStr">
        <is>
          <t>2c56ba22aa7e1ef048311ec24f261820697accecb5a1fc85f88cc667bbe04943</t>
        </is>
      </c>
      <c r="P1296" t="inlineStr">
        <is>
          <t>library/158_patina-maldives-fari-islands/calendar/2026_Easter-at-Patina-Maldives_2026.pdf</t>
        </is>
      </c>
      <c r="R1296" t="inlineStr">
        <is>
          <t>current</t>
        </is>
      </c>
      <c r="S1296" t="inlineStr">
        <is>
          <t>N</t>
        </is>
      </c>
      <c r="T1296" t="inlineStr">
        <is>
          <t>matched</t>
        </is>
      </c>
      <c r="U1296" t="inlineStr">
        <is>
          <t>2026-10-04</t>
        </is>
      </c>
      <c r="V1296" t="inlineStr"/>
    </row>
    <row r="1297">
      <c r="A1297" t="n">
        <v>159</v>
      </c>
      <c r="B1297" t="inlineStr">
        <is>
          <t>Cinnamon Dhonveli Maldives</t>
        </is>
      </c>
      <c r="C1297" t="inlineStr">
        <is>
          <t>factsheet</t>
        </is>
      </c>
      <c r="D1297" t="inlineStr">
        <is>
          <t>2023_Fact-sheet-Dhonveli.pdf</t>
        </is>
      </c>
      <c r="E1297" t="n">
        <v>2023</v>
      </c>
      <c r="H1297" t="n">
        <v>9</v>
      </c>
      <c r="I1297" t="n">
        <v>6526</v>
      </c>
      <c r="J1297" t="inlineStr">
        <is>
          <t>Y</t>
        </is>
      </c>
      <c r="K1297" t="inlineStr">
        <is>
          <t>neoscapesmaldives.com</t>
        </is>
      </c>
      <c r="L1297" t="inlineStr">
        <is>
          <t>dmc-agency</t>
        </is>
      </c>
      <c r="M1297" t="inlineStr">
        <is>
          <t>https://www.neoscapesmaldives.com/wp-content/uploads/Fact-sheet-Dhonveli.pdf</t>
        </is>
      </c>
      <c r="N1297" t="inlineStr">
        <is>
          <t>https://www.neoscapesmaldives.com/wp-content/uploads/Fact-sheet-Dhonveli.pdf</t>
        </is>
      </c>
      <c r="O1297" t="inlineStr">
        <is>
          <t>ad81e04892dd1c982557189db18d42b78d69ced7b733f574d77063055b890be5</t>
        </is>
      </c>
      <c r="P1297" t="inlineStr">
        <is>
          <t>library/159_cinnamon-dhonveli-maldives/factsheet/2023_Fact-sheet-Dhonveli.pdf</t>
        </is>
      </c>
      <c r="R1297" t="inlineStr">
        <is>
          <t>outdated</t>
        </is>
      </c>
      <c r="S1297" t="inlineStr">
        <is>
          <t>Y</t>
        </is>
      </c>
      <c r="T1297" t="inlineStr">
        <is>
          <t>matched</t>
        </is>
      </c>
      <c r="U1297" t="inlineStr">
        <is>
          <t>2026-10-04</t>
        </is>
      </c>
      <c r="V1297" t="inlineStr"/>
    </row>
    <row r="1298">
      <c r="A1298" t="n">
        <v>159</v>
      </c>
      <c r="B1298" t="inlineStr">
        <is>
          <t>Cinnamon Dhonveli Maldives</t>
        </is>
      </c>
      <c r="C1298" t="inlineStr">
        <is>
          <t>map</t>
        </is>
      </c>
      <c r="D1298" t="inlineStr">
        <is>
          <t>2025_Resort-Map_English.pdf</t>
        </is>
      </c>
      <c r="E1298" t="n">
        <v>2025</v>
      </c>
      <c r="H1298" t="n">
        <v>1</v>
      </c>
      <c r="I1298" t="n">
        <v>680</v>
      </c>
      <c r="J1298" t="inlineStr">
        <is>
          <t>N</t>
        </is>
      </c>
      <c r="K1298" t="inlineStr">
        <is>
          <t>neoscapesmaldives.com</t>
        </is>
      </c>
      <c r="L1298" t="inlineStr">
        <is>
          <t>dmc-agency</t>
        </is>
      </c>
      <c r="M1298" t="inlineStr">
        <is>
          <t>https://www.neoscapesmaldives.com/wp-content/uploads/Resort-Map_English.pdf</t>
        </is>
      </c>
      <c r="N1298" t="inlineStr">
        <is>
          <t>https://www.neoscapesmaldives.com/wp-content/uploads/Resort-Map_English.pdf</t>
        </is>
      </c>
      <c r="O1298" t="inlineStr">
        <is>
          <t>3438a6f4d446f465c0e74ac436e585ab079790bff7265aefec03c9c43506e416</t>
        </is>
      </c>
      <c r="P1298" t="inlineStr">
        <is>
          <t>library/159_cinnamon-dhonveli-maldives/map/2025_Resort-Map_English.pdf</t>
        </is>
      </c>
      <c r="R1298" t="inlineStr">
        <is>
          <t>current</t>
        </is>
      </c>
      <c r="S1298" t="inlineStr">
        <is>
          <t>Y</t>
        </is>
      </c>
      <c r="T1298" t="inlineStr">
        <is>
          <t>needs-review</t>
        </is>
      </c>
      <c r="U1298" t="inlineStr">
        <is>
          <t>2026-10-04</t>
        </is>
      </c>
      <c r="V1298" t="inlineStr">
        <is>
          <t>ambiguous match [159]</t>
        </is>
      </c>
    </row>
    <row r="1299">
      <c r="A1299" t="n">
        <v>159</v>
      </c>
      <c r="B1299" t="inlineStr">
        <is>
          <t>Cinnamon Dhonveli Maldives</t>
        </is>
      </c>
      <c r="C1299" t="inlineStr">
        <is>
          <t>calendar</t>
        </is>
      </c>
      <c r="D1299" t="inlineStr">
        <is>
          <t>2026_Dhonveli_Festive-Brochure.pdf</t>
        </is>
      </c>
      <c r="E1299" t="n">
        <v>2026</v>
      </c>
      <c r="H1299" t="n">
        <v>23</v>
      </c>
      <c r="I1299" t="n">
        <v>330</v>
      </c>
      <c r="J1299" t="inlineStr">
        <is>
          <t>Y</t>
        </is>
      </c>
      <c r="K1299" t="inlineStr">
        <is>
          <t>letsgomaldives.com</t>
        </is>
      </c>
      <c r="L1299" t="inlineStr">
        <is>
          <t>dmc-agency</t>
        </is>
      </c>
      <c r="M1299" t="inlineStr">
        <is>
          <t>https://letsgomaldives.com/wp-content/uploads/2026/08/Dhonveli_Festive-Brochure.pdf</t>
        </is>
      </c>
      <c r="N1299" t="inlineStr">
        <is>
          <t>https://letsgomaldives.com/wp-content/uploads/2026/08/Dhonveli_Festive-Brochure.pdf</t>
        </is>
      </c>
      <c r="O1299" t="inlineStr">
        <is>
          <t>9e483965c88cfd8c7341a103ba5eb60c4da6dd2b43e9cff5f136ba3105b5fd2d</t>
        </is>
      </c>
      <c r="P1299" t="inlineStr">
        <is>
          <t>library/159_cinnamon-dhonveli-maldives/calendar/2026_Dhonveli_Festive-Brochure.pdf</t>
        </is>
      </c>
      <c r="R1299" t="inlineStr">
        <is>
          <t>current</t>
        </is>
      </c>
      <c r="S1299" t="inlineStr">
        <is>
          <t>Y</t>
        </is>
      </c>
      <c r="T1299" t="inlineStr">
        <is>
          <t>matched</t>
        </is>
      </c>
      <c r="U1299" t="inlineStr">
        <is>
          <t>2026-10-04</t>
        </is>
      </c>
      <c r="V1299" t="inlineStr"/>
    </row>
    <row r="1300">
      <c r="A1300" t="n">
        <v>160</v>
      </c>
      <c r="B1300" t="inlineStr">
        <is>
          <t>Cinnamon Velifushi Maldives</t>
        </is>
      </c>
      <c r="C1300" t="inlineStr">
        <is>
          <t>factsheet</t>
        </is>
      </c>
      <c r="D1300" t="inlineStr">
        <is>
          <t>2023_Fact-sheet-Velifushi.pdf</t>
        </is>
      </c>
      <c r="E1300" t="n">
        <v>2023</v>
      </c>
      <c r="H1300" t="n">
        <v>9</v>
      </c>
      <c r="I1300" t="n">
        <v>4253</v>
      </c>
      <c r="J1300" t="inlineStr">
        <is>
          <t>Y</t>
        </is>
      </c>
      <c r="K1300" t="inlineStr">
        <is>
          <t>neoscapesmaldives.com</t>
        </is>
      </c>
      <c r="L1300" t="inlineStr">
        <is>
          <t>dmc-agency</t>
        </is>
      </c>
      <c r="M1300" t="inlineStr">
        <is>
          <t>https://www.neoscapesmaldives.com/wp-content/uploads/Fact-sheet-Velifushi.pdf</t>
        </is>
      </c>
      <c r="N1300" t="inlineStr">
        <is>
          <t>https://www.neoscapesmaldives.com/wp-content/uploads/Fact-sheet-Velifushi.pdf</t>
        </is>
      </c>
      <c r="O1300" t="inlineStr">
        <is>
          <t>11eb0b8a2629b413371f35dedd359d0ad669e83b5dfa691619e70f88905e3388</t>
        </is>
      </c>
      <c r="P1300" t="inlineStr">
        <is>
          <t>library/160_cinnamon-velifushi-maldives/factsheet/2023_Fact-sheet-Velifushi.pdf</t>
        </is>
      </c>
      <c r="R1300" t="inlineStr">
        <is>
          <t>outdated</t>
        </is>
      </c>
      <c r="S1300" t="inlineStr">
        <is>
          <t>Y</t>
        </is>
      </c>
      <c r="T1300" t="inlineStr">
        <is>
          <t>matched</t>
        </is>
      </c>
      <c r="U1300" t="inlineStr">
        <is>
          <t>2026-10-04</t>
        </is>
      </c>
      <c r="V1300" t="inlineStr"/>
    </row>
    <row r="1301">
      <c r="A1301" t="n">
        <v>160</v>
      </c>
      <c r="B1301" t="inlineStr">
        <is>
          <t>Cinnamon Velifushi Maldives</t>
        </is>
      </c>
      <c r="C1301" t="inlineStr">
        <is>
          <t>map</t>
        </is>
      </c>
      <c r="D1301" t="inlineStr">
        <is>
          <t>2025_English_Hotel-Map_.Velifushi.pdf</t>
        </is>
      </c>
      <c r="E1301" t="n">
        <v>2025</v>
      </c>
      <c r="H1301" t="n">
        <v>1</v>
      </c>
      <c r="I1301" t="n">
        <v>2393</v>
      </c>
      <c r="J1301" t="inlineStr">
        <is>
          <t>N</t>
        </is>
      </c>
      <c r="K1301" t="inlineStr">
        <is>
          <t>neoscapesmaldives.com</t>
        </is>
      </c>
      <c r="L1301" t="inlineStr">
        <is>
          <t>dmc-agency</t>
        </is>
      </c>
      <c r="M1301" t="inlineStr">
        <is>
          <t>https://www.neoscapesmaldives.com/wp-content/uploads/English_Hotel-Map_.Velifushi.pdf</t>
        </is>
      </c>
      <c r="N1301" t="inlineStr">
        <is>
          <t>https://www.neoscapesmaldives.com/wp-content/uploads/English_Hotel-Map_.Velifushi.pdf</t>
        </is>
      </c>
      <c r="O1301" t="inlineStr">
        <is>
          <t>e606031ce3f0b7e0914a39c517cf43661bb97ba3190b60529413868aab45cb43</t>
        </is>
      </c>
      <c r="P1301" t="inlineStr">
        <is>
          <t>library/160_cinnamon-velifushi-maldives/map/2025_English_Hotel-Map_.Velifushi.pdf</t>
        </is>
      </c>
      <c r="R1301" t="inlineStr">
        <is>
          <t>current</t>
        </is>
      </c>
      <c r="S1301" t="inlineStr">
        <is>
          <t>Y</t>
        </is>
      </c>
      <c r="T1301" t="inlineStr">
        <is>
          <t>matched</t>
        </is>
      </c>
      <c r="U1301" t="inlineStr">
        <is>
          <t>2026-10-04</t>
        </is>
      </c>
      <c r="V1301" t="inlineStr"/>
    </row>
    <row r="1302">
      <c r="A1302" t="n">
        <v>160</v>
      </c>
      <c r="B1302" t="inlineStr">
        <is>
          <t>Cinnamon Velifushi Maldives</t>
        </is>
      </c>
      <c r="C1302" t="inlineStr">
        <is>
          <t>calendar</t>
        </is>
      </c>
      <c r="D1302" t="inlineStr">
        <is>
          <t>2027_Velifushi_Festive-Brochure-.pdf</t>
        </is>
      </c>
      <c r="E1302" t="n">
        <v>2027</v>
      </c>
      <c r="H1302" t="n">
        <v>24</v>
      </c>
      <c r="I1302" t="n">
        <v>389</v>
      </c>
      <c r="J1302" t="inlineStr">
        <is>
          <t>Y</t>
        </is>
      </c>
      <c r="K1302" t="inlineStr">
        <is>
          <t>letsgomaldives.com</t>
        </is>
      </c>
      <c r="L1302" t="inlineStr">
        <is>
          <t>dmc-agency</t>
        </is>
      </c>
      <c r="M1302" t="inlineStr">
        <is>
          <t>https://letsgomaldives.com/wp-content/uploads/2026/08/Velifushi_Festive-Brochure-.pdf</t>
        </is>
      </c>
      <c r="N1302" t="inlineStr">
        <is>
          <t>https://letsgomaldives.com/wp-content/uploads/2026/08/Velifushi_Festive-Brochure-.pdf</t>
        </is>
      </c>
      <c r="O1302" t="inlineStr">
        <is>
          <t>ac0a87d2474959a90125b8f3498a96046419e201d9a2e4a287cb93a454b1843c</t>
        </is>
      </c>
      <c r="P1302" t="inlineStr">
        <is>
          <t>library/160_cinnamon-velifushi-maldives/calendar/2027_Velifushi_Festive-Brochure-.pdf</t>
        </is>
      </c>
      <c r="R1302" t="inlineStr">
        <is>
          <t>current</t>
        </is>
      </c>
      <c r="S1302" t="inlineStr">
        <is>
          <t>Y</t>
        </is>
      </c>
      <c r="T1302" t="inlineStr">
        <is>
          <t>matched</t>
        </is>
      </c>
      <c r="U1302" t="inlineStr">
        <is>
          <t>2026-10-04</t>
        </is>
      </c>
      <c r="V1302" t="inlineStr"/>
    </row>
    <row r="1303">
      <c r="A1303" t="n">
        <v>161</v>
      </c>
      <c r="B1303" t="inlineStr">
        <is>
          <t>Ellaidhoo Maldives By Cinnamon</t>
        </is>
      </c>
      <c r="C1303" t="inlineStr">
        <is>
          <t>calendar</t>
        </is>
      </c>
      <c r="D1303" t="inlineStr">
        <is>
          <t>2027_Ellaidhoo_Festive-Brochure.pdf</t>
        </is>
      </c>
      <c r="E1303" t="n">
        <v>2027</v>
      </c>
      <c r="H1303" t="n">
        <v>13</v>
      </c>
      <c r="I1303" t="n">
        <v>371</v>
      </c>
      <c r="J1303" t="inlineStr">
        <is>
          <t>Y</t>
        </is>
      </c>
      <c r="K1303" t="inlineStr">
        <is>
          <t>letsgomaldives.com</t>
        </is>
      </c>
      <c r="L1303" t="inlineStr">
        <is>
          <t>dmc-agency</t>
        </is>
      </c>
      <c r="M1303" t="inlineStr">
        <is>
          <t>https://letsgomaldives.com/wp-content/uploads/2026/08/Ellaidhoo_Festive-Brochure.pdf</t>
        </is>
      </c>
      <c r="N1303" t="inlineStr">
        <is>
          <t>https://letsgomaldives.com/wp-content/uploads/2026/08/Ellaidhoo_Festive-Brochure.pdf</t>
        </is>
      </c>
      <c r="O1303" t="inlineStr">
        <is>
          <t>f7c761ff5a5bcbfef370dfbc589388b11c4818e76f046465a9d2038737643ba6</t>
        </is>
      </c>
      <c r="P1303" t="inlineStr">
        <is>
          <t>library/161_ellaidhoo-maldives-by-cinnamon/calendar/2027_Ellaidhoo_Festive-Brochure.pdf</t>
        </is>
      </c>
      <c r="R1303" t="inlineStr">
        <is>
          <t>current</t>
        </is>
      </c>
      <c r="S1303" t="inlineStr">
        <is>
          <t>Y</t>
        </is>
      </c>
      <c r="T1303" t="inlineStr">
        <is>
          <t>matched</t>
        </is>
      </c>
      <c r="U1303" t="inlineStr">
        <is>
          <t>2026-10-04</t>
        </is>
      </c>
      <c r="V1303" t="inlineStr"/>
    </row>
    <row r="1304">
      <c r="A1304" t="n">
        <v>162</v>
      </c>
      <c r="B1304" t="inlineStr">
        <is>
          <t>The Marina at Crossroads Maldives</t>
        </is>
      </c>
      <c r="C1304" t="inlineStr">
        <is>
          <t>map</t>
        </is>
      </c>
      <c r="D1304" t="inlineStr">
        <is>
          <t>2025_EO-GEN-009C_Pollution-Management-Plan-Crossroads-Maldives.pdf</t>
        </is>
      </c>
      <c r="E1304" t="n">
        <v>2025</v>
      </c>
      <c r="H1304" t="n">
        <v>6</v>
      </c>
      <c r="I1304" t="n">
        <v>569</v>
      </c>
      <c r="J1304" t="inlineStr">
        <is>
          <t>Y</t>
        </is>
      </c>
      <c r="K1304" t="inlineStr">
        <is>
          <t>saiiresorts.com</t>
        </is>
      </c>
      <c r="L1304" t="inlineStr">
        <is>
          <t>official</t>
        </is>
      </c>
      <c r="M1304" t="inlineStr">
        <is>
          <t>https://www.saiihotels.com/wp-content/uploads/2025/11/EO-GEN-009C_Pollution-Management-Plan-Crossroads-Maldives.pdf</t>
        </is>
      </c>
      <c r="N1304" t="inlineStr">
        <is>
          <t>https://www.saiihotels.com/wp-content/uploads/2025/11/EO-GEN-009C_Pollution-Management-Plan-Crossroads-Maldives.pdf | https://hotel.hardrock.com/maldives/files/6016/EO-GEN-009C_Pollution_Management_Plan_-_Crossroads_Maldives.pdf</t>
        </is>
      </c>
      <c r="O1304" t="inlineStr">
        <is>
          <t>527b00844e61d7c49c772f42048a1b654a495c1067d35a55dae255080186c5a7</t>
        </is>
      </c>
      <c r="P1304" t="inlineStr">
        <is>
          <t>library/162_the-marina-at-crossroads-maldives/map/2025_EO-GEN-009C_Pollution-Management-Plan-Crossroads-Maldives.pdf</t>
        </is>
      </c>
      <c r="R1304" t="inlineStr">
        <is>
          <t>current</t>
        </is>
      </c>
      <c r="S1304" t="inlineStr">
        <is>
          <t>N</t>
        </is>
      </c>
      <c r="T1304" t="inlineStr">
        <is>
          <t>matched</t>
        </is>
      </c>
      <c r="U1304" t="inlineStr">
        <is>
          <t>2026-10-04</t>
        </is>
      </c>
      <c r="V1304" t="inlineStr"/>
    </row>
    <row r="1305">
      <c r="A1305" t="n">
        <v>162</v>
      </c>
      <c r="B1305" t="inlineStr">
        <is>
          <t>The Marina at Crossroads Maldives</t>
        </is>
      </c>
      <c r="C1305" t="inlineStr">
        <is>
          <t>map</t>
        </is>
      </c>
      <c r="D1305" t="inlineStr">
        <is>
          <t>2025_EO-GEN-008C_Waste-Management-Plan-Crossroads-Maldives.pdf</t>
        </is>
      </c>
      <c r="E1305" t="n">
        <v>2025</v>
      </c>
      <c r="H1305" t="n">
        <v>13</v>
      </c>
      <c r="I1305" t="n">
        <v>641</v>
      </c>
      <c r="J1305" t="inlineStr">
        <is>
          <t>Y</t>
        </is>
      </c>
      <c r="K1305" t="inlineStr">
        <is>
          <t>saiiresorts.com</t>
        </is>
      </c>
      <c r="L1305" t="inlineStr">
        <is>
          <t>official</t>
        </is>
      </c>
      <c r="M1305" t="inlineStr">
        <is>
          <t>https://www.saiihotels.com/wp-content/uploads/2025/11/EO-GEN-008C_Waste-Management-Plan-Crossroads-Maldives.pdf</t>
        </is>
      </c>
      <c r="N1305" t="inlineStr">
        <is>
          <t>https://www.saiihotels.com/wp-content/uploads/2025/11/EO-GEN-008C_Waste-Management-Plan-Crossroads-Maldives.pdf | https://hotel.hardrock.com/maldives/files/6016/EO-GEN-008C_Waste_Management_Plan_-_Crossroads_Maldives.pdf</t>
        </is>
      </c>
      <c r="O1305" t="inlineStr">
        <is>
          <t>d654c51a97a72833e2998e114eac876aa8e41064e0b07080d8c8327093c8576c</t>
        </is>
      </c>
      <c r="P1305" t="inlineStr">
        <is>
          <t>library/162_the-marina-at-crossroads-maldives/map/2025_EO-GEN-008C_Waste-Management-Plan-Crossroads-Maldives.pdf</t>
        </is>
      </c>
      <c r="R1305" t="inlineStr">
        <is>
          <t>current</t>
        </is>
      </c>
      <c r="S1305" t="inlineStr">
        <is>
          <t>Y</t>
        </is>
      </c>
      <c r="T1305" t="inlineStr">
        <is>
          <t>matched</t>
        </is>
      </c>
      <c r="U1305" t="inlineStr">
        <is>
          <t>2026-10-04</t>
        </is>
      </c>
      <c r="V1305" t="inlineStr"/>
    </row>
    <row r="1306">
      <c r="A1306" t="n">
        <v>162</v>
      </c>
      <c r="B1306" t="inlineStr">
        <is>
          <t>The Marina at Crossroads Maldives</t>
        </is>
      </c>
      <c r="C1306" t="inlineStr">
        <is>
          <t>map</t>
        </is>
      </c>
      <c r="D1306" t="inlineStr">
        <is>
          <t>2023_Hard-Rock-Hotel-Resort-Map-2023.pdf</t>
        </is>
      </c>
      <c r="E1306" t="n">
        <v>2023</v>
      </c>
      <c r="H1306" t="n">
        <v>1</v>
      </c>
      <c r="I1306" t="n">
        <v>4950</v>
      </c>
      <c r="J1306" t="inlineStr">
        <is>
          <t>Y</t>
        </is>
      </c>
      <c r="K1306" t="inlineStr">
        <is>
          <t>neoscapesmaldives.com</t>
        </is>
      </c>
      <c r="L1306" t="inlineStr">
        <is>
          <t>dmc-agency</t>
        </is>
      </c>
      <c r="M1306" t="inlineStr">
        <is>
          <t>https://www.neoscapesmaldives.com/wp-content/uploads/Hard-Rock-Hotel-Resort-Map-2023.pdf</t>
        </is>
      </c>
      <c r="N1306" t="inlineStr">
        <is>
          <t>https://www.neoscapesmaldives.com/wp-content/uploads/Hard-Rock-Hotel-Resort-Map-2023.pdf</t>
        </is>
      </c>
      <c r="O1306" t="inlineStr">
        <is>
          <t>61ddb7b5a8c09338981be92f4512ee7f957c22b6727095a9a680452fe6d5441f</t>
        </is>
      </c>
      <c r="P1306" t="inlineStr">
        <is>
          <t>library/162_the-marina-at-crossroads-maldives/map/2023_Hard-Rock-Hotel-Resort-Map-2023.pdf</t>
        </is>
      </c>
      <c r="R1306" t="inlineStr">
        <is>
          <t>outdated</t>
        </is>
      </c>
      <c r="S1306" t="inlineStr">
        <is>
          <t>N</t>
        </is>
      </c>
      <c r="T1306" t="inlineStr">
        <is>
          <t>matched</t>
        </is>
      </c>
      <c r="U1306" t="inlineStr">
        <is>
          <t>2026-10-04</t>
        </is>
      </c>
      <c r="V1306" t="inlineStr"/>
    </row>
    <row r="1307">
      <c r="A1307" t="n">
        <v>162</v>
      </c>
      <c r="B1307" t="inlineStr">
        <is>
          <t>The Marina at Crossroads Maldives</t>
        </is>
      </c>
      <c r="C1307" t="inlineStr">
        <is>
          <t>map</t>
        </is>
      </c>
      <c r="D1307" t="inlineStr">
        <is>
          <t>2023_EO-GEN-002C_Sustainability-Management-Plan-Crossroads-Maldives-1.pdf</t>
        </is>
      </c>
      <c r="E1307" t="n">
        <v>2023</v>
      </c>
      <c r="H1307" t="n">
        <v>20</v>
      </c>
      <c r="I1307" t="n">
        <v>984</v>
      </c>
      <c r="J1307" t="inlineStr">
        <is>
          <t>Y</t>
        </is>
      </c>
      <c r="K1307" t="inlineStr">
        <is>
          <t>saiiresorts.com</t>
        </is>
      </c>
      <c r="L1307" t="inlineStr">
        <is>
          <t>official</t>
        </is>
      </c>
      <c r="M1307" t="inlineStr">
        <is>
          <t>https://www.saiihotels.com/wp-content/uploads/2025/11/EO-GEN-002C_Sustainability-Management-Plan-Crossroads-Maldives-1.pdf</t>
        </is>
      </c>
      <c r="N1307"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1307" t="inlineStr">
        <is>
          <t>3516c6e79f255aa5b076fb87288a870f4d8265d521cf626e6f48c855f76ec27c</t>
        </is>
      </c>
      <c r="P1307" t="inlineStr">
        <is>
          <t>library/162_the-marina-at-crossroads-maldives/map/2023_EO-GEN-002C_Sustainability-Management-Plan-Crossroads-Maldives-1.pdf</t>
        </is>
      </c>
      <c r="R1307" t="inlineStr">
        <is>
          <t>outdated</t>
        </is>
      </c>
      <c r="S1307" t="inlineStr">
        <is>
          <t>N</t>
        </is>
      </c>
      <c r="T1307" t="inlineStr">
        <is>
          <t>matched</t>
        </is>
      </c>
      <c r="U1307" t="inlineStr">
        <is>
          <t>2026-10-04</t>
        </is>
      </c>
      <c r="V1307" t="inlineStr"/>
    </row>
    <row r="1308">
      <c r="A1308" t="n">
        <v>162</v>
      </c>
      <c r="B1308" t="inlineStr">
        <is>
          <t>The Marina at Crossroads Maldives</t>
        </is>
      </c>
      <c r="C1308" t="inlineStr">
        <is>
          <t>dining_menu</t>
        </is>
      </c>
      <c r="D1308" t="inlineStr">
        <is>
          <t>2026_HRH_AI_Premium_Drinks_Menu.pdf</t>
        </is>
      </c>
      <c r="E1308" t="n">
        <v>2026</v>
      </c>
      <c r="H1308" t="n">
        <v>2</v>
      </c>
      <c r="I1308" t="n">
        <v>1388</v>
      </c>
      <c r="J1308" t="inlineStr">
        <is>
          <t>Y</t>
        </is>
      </c>
      <c r="K1308" t="inlineStr">
        <is>
          <t>hardrockhotels.com</t>
        </is>
      </c>
      <c r="L1308" t="inlineStr">
        <is>
          <t>official</t>
        </is>
      </c>
      <c r="M1308" t="inlineStr">
        <is>
          <t>https://hotel.hardrock.com/maldives/files/6016/HRH_AI_Premium_Drinks_Menu.pdf</t>
        </is>
      </c>
      <c r="N1308" t="inlineStr">
        <is>
          <t>https://hotel.hardrock.com/maldives/files/6016/HRH_AI_Premium_Drinks_Menu.pdf</t>
        </is>
      </c>
      <c r="O1308" t="inlineStr">
        <is>
          <t>9bd25440c4e68570b6cbfb752b9398400e01dc1e742af5d9549dca63b35a0c9b</t>
        </is>
      </c>
      <c r="P1308" t="inlineStr">
        <is>
          <t>library/162_the-marina-at-crossroads-maldives/dining_menu/2026_HRH_AI_Premium_Drinks_Menu.pdf</t>
        </is>
      </c>
      <c r="R1308" t="inlineStr">
        <is>
          <t>current</t>
        </is>
      </c>
      <c r="S1308" t="inlineStr">
        <is>
          <t>Y</t>
        </is>
      </c>
      <c r="T1308" t="inlineStr">
        <is>
          <t>matched</t>
        </is>
      </c>
      <c r="U1308" t="inlineStr">
        <is>
          <t>2026-10-04</t>
        </is>
      </c>
      <c r="V1308" t="inlineStr"/>
    </row>
    <row r="1309">
      <c r="A1309" t="n">
        <v>162</v>
      </c>
      <c r="B1309" t="inlineStr">
        <is>
          <t>The Marina at Crossroads Maldives</t>
        </is>
      </c>
      <c r="C1309" t="inlineStr">
        <is>
          <t>dive_prices</t>
        </is>
      </c>
      <c r="D1309" t="inlineStr">
        <is>
          <t>2026_2026_Crossroads_Excursion_price_list_.pdf</t>
        </is>
      </c>
      <c r="E1309" t="n">
        <v>2026</v>
      </c>
      <c r="H1309" t="n">
        <v>1</v>
      </c>
      <c r="I1309" t="n">
        <v>55</v>
      </c>
      <c r="J1309" t="inlineStr">
        <is>
          <t>Y</t>
        </is>
      </c>
      <c r="K1309" t="inlineStr">
        <is>
          <t>saiiresorts.com</t>
        </is>
      </c>
      <c r="L1309" t="inlineStr">
        <is>
          <t>official</t>
        </is>
      </c>
      <c r="M1309" t="inlineStr">
        <is>
          <t>https://www.saiihotels.com/wp-content/uploads/2026/04/2026_Crossroads_Excursion_price_list_.pdf</t>
        </is>
      </c>
      <c r="N1309" t="inlineStr">
        <is>
          <t>https://www.saiihotels.com/wp-content/uploads/2026/04/2026_Crossroads_Excursion_price_list_.pdf | https://hotel.hardrock.com/maldives/files/6016/2026_Crossroads_Excursion_price_list_.pdf</t>
        </is>
      </c>
      <c r="O1309" t="inlineStr">
        <is>
          <t>742bb63f021e1cd410aeac9f223c29220e3591037d45af27525079a959d8d30e</t>
        </is>
      </c>
      <c r="P1309" t="inlineStr">
        <is>
          <t>library/162_the-marina-at-crossroads-maldives/dive_prices/2026_2026_Crossroads_Excursion_price_list_.pdf</t>
        </is>
      </c>
      <c r="R1309" t="inlineStr">
        <is>
          <t>current</t>
        </is>
      </c>
      <c r="S1309" t="inlineStr">
        <is>
          <t>N</t>
        </is>
      </c>
      <c r="T1309" t="inlineStr">
        <is>
          <t>matched</t>
        </is>
      </c>
      <c r="U1309" t="inlineStr">
        <is>
          <t>2026-10-04</t>
        </is>
      </c>
      <c r="V1309" t="inlineStr"/>
    </row>
    <row r="1310">
      <c r="A1310" t="n">
        <v>162</v>
      </c>
      <c r="B1310" t="inlineStr">
        <is>
          <t>The Marina at Crossroads Maldives</t>
        </is>
      </c>
      <c r="C1310" t="inlineStr">
        <is>
          <t>dive_prices</t>
        </is>
      </c>
      <c r="D1310" t="inlineStr">
        <is>
          <t>2026_2026_Crossroads_Diving_price_list_.pdf</t>
        </is>
      </c>
      <c r="E1310" t="n">
        <v>2026</v>
      </c>
      <c r="H1310" t="n">
        <v>1</v>
      </c>
      <c r="I1310" t="n">
        <v>30</v>
      </c>
      <c r="J1310" t="inlineStr">
        <is>
          <t>Y</t>
        </is>
      </c>
      <c r="K1310" t="inlineStr">
        <is>
          <t>saiiresorts.com</t>
        </is>
      </c>
      <c r="L1310" t="inlineStr">
        <is>
          <t>official</t>
        </is>
      </c>
      <c r="M1310" t="inlineStr">
        <is>
          <t>https://www.saiihotels.com/wp-content/uploads/2026/04/2026_Crossroads_Diving_price_list_.pdf</t>
        </is>
      </c>
      <c r="N1310" t="inlineStr">
        <is>
          <t>https://www.saiihotels.com/wp-content/uploads/2026/04/2026_Crossroads_Diving_price_list_.pdf</t>
        </is>
      </c>
      <c r="O1310" t="inlineStr">
        <is>
          <t>a7ae5fb0c304066eacf14d11479c1c594bc4534eaf693cbd792327a741a60e65</t>
        </is>
      </c>
      <c r="P1310" t="inlineStr">
        <is>
          <t>library/162_the-marina-at-crossroads-maldives/dive_prices/2026_2026_Crossroads_Diving_price_list_.pdf</t>
        </is>
      </c>
      <c r="R1310" t="inlineStr">
        <is>
          <t>current</t>
        </is>
      </c>
      <c r="S1310" t="inlineStr">
        <is>
          <t>N</t>
        </is>
      </c>
      <c r="T1310" t="inlineStr">
        <is>
          <t>matched</t>
        </is>
      </c>
      <c r="U1310" t="inlineStr">
        <is>
          <t>2026-10-04</t>
        </is>
      </c>
      <c r="V1310" t="inlineStr"/>
    </row>
    <row r="1311">
      <c r="A1311" t="n">
        <v>162</v>
      </c>
      <c r="B1311" t="inlineStr">
        <is>
          <t>The Marina at Crossroads Maldives</t>
        </is>
      </c>
      <c r="C1311" t="inlineStr">
        <is>
          <t>dive_prices</t>
        </is>
      </c>
      <c r="D1311" t="inlineStr">
        <is>
          <t>2026_2026_Corssroads_Watersports_price_list__18-12-25.pdf</t>
        </is>
      </c>
      <c r="E1311" t="n">
        <v>2026</v>
      </c>
      <c r="H1311" t="n">
        <v>2</v>
      </c>
      <c r="I1311" t="n">
        <v>41</v>
      </c>
      <c r="J1311" t="inlineStr">
        <is>
          <t>Y</t>
        </is>
      </c>
      <c r="K1311" t="inlineStr">
        <is>
          <t>saiiresorts.com</t>
        </is>
      </c>
      <c r="L1311" t="inlineStr">
        <is>
          <t>official</t>
        </is>
      </c>
      <c r="M1311" t="inlineStr">
        <is>
          <t>https://www.saiihotels.com/wp-content/uploads/2026/04/2026_Corssroads_Watersports_price_list__18-12-25.pdf</t>
        </is>
      </c>
      <c r="N1311" t="inlineStr">
        <is>
          <t>https://www.saiihotels.com/wp-content/uploads/2026/04/2026_Corssroads_Watersports_price_list__18-12-25.pdf</t>
        </is>
      </c>
      <c r="O1311" t="inlineStr">
        <is>
          <t>c27bbd1bacc28de830b5f359ad052ff23a863bf01232a5f9e51bb5b88703fd43</t>
        </is>
      </c>
      <c r="P1311" t="inlineStr">
        <is>
          <t>library/162_the-marina-at-crossroads-maldives/dive_prices/2026_2026_Corssroads_Watersports_price_list__18-12-25.pdf</t>
        </is>
      </c>
      <c r="R1311" t="inlineStr">
        <is>
          <t>current</t>
        </is>
      </c>
      <c r="S1311" t="inlineStr">
        <is>
          <t>N</t>
        </is>
      </c>
      <c r="T1311" t="inlineStr">
        <is>
          <t>matched</t>
        </is>
      </c>
      <c r="U1311" t="inlineStr">
        <is>
          <t>2026-10-04</t>
        </is>
      </c>
      <c r="V1311" t="inlineStr"/>
    </row>
    <row r="1312">
      <c r="A1312" t="n">
        <v>162</v>
      </c>
      <c r="B1312" t="inlineStr">
        <is>
          <t>The Marina at Crossroads Maldives</t>
        </is>
      </c>
      <c r="C1312" t="inlineStr">
        <is>
          <t>dive_prices</t>
        </is>
      </c>
      <c r="D1312" t="inlineStr">
        <is>
          <t>2026_2026-Crossroads-Water-sports-catalogue-18-12-25.pdf</t>
        </is>
      </c>
      <c r="E1312" t="n">
        <v>2026</v>
      </c>
      <c r="H1312" t="n">
        <v>23</v>
      </c>
      <c r="I1312" t="n">
        <v>1413</v>
      </c>
      <c r="J1312" t="inlineStr">
        <is>
          <t>Y</t>
        </is>
      </c>
      <c r="K1312" t="inlineStr">
        <is>
          <t>saiiresorts.com</t>
        </is>
      </c>
      <c r="L1312" t="inlineStr">
        <is>
          <t>official</t>
        </is>
      </c>
      <c r="M1312" t="inlineStr">
        <is>
          <t>https://www.saiihotels.com/wp-content/uploads/2025/12/2026-Crossroads-Water-sports-catalogue-18-12-25.pdf</t>
        </is>
      </c>
      <c r="N1312" t="inlineStr">
        <is>
          <t>https://www.saiihotels.com/wp-content/uploads/2025/12/2026-Crossroads-Water-sports-catalogue-18-12-25.pdf | https://hotel.hardrock.com/maldives/files/6016/2026_Crossroads_Water_sports_catalogue_18-12-25.pdf</t>
        </is>
      </c>
      <c r="O1312" t="inlineStr">
        <is>
          <t>f88656db3decd85ae504b815b4fd8617bf0e2a51d4f8cd378b733057915c5e48</t>
        </is>
      </c>
      <c r="P1312" t="inlineStr">
        <is>
          <t>library/162_the-marina-at-crossroads-maldives/dive_prices/2026_2026-Crossroads-Water-sports-catalogue-18-12-25.pdf</t>
        </is>
      </c>
      <c r="R1312" t="inlineStr">
        <is>
          <t>current</t>
        </is>
      </c>
      <c r="S1312" t="inlineStr">
        <is>
          <t>Y</t>
        </is>
      </c>
      <c r="T1312" t="inlineStr">
        <is>
          <t>matched</t>
        </is>
      </c>
      <c r="U1312" t="inlineStr">
        <is>
          <t>2026-10-04</t>
        </is>
      </c>
      <c r="V1312" t="inlineStr"/>
    </row>
    <row r="1313">
      <c r="A1313" t="n">
        <v>162</v>
      </c>
      <c r="B1313" t="inlineStr">
        <is>
          <t>The Marina at Crossroads Maldives</t>
        </is>
      </c>
      <c r="C1313" t="inlineStr">
        <is>
          <t>dive_prices</t>
        </is>
      </c>
      <c r="D1313" t="inlineStr">
        <is>
          <t>2026_2026-Crossroads-Dive-Catalogue-compressed.pdf</t>
        </is>
      </c>
      <c r="E1313" t="n">
        <v>2026</v>
      </c>
      <c r="H1313" t="n">
        <v>13</v>
      </c>
      <c r="I1313" t="n">
        <v>1214</v>
      </c>
      <c r="J1313" t="inlineStr">
        <is>
          <t>Y</t>
        </is>
      </c>
      <c r="K1313" t="inlineStr">
        <is>
          <t>saiiresorts.com</t>
        </is>
      </c>
      <c r="L1313" t="inlineStr">
        <is>
          <t>official</t>
        </is>
      </c>
      <c r="M1313" t="inlineStr">
        <is>
          <t>https://www.saiihotels.com/wp-content/uploads/2025/12/2026-Crossroads-Dive-Catalogue-compressed.pdf</t>
        </is>
      </c>
      <c r="N1313" t="inlineStr">
        <is>
          <t>https://www.saiihotels.com/wp-content/uploads/2025/12/2026-Crossroads-Dive-Catalogue-compressed.pdf | https://hotel.hardrock.com/maldives/files/6016/2026_Crossroads__Dive_Catalogue-compressed.pdf</t>
        </is>
      </c>
      <c r="O1313" t="inlineStr">
        <is>
          <t>40f535f326bff33a2b6c8ff724759806c62d100e82cd441e7ab775d725a794ec</t>
        </is>
      </c>
      <c r="P1313" t="inlineStr">
        <is>
          <t>library/162_the-marina-at-crossroads-maldives/dive_prices/2026_2026-Crossroads-Dive-Catalogue-compressed.pdf</t>
        </is>
      </c>
      <c r="R1313" t="inlineStr">
        <is>
          <t>current</t>
        </is>
      </c>
      <c r="S1313" t="inlineStr">
        <is>
          <t>N</t>
        </is>
      </c>
      <c r="T1313" t="inlineStr">
        <is>
          <t>matched</t>
        </is>
      </c>
      <c r="U1313" t="inlineStr">
        <is>
          <t>2026-10-04</t>
        </is>
      </c>
      <c r="V1313" t="inlineStr"/>
    </row>
    <row r="1314">
      <c r="A1314" t="n">
        <v>162</v>
      </c>
      <c r="B1314" t="inlineStr">
        <is>
          <t>The Marina at Crossroads Maldives</t>
        </is>
      </c>
      <c r="C1314" t="inlineStr">
        <is>
          <t>dive_prices</t>
        </is>
      </c>
      <c r="D1314" t="inlineStr">
        <is>
          <t>2026_293e34f5_2026_Crossroads_Diving_price_list_.pdf</t>
        </is>
      </c>
      <c r="E1314" t="n">
        <v>2026</v>
      </c>
      <c r="H1314" t="n">
        <v>1</v>
      </c>
      <c r="I1314" t="n">
        <v>46</v>
      </c>
      <c r="J1314" t="inlineStr">
        <is>
          <t>Y</t>
        </is>
      </c>
      <c r="K1314" t="inlineStr">
        <is>
          <t>hardrockhotels.com</t>
        </is>
      </c>
      <c r="L1314" t="inlineStr">
        <is>
          <t>official</t>
        </is>
      </c>
      <c r="M1314" t="inlineStr">
        <is>
          <t>https://hotel.hardrock.com/maldives/files/6016/2026_Crossroads_Diving_price_list_.pdf</t>
        </is>
      </c>
      <c r="N1314" t="inlineStr">
        <is>
          <t>https://hotel.hardrock.com/maldives/files/6016/2026_Crossroads_Diving_price_list_.pdf</t>
        </is>
      </c>
      <c r="O1314" t="inlineStr">
        <is>
          <t>293e34f5e6dcf6893c90aa8e1362f4916b9a38d409a8594d7ffa7016a02ef5ac</t>
        </is>
      </c>
      <c r="P1314" t="inlineStr">
        <is>
          <t>library/162_the-marina-at-crossroads-maldives/dive_prices/2026_293e34f5_2026_Crossroads_Diving_price_list_.pdf</t>
        </is>
      </c>
      <c r="R1314" t="inlineStr">
        <is>
          <t>current</t>
        </is>
      </c>
      <c r="S1314" t="inlineStr">
        <is>
          <t>N</t>
        </is>
      </c>
      <c r="T1314" t="inlineStr">
        <is>
          <t>matched</t>
        </is>
      </c>
      <c r="U1314" t="inlineStr">
        <is>
          <t>2026-10-04</t>
        </is>
      </c>
      <c r="V1314" t="inlineStr"/>
    </row>
    <row r="1315">
      <c r="A1315" t="n">
        <v>162</v>
      </c>
      <c r="B1315" t="inlineStr">
        <is>
          <t>The Marina at Crossroads Maldives</t>
        </is>
      </c>
      <c r="C1315" t="inlineStr">
        <is>
          <t>dive_prices</t>
        </is>
      </c>
      <c r="D1315" t="inlineStr">
        <is>
          <t>2026_448760f9_2026_Corssroads_Watersports_price_list__18-12-25.pdf</t>
        </is>
      </c>
      <c r="E1315" t="n">
        <v>2026</v>
      </c>
      <c r="H1315" t="n">
        <v>2</v>
      </c>
      <c r="I1315" t="n">
        <v>61</v>
      </c>
      <c r="J1315" t="inlineStr">
        <is>
          <t>Y</t>
        </is>
      </c>
      <c r="K1315" t="inlineStr">
        <is>
          <t>hardrockhotels.com</t>
        </is>
      </c>
      <c r="L1315" t="inlineStr">
        <is>
          <t>official</t>
        </is>
      </c>
      <c r="M1315" t="inlineStr">
        <is>
          <t>https://hotel.hardrock.com/maldives/files/6016/2026_Corssroads_Watersports_price_list__18-12-25.pdf</t>
        </is>
      </c>
      <c r="N1315" t="inlineStr">
        <is>
          <t>https://hotel.hardrock.com/maldives/files/6016/2026_Corssroads_Watersports_price_list__18-12-25.pdf</t>
        </is>
      </c>
      <c r="O1315" t="inlineStr">
        <is>
          <t>448760f95c809947a9a0749b6e73e8c67a275972f9d730abffe960535dcecf0d</t>
        </is>
      </c>
      <c r="P1315" t="inlineStr">
        <is>
          <t>library/162_the-marina-at-crossroads-maldives/dive_prices/2026_448760f9_2026_Corssroads_Watersports_price_list__18-12-25.pdf</t>
        </is>
      </c>
      <c r="R1315" t="inlineStr">
        <is>
          <t>current</t>
        </is>
      </c>
      <c r="S1315" t="inlineStr">
        <is>
          <t>N</t>
        </is>
      </c>
      <c r="T1315" t="inlineStr">
        <is>
          <t>matched</t>
        </is>
      </c>
      <c r="U1315" t="inlineStr">
        <is>
          <t>2026-10-04</t>
        </is>
      </c>
      <c r="V1315" t="inlineStr"/>
    </row>
    <row r="1316">
      <c r="A1316" t="n">
        <v>162</v>
      </c>
      <c r="B1316" t="inlineStr">
        <is>
          <t>The Marina at Crossroads Maldives</t>
        </is>
      </c>
      <c r="C1316" t="inlineStr">
        <is>
          <t>excursions</t>
        </is>
      </c>
      <c r="D1316" t="inlineStr">
        <is>
          <t>2025_2025_Crossroads__Weekly_Excursions_Schedule.pdf</t>
        </is>
      </c>
      <c r="E1316" t="n">
        <v>2025</v>
      </c>
      <c r="H1316" t="n">
        <v>1</v>
      </c>
      <c r="I1316" t="n">
        <v>94</v>
      </c>
      <c r="J1316" t="inlineStr">
        <is>
          <t>Y</t>
        </is>
      </c>
      <c r="K1316" t="inlineStr">
        <is>
          <t>hardrockhotels.com</t>
        </is>
      </c>
      <c r="L1316" t="inlineStr">
        <is>
          <t>official</t>
        </is>
      </c>
      <c r="M1316" t="inlineStr">
        <is>
          <t>https://hotel.hardrock.com/maldives/files/6016/2025_Crossroads__Weekly_Excursions_Schedule.pdf</t>
        </is>
      </c>
      <c r="N1316" t="inlineStr">
        <is>
          <t>https://hotel.hardrock.com/maldives/files/6016/2025_Crossroads__Weekly_Excursions_Schedule.pdf</t>
        </is>
      </c>
      <c r="O1316" t="inlineStr">
        <is>
          <t>de9aa0e4aa4ddac490b2767177363966842103c76f1b0d855e479bf6db7ba44f</t>
        </is>
      </c>
      <c r="P1316" t="inlineStr">
        <is>
          <t>library/162_the-marina-at-crossroads-maldives/excursions/2025_2025_Crossroads__Weekly_Excursions_Schedule.pdf</t>
        </is>
      </c>
      <c r="R1316" t="inlineStr">
        <is>
          <t>current</t>
        </is>
      </c>
      <c r="S1316" t="inlineStr">
        <is>
          <t>Y</t>
        </is>
      </c>
      <c r="T1316" t="inlineStr">
        <is>
          <t>matched</t>
        </is>
      </c>
      <c r="U1316" t="inlineStr">
        <is>
          <t>2026-10-04</t>
        </is>
      </c>
      <c r="V1316" t="inlineStr"/>
    </row>
    <row r="1317">
      <c r="A1317" t="n">
        <v>162</v>
      </c>
      <c r="B1317" t="inlineStr">
        <is>
          <t>The Marina at Crossroads Maldives</t>
        </is>
      </c>
      <c r="C1317" t="inlineStr">
        <is>
          <t>kids</t>
        </is>
      </c>
      <c r="D1317" t="inlineStr">
        <is>
          <t>2026_SAii-Beach-Club-Eid-Family-Package-1.pdf</t>
        </is>
      </c>
      <c r="E1317" t="n">
        <v>2026</v>
      </c>
      <c r="H1317" t="n">
        <v>1</v>
      </c>
      <c r="I1317" t="n">
        <v>466</v>
      </c>
      <c r="J1317" t="inlineStr">
        <is>
          <t>Y</t>
        </is>
      </c>
      <c r="K1317" t="inlineStr">
        <is>
          <t>saiiresorts.com</t>
        </is>
      </c>
      <c r="L1317" t="inlineStr">
        <is>
          <t>official</t>
        </is>
      </c>
      <c r="M1317" t="inlineStr">
        <is>
          <t>https://www.saiihotels.com/wp-content/uploads/2026/05/SAii-Beach-Club-Eid-Family-Package-1.pdf</t>
        </is>
      </c>
      <c r="N1317" t="inlineStr">
        <is>
          <t>https://www.saiihotels.com/wp-content/uploads/2026/05/SAii-Beach-Club-Eid-Family-Package-1.pdf</t>
        </is>
      </c>
      <c r="O1317" t="inlineStr">
        <is>
          <t>4e8ce9de8157a5cfb49a5bdb6c8231d3e318d28defb47606c965bcefcbe554f9</t>
        </is>
      </c>
      <c r="P1317" t="inlineStr">
        <is>
          <t>library/162_the-marina-at-crossroads-maldives/kids/2026_SAii-Beach-Club-Eid-Family-Package-1.pdf</t>
        </is>
      </c>
      <c r="R1317" t="inlineStr">
        <is>
          <t>current</t>
        </is>
      </c>
      <c r="S1317" t="inlineStr">
        <is>
          <t>Y</t>
        </is>
      </c>
      <c r="T1317" t="inlineStr">
        <is>
          <t>matched</t>
        </is>
      </c>
      <c r="U1317" t="inlineStr">
        <is>
          <t>2026-10-04</t>
        </is>
      </c>
      <c r="V1317" t="inlineStr"/>
    </row>
    <row r="1318">
      <c r="A1318" t="n">
        <v>162</v>
      </c>
      <c r="B1318" t="inlineStr">
        <is>
          <t>The Marina at Crossroads Maldives</t>
        </is>
      </c>
      <c r="C1318" t="inlineStr">
        <is>
          <t>sustainability</t>
        </is>
      </c>
      <c r="D1318" t="inlineStr">
        <is>
          <t>2025_EO-GEN-005C_Biodiversity-Policy-Crossroads-Maldives.pdf</t>
        </is>
      </c>
      <c r="E1318" t="n">
        <v>2025</v>
      </c>
      <c r="H1318" t="n">
        <v>3</v>
      </c>
      <c r="I1318" t="n">
        <v>509</v>
      </c>
      <c r="J1318" t="inlineStr">
        <is>
          <t>Y</t>
        </is>
      </c>
      <c r="K1318" t="inlineStr">
        <is>
          <t>saiiresorts.com</t>
        </is>
      </c>
      <c r="L1318" t="inlineStr">
        <is>
          <t>official</t>
        </is>
      </c>
      <c r="M1318" t="inlineStr">
        <is>
          <t>https://www.saiihotels.com/wp-content/uploads/2025/11/EO-GEN-005C_Biodiversity-Policy-Crossroads-Maldives.pdf</t>
        </is>
      </c>
      <c r="N1318" t="inlineStr">
        <is>
          <t>https://www.saiihotels.com/wp-content/uploads/2025/11/EO-GEN-005C_Biodiversity-Policy-Crossroads-Maldives.pdf | https://hotel.hardrock.com/maldives/files/6016/EO-GEN-005C_Biodiversity_Policy_-_Crossroads_Maldives.pdf</t>
        </is>
      </c>
      <c r="O1318" t="inlineStr">
        <is>
          <t>3c5f3d8454a6d4b526603132d6fded70dc9c03ef4b2ce5bee14abc0f92bbbb25</t>
        </is>
      </c>
      <c r="P1318" t="inlineStr">
        <is>
          <t>library/162_the-marina-at-crossroads-maldives/sustainability/2025_EO-GEN-005C_Biodiversity-Policy-Crossroads-Maldives.pdf</t>
        </is>
      </c>
      <c r="R1318" t="inlineStr">
        <is>
          <t>current</t>
        </is>
      </c>
      <c r="S1318" t="inlineStr">
        <is>
          <t>N</t>
        </is>
      </c>
      <c r="T1318" t="inlineStr">
        <is>
          <t>matched</t>
        </is>
      </c>
      <c r="U1318" t="inlineStr">
        <is>
          <t>2026-10-04</t>
        </is>
      </c>
      <c r="V1318" t="inlineStr"/>
    </row>
    <row r="1319">
      <c r="A1319" t="n">
        <v>162</v>
      </c>
      <c r="B1319" t="inlineStr">
        <is>
          <t>The Marina at Crossroads Maldives</t>
        </is>
      </c>
      <c r="C1319" t="inlineStr">
        <is>
          <t>sustainability</t>
        </is>
      </c>
      <c r="D1319" t="inlineStr">
        <is>
          <t>2025_EO-GEN-004C_Environmental-Purchasing-Policy-Crossroads-Maldives.pdf</t>
        </is>
      </c>
      <c r="E1319" t="n">
        <v>2025</v>
      </c>
      <c r="H1319" t="n">
        <v>6</v>
      </c>
      <c r="I1319" t="n">
        <v>643</v>
      </c>
      <c r="J1319" t="inlineStr">
        <is>
          <t>Y</t>
        </is>
      </c>
      <c r="K1319" t="inlineStr">
        <is>
          <t>saiiresorts.com</t>
        </is>
      </c>
      <c r="L1319" t="inlineStr">
        <is>
          <t>official</t>
        </is>
      </c>
      <c r="M1319" t="inlineStr">
        <is>
          <t>https://www.saiihotels.com/wp-content/uploads/2025/11/EO-GEN-004C_Environmental-Purchasing-Policy-Crossroads-Maldives.pdf</t>
        </is>
      </c>
      <c r="N1319" t="inlineStr">
        <is>
          <t>https://www.saiihotels.com/wp-content/uploads/2025/11/EO-GEN-004C_Environmental-Purchasing-Policy-Crossroads-Maldives.pdf | https://hotel.hardrock.com/maldives/files/6016/EO-GEN-004C_Environmental_Purchasing_Policy_-_Crossroads_Maldives.pdf</t>
        </is>
      </c>
      <c r="O1319" t="inlineStr">
        <is>
          <t>ddcdc1bd3f53d1afed8fa14510a546acec1ebcffe475a73697d5c60b69bffc2b</t>
        </is>
      </c>
      <c r="P1319" t="inlineStr">
        <is>
          <t>library/162_the-marina-at-crossroads-maldives/sustainability/2025_EO-GEN-004C_Environmental-Purchasing-Policy-Crossroads-Maldives.pdf</t>
        </is>
      </c>
      <c r="R1319" t="inlineStr">
        <is>
          <t>current</t>
        </is>
      </c>
      <c r="S1319" t="inlineStr">
        <is>
          <t>N</t>
        </is>
      </c>
      <c r="T1319" t="inlineStr">
        <is>
          <t>matched</t>
        </is>
      </c>
      <c r="U1319" t="inlineStr">
        <is>
          <t>2026-10-04</t>
        </is>
      </c>
      <c r="V1319" t="inlineStr"/>
    </row>
    <row r="1320">
      <c r="A1320" t="n">
        <v>162</v>
      </c>
      <c r="B1320" t="inlineStr">
        <is>
          <t>The Marina at Crossroads Maldives</t>
        </is>
      </c>
      <c r="C1320" t="inlineStr">
        <is>
          <t>sustainability</t>
        </is>
      </c>
      <c r="D1320" t="inlineStr">
        <is>
          <t>2025_EO-GEN-003C_Environmental-Policy-Crossroads-Maldives.pdf</t>
        </is>
      </c>
      <c r="E1320" t="n">
        <v>2025</v>
      </c>
      <c r="H1320" t="n">
        <v>7</v>
      </c>
      <c r="I1320" t="n">
        <v>750</v>
      </c>
      <c r="J1320" t="inlineStr">
        <is>
          <t>Y</t>
        </is>
      </c>
      <c r="K1320" t="inlineStr">
        <is>
          <t>saiiresorts.com</t>
        </is>
      </c>
      <c r="L1320" t="inlineStr">
        <is>
          <t>official</t>
        </is>
      </c>
      <c r="M1320" t="inlineStr">
        <is>
          <t>https://www.saiihotels.com/wp-content/uploads/2025/11/EO-GEN-003C_Environmental-Policy-Crossroads-Maldives.pdf</t>
        </is>
      </c>
      <c r="N1320" t="inlineStr">
        <is>
          <t>https://www.saiihotels.com/wp-content/uploads/2025/11/EO-GEN-003C_Environmental-Policy-Crossroads-Maldives.pdf | https://hotel.hardrock.com/maldives/files/6016/EO-GEN-003C_Environmental_Policy_-_Crossroads_Maldives.pdf</t>
        </is>
      </c>
      <c r="O1320" t="inlineStr">
        <is>
          <t>55862494ee18ef68f04f00f05d19f2b1866e9d8dff9fa181b24b6306c1807914</t>
        </is>
      </c>
      <c r="P1320" t="inlineStr">
        <is>
          <t>library/162_the-marina-at-crossroads-maldives/sustainability/2025_EO-GEN-003C_Environmental-Policy-Crossroads-Maldives.pdf</t>
        </is>
      </c>
      <c r="R1320" t="inlineStr">
        <is>
          <t>current</t>
        </is>
      </c>
      <c r="S1320" t="inlineStr">
        <is>
          <t>Y</t>
        </is>
      </c>
      <c r="T1320" t="inlineStr">
        <is>
          <t>matched</t>
        </is>
      </c>
      <c r="U1320" t="inlineStr">
        <is>
          <t>2026-10-04</t>
        </is>
      </c>
      <c r="V1320" t="inlineStr"/>
    </row>
    <row r="1321">
      <c r="A1321" t="n">
        <v>162</v>
      </c>
      <c r="B1321" t="inlineStr">
        <is>
          <t>The Marina at Crossroads Maldives</t>
        </is>
      </c>
      <c r="C1321" t="inlineStr">
        <is>
          <t>sustainability</t>
        </is>
      </c>
      <c r="D1321" t="inlineStr">
        <is>
          <t>2025_EO-GEN-007C_Landscaping-Policy-Crossroads-Maldives.pdf</t>
        </is>
      </c>
      <c r="E1321" t="n">
        <v>2025</v>
      </c>
      <c r="H1321" t="n">
        <v>3</v>
      </c>
      <c r="I1321" t="n">
        <v>484</v>
      </c>
      <c r="J1321" t="inlineStr">
        <is>
          <t>Y</t>
        </is>
      </c>
      <c r="K1321" t="inlineStr">
        <is>
          <t>saiiresorts.com</t>
        </is>
      </c>
      <c r="L1321" t="inlineStr">
        <is>
          <t>official</t>
        </is>
      </c>
      <c r="M1321" t="inlineStr">
        <is>
          <t>https://www.saiihotels.com/wp-content/uploads/2025/11/EO-GEN-007C_Landscaping-Policy-Crossroads-Maldives.pdf</t>
        </is>
      </c>
      <c r="N1321" t="inlineStr">
        <is>
          <t>https://www.saiihotels.com/wp-content/uploads/2025/11/EO-GEN-007C_Landscaping-Policy-Crossroads-Maldives.pdf | https://hotel.hardrock.com/maldives/files/6016/EO-GEN-007C_Landscaping_Policy_-_Crossroads_Maldives.pdf</t>
        </is>
      </c>
      <c r="O1321" t="inlineStr">
        <is>
          <t>3c64457a0d8a26a624d96b8feca070c298d451fd560b76b9dd7fbca67f335da6</t>
        </is>
      </c>
      <c r="P1321" t="inlineStr">
        <is>
          <t>library/162_the-marina-at-crossroads-maldives/sustainability/2025_EO-GEN-007C_Landscaping-Policy-Crossroads-Maldives.pdf</t>
        </is>
      </c>
      <c r="R1321" t="inlineStr">
        <is>
          <t>current</t>
        </is>
      </c>
      <c r="S1321" t="inlineStr">
        <is>
          <t>N</t>
        </is>
      </c>
      <c r="T1321" t="inlineStr">
        <is>
          <t>matched</t>
        </is>
      </c>
      <c r="U1321" t="inlineStr">
        <is>
          <t>2026-10-04</t>
        </is>
      </c>
      <c r="V1321" t="inlineStr"/>
    </row>
    <row r="1322">
      <c r="A1322" t="n">
        <v>162</v>
      </c>
      <c r="B1322" t="inlineStr">
        <is>
          <t>The Marina at Crossroads Maldives</t>
        </is>
      </c>
      <c r="C1322" t="inlineStr">
        <is>
          <t>sustainability</t>
        </is>
      </c>
      <c r="D1322" t="inlineStr">
        <is>
          <t>2025_EO-GEN-006C_Code-of-Conduct-for-Business-Partners-Crossroads-Maldives.pdf</t>
        </is>
      </c>
      <c r="E1322" t="n">
        <v>2025</v>
      </c>
      <c r="H1322" t="n">
        <v>5</v>
      </c>
      <c r="I1322" t="n">
        <v>498</v>
      </c>
      <c r="J1322" t="inlineStr">
        <is>
          <t>Y</t>
        </is>
      </c>
      <c r="K1322" t="inlineStr">
        <is>
          <t>saiiresorts.com</t>
        </is>
      </c>
      <c r="L1322" t="inlineStr">
        <is>
          <t>official</t>
        </is>
      </c>
      <c r="M1322" t="inlineStr">
        <is>
          <t>https://www.saiihotels.com/wp-content/uploads/2025/11/EO-GEN-006C_Code-of-Conduct-for-Business-Partners-Crossroads-Maldives.pdf</t>
        </is>
      </c>
      <c r="N1322" t="inlineStr">
        <is>
          <t>https://www.saiihotels.com/wp-content/uploads/2025/11/EO-GEN-006C_Code-of-Conduct-for-Business-Partners-Crossroads-Maldives.pdf | https://hotel.hardrock.com/maldives/files/6016/EO-GEN-006C_Code_of_Conduct_for_Business_Partners_-_Crossroads_Maldives.pdf</t>
        </is>
      </c>
      <c r="O1322" t="inlineStr">
        <is>
          <t>d2bfce94577f974633dccd65f45a0ee998c82b1ad2a74b9af7f20a3cca3e6f6e</t>
        </is>
      </c>
      <c r="P1322" t="inlineStr">
        <is>
          <t>library/162_the-marina-at-crossroads-maldives/sustainability/2025_EO-GEN-006C_Code-of-Conduct-for-Business-Partners-Crossroads-Maldives.pdf</t>
        </is>
      </c>
      <c r="R1322" t="inlineStr">
        <is>
          <t>current</t>
        </is>
      </c>
      <c r="S1322" t="inlineStr">
        <is>
          <t>N</t>
        </is>
      </c>
      <c r="T1322" t="inlineStr">
        <is>
          <t>matched</t>
        </is>
      </c>
      <c r="U1322" t="inlineStr">
        <is>
          <t>2026-10-04</t>
        </is>
      </c>
      <c r="V1322" t="inlineStr"/>
    </row>
    <row r="1323">
      <c r="A1323" t="n">
        <v>162</v>
      </c>
      <c r="B1323" t="inlineStr">
        <is>
          <t>The Marina at Crossroads Maldives</t>
        </is>
      </c>
      <c r="C1323" t="inlineStr">
        <is>
          <t>brochure</t>
        </is>
      </c>
      <c r="D1323" t="inlineStr">
        <is>
          <t>2026_2026-Crossroads-Recreation-Catalog-.pdf</t>
        </is>
      </c>
      <c r="E1323" t="n">
        <v>2026</v>
      </c>
      <c r="H1323" t="n">
        <v>21</v>
      </c>
      <c r="I1323" t="n">
        <v>1992</v>
      </c>
      <c r="J1323" t="inlineStr">
        <is>
          <t>Y</t>
        </is>
      </c>
      <c r="K1323" t="inlineStr">
        <is>
          <t>saiiresorts.com</t>
        </is>
      </c>
      <c r="L1323" t="inlineStr">
        <is>
          <t>official</t>
        </is>
      </c>
      <c r="M1323" t="inlineStr">
        <is>
          <t>https://www.saiihotels.com/wp-content/uploads/2025/12/2026-Crossroads-Recreation-Catalog-.pdf</t>
        </is>
      </c>
      <c r="N1323" t="inlineStr">
        <is>
          <t>https://www.saiihotels.com/wp-content/uploads/2025/12/2026-Crossroads-Recreation-Catalog-.pdf</t>
        </is>
      </c>
      <c r="O1323" t="inlineStr">
        <is>
          <t>e0beb25bf3ba75b5ca2d0159857ff20a6f28fa0f7b0ba2fbb004434a456e8d7c</t>
        </is>
      </c>
      <c r="P1323" t="inlineStr">
        <is>
          <t>library/162_the-marina-at-crossroads-maldives/brochure/2026_2026-Crossroads-Recreation-Catalog-.pdf</t>
        </is>
      </c>
      <c r="R1323" t="inlineStr">
        <is>
          <t>current</t>
        </is>
      </c>
      <c r="S1323" t="inlineStr">
        <is>
          <t>Y</t>
        </is>
      </c>
      <c r="T1323" t="inlineStr">
        <is>
          <t>matched</t>
        </is>
      </c>
      <c r="U1323" t="inlineStr">
        <is>
          <t>2026-10-04</t>
        </is>
      </c>
      <c r="V1323" t="inlineStr"/>
    </row>
    <row r="1324">
      <c r="A1324" t="n">
        <v>162</v>
      </c>
      <c r="B1324" t="inlineStr">
        <is>
          <t>The Marina at Crossroads Maldives</t>
        </is>
      </c>
      <c r="C1324" t="inlineStr">
        <is>
          <t>brochure</t>
        </is>
      </c>
      <c r="D1324" t="inlineStr">
        <is>
          <t>2026_2026_Crossroads_Recreation_Catalog_-compressed.pdf</t>
        </is>
      </c>
      <c r="E1324" t="n">
        <v>2026</v>
      </c>
      <c r="H1324" t="n">
        <v>21</v>
      </c>
      <c r="I1324" t="n">
        <v>1800</v>
      </c>
      <c r="J1324" t="inlineStr">
        <is>
          <t>Y</t>
        </is>
      </c>
      <c r="K1324" t="inlineStr">
        <is>
          <t>hardrockhotels.com</t>
        </is>
      </c>
      <c r="L1324" t="inlineStr">
        <is>
          <t>official</t>
        </is>
      </c>
      <c r="M1324" t="inlineStr">
        <is>
          <t>https://hotel.hardrock.com/maldives/files/6016/2026_Crossroads_Recreation_Catalog_-compressed.pdf</t>
        </is>
      </c>
      <c r="N1324" t="inlineStr">
        <is>
          <t>https://hotel.hardrock.com/maldives/files/6016/2026_Crossroads_Recreation_Catalog_-compressed.pdf</t>
        </is>
      </c>
      <c r="O1324" t="inlineStr">
        <is>
          <t>30c906fdd885f35fde5a8d60d4fe46a81b67dbaf147d0cbf6eb09591386f6f2f</t>
        </is>
      </c>
      <c r="P1324" t="inlineStr">
        <is>
          <t>library/162_the-marina-at-crossroads-maldives/brochure/2026_2026_Crossroads_Recreation_Catalog_-compressed.pdf</t>
        </is>
      </c>
      <c r="R1324" t="inlineStr">
        <is>
          <t>current</t>
        </is>
      </c>
      <c r="S1324" t="inlineStr">
        <is>
          <t>N</t>
        </is>
      </c>
      <c r="T1324" t="inlineStr">
        <is>
          <t>matched</t>
        </is>
      </c>
      <c r="U1324" t="inlineStr">
        <is>
          <t>2026-10-04</t>
        </is>
      </c>
      <c r="V1324" t="inlineStr"/>
    </row>
    <row r="1325">
      <c r="A1325" t="n">
        <v>163</v>
      </c>
      <c r="B1325" t="inlineStr">
        <is>
          <t>Adaaran Prestige Vadoo</t>
        </is>
      </c>
      <c r="C1325" t="inlineStr">
        <is>
          <t>factsheet</t>
        </is>
      </c>
      <c r="D1325" t="inlineStr">
        <is>
          <t>2023_Fact-Sheet-Adaara-Prestige-Vadoo.pdf</t>
        </is>
      </c>
      <c r="E1325" t="n">
        <v>2023</v>
      </c>
      <c r="H1325" t="n">
        <v>5</v>
      </c>
      <c r="I1325" t="n">
        <v>1517</v>
      </c>
      <c r="J1325" t="inlineStr">
        <is>
          <t>Y</t>
        </is>
      </c>
      <c r="K1325" t="inlineStr">
        <is>
          <t>neoscapesmaldives.com</t>
        </is>
      </c>
      <c r="L1325" t="inlineStr">
        <is>
          <t>dmc-agency</t>
        </is>
      </c>
      <c r="M1325" t="inlineStr">
        <is>
          <t>https://www.neoscapesmaldives.com/wp-content/uploads/Fact-Sheet-Adaara-Prestige-Vadoo.pdf</t>
        </is>
      </c>
      <c r="N1325" t="inlineStr">
        <is>
          <t>https://www.neoscapesmaldives.com/wp-content/uploads/Fact-Sheet-Adaara-Prestige-Vadoo.pdf</t>
        </is>
      </c>
      <c r="O1325" t="inlineStr">
        <is>
          <t>b01f2b07821b4c316c0bbd7d9f36bc17c88477bcdcc1020a9ecc9bfcef53fa1e</t>
        </is>
      </c>
      <c r="P1325" t="inlineStr">
        <is>
          <t>library/163_adaaran-prestige-vadoo/factsheet/2023_Fact-Sheet-Adaara-Prestige-Vadoo.pdf</t>
        </is>
      </c>
      <c r="R1325" t="inlineStr">
        <is>
          <t>outdated</t>
        </is>
      </c>
      <c r="S1325" t="inlineStr">
        <is>
          <t>Y</t>
        </is>
      </c>
      <c r="T1325" t="inlineStr">
        <is>
          <t>matched</t>
        </is>
      </c>
      <c r="U1325" t="inlineStr">
        <is>
          <t>2026-10-04</t>
        </is>
      </c>
      <c r="V1325" t="inlineStr"/>
    </row>
    <row r="1326">
      <c r="A1326" t="n">
        <v>163</v>
      </c>
      <c r="B1326" t="inlineStr">
        <is>
          <t>Adaaran Prestige Vadoo</t>
        </is>
      </c>
      <c r="C1326" t="inlineStr">
        <is>
          <t>map</t>
        </is>
      </c>
      <c r="D1326" t="inlineStr">
        <is>
          <t>2023_Resort-Map-Adaara-Prestige-Vadoo.pdf</t>
        </is>
      </c>
      <c r="E1326" t="n">
        <v>2023</v>
      </c>
      <c r="H1326" t="n">
        <v>1</v>
      </c>
      <c r="I1326" t="n">
        <v>2012</v>
      </c>
      <c r="J1326" t="inlineStr">
        <is>
          <t>N</t>
        </is>
      </c>
      <c r="K1326" t="inlineStr">
        <is>
          <t>neoscapesmaldives.com</t>
        </is>
      </c>
      <c r="L1326" t="inlineStr">
        <is>
          <t>dmc-agency</t>
        </is>
      </c>
      <c r="M1326" t="inlineStr">
        <is>
          <t>https://www.neoscapesmaldives.com/wp-content/uploads/Resort-Map-Adaara-Prestige-Vadoo.pdf</t>
        </is>
      </c>
      <c r="N1326" t="inlineStr">
        <is>
          <t>https://www.neoscapesmaldives.com/wp-content/uploads/Resort-Map-Adaara-Prestige-Vadoo.pdf</t>
        </is>
      </c>
      <c r="O1326" t="inlineStr">
        <is>
          <t>dc6798236195c4bd885bf35481d88b4cbf1c2c27d312d7b00fe6f0e99b81d77d</t>
        </is>
      </c>
      <c r="P1326" t="inlineStr">
        <is>
          <t>library/163_adaaran-prestige-vadoo/map/2023_Resort-Map-Adaara-Prestige-Vadoo.pdf</t>
        </is>
      </c>
      <c r="R1326" t="inlineStr">
        <is>
          <t>outdated</t>
        </is>
      </c>
      <c r="S1326" t="inlineStr">
        <is>
          <t>Y</t>
        </is>
      </c>
      <c r="T1326" t="inlineStr">
        <is>
          <t>matched</t>
        </is>
      </c>
      <c r="U1326" t="inlineStr">
        <is>
          <t>2026-10-04</t>
        </is>
      </c>
      <c r="V1326" t="inlineStr"/>
    </row>
    <row r="1327">
      <c r="A1327" t="n">
        <v>163</v>
      </c>
      <c r="B1327" t="inlineStr">
        <is>
          <t>Adaaran Prestige Vadoo</t>
        </is>
      </c>
      <c r="C1327" t="inlineStr">
        <is>
          <t>sustainability</t>
        </is>
      </c>
      <c r="D1327" t="inlineStr">
        <is>
          <t>2025_Sustainabilty-Report-APV-2025-26_compressed.pdf</t>
        </is>
      </c>
      <c r="E1327" t="n">
        <v>2025</v>
      </c>
      <c r="H1327" t="n">
        <v>21</v>
      </c>
      <c r="I1327" t="n">
        <v>2057</v>
      </c>
      <c r="J1327" t="inlineStr">
        <is>
          <t>Y</t>
        </is>
      </c>
      <c r="K1327" t="inlineStr">
        <is>
          <t>adaaran.com</t>
        </is>
      </c>
      <c r="L1327" t="inlineStr">
        <is>
          <t>official</t>
        </is>
      </c>
      <c r="M1327" t="inlineStr">
        <is>
          <t>https://adaaran.eme-devops.com/2026/05/Sustainabilty-Report-APV-2025-26_compressed.pdf</t>
        </is>
      </c>
      <c r="N1327" t="inlineStr">
        <is>
          <t>https://adaaran.eme-devops.com/2026/05/Sustainabilty-Report-APV-2025-26_compressed.pdf</t>
        </is>
      </c>
      <c r="O1327" t="inlineStr">
        <is>
          <t>d3bfd9878e80ae4c8ee5ae57401863aaac2bd4d35ad3f45d5f799928d5fbbf3b</t>
        </is>
      </c>
      <c r="P1327" t="inlineStr">
        <is>
          <t>library/163_adaaran-prestige-vadoo/sustainability/2025_Sustainabilty-Report-APV-2025-26_compressed.pdf</t>
        </is>
      </c>
      <c r="R1327" t="inlineStr">
        <is>
          <t>current</t>
        </is>
      </c>
      <c r="S1327" t="inlineStr">
        <is>
          <t>Y</t>
        </is>
      </c>
      <c r="T1327" t="inlineStr">
        <is>
          <t>matched</t>
        </is>
      </c>
      <c r="U1327" t="inlineStr">
        <is>
          <t>2026-10-04</t>
        </is>
      </c>
      <c r="V1327" t="inlineStr"/>
    </row>
    <row r="1328">
      <c r="A1328" t="n">
        <v>163</v>
      </c>
      <c r="B1328" t="inlineStr">
        <is>
          <t>Adaaran Prestige Vadoo</t>
        </is>
      </c>
      <c r="C1328" t="inlineStr">
        <is>
          <t>sustainability</t>
        </is>
      </c>
      <c r="D1328" t="inlineStr">
        <is>
          <t>2024_Adaaran-Prestige-Vadoo-_-Sustainability-Report-20242025.pdf</t>
        </is>
      </c>
      <c r="E1328" t="n">
        <v>2024</v>
      </c>
      <c r="H1328" t="n">
        <v>19</v>
      </c>
      <c r="I1328" t="n">
        <v>2980</v>
      </c>
      <c r="J1328" t="inlineStr">
        <is>
          <t>Y</t>
        </is>
      </c>
      <c r="K1328" t="inlineStr">
        <is>
          <t>adaaran.com</t>
        </is>
      </c>
      <c r="L1328" t="inlineStr">
        <is>
          <t>official</t>
        </is>
      </c>
      <c r="M1328" t="inlineStr">
        <is>
          <t>https://adaaran.eme-devops.com/2025/08/Adaaran-Prestige-Vadoo-%E2%80%93-Sustainability-Report-20242025.pdf</t>
        </is>
      </c>
      <c r="N1328" t="inlineStr">
        <is>
          <t>https://adaaran.eme-devops.com/2025/08/Adaaran-Prestige-Vadoo-%E2%80%93-Sustainability-Report-20242025.pdf</t>
        </is>
      </c>
      <c r="O1328" t="inlineStr">
        <is>
          <t>42f2348038408ebed202c6e362ade2125747d3ecdcf48c91078b0204b7e8a473</t>
        </is>
      </c>
      <c r="P1328" t="inlineStr">
        <is>
          <t>library/163_adaaran-prestige-vadoo/sustainability/2024_Adaaran-Prestige-Vadoo-_-Sustainability-Report-20242025.pdf</t>
        </is>
      </c>
      <c r="R1328" t="inlineStr">
        <is>
          <t>outdated</t>
        </is>
      </c>
      <c r="S1328" t="inlineStr">
        <is>
          <t>N</t>
        </is>
      </c>
      <c r="T1328" t="inlineStr">
        <is>
          <t>matched</t>
        </is>
      </c>
      <c r="U1328" t="inlineStr">
        <is>
          <t>2026-10-04</t>
        </is>
      </c>
      <c r="V1328" t="inlineStr"/>
    </row>
    <row r="1329">
      <c r="A1329" t="n">
        <v>163</v>
      </c>
      <c r="B1329" t="inlineStr">
        <is>
          <t>Adaaran Prestige Vadoo</t>
        </is>
      </c>
      <c r="C1329" t="inlineStr">
        <is>
          <t>sustainability</t>
        </is>
      </c>
      <c r="D1329" t="inlineStr">
        <is>
          <t>2023_Adaaran-Prestige-Vadoo-Sustainability-Report-2023-24.pdf</t>
        </is>
      </c>
      <c r="E1329" t="n">
        <v>2023</v>
      </c>
      <c r="H1329" t="n">
        <v>16</v>
      </c>
      <c r="I1329" t="n">
        <v>2292</v>
      </c>
      <c r="J1329" t="inlineStr">
        <is>
          <t>Y</t>
        </is>
      </c>
      <c r="K1329" t="inlineStr">
        <is>
          <t>adaaran.com</t>
        </is>
      </c>
      <c r="L1329" t="inlineStr">
        <is>
          <t>official</t>
        </is>
      </c>
      <c r="M1329" t="inlineStr">
        <is>
          <t>https://adaaran.eme-devops.com/2025/08/Adaaran-Prestige-Vadoo-Sustainability-Report-2023-24.pdf</t>
        </is>
      </c>
      <c r="N1329" t="inlineStr">
        <is>
          <t>https://adaaran.eme-devops.com/2025/08/Adaaran-Prestige-Vadoo-Sustainability-Report-2023-24.pdf</t>
        </is>
      </c>
      <c r="O1329" t="inlineStr">
        <is>
          <t>1a3591724065ff4b8b83d8e6e234e3c5eae21855cc060991d4abd3d9a548af8b</t>
        </is>
      </c>
      <c r="P1329" t="inlineStr">
        <is>
          <t>library/163_adaaran-prestige-vadoo/sustainability/2023_Adaaran-Prestige-Vadoo-Sustainability-Report-2023-24.pdf</t>
        </is>
      </c>
      <c r="R1329" t="inlineStr">
        <is>
          <t>outdated</t>
        </is>
      </c>
      <c r="S1329" t="inlineStr">
        <is>
          <t>N</t>
        </is>
      </c>
      <c r="T1329" t="inlineStr">
        <is>
          <t>matched</t>
        </is>
      </c>
      <c r="U1329" t="inlineStr">
        <is>
          <t>2026-10-04</t>
        </is>
      </c>
      <c r="V1329" t="inlineStr"/>
    </row>
    <row r="1330">
      <c r="A1330" t="n">
        <v>163</v>
      </c>
      <c r="B1330" t="inlineStr">
        <is>
          <t>Adaaran Prestige Vadoo</t>
        </is>
      </c>
      <c r="C1330" t="inlineStr">
        <is>
          <t>sustainability</t>
        </is>
      </c>
      <c r="D1330" t="inlineStr">
        <is>
          <t>2022_Adaaran-Prestige-Vadoo-Sustainability-Report-2022-23.pdf</t>
        </is>
      </c>
      <c r="E1330" t="n">
        <v>2022</v>
      </c>
      <c r="H1330" t="n">
        <v>16</v>
      </c>
      <c r="I1330" t="n">
        <v>4062</v>
      </c>
      <c r="J1330" t="inlineStr">
        <is>
          <t>Y</t>
        </is>
      </c>
      <c r="K1330" t="inlineStr">
        <is>
          <t>adaaran.com</t>
        </is>
      </c>
      <c r="L1330" t="inlineStr">
        <is>
          <t>official</t>
        </is>
      </c>
      <c r="M1330" t="inlineStr">
        <is>
          <t>https://adaaran.eme-devops.com/2025/08/Adaaran-Prestige-Vadoo-Sustainability-Report-2022-23.pdf</t>
        </is>
      </c>
      <c r="N1330" t="inlineStr">
        <is>
          <t>https://adaaran.eme-devops.com/2025/08/Adaaran-Prestige-Vadoo-Sustainability-Report-2022-23.pdf</t>
        </is>
      </c>
      <c r="O1330" t="inlineStr">
        <is>
          <t>ca950cf98e698ec2e180670be0a31e71be3545a650f89489ea14962ca7fd0f98</t>
        </is>
      </c>
      <c r="P1330" t="inlineStr">
        <is>
          <t>library/163_adaaran-prestige-vadoo/sustainability/2022_Adaaran-Prestige-Vadoo-Sustainability-Report-2022-23.pdf</t>
        </is>
      </c>
      <c r="R1330" t="inlineStr">
        <is>
          <t>outdated</t>
        </is>
      </c>
      <c r="S1330" t="inlineStr">
        <is>
          <t>N</t>
        </is>
      </c>
      <c r="T1330" t="inlineStr">
        <is>
          <t>matched</t>
        </is>
      </c>
      <c r="U1330" t="inlineStr">
        <is>
          <t>2026-10-04</t>
        </is>
      </c>
      <c r="V1330" t="inlineStr"/>
    </row>
    <row r="1331">
      <c r="A1331" t="n">
        <v>163</v>
      </c>
      <c r="B1331" t="inlineStr">
        <is>
          <t>Adaaran Prestige Vadoo</t>
        </is>
      </c>
      <c r="C1331" t="inlineStr">
        <is>
          <t>sustainability</t>
        </is>
      </c>
      <c r="D1331" t="inlineStr">
        <is>
          <t>2021_Adaaran-Prestige-Vadoo-Sustainability-Report-2021-22.pdf</t>
        </is>
      </c>
      <c r="E1331" t="n">
        <v>2021</v>
      </c>
      <c r="H1331" t="n">
        <v>18</v>
      </c>
      <c r="I1331" t="n">
        <v>4923</v>
      </c>
      <c r="J1331" t="inlineStr">
        <is>
          <t>Y</t>
        </is>
      </c>
      <c r="K1331" t="inlineStr">
        <is>
          <t>adaaran.com</t>
        </is>
      </c>
      <c r="L1331" t="inlineStr">
        <is>
          <t>official</t>
        </is>
      </c>
      <c r="M1331" t="inlineStr">
        <is>
          <t>https://adaaran.eme-devops.com/2025/08/Adaaran-Prestige-Vadoo-Sustainability-Report-2021-22.pdf</t>
        </is>
      </c>
      <c r="N1331" t="inlineStr">
        <is>
          <t>https://adaaran.eme-devops.com/2025/08/Adaaran-Prestige-Vadoo-Sustainability-Report-2021-22.pdf</t>
        </is>
      </c>
      <c r="O1331" t="inlineStr">
        <is>
          <t>9936a7b21e8bd9fcf264a8e22b6a0b2e2c949f82c2fa7e68ac3669e92771ffae</t>
        </is>
      </c>
      <c r="P1331" t="inlineStr">
        <is>
          <t>library/163_adaaran-prestige-vadoo/sustainability/2021_Adaaran-Prestige-Vadoo-Sustainability-Report-2021-22.pdf</t>
        </is>
      </c>
      <c r="R1331" t="inlineStr">
        <is>
          <t>outdated</t>
        </is>
      </c>
      <c r="S1331" t="inlineStr">
        <is>
          <t>N</t>
        </is>
      </c>
      <c r="T1331" t="inlineStr">
        <is>
          <t>matched</t>
        </is>
      </c>
      <c r="U1331" t="inlineStr">
        <is>
          <t>2026-10-04</t>
        </is>
      </c>
      <c r="V1331" t="inlineStr"/>
    </row>
    <row r="1332">
      <c r="A1332" t="n">
        <v>163</v>
      </c>
      <c r="B1332" t="inlineStr">
        <is>
          <t>Adaaran Prestige Vadoo</t>
        </is>
      </c>
      <c r="C1332" t="inlineStr">
        <is>
          <t>sustainability</t>
        </is>
      </c>
      <c r="D1332" t="inlineStr">
        <is>
          <t>2019_Adaaran-Prestige-Vadoo-Sustainability-Report-2019-20-21.pdf</t>
        </is>
      </c>
      <c r="E1332" t="n">
        <v>2019</v>
      </c>
      <c r="H1332" t="n">
        <v>16</v>
      </c>
      <c r="I1332" t="n">
        <v>3724</v>
      </c>
      <c r="J1332" t="inlineStr">
        <is>
          <t>N</t>
        </is>
      </c>
      <c r="K1332" t="inlineStr">
        <is>
          <t>adaaran.com</t>
        </is>
      </c>
      <c r="L1332" t="inlineStr">
        <is>
          <t>official</t>
        </is>
      </c>
      <c r="M1332" t="inlineStr">
        <is>
          <t>https://adaaran.eme-devops.com/2025/08/Adaaran-Prestige-Vadoo-Sustainability-Report-2019-20-21.pdf</t>
        </is>
      </c>
      <c r="N1332" t="inlineStr">
        <is>
          <t>https://adaaran.eme-devops.com/2025/08/Adaaran-Prestige-Vadoo-Sustainability-Report-2019-20-21.pdf</t>
        </is>
      </c>
      <c r="O1332" t="inlineStr">
        <is>
          <t>592507131e46d8412ae8194301ceb311e91ff1006ad1d80cc9ded64a9a113cce</t>
        </is>
      </c>
      <c r="P1332" t="inlineStr">
        <is>
          <t>library/163_adaaran-prestige-vadoo/sustainability/2019_Adaaran-Prestige-Vadoo-Sustainability-Report-2019-20-21.pdf</t>
        </is>
      </c>
      <c r="R1332" t="inlineStr">
        <is>
          <t>outdated</t>
        </is>
      </c>
      <c r="S1332" t="inlineStr">
        <is>
          <t>N</t>
        </is>
      </c>
      <c r="T1332" t="inlineStr">
        <is>
          <t>matched</t>
        </is>
      </c>
      <c r="U1332" t="inlineStr">
        <is>
          <t>2026-10-04</t>
        </is>
      </c>
      <c r="V1332" t="inlineStr"/>
    </row>
    <row r="1333">
      <c r="A1333" t="n">
        <v>164</v>
      </c>
      <c r="B1333" t="inlineStr">
        <is>
          <t>Baros Maldives</t>
        </is>
      </c>
      <c r="C1333" t="inlineStr">
        <is>
          <t>factsheet</t>
        </is>
      </c>
      <c r="D1333" t="inlineStr">
        <is>
          <t>2026_Baros.pdf</t>
        </is>
      </c>
      <c r="E1333" t="n">
        <v>2026</v>
      </c>
      <c r="H1333" t="n">
        <v>6</v>
      </c>
      <c r="I1333" t="n">
        <v>7660</v>
      </c>
      <c r="J1333" t="inlineStr">
        <is>
          <t>Y</t>
        </is>
      </c>
      <c r="K1333" t="inlineStr">
        <is>
          <t>awesomegetawaymaldives.com</t>
        </is>
      </c>
      <c r="L1333" t="inlineStr">
        <is>
          <t>dmc-agency</t>
        </is>
      </c>
      <c r="M1333" t="inlineStr">
        <is>
          <t>https://awesomegetawaymaldives.com/wp-content/uploads/2026/03/Baros.pdf</t>
        </is>
      </c>
      <c r="N1333" t="inlineStr">
        <is>
          <t>https://awesomegetawaymaldives.com/wp-content/uploads/2026/03/Baros.pdf | https://awesomegetawaymaldives.com/wp-content/uploads/2026/03/Baros-Factsheet.pdf</t>
        </is>
      </c>
      <c r="O1333" t="inlineStr">
        <is>
          <t>74411c269142a6c89eeed1bcaf3cf380a9410e72c70ad7ff97109b1602b2add2</t>
        </is>
      </c>
      <c r="P1333" t="inlineStr">
        <is>
          <t>library/164_baros-maldives/factsheet/2026_Baros.pdf</t>
        </is>
      </c>
      <c r="R1333" t="inlineStr">
        <is>
          <t>current</t>
        </is>
      </c>
      <c r="S1333" t="inlineStr">
        <is>
          <t>Y</t>
        </is>
      </c>
      <c r="T1333" t="inlineStr">
        <is>
          <t>matched</t>
        </is>
      </c>
      <c r="U1333" t="inlineStr">
        <is>
          <t>2026-10-04</t>
        </is>
      </c>
      <c r="V1333" t="inlineStr"/>
    </row>
    <row r="1334">
      <c r="A1334" t="n">
        <v>164</v>
      </c>
      <c r="B1334" t="inlineStr">
        <is>
          <t>Baros Maldives</t>
        </is>
      </c>
      <c r="C1334" t="inlineStr">
        <is>
          <t>factsheet</t>
        </is>
      </c>
      <c r="D1334" t="inlineStr">
        <is>
          <t>2022_Factsheet-Baros-Maldives.pdf</t>
        </is>
      </c>
      <c r="E1334" t="n">
        <v>2022</v>
      </c>
      <c r="H1334" t="n">
        <v>8</v>
      </c>
      <c r="I1334" t="n">
        <v>1757</v>
      </c>
      <c r="J1334" t="inlineStr">
        <is>
          <t>Y</t>
        </is>
      </c>
      <c r="K1334" t="inlineStr">
        <is>
          <t>neoscapesmaldives.com</t>
        </is>
      </c>
      <c r="L1334" t="inlineStr">
        <is>
          <t>dmc-agency</t>
        </is>
      </c>
      <c r="M1334" t="inlineStr">
        <is>
          <t>https://www.neoscapesmaldives.com/wp-content/uploads/Factsheet-Baros-Maldives.pdf</t>
        </is>
      </c>
      <c r="N1334" t="inlineStr">
        <is>
          <t>https://www.neoscapesmaldives.com/wp-content/uploads/Factsheet-Baros-Maldives.pdf</t>
        </is>
      </c>
      <c r="O1334" t="inlineStr">
        <is>
          <t>edb0616684f53c50c3a2ea0b72a1651aaf12e0047b97609807ef40e8faeaf82d</t>
        </is>
      </c>
      <c r="P1334" t="inlineStr">
        <is>
          <t>library/164_baros-maldives/factsheet/2022_Factsheet-Baros-Maldives.pdf</t>
        </is>
      </c>
      <c r="R1334" t="inlineStr">
        <is>
          <t>outdated</t>
        </is>
      </c>
      <c r="S1334" t="inlineStr">
        <is>
          <t>N</t>
        </is>
      </c>
      <c r="T1334" t="inlineStr">
        <is>
          <t>matched</t>
        </is>
      </c>
      <c r="U1334" t="inlineStr">
        <is>
          <t>2026-10-04</t>
        </is>
      </c>
      <c r="V1334" t="inlineStr"/>
    </row>
    <row r="1335">
      <c r="A1335" t="n">
        <v>164</v>
      </c>
      <c r="B1335" t="inlineStr">
        <is>
          <t>Baros Maldives</t>
        </is>
      </c>
      <c r="C1335" t="inlineStr">
        <is>
          <t>map</t>
        </is>
      </c>
      <c r="D1335" t="inlineStr">
        <is>
          <t>2022_Resort-Map-Baros-Maldives.pdf</t>
        </is>
      </c>
      <c r="E1335" t="n">
        <v>2022</v>
      </c>
      <c r="H1335" t="n">
        <v>1</v>
      </c>
      <c r="I1335" t="n">
        <v>127</v>
      </c>
      <c r="J1335" t="inlineStr">
        <is>
          <t>N</t>
        </is>
      </c>
      <c r="K1335" t="inlineStr">
        <is>
          <t>neoscapesmaldives.com</t>
        </is>
      </c>
      <c r="L1335" t="inlineStr">
        <is>
          <t>dmc-agency</t>
        </is>
      </c>
      <c r="M1335" t="inlineStr">
        <is>
          <t>https://www.neoscapesmaldives.com/wp-content/uploads/Resort-Map-Baros-Maldives.pdf</t>
        </is>
      </c>
      <c r="N1335" t="inlineStr">
        <is>
          <t>https://www.neoscapesmaldives.com/wp-content/uploads/Resort-Map-Baros-Maldives.pdf</t>
        </is>
      </c>
      <c r="O1335" t="inlineStr">
        <is>
          <t>9be45d273b3f1b76847b108a463a995384009a63eff1951c3b963d9b4c7108a8</t>
        </is>
      </c>
      <c r="P1335" t="inlineStr">
        <is>
          <t>library/164_baros-maldives/map/2022_Resort-Map-Baros-Maldives.pdf</t>
        </is>
      </c>
      <c r="R1335" t="inlineStr">
        <is>
          <t>outdated</t>
        </is>
      </c>
      <c r="S1335" t="inlineStr">
        <is>
          <t>Y</t>
        </is>
      </c>
      <c r="T1335" t="inlineStr">
        <is>
          <t>matched</t>
        </is>
      </c>
      <c r="U1335" t="inlineStr">
        <is>
          <t>2026-10-04</t>
        </is>
      </c>
      <c r="V1335" t="inlineStr"/>
    </row>
    <row r="1336">
      <c r="A1336" t="n">
        <v>164</v>
      </c>
      <c r="B1336" t="inlineStr">
        <is>
          <t>Baros Maldives</t>
        </is>
      </c>
      <c r="C1336" t="inlineStr">
        <is>
          <t>excursions</t>
        </is>
      </c>
      <c r="D1336" t="inlineStr">
        <is>
          <t>2026_Eid-Al-Fitr-at-Baros.pdf</t>
        </is>
      </c>
      <c r="E1336" t="n">
        <v>2026</v>
      </c>
      <c r="H1336" t="n">
        <v>9</v>
      </c>
      <c r="I1336" t="n">
        <v>1917</v>
      </c>
      <c r="J1336" t="inlineStr">
        <is>
          <t>Y</t>
        </is>
      </c>
      <c r="K1336" t="inlineStr">
        <is>
          <t>letsgomaldives.com</t>
        </is>
      </c>
      <c r="L1336" t="inlineStr">
        <is>
          <t>dmc-agency</t>
        </is>
      </c>
      <c r="M1336" t="inlineStr">
        <is>
          <t>https://letsgomaldives.com/wp-content/uploads/2026/03/Eid-Al-Fitr-at-Baros.pdf</t>
        </is>
      </c>
      <c r="N1336" t="inlineStr">
        <is>
          <t>https://letsgomaldives.com/wp-content/uploads/2026/03/Eid-Al-Fitr-at-Baros.pdf</t>
        </is>
      </c>
      <c r="O1336" t="inlineStr">
        <is>
          <t>42e16f7d81f939ec0b1a6a64c7a81195e6112cf69f91c59425d2e6d6d47569c9</t>
        </is>
      </c>
      <c r="P1336" t="inlineStr">
        <is>
          <t>library/164_baros-maldives/excursions/2026_Eid-Al-Fitr-at-Baros.pdf</t>
        </is>
      </c>
      <c r="R1336" t="inlineStr">
        <is>
          <t>current</t>
        </is>
      </c>
      <c r="S1336" t="inlineStr">
        <is>
          <t>Y</t>
        </is>
      </c>
      <c r="T1336" t="inlineStr">
        <is>
          <t>matched</t>
        </is>
      </c>
      <c r="U1336" t="inlineStr">
        <is>
          <t>2026-10-04</t>
        </is>
      </c>
      <c r="V1336" t="inlineStr"/>
    </row>
    <row r="1337">
      <c r="A1337" t="n">
        <v>164</v>
      </c>
      <c r="B1337" t="inlineStr">
        <is>
          <t>Baros Maldives</t>
        </is>
      </c>
      <c r="C1337" t="inlineStr">
        <is>
          <t>calendar</t>
        </is>
      </c>
      <c r="D1337" t="inlineStr">
        <is>
          <t>2026_Easter_Brochure_digital.pdf</t>
        </is>
      </c>
      <c r="E1337" t="n">
        <v>2026</v>
      </c>
      <c r="H1337" t="n">
        <v>12</v>
      </c>
      <c r="I1337" t="n">
        <v>15428</v>
      </c>
      <c r="J1337" t="inlineStr">
        <is>
          <t>Y</t>
        </is>
      </c>
      <c r="K1337" t="inlineStr">
        <is>
          <t>letsgomaldives.com</t>
        </is>
      </c>
      <c r="L1337" t="inlineStr">
        <is>
          <t>dmc-agency</t>
        </is>
      </c>
      <c r="M1337" t="inlineStr">
        <is>
          <t>https://letsgomaldives.com/wp-content/uploads/2026/03/Easter_Brochure_digital.pdf</t>
        </is>
      </c>
      <c r="N1337" t="inlineStr">
        <is>
          <t>https://letsgomaldives.com/wp-content/uploads/2026/03/Easter_Brochure_digital.pdf | https://letsgomaldives.com/wp-content/uploads/2026/02/Easter_Brochure_digital.pdf</t>
        </is>
      </c>
      <c r="O1337" t="inlineStr">
        <is>
          <t>a25c917777f1b63d1d48096b52addba7d0a862f4a00ba80a6d17134c0ea99745</t>
        </is>
      </c>
      <c r="P1337" t="inlineStr">
        <is>
          <t>library/164_baros-maldives/calendar/2026_Easter_Brochure_digital.pdf</t>
        </is>
      </c>
      <c r="R1337" t="inlineStr">
        <is>
          <t>current</t>
        </is>
      </c>
      <c r="S1337" t="inlineStr">
        <is>
          <t>Y</t>
        </is>
      </c>
      <c r="T1337" t="inlineStr">
        <is>
          <t>matched</t>
        </is>
      </c>
      <c r="U1337" t="inlineStr">
        <is>
          <t>2026-10-04</t>
        </is>
      </c>
      <c r="V1337" t="inlineStr"/>
    </row>
    <row r="1338">
      <c r="A1338" t="n">
        <v>165</v>
      </c>
      <c r="B1338" t="inlineStr">
        <is>
          <t>Velassaru Maldives</t>
        </is>
      </c>
      <c r="C1338" t="inlineStr">
        <is>
          <t>factsheet</t>
        </is>
      </c>
      <c r="D1338" t="inlineStr">
        <is>
          <t>2020_velasaru_resort_factsheet_rdc.pdf</t>
        </is>
      </c>
      <c r="E1338" t="n">
        <v>2020</v>
      </c>
      <c r="H1338" t="n">
        <v>6</v>
      </c>
      <c r="I1338" t="n">
        <v>2193</v>
      </c>
      <c r="J1338" t="inlineStr">
        <is>
          <t>Y</t>
        </is>
      </c>
      <c r="K1338" t="inlineStr">
        <is>
          <t>neoscapesmaldives.com</t>
        </is>
      </c>
      <c r="L1338" t="inlineStr">
        <is>
          <t>dmc-agency</t>
        </is>
      </c>
      <c r="M1338" t="inlineStr">
        <is>
          <t>https://www.neoscapesmaldives.com/wp-content/uploads/velasaru_resort_factsheet_rdc.pdf</t>
        </is>
      </c>
      <c r="N1338" t="inlineStr">
        <is>
          <t>https://www.neoscapesmaldives.com/wp-content/uploads/velasaru_resort_factsheet_rdc.pdf</t>
        </is>
      </c>
      <c r="O1338" t="inlineStr">
        <is>
          <t>8c947b6e3b36b70b092fc63906fca51ddeb8c2d2b10d91b6d9665b4e5d5a140d</t>
        </is>
      </c>
      <c r="P1338" t="inlineStr">
        <is>
          <t>library/165_velassaru-maldives/factsheet/2020_velasaru_resort_factsheet_rdc.pdf</t>
        </is>
      </c>
      <c r="R1338" t="inlineStr">
        <is>
          <t>outdated</t>
        </is>
      </c>
      <c r="S1338" t="inlineStr">
        <is>
          <t>Y</t>
        </is>
      </c>
      <c r="T1338" t="inlineStr">
        <is>
          <t>matched</t>
        </is>
      </c>
      <c r="U1338" t="inlineStr">
        <is>
          <t>2026-10-04</t>
        </is>
      </c>
      <c r="V1338" t="inlineStr"/>
    </row>
    <row r="1339">
      <c r="A1339" t="n">
        <v>165</v>
      </c>
      <c r="B1339" t="inlineStr">
        <is>
          <t>Velassaru Maldives</t>
        </is>
      </c>
      <c r="C1339" t="inlineStr">
        <is>
          <t>dive_map</t>
        </is>
      </c>
      <c r="D1339" t="inlineStr">
        <is>
          <t>2019_Velassaru_Resort__Snorkeling_Map.pdf</t>
        </is>
      </c>
      <c r="E1339" t="n">
        <v>2019</v>
      </c>
      <c r="H1339" t="n">
        <v>1</v>
      </c>
      <c r="I1339" t="n">
        <v>490</v>
      </c>
      <c r="J1339" t="inlineStr">
        <is>
          <t>Y</t>
        </is>
      </c>
      <c r="K1339" t="inlineStr">
        <is>
          <t>neoscapesmaldives.com</t>
        </is>
      </c>
      <c r="L1339" t="inlineStr">
        <is>
          <t>dmc-agency</t>
        </is>
      </c>
      <c r="M1339" t="inlineStr">
        <is>
          <t>https://www.neoscapesmaldives.com/wp-content/uploads/Velassaru_Resort__Snorkeling_Map.pdf</t>
        </is>
      </c>
      <c r="N1339" t="inlineStr">
        <is>
          <t>https://www.neoscapesmaldives.com/wp-content/uploads/Velassaru_Resort__Snorkeling_Map.pdf</t>
        </is>
      </c>
      <c r="O1339" t="inlineStr">
        <is>
          <t>b405f99de864afdc3bdc1d203ad43439aee582913c321220b78107bbe585b1b8</t>
        </is>
      </c>
      <c r="P1339" t="inlineStr">
        <is>
          <t>library/165_velassaru-maldives/dive_map/2019_Velassaru_Resort__Snorkeling_Map.pdf</t>
        </is>
      </c>
      <c r="R1339" t="inlineStr">
        <is>
          <t>outdated</t>
        </is>
      </c>
      <c r="S1339" t="inlineStr">
        <is>
          <t>Y</t>
        </is>
      </c>
      <c r="T1339" t="inlineStr">
        <is>
          <t>matched</t>
        </is>
      </c>
      <c r="U1339" t="inlineStr">
        <is>
          <t>2026-10-04</t>
        </is>
      </c>
      <c r="V1339" t="inlineStr"/>
    </row>
    <row r="1340">
      <c r="A1340" t="n">
        <v>166</v>
      </c>
      <c r="B1340" t="inlineStr">
        <is>
          <t>Kuramathi Maldives</t>
        </is>
      </c>
      <c r="C1340" t="inlineStr">
        <is>
          <t>factsheet</t>
        </is>
      </c>
      <c r="D1340" t="inlineStr">
        <is>
          <t>2019_Factsheet-Kuramathi-Maldives.pdf</t>
        </is>
      </c>
      <c r="E1340" t="n">
        <v>2019</v>
      </c>
      <c r="H1340" t="n">
        <v>8</v>
      </c>
      <c r="I1340" t="n">
        <v>2913</v>
      </c>
      <c r="J1340" t="inlineStr">
        <is>
          <t>Y</t>
        </is>
      </c>
      <c r="K1340" t="inlineStr">
        <is>
          <t>neoscapesmaldives.com</t>
        </is>
      </c>
      <c r="L1340" t="inlineStr">
        <is>
          <t>dmc-agency</t>
        </is>
      </c>
      <c r="M1340" t="inlineStr">
        <is>
          <t>https://www.neoscapesmaldives.com/wp-content/uploads/Factsheet-Kuramathi-Maldives.pdf</t>
        </is>
      </c>
      <c r="N1340" t="inlineStr">
        <is>
          <t>https://www.neoscapesmaldives.com/wp-content/uploads/Factsheet-Kuramathi-Maldives.pdf</t>
        </is>
      </c>
      <c r="O1340" t="inlineStr">
        <is>
          <t>cb548e25cfc841f705da5aa845f504735cad56a0c1d3137f5697a9528524fcc8</t>
        </is>
      </c>
      <c r="P1340" t="inlineStr">
        <is>
          <t>library/166_kuramathi-maldives/factsheet/2019_Factsheet-Kuramathi-Maldives.pdf</t>
        </is>
      </c>
      <c r="R1340" t="inlineStr">
        <is>
          <t>outdated</t>
        </is>
      </c>
      <c r="S1340" t="inlineStr">
        <is>
          <t>Y</t>
        </is>
      </c>
      <c r="T1340" t="inlineStr">
        <is>
          <t>matched</t>
        </is>
      </c>
      <c r="U1340" t="inlineStr">
        <is>
          <t>2026-10-04</t>
        </is>
      </c>
      <c r="V1340" t="inlineStr"/>
    </row>
    <row r="1341">
      <c r="A1341" t="n">
        <v>166</v>
      </c>
      <c r="B1341" t="inlineStr">
        <is>
          <t>Kuramathi Maldives</t>
        </is>
      </c>
      <c r="C1341" t="inlineStr">
        <is>
          <t>map</t>
        </is>
      </c>
      <c r="D1341" t="inlineStr">
        <is>
          <t>2019_Map-Kuramathi-Maldives.pdf</t>
        </is>
      </c>
      <c r="E1341" t="n">
        <v>2019</v>
      </c>
      <c r="H1341" t="n">
        <v>1</v>
      </c>
      <c r="I1341" t="n">
        <v>616</v>
      </c>
      <c r="J1341" t="inlineStr">
        <is>
          <t>N</t>
        </is>
      </c>
      <c r="K1341" t="inlineStr">
        <is>
          <t>neoscapesmaldives.com</t>
        </is>
      </c>
      <c r="L1341" t="inlineStr">
        <is>
          <t>dmc-agency</t>
        </is>
      </c>
      <c r="M1341" t="inlineStr">
        <is>
          <t>https://www.neoscapesmaldives.com/wp-content/uploads/Map-Kuramathi-Maldives.pdf</t>
        </is>
      </c>
      <c r="N1341" t="inlineStr">
        <is>
          <t>https://www.neoscapesmaldives.com/wp-content/uploads/Map-Kuramathi-Maldives.pdf</t>
        </is>
      </c>
      <c r="O1341" t="inlineStr">
        <is>
          <t>481838ccc965131ac463060448738934f72592299a286298a050c5f35cf63896</t>
        </is>
      </c>
      <c r="P1341" t="inlineStr">
        <is>
          <t>library/166_kuramathi-maldives/map/2019_Map-Kuramathi-Maldives.pdf</t>
        </is>
      </c>
      <c r="R1341" t="inlineStr">
        <is>
          <t>outdated</t>
        </is>
      </c>
      <c r="S1341" t="inlineStr">
        <is>
          <t>Y</t>
        </is>
      </c>
      <c r="T1341" t="inlineStr">
        <is>
          <t>matched</t>
        </is>
      </c>
      <c r="U1341" t="inlineStr">
        <is>
          <t>2026-10-04</t>
        </is>
      </c>
      <c r="V1341" t="inlineStr"/>
    </row>
    <row r="1342">
      <c r="A1342" t="n">
        <v>166</v>
      </c>
      <c r="B1342" t="inlineStr">
        <is>
          <t>Kuramathi Maldives</t>
        </is>
      </c>
      <c r="C1342" t="inlineStr">
        <is>
          <t>calendar</t>
        </is>
      </c>
      <c r="D1342" t="inlineStr">
        <is>
          <t>2015_Easter-on-Niva-Kuramathi.pdf</t>
        </is>
      </c>
      <c r="E1342" t="n">
        <v>2015</v>
      </c>
      <c r="H1342" t="n">
        <v>10</v>
      </c>
      <c r="I1342" t="n">
        <v>4659</v>
      </c>
      <c r="J1342" t="inlineStr">
        <is>
          <t>Y</t>
        </is>
      </c>
      <c r="K1342" t="inlineStr">
        <is>
          <t>letsgomaldives.com</t>
        </is>
      </c>
      <c r="L1342" t="inlineStr">
        <is>
          <t>dmc-agency</t>
        </is>
      </c>
      <c r="M1342" t="inlineStr">
        <is>
          <t>https://letsgomaldives.com/wp-content/uploads/2026/02/Easter-on-Niva-Kuramathi.pdf</t>
        </is>
      </c>
      <c r="N1342" t="inlineStr">
        <is>
          <t>https://letsgomaldives.com/wp-content/uploads/2026/02/Easter-on-Niva-Kuramathi.pdf</t>
        </is>
      </c>
      <c r="O1342" t="inlineStr">
        <is>
          <t>725e29fd73b503cbf7ba42a83a6e4d23807ce21be04ffc686b592ba6511c1a44</t>
        </is>
      </c>
      <c r="P1342" t="inlineStr">
        <is>
          <t>library/166_kuramathi-maldives/calendar/2015_Easter-on-Niva-Kuramathi.pdf</t>
        </is>
      </c>
      <c r="R1342" t="inlineStr">
        <is>
          <t>outdated</t>
        </is>
      </c>
      <c r="S1342" t="inlineStr">
        <is>
          <t>Y</t>
        </is>
      </c>
      <c r="T1342" t="inlineStr">
        <is>
          <t>matched</t>
        </is>
      </c>
      <c r="U1342" t="inlineStr">
        <is>
          <t>2026-10-04</t>
        </is>
      </c>
      <c r="V1342" t="inlineStr"/>
    </row>
    <row r="1343">
      <c r="A1343" t="n">
        <v>167</v>
      </c>
      <c r="B1343" t="inlineStr">
        <is>
          <t>Milaidhoo Island Maldives</t>
        </is>
      </c>
      <c r="C1343" t="inlineStr">
        <is>
          <t>map</t>
        </is>
      </c>
      <c r="D1343" t="inlineStr">
        <is>
          <t>2020_Island-Map-Milaidhoo-Island-Maldives.pdf</t>
        </is>
      </c>
      <c r="E1343" t="n">
        <v>2020</v>
      </c>
      <c r="H1343" t="n">
        <v>1</v>
      </c>
      <c r="I1343" t="n">
        <v>844</v>
      </c>
      <c r="J1343" t="inlineStr">
        <is>
          <t>N</t>
        </is>
      </c>
      <c r="K1343" t="inlineStr">
        <is>
          <t>neoscapesmaldives.com</t>
        </is>
      </c>
      <c r="L1343" t="inlineStr">
        <is>
          <t>dmc-agency</t>
        </is>
      </c>
      <c r="M1343" t="inlineStr">
        <is>
          <t>https://www.neoscapesmaldives.com/wp-content/uploads/Island-Map-Milaidhoo-Island-Maldives.pdf</t>
        </is>
      </c>
      <c r="N1343" t="inlineStr">
        <is>
          <t>https://www.neoscapesmaldives.com/wp-content/uploads/Island-Map-Milaidhoo-Island-Maldives.pdf</t>
        </is>
      </c>
      <c r="O1343" t="inlineStr">
        <is>
          <t>9af009a0bf4da4605392629f6a9e3d8f0398fd722bda81b57204692b97117590</t>
        </is>
      </c>
      <c r="P1343" t="inlineStr">
        <is>
          <t>library/167_milaidhoo-island-maldives/map/2020_Island-Map-Milaidhoo-Island-Maldives.pdf</t>
        </is>
      </c>
      <c r="R1343" t="inlineStr">
        <is>
          <t>outdated</t>
        </is>
      </c>
      <c r="S1343" t="inlineStr">
        <is>
          <t>Y</t>
        </is>
      </c>
      <c r="T1343" t="inlineStr">
        <is>
          <t>matched</t>
        </is>
      </c>
      <c r="U1343" t="inlineStr">
        <is>
          <t>2026-10-04</t>
        </is>
      </c>
      <c r="V1343" t="inlineStr"/>
    </row>
    <row r="1344">
      <c r="A1344" t="n">
        <v>167</v>
      </c>
      <c r="B1344" t="inlineStr">
        <is>
          <t>Milaidhoo Island Maldives</t>
        </is>
      </c>
      <c r="C1344" t="inlineStr">
        <is>
          <t>calendar</t>
        </is>
      </c>
      <c r="D1344" t="inlineStr">
        <is>
          <t>2027_Milaidhoo-Maldives-Festive-Brochure.pdf</t>
        </is>
      </c>
      <c r="E1344" t="n">
        <v>2027</v>
      </c>
      <c r="H1344" t="n">
        <v>24</v>
      </c>
      <c r="I1344" t="n">
        <v>6295</v>
      </c>
      <c r="J1344" t="inlineStr">
        <is>
          <t>Y</t>
        </is>
      </c>
      <c r="K1344" t="inlineStr">
        <is>
          <t>letsgomaldives.com</t>
        </is>
      </c>
      <c r="L1344" t="inlineStr">
        <is>
          <t>dmc-agency</t>
        </is>
      </c>
      <c r="M1344" t="inlineStr">
        <is>
          <t>https://letsgomaldives.com/wp-content/uploads/2026/08/Milaidhoo-Maldives-Festive-Brochure.pdf</t>
        </is>
      </c>
      <c r="N1344" t="inlineStr">
        <is>
          <t>https://letsgomaldives.com/wp-content/uploads/2026/08/Milaidhoo-Maldives-Festive-Brochure.pdf</t>
        </is>
      </c>
      <c r="O1344" t="inlineStr">
        <is>
          <t>d889f5eb2bd01e858762c3ec1ae2f2725bb1e73c2b74efbca2cc1d8959668436</t>
        </is>
      </c>
      <c r="P1344" t="inlineStr">
        <is>
          <t>library/167_milaidhoo-island-maldives/calendar/2027_Milaidhoo-Maldives-Festive-Brochure.pdf</t>
        </is>
      </c>
      <c r="R1344" t="inlineStr">
        <is>
          <t>current</t>
        </is>
      </c>
      <c r="S1344" t="inlineStr">
        <is>
          <t>Y</t>
        </is>
      </c>
      <c r="T1344" t="inlineStr">
        <is>
          <t>matched</t>
        </is>
      </c>
      <c r="U1344" t="inlineStr">
        <is>
          <t>2026-10-04</t>
        </is>
      </c>
      <c r="V1344" t="inlineStr"/>
    </row>
    <row r="1345">
      <c r="A1345" t="n">
        <v>167</v>
      </c>
      <c r="B1345" t="inlineStr">
        <is>
          <t>Milaidhoo Island Maldives</t>
        </is>
      </c>
      <c r="C1345" t="inlineStr">
        <is>
          <t>calendar</t>
        </is>
      </c>
      <c r="D1345" t="inlineStr">
        <is>
          <t>2026_Easter-Brochure-2026.pdf</t>
        </is>
      </c>
      <c r="E1345" t="n">
        <v>2026</v>
      </c>
      <c r="H1345" t="n">
        <v>7</v>
      </c>
      <c r="I1345" t="n">
        <v>2509</v>
      </c>
      <c r="J1345" t="inlineStr">
        <is>
          <t>Y</t>
        </is>
      </c>
      <c r="K1345" t="inlineStr">
        <is>
          <t>letsgomaldives.com</t>
        </is>
      </c>
      <c r="L1345" t="inlineStr">
        <is>
          <t>dmc-agency</t>
        </is>
      </c>
      <c r="M1345" t="inlineStr">
        <is>
          <t>https://letsgomaldives.com/wp-content/uploads/2026/02/Easter-Brochure-2026.pdf</t>
        </is>
      </c>
      <c r="N1345" t="inlineStr">
        <is>
          <t>https://letsgomaldives.com/wp-content/uploads/2026/02/Easter-Brochure-2026.pdf</t>
        </is>
      </c>
      <c r="O1345" t="inlineStr">
        <is>
          <t>ce94eced86274fa2e23132772dfc6620ec0e0cb0a47473d13feb45bfae3a78c4</t>
        </is>
      </c>
      <c r="P1345" t="inlineStr">
        <is>
          <t>library/167_milaidhoo-island-maldives/calendar/2026_Easter-Brochure-2026.pdf</t>
        </is>
      </c>
      <c r="R1345" t="inlineStr">
        <is>
          <t>current</t>
        </is>
      </c>
      <c r="S1345" t="inlineStr">
        <is>
          <t>N</t>
        </is>
      </c>
      <c r="T1345" t="inlineStr">
        <is>
          <t>matched</t>
        </is>
      </c>
      <c r="U1345" t="inlineStr">
        <is>
          <t>2026-10-04</t>
        </is>
      </c>
      <c r="V1345" t="inlineStr"/>
    </row>
    <row r="1346">
      <c r="A1346" t="n">
        <v>168</v>
      </c>
      <c r="B1346" t="inlineStr">
        <is>
          <t>You &amp; Me Maldives</t>
        </is>
      </c>
      <c r="C1346" t="inlineStr">
        <is>
          <t>factsheet</t>
        </is>
      </c>
      <c r="D1346" t="inlineStr">
        <is>
          <t>2026_GB-_-You-_-Me-Maldives-_-Fact-Sheet-2026.pdf</t>
        </is>
      </c>
      <c r="E1346" t="n">
        <v>2026</v>
      </c>
      <c r="H1346" t="n">
        <v>7</v>
      </c>
      <c r="I1346" t="n">
        <v>4764</v>
      </c>
      <c r="J1346" t="inlineStr">
        <is>
          <t>Y</t>
        </is>
      </c>
      <c r="K1346" t="inlineStr">
        <is>
          <t>neoscapesmaldives.com</t>
        </is>
      </c>
      <c r="L1346" t="inlineStr">
        <is>
          <t>dmc-agency</t>
        </is>
      </c>
      <c r="M1346" t="inlineStr">
        <is>
          <t>https://www.neoscapesmaldives.com/wp-content/uploads/GB-_-You-_-Me-Maldives-_-Fact-Sheet-2026.pdf</t>
        </is>
      </c>
      <c r="N1346" t="inlineStr">
        <is>
          <t>https://www.neoscapesmaldives.com/wp-content/uploads/GB-_-You-_-Me-Maldives-_-Fact-Sheet-2026.pdf</t>
        </is>
      </c>
      <c r="O1346" t="inlineStr">
        <is>
          <t>ffd0c1d5ffb2e5fad5bc5044660e00f1a5b9abe24419a846b08da917ca008de6</t>
        </is>
      </c>
      <c r="P1346" t="inlineStr">
        <is>
          <t>library/168_you-me-maldives/factsheet/2026_GB-_-You-_-Me-Maldives-_-Fact-Sheet-2026.pdf</t>
        </is>
      </c>
      <c r="R1346" t="inlineStr">
        <is>
          <t>current</t>
        </is>
      </c>
      <c r="S1346" t="inlineStr">
        <is>
          <t>Y</t>
        </is>
      </c>
      <c r="T1346" t="inlineStr">
        <is>
          <t>matched</t>
        </is>
      </c>
      <c r="U1346" t="inlineStr">
        <is>
          <t>2026-10-04</t>
        </is>
      </c>
      <c r="V1346" t="inlineStr"/>
    </row>
    <row r="1347">
      <c r="A1347" t="n">
        <v>168</v>
      </c>
      <c r="B1347" t="inlineStr">
        <is>
          <t>You &amp; Me Maldives</t>
        </is>
      </c>
      <c r="C1347" t="inlineStr">
        <is>
          <t>map</t>
        </is>
      </c>
      <c r="D1347" t="inlineStr">
        <is>
          <t>2025_You-Me-Maldives-_-Resort-Map.pdf</t>
        </is>
      </c>
      <c r="E1347" t="n">
        <v>2025</v>
      </c>
      <c r="H1347" t="n">
        <v>1</v>
      </c>
      <c r="I1347" t="n">
        <v>470</v>
      </c>
      <c r="J1347" t="inlineStr">
        <is>
          <t>N</t>
        </is>
      </c>
      <c r="K1347" t="inlineStr">
        <is>
          <t>neoscapesmaldives.com</t>
        </is>
      </c>
      <c r="L1347" t="inlineStr">
        <is>
          <t>dmc-agency</t>
        </is>
      </c>
      <c r="M1347" t="inlineStr">
        <is>
          <t>https://www.neoscapesmaldives.com/wp-content/uploads/You-Me-Maldives-_-Resort-Map.pdf</t>
        </is>
      </c>
      <c r="N1347" t="inlineStr">
        <is>
          <t>https://www.neoscapesmaldives.com/wp-content/uploads/You-Me-Maldives-_-Resort-Map.pdf</t>
        </is>
      </c>
      <c r="O1347" t="inlineStr">
        <is>
          <t>a1c75c48502080bf5798a40bdb0d3625490f665de6f9654439c96355dd742b18</t>
        </is>
      </c>
      <c r="P1347" t="inlineStr">
        <is>
          <t>library/168_you-me-maldives/map/2025_You-Me-Maldives-_-Resort-Map.pdf</t>
        </is>
      </c>
      <c r="R1347" t="inlineStr">
        <is>
          <t>current</t>
        </is>
      </c>
      <c r="S1347" t="inlineStr">
        <is>
          <t>Y</t>
        </is>
      </c>
      <c r="T1347" t="inlineStr">
        <is>
          <t>matched</t>
        </is>
      </c>
      <c r="U1347" t="inlineStr">
        <is>
          <t>2026-10-04</t>
        </is>
      </c>
      <c r="V1347" t="inlineStr"/>
    </row>
    <row r="1348">
      <c r="A1348" t="n">
        <v>169</v>
      </c>
      <c r="B1348" t="inlineStr">
        <is>
          <t>Banyan Tree Maldives Vabbinfaru</t>
        </is>
      </c>
      <c r="C1348" t="inlineStr">
        <is>
          <t>factsheet</t>
        </is>
      </c>
      <c r="D1348" t="inlineStr">
        <is>
          <t>2025_Factsheet-Banyan-Tree-Vabbinfaru-compressed.pdf</t>
        </is>
      </c>
      <c r="E1348" t="n">
        <v>2025</v>
      </c>
      <c r="H1348" t="n">
        <v>6</v>
      </c>
      <c r="I1348" t="n">
        <v>1340</v>
      </c>
      <c r="J1348" t="inlineStr">
        <is>
          <t>Y</t>
        </is>
      </c>
      <c r="K1348" t="inlineStr">
        <is>
          <t>neoscapesmaldives.com</t>
        </is>
      </c>
      <c r="L1348" t="inlineStr">
        <is>
          <t>dmc-agency</t>
        </is>
      </c>
      <c r="M1348" t="inlineStr">
        <is>
          <t>https://www.neoscapesmaldives.com/wp-content/uploads/Factsheet-Banyan-Tree-Vabbinfaru-compressed.pdf</t>
        </is>
      </c>
      <c r="N1348" t="inlineStr">
        <is>
          <t>https://www.neoscapesmaldives.com/wp-content/uploads/Factsheet-Banyan-Tree-Vabbinfaru-compressed.pdf</t>
        </is>
      </c>
      <c r="O1348" t="inlineStr">
        <is>
          <t>47522d2729a0bbbe284ee5a4b60ec6a3160a342e1627d0bafdf3cac2c822246f</t>
        </is>
      </c>
      <c r="P1348" t="inlineStr">
        <is>
          <t>library/169_banyan-tree-maldives-vabbinfaru/factsheet/2025_Factsheet-Banyan-Tree-Vabbinfaru-compressed.pdf</t>
        </is>
      </c>
      <c r="R1348" t="inlineStr">
        <is>
          <t>current</t>
        </is>
      </c>
      <c r="S1348" t="inlineStr">
        <is>
          <t>Y</t>
        </is>
      </c>
      <c r="T1348" t="inlineStr">
        <is>
          <t>matched</t>
        </is>
      </c>
      <c r="U1348" t="inlineStr">
        <is>
          <t>2026-10-04</t>
        </is>
      </c>
      <c r="V1348" t="inlineStr"/>
    </row>
    <row r="1349">
      <c r="A1349" t="n">
        <v>169</v>
      </c>
      <c r="B1349" t="inlineStr">
        <is>
          <t>Banyan Tree Maldives Vabbinfaru</t>
        </is>
      </c>
      <c r="C1349" t="inlineStr">
        <is>
          <t>map</t>
        </is>
      </c>
      <c r="D1349" t="inlineStr">
        <is>
          <t>2024_BTMVMV-Resort-Map-5.0-1.pdf</t>
        </is>
      </c>
      <c r="E1349" t="n">
        <v>2024</v>
      </c>
      <c r="H1349" t="n">
        <v>1</v>
      </c>
      <c r="I1349" t="n">
        <v>2206</v>
      </c>
      <c r="J1349" t="inlineStr">
        <is>
          <t>Y</t>
        </is>
      </c>
      <c r="K1349" t="inlineStr">
        <is>
          <t>neoscapesmaldives.com</t>
        </is>
      </c>
      <c r="L1349" t="inlineStr">
        <is>
          <t>dmc-agency</t>
        </is>
      </c>
      <c r="M1349" t="inlineStr">
        <is>
          <t>https://www.neoscapesmaldives.com/wp-content/uploads/BTMVMV-Resort-Map-5.0-1.pdf</t>
        </is>
      </c>
      <c r="N1349" t="inlineStr">
        <is>
          <t>https://www.neoscapesmaldives.com/wp-content/uploads/BTMVMV-Resort-Map-5.0-1.pdf</t>
        </is>
      </c>
      <c r="O1349" t="inlineStr">
        <is>
          <t>cbea9f658b85c9dae64824dee9b00fde80f64e60b697e16cdafdb3119cf2cc16</t>
        </is>
      </c>
      <c r="P1349" t="inlineStr">
        <is>
          <t>library/169_banyan-tree-maldives-vabbinfaru/map/2024_BTMVMV-Resort-Map-5.0-1.pdf</t>
        </is>
      </c>
      <c r="R1349" t="inlineStr">
        <is>
          <t>outdated</t>
        </is>
      </c>
      <c r="S1349" t="inlineStr">
        <is>
          <t>Y</t>
        </is>
      </c>
      <c r="T1349" t="inlineStr">
        <is>
          <t>needs-review</t>
        </is>
      </c>
      <c r="U1349" t="inlineStr">
        <is>
          <t>2026-10-04</t>
        </is>
      </c>
      <c r="V1349" t="inlineStr">
        <is>
          <t>ambiguous match [169]</t>
        </is>
      </c>
    </row>
    <row r="1350">
      <c r="A1350" t="n">
        <v>171</v>
      </c>
      <c r="B1350" t="inlineStr">
        <is>
          <t>Velaa Private Island Maldives</t>
        </is>
      </c>
      <c r="C1350" t="inlineStr">
        <is>
          <t>factsheet</t>
        </is>
      </c>
      <c r="D1350" t="inlineStr">
        <is>
          <t>2019_Velaa-Private-Island-Fact-Sheet.pdf</t>
        </is>
      </c>
      <c r="E1350" t="n">
        <v>2019</v>
      </c>
      <c r="H1350" t="n">
        <v>11</v>
      </c>
      <c r="I1350" t="n">
        <v>436</v>
      </c>
      <c r="J1350" t="inlineStr">
        <is>
          <t>Y</t>
        </is>
      </c>
      <c r="K1350" t="inlineStr">
        <is>
          <t>neoscapesmaldives.com</t>
        </is>
      </c>
      <c r="L1350" t="inlineStr">
        <is>
          <t>dmc-agency</t>
        </is>
      </c>
      <c r="M1350" t="inlineStr">
        <is>
          <t>https://neoscapesmaldives.com/wp-content/uploads/Velaa-Private-Island-Fact-Sheet.pdf</t>
        </is>
      </c>
      <c r="N1350" t="inlineStr">
        <is>
          <t>https://neoscapesmaldives.com/wp-content/uploads/Velaa-Private-Island-Fact-Sheet.pdf</t>
        </is>
      </c>
      <c r="O1350" t="inlineStr">
        <is>
          <t>ca58c0f475b7b8b5f4214d6b18d1a7cbe184e3bd8aba390bcf459cbf1f75d5d3</t>
        </is>
      </c>
      <c r="P1350" t="inlineStr">
        <is>
          <t>library/171_velaa-private-island-maldives/factsheet/2019_Velaa-Private-Island-Fact-Sheet.pdf</t>
        </is>
      </c>
      <c r="R1350" t="inlineStr">
        <is>
          <t>outdated</t>
        </is>
      </c>
      <c r="S1350" t="inlineStr">
        <is>
          <t>Y</t>
        </is>
      </c>
      <c r="T1350" t="inlineStr">
        <is>
          <t>matched</t>
        </is>
      </c>
      <c r="U1350" t="inlineStr">
        <is>
          <t>2026-10-04</t>
        </is>
      </c>
      <c r="V1350" t="inlineStr"/>
    </row>
    <row r="1351">
      <c r="A1351" t="n">
        <v>171</v>
      </c>
      <c r="B1351" t="inlineStr">
        <is>
          <t>Velaa Private Island Maldives</t>
        </is>
      </c>
      <c r="C1351" t="inlineStr">
        <is>
          <t>map</t>
        </is>
      </c>
      <c r="D1351" t="inlineStr">
        <is>
          <t>2024_Dhawa-Resort-Map.pdf</t>
        </is>
      </c>
      <c r="E1351" t="n">
        <v>2024</v>
      </c>
      <c r="H1351" t="n">
        <v>1</v>
      </c>
      <c r="I1351" t="n">
        <v>3735</v>
      </c>
      <c r="J1351" t="inlineStr">
        <is>
          <t>Y</t>
        </is>
      </c>
      <c r="K1351" t="inlineStr">
        <is>
          <t>neoscapesmaldives.com</t>
        </is>
      </c>
      <c r="L1351" t="inlineStr">
        <is>
          <t>dmc-agency</t>
        </is>
      </c>
      <c r="M1351" t="inlineStr">
        <is>
          <t>https://www.neoscapesmaldives.com/wp-content/uploads/Dhawa-Resort-Map.pdf</t>
        </is>
      </c>
      <c r="N1351" t="inlineStr">
        <is>
          <t>https://www.neoscapesmaldives.com/wp-content/uploads/Dhawa-Resort-Map.pdf</t>
        </is>
      </c>
      <c r="O1351" t="inlineStr">
        <is>
          <t>8389d98df4d35066d3973adc70a7192e673ca04047951196320b9636388820d5</t>
        </is>
      </c>
      <c r="P1351" t="inlineStr">
        <is>
          <t>library/171_velaa-private-island-maldives/map/2024_Dhawa-Resort-Map.pdf</t>
        </is>
      </c>
      <c r="R1351" t="inlineStr">
        <is>
          <t>outdated</t>
        </is>
      </c>
      <c r="S1351" t="inlineStr">
        <is>
          <t>Y</t>
        </is>
      </c>
      <c r="T1351" t="inlineStr">
        <is>
          <t>matched</t>
        </is>
      </c>
      <c r="U1351" t="inlineStr">
        <is>
          <t>2026-10-04</t>
        </is>
      </c>
      <c r="V1351" t="inlineStr"/>
    </row>
    <row r="1352">
      <c r="A1352" t="n">
        <v>171</v>
      </c>
      <c r="B1352" t="inlineStr">
        <is>
          <t>Velaa Private Island Maldives</t>
        </is>
      </c>
      <c r="C1352" t="inlineStr">
        <is>
          <t>map</t>
        </is>
      </c>
      <c r="D1352" t="inlineStr">
        <is>
          <t>2020_Velaa-Private-Island-Map.pdf</t>
        </is>
      </c>
      <c r="E1352" t="n">
        <v>2020</v>
      </c>
      <c r="H1352" t="n">
        <v>1</v>
      </c>
      <c r="I1352" t="n">
        <v>69</v>
      </c>
      <c r="J1352" t="inlineStr">
        <is>
          <t>N</t>
        </is>
      </c>
      <c r="K1352" t="inlineStr">
        <is>
          <t>neoscapesmaldives.com</t>
        </is>
      </c>
      <c r="L1352" t="inlineStr">
        <is>
          <t>dmc-agency</t>
        </is>
      </c>
      <c r="M1352" t="inlineStr">
        <is>
          <t>https://www.neoscapesmaldives.com/wp-content/uploads/Velaa-Private-Island-Map.pdf</t>
        </is>
      </c>
      <c r="N1352" t="inlineStr">
        <is>
          <t>https://www.neoscapesmaldives.com/wp-content/uploads/Velaa-Private-Island-Map.pdf</t>
        </is>
      </c>
      <c r="O1352" t="inlineStr">
        <is>
          <t>5065bde0c30f252cd386004e79bf7e1ad1f6babed8e1efa4a16f80af01cc7c44</t>
        </is>
      </c>
      <c r="P1352" t="inlineStr">
        <is>
          <t>library/171_velaa-private-island-maldives/map/2020_Velaa-Private-Island-Map.pdf</t>
        </is>
      </c>
      <c r="R1352" t="inlineStr">
        <is>
          <t>outdated</t>
        </is>
      </c>
      <c r="S1352" t="inlineStr">
        <is>
          <t>N</t>
        </is>
      </c>
      <c r="T1352" t="inlineStr">
        <is>
          <t>matched</t>
        </is>
      </c>
      <c r="U1352" t="inlineStr">
        <is>
          <t>2026-10-04</t>
        </is>
      </c>
      <c r="V1352" t="inlineStr"/>
    </row>
    <row r="1353">
      <c r="A1353" t="n">
        <v>172</v>
      </c>
      <c r="B1353" t="inlineStr">
        <is>
          <t>Mirihi Island Resort</t>
        </is>
      </c>
      <c r="C1353" t="inlineStr">
        <is>
          <t>factsheet</t>
        </is>
      </c>
      <c r="D1353" t="inlineStr">
        <is>
          <t>2017_mirihi_fact_sheet.pdf</t>
        </is>
      </c>
      <c r="E1353" t="n">
        <v>2017</v>
      </c>
      <c r="H1353" t="n">
        <v>4</v>
      </c>
      <c r="I1353" t="n">
        <v>1320</v>
      </c>
      <c r="J1353" t="inlineStr">
        <is>
          <t>N</t>
        </is>
      </c>
      <c r="K1353" t="inlineStr">
        <is>
          <t>sales.crownandchamparesorts.com</t>
        </is>
      </c>
      <c r="L1353" t="inlineStr">
        <is>
          <t>brand-cdn</t>
        </is>
      </c>
      <c r="M1353" t="inlineStr">
        <is>
          <t>https://sales.crownandchamparesorts.com/wp-content/uploads/2018/04/mirihi_fact_sheet.pdf</t>
        </is>
      </c>
      <c r="N1353" t="inlineStr">
        <is>
          <t>https://sales.crownandchamparesorts.com/wp-content/uploads/2018/04/mirihi_fact_sheet.pdf</t>
        </is>
      </c>
      <c r="O1353" t="inlineStr">
        <is>
          <t>184f3245eb4f5c4b81499add073d2dbdaed0953b6004163974f25ef6653a2e18</t>
        </is>
      </c>
      <c r="P1353" t="inlineStr">
        <is>
          <t>library/172_mirihi-island-resort/factsheet/2017_mirihi_fact_sheet.pdf</t>
        </is>
      </c>
      <c r="R1353" t="inlineStr">
        <is>
          <t>outdated</t>
        </is>
      </c>
      <c r="S1353" t="inlineStr">
        <is>
          <t>Y</t>
        </is>
      </c>
      <c r="T1353" t="inlineStr">
        <is>
          <t>matched</t>
        </is>
      </c>
      <c r="U1353" t="inlineStr">
        <is>
          <t>2026-10-04</t>
        </is>
      </c>
      <c r="V1353" t="inlineStr"/>
    </row>
    <row r="1354">
      <c r="A1354" t="n">
        <v>172</v>
      </c>
      <c r="B1354" t="inlineStr">
        <is>
          <t>Mirihi Island Resort</t>
        </is>
      </c>
      <c r="C1354" t="inlineStr">
        <is>
          <t>factsheet</t>
        </is>
      </c>
      <c r="D1354" t="inlineStr">
        <is>
          <t>2014_MirihiFactSheet_EnglishRev170818-NEW.pdf</t>
        </is>
      </c>
      <c r="E1354" t="n">
        <v>2014</v>
      </c>
      <c r="H1354" t="n">
        <v>4</v>
      </c>
      <c r="I1354" t="n">
        <v>626</v>
      </c>
      <c r="J1354" t="inlineStr">
        <is>
          <t>Y</t>
        </is>
      </c>
      <c r="K1354" t="inlineStr">
        <is>
          <t>sales.crownandchamparesorts.com</t>
        </is>
      </c>
      <c r="L1354" t="inlineStr">
        <is>
          <t>brand-cdn</t>
        </is>
      </c>
      <c r="M1354" t="inlineStr">
        <is>
          <t>https://sales.crownandchamparesorts.com/wp-content/uploads/2018/10/MirihiFactSheet_EnglishRev170818-NEW.pdf</t>
        </is>
      </c>
      <c r="N1354" t="inlineStr">
        <is>
          <t>https://sales.crownandchamparesorts.com/wp-content/uploads/2018/10/MirihiFactSheet_EnglishRev170818-NEW.pdf</t>
        </is>
      </c>
      <c r="O1354" t="inlineStr">
        <is>
          <t>94e636ed5ba881f34ff402d9f40094a00c58ce3911096e30ad4566974d7d7811</t>
        </is>
      </c>
      <c r="P1354" t="inlineStr">
        <is>
          <t>library/172_mirihi-island-resort/factsheet/2014_MirihiFactSheet_EnglishRev170818-NEW.pdf</t>
        </is>
      </c>
      <c r="R1354" t="inlineStr">
        <is>
          <t>outdated</t>
        </is>
      </c>
      <c r="S1354" t="inlineStr">
        <is>
          <t>N</t>
        </is>
      </c>
      <c r="T1354" t="inlineStr">
        <is>
          <t>matched</t>
        </is>
      </c>
      <c r="U1354" t="inlineStr">
        <is>
          <t>2026-10-04</t>
        </is>
      </c>
      <c r="V1354" t="inlineStr"/>
    </row>
    <row r="1355">
      <c r="A1355" t="n">
        <v>173</v>
      </c>
      <c r="B1355" t="inlineStr">
        <is>
          <t>Kurumba Maldives</t>
        </is>
      </c>
      <c r="C1355" t="inlineStr">
        <is>
          <t>factsheet</t>
        </is>
      </c>
      <c r="D1355" t="inlineStr">
        <is>
          <t>2019_Factsheet-Kurumba-Maldives.pdf</t>
        </is>
      </c>
      <c r="E1355" t="n">
        <v>2019</v>
      </c>
      <c r="H1355" t="n">
        <v>2</v>
      </c>
      <c r="I1355" t="n">
        <v>907</v>
      </c>
      <c r="J1355" t="inlineStr">
        <is>
          <t>Y</t>
        </is>
      </c>
      <c r="K1355" t="inlineStr">
        <is>
          <t>neoscapesmaldives.com</t>
        </is>
      </c>
      <c r="L1355" t="inlineStr">
        <is>
          <t>dmc-agency</t>
        </is>
      </c>
      <c r="M1355" t="inlineStr">
        <is>
          <t>https://www.neoscapesmaldives.com/wp-content/uploads/Factsheet-Kurumba-Maldives.pdf</t>
        </is>
      </c>
      <c r="N1355" t="inlineStr">
        <is>
          <t>https://www.neoscapesmaldives.com/wp-content/uploads/Factsheet-Kurumba-Maldives.pdf</t>
        </is>
      </c>
      <c r="O1355" t="inlineStr">
        <is>
          <t>8e3fc4068e31f0aa86241f995fc7457c435294b457b44dd574fb7dc2b869b98f</t>
        </is>
      </c>
      <c r="P1355" t="inlineStr">
        <is>
          <t>library/173_kurumba-maldives/factsheet/2019_Factsheet-Kurumba-Maldives.pdf</t>
        </is>
      </c>
      <c r="R1355" t="inlineStr">
        <is>
          <t>outdated</t>
        </is>
      </c>
      <c r="S1355" t="inlineStr">
        <is>
          <t>Y</t>
        </is>
      </c>
      <c r="T1355" t="inlineStr">
        <is>
          <t>matched</t>
        </is>
      </c>
      <c r="U1355" t="inlineStr">
        <is>
          <t>2026-10-04</t>
        </is>
      </c>
      <c r="V1355" t="inlineStr"/>
    </row>
    <row r="1356">
      <c r="A1356" t="n">
        <v>173</v>
      </c>
      <c r="B1356" t="inlineStr">
        <is>
          <t>Kurumba Maldives</t>
        </is>
      </c>
      <c r="C1356" t="inlineStr">
        <is>
          <t>map</t>
        </is>
      </c>
      <c r="D1356" t="inlineStr">
        <is>
          <t>2019_Map-Kurumba-Maldives.pdf</t>
        </is>
      </c>
      <c r="E1356" t="n">
        <v>2019</v>
      </c>
      <c r="H1356" t="n">
        <v>1</v>
      </c>
      <c r="I1356" t="n">
        <v>1128</v>
      </c>
      <c r="J1356" t="inlineStr">
        <is>
          <t>Y</t>
        </is>
      </c>
      <c r="K1356" t="inlineStr">
        <is>
          <t>neoscapesmaldives.com</t>
        </is>
      </c>
      <c r="L1356" t="inlineStr">
        <is>
          <t>dmc-agency</t>
        </is>
      </c>
      <c r="M1356" t="inlineStr">
        <is>
          <t>https://www.neoscapesmaldives.com/wp-content/uploads/Map-Kurumba-Maldives.pdf</t>
        </is>
      </c>
      <c r="N1356" t="inlineStr">
        <is>
          <t>https://www.neoscapesmaldives.com/wp-content/uploads/Map-Kurumba-Maldives.pdf</t>
        </is>
      </c>
      <c r="O1356" t="inlineStr">
        <is>
          <t>d3b0bd5f663f7049f3dff951dde2fcef467a332538e29ce6dab09393cd14eb6e</t>
        </is>
      </c>
      <c r="P1356" t="inlineStr">
        <is>
          <t>library/173_kurumba-maldives/map/2019_Map-Kurumba-Maldives.pdf</t>
        </is>
      </c>
      <c r="R1356" t="inlineStr">
        <is>
          <t>outdated</t>
        </is>
      </c>
      <c r="S1356" t="inlineStr">
        <is>
          <t>Y</t>
        </is>
      </c>
      <c r="T1356" t="inlineStr">
        <is>
          <t>matched</t>
        </is>
      </c>
      <c r="U1356" t="inlineStr">
        <is>
          <t>2026-10-04</t>
        </is>
      </c>
      <c r="V1356" t="inlineStr"/>
    </row>
    <row r="1357">
      <c r="A1357" t="n">
        <v>173</v>
      </c>
      <c r="B1357" t="inlineStr">
        <is>
          <t>Kurumba Maldives</t>
        </is>
      </c>
      <c r="C1357" t="inlineStr">
        <is>
          <t>calendar</t>
        </is>
      </c>
      <c r="D1357" t="inlineStr">
        <is>
          <t>2023_KM-Festive-Brochure-2022-2023.pdf</t>
        </is>
      </c>
      <c r="E1357" t="n">
        <v>2023</v>
      </c>
      <c r="H1357" t="n">
        <v>7</v>
      </c>
      <c r="I1357" t="n">
        <v>1951</v>
      </c>
      <c r="J1357" t="inlineStr">
        <is>
          <t>Y</t>
        </is>
      </c>
      <c r="K1357" t="inlineStr">
        <is>
          <t>letsgomaldives.com</t>
        </is>
      </c>
      <c r="L1357" t="inlineStr">
        <is>
          <t>dmc-agency</t>
        </is>
      </c>
      <c r="M1357" t="inlineStr">
        <is>
          <t>https://letsgomaldives.com/wp-content/uploads/2022/12/KM-Festive-Brochure-2022-2023.pdf</t>
        </is>
      </c>
      <c r="N1357" t="inlineStr">
        <is>
          <t>https://letsgomaldives.com/wp-content/uploads/2022/12/KM-Festive-Brochure-2022-2023.pdf</t>
        </is>
      </c>
      <c r="O1357" t="inlineStr">
        <is>
          <t>64d1c9b35b3376f214343e0837a5e4401dc76100bdf94165ec183cc0e16a9299</t>
        </is>
      </c>
      <c r="P1357" t="inlineStr">
        <is>
          <t>library/173_kurumba-maldives/calendar/2023_KM-Festive-Brochure-2022-2023.pdf</t>
        </is>
      </c>
      <c r="R1357" t="inlineStr">
        <is>
          <t>outdated</t>
        </is>
      </c>
      <c r="S1357" t="inlineStr">
        <is>
          <t>Y</t>
        </is>
      </c>
      <c r="T1357" t="inlineStr">
        <is>
          <t>matched</t>
        </is>
      </c>
      <c r="U1357" t="inlineStr">
        <is>
          <t>2026-10-04</t>
        </is>
      </c>
      <c r="V1357" t="inlineStr"/>
    </row>
    <row r="1358">
      <c r="A1358" t="n">
        <v>174</v>
      </c>
      <c r="B1358" t="inlineStr">
        <is>
          <t>Vilamendhoo Island Resort</t>
        </is>
      </c>
      <c r="C1358" t="inlineStr">
        <is>
          <t>factsheet</t>
        </is>
      </c>
      <c r="D1358" t="inlineStr">
        <is>
          <t>2025_FactSheetVilamendhoo110125103126Ver260425.pdf</t>
        </is>
      </c>
      <c r="E1358" t="n">
        <v>2025</v>
      </c>
      <c r="F1358" t="inlineStr">
        <is>
          <t>2025-11-01</t>
        </is>
      </c>
      <c r="G1358" t="inlineStr">
        <is>
          <t>2026-10-31</t>
        </is>
      </c>
      <c r="H1358" t="n">
        <v>3</v>
      </c>
      <c r="I1358" t="n">
        <v>400</v>
      </c>
      <c r="J1358" t="inlineStr">
        <is>
          <t>Y</t>
        </is>
      </c>
      <c r="K1358" t="inlineStr">
        <is>
          <t>sales.crownandchamparesorts.com</t>
        </is>
      </c>
      <c r="L1358" t="inlineStr">
        <is>
          <t>brand-cdn</t>
        </is>
      </c>
      <c r="M1358" t="inlineStr">
        <is>
          <t>https://sales.crownandchamparesorts.com/wp-content/uploads/2025/12/FactSheetVilamendhoo110125103126Ver260425.pdf</t>
        </is>
      </c>
      <c r="N1358" t="inlineStr">
        <is>
          <t>https://sales.crownandchamparesorts.com/wp-content/uploads/2025/12/FactSheetVilamendhoo110125103126Ver260425.pdf</t>
        </is>
      </c>
      <c r="O1358" t="inlineStr">
        <is>
          <t>315c4ecaa34cef3212a795ca7c40dd540afa001f94b0b99c3253f080c83bde76</t>
        </is>
      </c>
      <c r="P1358" t="inlineStr">
        <is>
          <t>library/174_vilamendhoo-island-resort/factsheet/2025_FactSheetVilamendhoo110125103126Ver260425.pdf</t>
        </is>
      </c>
      <c r="R1358" t="inlineStr">
        <is>
          <t>current</t>
        </is>
      </c>
      <c r="S1358" t="inlineStr">
        <is>
          <t>Y</t>
        </is>
      </c>
      <c r="T1358" t="inlineStr">
        <is>
          <t>matched</t>
        </is>
      </c>
      <c r="U1358" t="inlineStr">
        <is>
          <t>2026-10-04</t>
        </is>
      </c>
      <c r="V1358" t="inlineStr"/>
    </row>
    <row r="1359">
      <c r="A1359" t="n">
        <v>174</v>
      </c>
      <c r="B1359" t="inlineStr">
        <is>
          <t>Vilamendhoo Island Resort</t>
        </is>
      </c>
      <c r="C1359" t="inlineStr">
        <is>
          <t>factsheet</t>
        </is>
      </c>
      <c r="D1359" t="inlineStr">
        <is>
          <t>2021_FactSheetVilamendhoo110121103122Ver110121.pdf</t>
        </is>
      </c>
      <c r="E1359" t="n">
        <v>2021</v>
      </c>
      <c r="F1359" t="inlineStr">
        <is>
          <t>2021-11-01</t>
        </is>
      </c>
      <c r="G1359" t="inlineStr">
        <is>
          <t>2022-10-31</t>
        </is>
      </c>
      <c r="H1359" t="n">
        <v>3</v>
      </c>
      <c r="I1359" t="n">
        <v>1095</v>
      </c>
      <c r="J1359" t="inlineStr">
        <is>
          <t>Y</t>
        </is>
      </c>
      <c r="K1359" t="inlineStr">
        <is>
          <t>sales.crownandchamparesorts.com</t>
        </is>
      </c>
      <c r="L1359" t="inlineStr">
        <is>
          <t>brand-cdn</t>
        </is>
      </c>
      <c r="M1359" t="inlineStr">
        <is>
          <t>https://sales.crownandchamparesorts.com/wp-content/uploads/2023/08/FactSheetVilamendhoo110121103122Ver110121.pdf</t>
        </is>
      </c>
      <c r="N1359" t="inlineStr">
        <is>
          <t>https://sales.crownandchamparesorts.com/wp-content/uploads/2023/08/FactSheetVilamendhoo110121103122Ver110121.pdf</t>
        </is>
      </c>
      <c r="O1359" t="inlineStr">
        <is>
          <t>6671ba49d7716e12338b5e8703952f262059aefd7a7ee463e66c948b5ead1e99</t>
        </is>
      </c>
      <c r="P1359" t="inlineStr">
        <is>
          <t>library/174_vilamendhoo-island-resort/factsheet/2021_FactSheetVilamendhoo110121103122Ver110121.pdf</t>
        </is>
      </c>
      <c r="R1359" t="inlineStr">
        <is>
          <t>outdated</t>
        </is>
      </c>
      <c r="S1359" t="inlineStr">
        <is>
          <t>N</t>
        </is>
      </c>
      <c r="T1359" t="inlineStr">
        <is>
          <t>matched</t>
        </is>
      </c>
      <c r="U1359" t="inlineStr">
        <is>
          <t>2026-10-04</t>
        </is>
      </c>
      <c r="V1359" t="inlineStr"/>
    </row>
    <row r="1360">
      <c r="A1360" t="n">
        <v>174</v>
      </c>
      <c r="B1360" t="inlineStr">
        <is>
          <t>Vilamendhoo Island Resort</t>
        </is>
      </c>
      <c r="C1360" t="inlineStr">
        <is>
          <t>factsheet</t>
        </is>
      </c>
      <c r="D1360" t="inlineStr">
        <is>
          <t>2020_FactSheetVilamendhoo110120103121Ver092220.pdf</t>
        </is>
      </c>
      <c r="E1360" t="n">
        <v>2020</v>
      </c>
      <c r="F1360" t="inlineStr">
        <is>
          <t>2020-11-01</t>
        </is>
      </c>
      <c r="G1360" t="inlineStr">
        <is>
          <t>2021-10-31</t>
        </is>
      </c>
      <c r="H1360" t="n">
        <v>3</v>
      </c>
      <c r="I1360" t="n">
        <v>1042</v>
      </c>
      <c r="J1360" t="inlineStr">
        <is>
          <t>Y</t>
        </is>
      </c>
      <c r="K1360" t="inlineStr">
        <is>
          <t>sales.crownandchamparesorts.com</t>
        </is>
      </c>
      <c r="L1360" t="inlineStr">
        <is>
          <t>brand-cdn</t>
        </is>
      </c>
      <c r="M1360" t="inlineStr">
        <is>
          <t>https://sales.crownandchamparesorts.com/wp-content/uploads/2018/10/FactSheetVilamendhoo110120103121Ver092220.pdf</t>
        </is>
      </c>
      <c r="N1360" t="inlineStr">
        <is>
          <t>https://sales.crownandchamparesorts.com/wp-content/uploads/2018/10/FactSheetVilamendhoo110120103121Ver092220.pdf</t>
        </is>
      </c>
      <c r="O1360" t="inlineStr">
        <is>
          <t>090d77f017ea3fe26f4fc55fc63f43139c041d85bbe5dc520b359f4943e34e6f</t>
        </is>
      </c>
      <c r="P1360" t="inlineStr">
        <is>
          <t>library/174_vilamendhoo-island-resort/factsheet/2020_FactSheetVilamendhoo110120103121Ver092220.pdf</t>
        </is>
      </c>
      <c r="R1360" t="inlineStr">
        <is>
          <t>outdated</t>
        </is>
      </c>
      <c r="S1360" t="inlineStr">
        <is>
          <t>N</t>
        </is>
      </c>
      <c r="T1360" t="inlineStr">
        <is>
          <t>matched</t>
        </is>
      </c>
      <c r="U1360" t="inlineStr">
        <is>
          <t>2026-10-04</t>
        </is>
      </c>
      <c r="V1360" t="inlineStr"/>
    </row>
    <row r="1361">
      <c r="A1361" t="n">
        <v>174</v>
      </c>
      <c r="B1361" t="inlineStr">
        <is>
          <t>Vilamendhoo Island Resort</t>
        </is>
      </c>
      <c r="C1361" t="inlineStr">
        <is>
          <t>map</t>
        </is>
      </c>
      <c r="D1361" t="inlineStr">
        <is>
          <t>2025_Vilamendhoo_IslandMapExitSigns-Apr25.pdf</t>
        </is>
      </c>
      <c r="E1361" t="n">
        <v>2025</v>
      </c>
      <c r="H1361" t="n">
        <v>1</v>
      </c>
      <c r="I1361" t="n">
        <v>1295</v>
      </c>
      <c r="J1361" t="inlineStr">
        <is>
          <t>N</t>
        </is>
      </c>
      <c r="K1361" t="inlineStr">
        <is>
          <t>sales.crownandchamparesorts.com</t>
        </is>
      </c>
      <c r="L1361" t="inlineStr">
        <is>
          <t>brand-cdn</t>
        </is>
      </c>
      <c r="M1361" t="inlineStr">
        <is>
          <t>https://sales.crownandchamparesorts.com/wp-content/uploads/2025/08/Vilamendhoo_IslandMapExitSigns-Apr25.pdf</t>
        </is>
      </c>
      <c r="N1361" t="inlineStr">
        <is>
          <t>https://sales.crownandchamparesorts.com/wp-content/uploads/2025/08/Vilamendhoo_IslandMapExitSigns-Apr25.pdf</t>
        </is>
      </c>
      <c r="O1361" t="inlineStr">
        <is>
          <t>814ebed6dce4b6cab096745a7f427ff0428898c7545124cb1ce705db7d0c1f98</t>
        </is>
      </c>
      <c r="P1361" t="inlineStr">
        <is>
          <t>library/174_vilamendhoo-island-resort/map/2025_Vilamendhoo_IslandMapExitSigns-Apr25.pdf</t>
        </is>
      </c>
      <c r="R1361" t="inlineStr">
        <is>
          <t>current</t>
        </is>
      </c>
      <c r="S1361" t="inlineStr">
        <is>
          <t>Y</t>
        </is>
      </c>
      <c r="T1361" t="inlineStr">
        <is>
          <t>matched</t>
        </is>
      </c>
      <c r="U1361" t="inlineStr">
        <is>
          <t>2026-10-04</t>
        </is>
      </c>
      <c r="V1361" t="inlineStr"/>
    </row>
    <row r="1362">
      <c r="A1362" t="n">
        <v>174</v>
      </c>
      <c r="B1362" t="inlineStr">
        <is>
          <t>Vilamendhoo Island Resort</t>
        </is>
      </c>
      <c r="C1362" t="inlineStr">
        <is>
          <t>map</t>
        </is>
      </c>
      <c r="D1362" t="inlineStr">
        <is>
          <t>2018_MapVilamendhoo120418ColorEnglish.pdf</t>
        </is>
      </c>
      <c r="E1362" t="n">
        <v>2018</v>
      </c>
      <c r="H1362" t="n">
        <v>1</v>
      </c>
      <c r="I1362" t="n">
        <v>520</v>
      </c>
      <c r="J1362" t="inlineStr">
        <is>
          <t>Y</t>
        </is>
      </c>
      <c r="K1362" t="inlineStr">
        <is>
          <t>sales.crownandchamparesorts.com</t>
        </is>
      </c>
      <c r="L1362" t="inlineStr">
        <is>
          <t>brand-cdn</t>
        </is>
      </c>
      <c r="M1362" t="inlineStr">
        <is>
          <t>https://sales.crownandchamparesorts.com/wp-content/uploads/2019/05/MapVilamendhoo120418ColorEnglish.pdf</t>
        </is>
      </c>
      <c r="N1362" t="inlineStr">
        <is>
          <t>https://sales.crownandchamparesorts.com/wp-content/uploads/2019/05/MapVilamendhoo120418ColorEnglish.pdf | https://sales.crownandchamparesorts.com/wp-content/uploads/2018/04/MapVilamendhoo120418ColorEnglish.pdf</t>
        </is>
      </c>
      <c r="O1362" t="inlineStr">
        <is>
          <t>058ab616db8d5fde05398b011bbcb70ec2ca1596422e8ad1dcd704fdf38d6643</t>
        </is>
      </c>
      <c r="P1362" t="inlineStr">
        <is>
          <t>library/174_vilamendhoo-island-resort/map/2018_MapVilamendhoo120418ColorEnglish.pdf</t>
        </is>
      </c>
      <c r="R1362" t="inlineStr">
        <is>
          <t>outdated</t>
        </is>
      </c>
      <c r="S1362" t="inlineStr">
        <is>
          <t>N</t>
        </is>
      </c>
      <c r="T1362" t="inlineStr">
        <is>
          <t>matched</t>
        </is>
      </c>
      <c r="U1362" t="inlineStr">
        <is>
          <t>2026-10-04</t>
        </is>
      </c>
      <c r="V1362" t="inlineStr"/>
    </row>
    <row r="1363">
      <c r="A1363" t="n">
        <v>175</v>
      </c>
      <c r="B1363" t="inlineStr">
        <is>
          <t>Villa Nautica Paradise Island</t>
        </is>
      </c>
      <c r="C1363" t="inlineStr">
        <is>
          <t>factsheet</t>
        </is>
      </c>
      <c r="D1363" t="inlineStr">
        <is>
          <t>2026_Villa Nautica - Factsheet Jul 2026.pdf</t>
        </is>
      </c>
      <c r="E1363" t="n">
        <v>2026</v>
      </c>
      <c r="H1363" t="n">
        <v>10</v>
      </c>
      <c r="I1363" t="n">
        <v>9591</v>
      </c>
      <c r="J1363" t="inlineStr">
        <is>
          <t>Y</t>
        </is>
      </c>
      <c r="K1363" t="inlineStr">
        <is>
          <t>villaresorts.dash.app</t>
        </is>
      </c>
      <c r="L1363" t="inlineStr">
        <is>
          <t>brand-cdn</t>
        </is>
      </c>
      <c r="M1363"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3"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3" t="inlineStr">
        <is>
          <t>af680792108eb5029fcd10dcdf5cef489f1659f6abfb9da7afc13967844aa19f</t>
        </is>
      </c>
      <c r="P1363" t="inlineStr">
        <is>
          <t>library/175_villa-nautica-paradise-island/factsheet/2026_Villa Nautica - Factsheet Jul 2026.pdf</t>
        </is>
      </c>
      <c r="R1363" t="inlineStr">
        <is>
          <t>current</t>
        </is>
      </c>
      <c r="S1363" t="inlineStr">
        <is>
          <t>Y</t>
        </is>
      </c>
      <c r="T1363" t="inlineStr">
        <is>
          <t>matched</t>
        </is>
      </c>
      <c r="U1363" t="inlineStr">
        <is>
          <t>2026-10-04</t>
        </is>
      </c>
      <c r="V1363" t="inlineStr"/>
    </row>
    <row r="1364">
      <c r="A1364" t="n">
        <v>175</v>
      </c>
      <c r="B1364" t="inlineStr">
        <is>
          <t>Villa Nautica Paradise Island</t>
        </is>
      </c>
      <c r="C1364" t="inlineStr">
        <is>
          <t>factsheet</t>
        </is>
      </c>
      <c r="D1364" t="inlineStr">
        <is>
          <t>2025_Villa-Nautica-Factsheet-August.pdf</t>
        </is>
      </c>
      <c r="E1364" t="n">
        <v>2025</v>
      </c>
      <c r="H1364" t="n">
        <v>6</v>
      </c>
      <c r="I1364" t="n">
        <v>6677</v>
      </c>
      <c r="J1364" t="inlineStr">
        <is>
          <t>Y</t>
        </is>
      </c>
      <c r="K1364" t="inlineStr">
        <is>
          <t>neoscapesmaldives.com</t>
        </is>
      </c>
      <c r="L1364" t="inlineStr">
        <is>
          <t>dmc-agency</t>
        </is>
      </c>
      <c r="M1364" t="inlineStr">
        <is>
          <t>https://www.neoscapesmaldives.com/wp-content/uploads/Villa-Nautica-Factsheet-August.pdf</t>
        </is>
      </c>
      <c r="N1364" t="inlineStr">
        <is>
          <t>https://www.neoscapesmaldives.com/wp-content/uploads/Villa-Nautica-Factsheet-August.pdf</t>
        </is>
      </c>
      <c r="O1364" t="inlineStr">
        <is>
          <t>c680db52a337bd2638ab0d4274d18853575435277c9dec86c7ded1168ec3be0f</t>
        </is>
      </c>
      <c r="P1364" t="inlineStr">
        <is>
          <t>library/175_villa-nautica-paradise-island/factsheet/2025_Villa-Nautica-Factsheet-August.pdf</t>
        </is>
      </c>
      <c r="R1364" t="inlineStr">
        <is>
          <t>current</t>
        </is>
      </c>
      <c r="S1364" t="inlineStr">
        <is>
          <t>N</t>
        </is>
      </c>
      <c r="T1364" t="inlineStr">
        <is>
          <t>matched</t>
        </is>
      </c>
      <c r="U1364" t="inlineStr">
        <is>
          <t>2026-10-04</t>
        </is>
      </c>
      <c r="V1364" t="inlineStr"/>
    </row>
    <row r="1365">
      <c r="A1365" t="n">
        <v>175</v>
      </c>
      <c r="B1365" t="inlineStr">
        <is>
          <t>Villa Nautica Paradise Island</t>
        </is>
      </c>
      <c r="C1365" t="inlineStr">
        <is>
          <t>wedding</t>
        </is>
      </c>
      <c r="D1365" t="inlineStr">
        <is>
          <t>2023_Villa Nautica - Weddings - Menu.pdf</t>
        </is>
      </c>
      <c r="E1365" t="n">
        <v>2023</v>
      </c>
      <c r="H1365" t="n">
        <v>3</v>
      </c>
      <c r="I1365" t="n">
        <v>2375</v>
      </c>
      <c r="J1365" t="inlineStr">
        <is>
          <t>N</t>
        </is>
      </c>
      <c r="K1365" t="inlineStr">
        <is>
          <t>villaresorts.dash.app</t>
        </is>
      </c>
      <c r="L1365" t="inlineStr">
        <is>
          <t>brand-cdn</t>
        </is>
      </c>
      <c r="M1365"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5"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5" t="inlineStr">
        <is>
          <t>d1edcd2cc76cb073e3123261dcff39e42a4c0189ac844ba210afa8926b1736f9</t>
        </is>
      </c>
      <c r="P1365" t="inlineStr">
        <is>
          <t>library/175_villa-nautica-paradise-island/wedding/2023_Villa Nautica - Weddings - Menu.pdf</t>
        </is>
      </c>
      <c r="R1365" t="inlineStr">
        <is>
          <t>outdated</t>
        </is>
      </c>
      <c r="S1365" t="inlineStr">
        <is>
          <t>Y</t>
        </is>
      </c>
      <c r="T1365" t="inlineStr">
        <is>
          <t>matched</t>
        </is>
      </c>
      <c r="U1365" t="inlineStr">
        <is>
          <t>2026-10-04</t>
        </is>
      </c>
      <c r="V1365" t="inlineStr"/>
    </row>
    <row r="1366">
      <c r="A1366" t="n">
        <v>175</v>
      </c>
      <c r="B1366" t="inlineStr">
        <is>
          <t>Villa Nautica Paradise Island</t>
        </is>
      </c>
      <c r="C1366" t="inlineStr">
        <is>
          <t>events</t>
        </is>
      </c>
      <c r="D1366" t="inlineStr">
        <is>
          <t>2023_Villa Nautica - Meetings and Events - June 2023.pdf</t>
        </is>
      </c>
      <c r="E1366" t="n">
        <v>2023</v>
      </c>
      <c r="H1366" t="n">
        <v>22</v>
      </c>
      <c r="I1366" t="n">
        <v>5516</v>
      </c>
      <c r="J1366" t="inlineStr">
        <is>
          <t>Y</t>
        </is>
      </c>
      <c r="K1366" t="inlineStr">
        <is>
          <t>villaresorts.dash.app</t>
        </is>
      </c>
      <c r="L1366" t="inlineStr">
        <is>
          <t>brand-cdn</t>
        </is>
      </c>
      <c r="M1366"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6"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6" t="inlineStr">
        <is>
          <t>95818d873d234577d94dafeeb8e1c75f7270de2a3f3c984495b76eabc6d3c079</t>
        </is>
      </c>
      <c r="P1366" t="inlineStr">
        <is>
          <t>library/175_villa-nautica-paradise-island/events/2023_Villa Nautica - Meetings and Events - June 2023.pdf</t>
        </is>
      </c>
      <c r="R1366" t="inlineStr">
        <is>
          <t>outdated</t>
        </is>
      </c>
      <c r="S1366" t="inlineStr">
        <is>
          <t>Y</t>
        </is>
      </c>
      <c r="T1366" t="inlineStr">
        <is>
          <t>matched</t>
        </is>
      </c>
      <c r="U1366" t="inlineStr">
        <is>
          <t>2026-10-04</t>
        </is>
      </c>
      <c r="V1366" t="inlineStr"/>
    </row>
    <row r="1367">
      <c r="A1367" t="n">
        <v>175</v>
      </c>
      <c r="B1367" t="inlineStr">
        <is>
          <t>Villa Nautica Paradise Island</t>
        </is>
      </c>
      <c r="C1367" t="inlineStr">
        <is>
          <t>map</t>
        </is>
      </c>
      <c r="D1367" t="inlineStr">
        <is>
          <t>2025_Villa-Nautica-Map-Feb-2025.pdf</t>
        </is>
      </c>
      <c r="E1367" t="n">
        <v>2025</v>
      </c>
      <c r="H1367" t="n">
        <v>1</v>
      </c>
      <c r="I1367" t="n">
        <v>1646</v>
      </c>
      <c r="J1367" t="inlineStr">
        <is>
          <t>Y</t>
        </is>
      </c>
      <c r="K1367" t="inlineStr">
        <is>
          <t>villaresorts.dash.app</t>
        </is>
      </c>
      <c r="L1367" t="inlineStr">
        <is>
          <t>brand-cdn</t>
        </is>
      </c>
      <c r="M1367"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7"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7" t="inlineStr">
        <is>
          <t>8235be68b75b5eb5e3b6856cc6fd68d0b40d841d7e34f423b75b11b34ad4520a</t>
        </is>
      </c>
      <c r="P1367" t="inlineStr">
        <is>
          <t>library/175_villa-nautica-paradise-island/map/2025_Villa-Nautica-Map-Feb-2025.pdf</t>
        </is>
      </c>
      <c r="R1367" t="inlineStr">
        <is>
          <t>current</t>
        </is>
      </c>
      <c r="S1367" t="inlineStr">
        <is>
          <t>Y</t>
        </is>
      </c>
      <c r="T1367" t="inlineStr">
        <is>
          <t>matched</t>
        </is>
      </c>
      <c r="U1367" t="inlineStr">
        <is>
          <t>2026-10-04</t>
        </is>
      </c>
      <c r="V1367" t="inlineStr"/>
    </row>
    <row r="1368">
      <c r="A1368" t="n">
        <v>175</v>
      </c>
      <c r="B1368" t="inlineStr">
        <is>
          <t>Villa Nautica Paradise Island</t>
        </is>
      </c>
      <c r="C1368" t="inlineStr">
        <is>
          <t>spa_menu</t>
        </is>
      </c>
      <c r="D1368" t="inlineStr">
        <is>
          <t>2025_Villa Nautica - Araamu Spa - Menu _August 2025_.pdf</t>
        </is>
      </c>
      <c r="E1368" t="n">
        <v>2025</v>
      </c>
      <c r="H1368" t="n">
        <v>22</v>
      </c>
      <c r="I1368" t="n">
        <v>55226</v>
      </c>
      <c r="J1368" t="inlineStr">
        <is>
          <t>Y</t>
        </is>
      </c>
      <c r="K1368" t="inlineStr">
        <is>
          <t>villaresorts.dash.app</t>
        </is>
      </c>
      <c r="L1368" t="inlineStr">
        <is>
          <t>brand-cdn</t>
        </is>
      </c>
      <c r="M1368"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8"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8" t="inlineStr">
        <is>
          <t>d7ff6e66cadfe3d35ba4fc43821acc4f0c6dfd69c2fd5540b933cc6e9d51051a</t>
        </is>
      </c>
      <c r="P1368" t="inlineStr">
        <is>
          <t>library/175_villa-nautica-paradise-island/spa_menu/2025_Villa Nautica - Araamu Spa - Menu _August 2025_.pdf</t>
        </is>
      </c>
      <c r="R1368" t="inlineStr">
        <is>
          <t>current</t>
        </is>
      </c>
      <c r="S1368" t="inlineStr">
        <is>
          <t>Y</t>
        </is>
      </c>
      <c r="T1368" t="inlineStr">
        <is>
          <t>matched</t>
        </is>
      </c>
      <c r="U1368" t="inlineStr">
        <is>
          <t>2026-10-04</t>
        </is>
      </c>
      <c r="V1368" t="inlineStr"/>
    </row>
    <row r="1369">
      <c r="A1369" t="n">
        <v>175</v>
      </c>
      <c r="B1369" t="inlineStr">
        <is>
          <t>Villa Nautica Paradise Island</t>
        </is>
      </c>
      <c r="C1369" t="inlineStr">
        <is>
          <t>dining_menu</t>
        </is>
      </c>
      <c r="D1369" t="inlineStr">
        <is>
          <t>2026_WATERSPORTS MENU - Villa Nautica _1_.pdf</t>
        </is>
      </c>
      <c r="E1369" t="n">
        <v>2026</v>
      </c>
      <c r="H1369" t="n">
        <v>31</v>
      </c>
      <c r="I1369" t="n">
        <v>54843</v>
      </c>
      <c r="J1369" t="inlineStr">
        <is>
          <t>Y</t>
        </is>
      </c>
      <c r="K1369" t="inlineStr">
        <is>
          <t>villaresorts.dash.app</t>
        </is>
      </c>
      <c r="L1369" t="inlineStr">
        <is>
          <t>brand-cdn</t>
        </is>
      </c>
      <c r="M1369"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9"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9" t="inlineStr">
        <is>
          <t>7aa817f29b655cfd56e97f195f5ec87413047da185cc47bf41114c1ff6ad002a</t>
        </is>
      </c>
      <c r="P1369" t="inlineStr">
        <is>
          <t>library/175_villa-nautica-paradise-island/dining_menu/2026_WATERSPORTS MENU - Villa Nautica _1_.pdf</t>
        </is>
      </c>
      <c r="R1369" t="inlineStr">
        <is>
          <t>current</t>
        </is>
      </c>
      <c r="S1369" t="inlineStr">
        <is>
          <t>Y</t>
        </is>
      </c>
      <c r="T1369" t="inlineStr">
        <is>
          <t>matched</t>
        </is>
      </c>
      <c r="U1369" t="inlineStr">
        <is>
          <t>2026-10-04</t>
        </is>
      </c>
      <c r="V1369" t="inlineStr"/>
    </row>
    <row r="1370">
      <c r="A1370" t="n">
        <v>175</v>
      </c>
      <c r="B1370" t="inlineStr">
        <is>
          <t>Villa Nautica Paradise Island</t>
        </is>
      </c>
      <c r="C1370" t="inlineStr">
        <is>
          <t>dining_menu</t>
        </is>
      </c>
      <c r="D1370" t="inlineStr">
        <is>
          <t>2026_Excursions Menu - Villa Nautica.pdf</t>
        </is>
      </c>
      <c r="E1370" t="n">
        <v>2026</v>
      </c>
      <c r="H1370" t="n">
        <v>14</v>
      </c>
      <c r="I1370" t="n">
        <v>7958</v>
      </c>
      <c r="J1370" t="inlineStr">
        <is>
          <t>Y</t>
        </is>
      </c>
      <c r="K1370" t="inlineStr">
        <is>
          <t>villaresorts.dash.app</t>
        </is>
      </c>
      <c r="L1370" t="inlineStr">
        <is>
          <t>brand-cdn</t>
        </is>
      </c>
      <c r="M1370"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0"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0" t="inlineStr">
        <is>
          <t>373d0a5f19eafe08a204834391a87c78074fdcb5e0e79878e698f4cc32d66ebc</t>
        </is>
      </c>
      <c r="P1370" t="inlineStr">
        <is>
          <t>library/175_villa-nautica-paradise-island/dining_menu/2026_Excursions Menu - Villa Nautica.pdf</t>
        </is>
      </c>
      <c r="R1370" t="inlineStr">
        <is>
          <t>current</t>
        </is>
      </c>
      <c r="S1370" t="inlineStr">
        <is>
          <t>N</t>
        </is>
      </c>
      <c r="T1370" t="inlineStr">
        <is>
          <t>matched</t>
        </is>
      </c>
      <c r="U1370" t="inlineStr">
        <is>
          <t>2026-10-04</t>
        </is>
      </c>
      <c r="V1370" t="inlineStr"/>
    </row>
    <row r="1371">
      <c r="A1371" t="n">
        <v>175</v>
      </c>
      <c r="B1371" t="inlineStr">
        <is>
          <t>Villa Nautica Paradise Island</t>
        </is>
      </c>
      <c r="C1371" t="inlineStr">
        <is>
          <t>dive_prices</t>
        </is>
      </c>
      <c r="D1371" t="inlineStr">
        <is>
          <t>2026_Villa Nautica - Diving - Brochure 2026.pdf</t>
        </is>
      </c>
      <c r="E1371" t="n">
        <v>2026</v>
      </c>
      <c r="H1371" t="n">
        <v>16</v>
      </c>
      <c r="I1371" t="n">
        <v>990</v>
      </c>
      <c r="J1371" t="inlineStr">
        <is>
          <t>Y</t>
        </is>
      </c>
      <c r="K1371" t="inlineStr">
        <is>
          <t>villaresorts.dash.app</t>
        </is>
      </c>
      <c r="L1371" t="inlineStr">
        <is>
          <t>brand-cdn</t>
        </is>
      </c>
      <c r="M1371"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1"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1" t="inlineStr">
        <is>
          <t>d75c68576380fe57d0cccd2eeb8844b2f4fbd3025d1450a88e0a678d2b771488</t>
        </is>
      </c>
      <c r="P1371" t="inlineStr">
        <is>
          <t>library/175_villa-nautica-paradise-island/dive_prices/2026_Villa Nautica - Diving - Brochure 2026.pdf</t>
        </is>
      </c>
      <c r="R1371" t="inlineStr">
        <is>
          <t>current</t>
        </is>
      </c>
      <c r="S1371" t="inlineStr">
        <is>
          <t>Y</t>
        </is>
      </c>
      <c r="T1371" t="inlineStr">
        <is>
          <t>matched</t>
        </is>
      </c>
      <c r="U1371" t="inlineStr">
        <is>
          <t>2026-10-04</t>
        </is>
      </c>
      <c r="V1371" t="inlineStr"/>
    </row>
    <row r="1372">
      <c r="A1372" t="n">
        <v>175</v>
      </c>
      <c r="B1372" t="inlineStr">
        <is>
          <t>Villa Nautica Paradise Island</t>
        </is>
      </c>
      <c r="C1372" t="inlineStr">
        <is>
          <t>dive_prices</t>
        </is>
      </c>
      <c r="D1372" t="inlineStr">
        <is>
          <t>2026_Villa Nautica - Diving - Price List 2026.pdf</t>
        </is>
      </c>
      <c r="E1372" t="n">
        <v>2026</v>
      </c>
      <c r="H1372" t="n">
        <v>1</v>
      </c>
      <c r="I1372" t="n">
        <v>66</v>
      </c>
      <c r="J1372" t="inlineStr">
        <is>
          <t>Y</t>
        </is>
      </c>
      <c r="K1372" t="inlineStr">
        <is>
          <t>villaresorts.dash.app</t>
        </is>
      </c>
      <c r="L1372" t="inlineStr">
        <is>
          <t>brand-cdn</t>
        </is>
      </c>
      <c r="M1372"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2"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2" t="inlineStr">
        <is>
          <t>fc6c463453c8654df0cf560776ede009a973e83208af4bdbcc458c70d2714995</t>
        </is>
      </c>
      <c r="P1372" t="inlineStr">
        <is>
          <t>library/175_villa-nautica-paradise-island/dive_prices/2026_Villa Nautica - Diving - Price List 2026.pdf</t>
        </is>
      </c>
      <c r="R1372" t="inlineStr">
        <is>
          <t>current</t>
        </is>
      </c>
      <c r="S1372" t="inlineStr">
        <is>
          <t>N</t>
        </is>
      </c>
      <c r="T1372" t="inlineStr">
        <is>
          <t>matched</t>
        </is>
      </c>
      <c r="U1372" t="inlineStr">
        <is>
          <t>2026-10-04</t>
        </is>
      </c>
      <c r="V1372" t="inlineStr"/>
    </row>
    <row r="1373">
      <c r="A1373" t="n">
        <v>175</v>
      </c>
      <c r="B1373" t="inlineStr">
        <is>
          <t>Villa Nautica Paradise Island</t>
        </is>
      </c>
      <c r="C1373" t="inlineStr">
        <is>
          <t>villa_plans</t>
        </is>
      </c>
      <c r="D1373" t="inlineStr">
        <is>
          <t>2026_Villa Nautica - AI Plans _G1D27_ - May 2026.pdf</t>
        </is>
      </c>
      <c r="E1373" t="n">
        <v>2026</v>
      </c>
      <c r="H1373" t="n">
        <v>3</v>
      </c>
      <c r="I1373" t="n">
        <v>1898</v>
      </c>
      <c r="J1373" t="inlineStr">
        <is>
          <t>Y</t>
        </is>
      </c>
      <c r="K1373" t="inlineStr">
        <is>
          <t>villaresorts.dash.app</t>
        </is>
      </c>
      <c r="L1373" t="inlineStr">
        <is>
          <t>brand-cdn</t>
        </is>
      </c>
      <c r="M137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3" t="inlineStr">
        <is>
          <t>f2b34cf2b8f1090a584e274b07fdd7b20fa332099015d1769668e7934ba4bc6a</t>
        </is>
      </c>
      <c r="P1373" t="inlineStr">
        <is>
          <t>library/175_villa-nautica-paradise-island/villa_plans/2026_Villa Nautica - AI Plans _G1D27_ - May 2026.pdf</t>
        </is>
      </c>
      <c r="R1373" t="inlineStr">
        <is>
          <t>current</t>
        </is>
      </c>
      <c r="S1373" t="inlineStr">
        <is>
          <t>Y</t>
        </is>
      </c>
      <c r="T1373" t="inlineStr">
        <is>
          <t>matched</t>
        </is>
      </c>
      <c r="U1373" t="inlineStr">
        <is>
          <t>2026-10-04</t>
        </is>
      </c>
      <c r="V1373" t="inlineStr"/>
    </row>
    <row r="1374">
      <c r="A1374" t="n">
        <v>175</v>
      </c>
      <c r="B1374" t="inlineStr">
        <is>
          <t>Villa Nautica Paradise Island</t>
        </is>
      </c>
      <c r="C1374" t="inlineStr">
        <is>
          <t>villa_plans</t>
        </is>
      </c>
      <c r="D1374" t="inlineStr">
        <is>
          <t>2025_Photo Studio - Digital Brochure - Villa Nautica.pdf</t>
        </is>
      </c>
      <c r="E1374" t="n">
        <v>2025</v>
      </c>
      <c r="H1374" t="n">
        <v>8</v>
      </c>
      <c r="I1374" t="n">
        <v>3859</v>
      </c>
      <c r="J1374" t="inlineStr">
        <is>
          <t>Y</t>
        </is>
      </c>
      <c r="K1374" t="inlineStr">
        <is>
          <t>villaresorts.dash.app</t>
        </is>
      </c>
      <c r="L1374" t="inlineStr">
        <is>
          <t>brand-cdn</t>
        </is>
      </c>
      <c r="M1374"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4"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4" t="inlineStr">
        <is>
          <t>e183d53dae67cb228921f25fb613ad2354faad3666718b31194a3682e9fbe8f2</t>
        </is>
      </c>
      <c r="P1374" t="inlineStr">
        <is>
          <t>library/175_villa-nautica-paradise-island/villa_plans/2025_Photo Studio - Digital Brochure - Villa Nautica.pdf</t>
        </is>
      </c>
      <c r="R1374" t="inlineStr">
        <is>
          <t>current</t>
        </is>
      </c>
      <c r="S1374" t="inlineStr">
        <is>
          <t>N</t>
        </is>
      </c>
      <c r="T1374" t="inlineStr">
        <is>
          <t>matched</t>
        </is>
      </c>
      <c r="U1374" t="inlineStr">
        <is>
          <t>2026-10-04</t>
        </is>
      </c>
      <c r="V1374" t="inlineStr"/>
    </row>
    <row r="1375">
      <c r="A1375" t="n">
        <v>175</v>
      </c>
      <c r="B1375" t="inlineStr">
        <is>
          <t>Villa Nautica Paradise Island</t>
        </is>
      </c>
      <c r="C1375" t="inlineStr">
        <is>
          <t>villa_plans</t>
        </is>
      </c>
      <c r="D1375" t="inlineStr">
        <is>
          <t>2025_Villa Nautica - Sunset Deluxe Beach Pool Villa.pdf</t>
        </is>
      </c>
      <c r="E1375" t="n">
        <v>2025</v>
      </c>
      <c r="H1375" t="n">
        <v>6</v>
      </c>
      <c r="I1375" t="n">
        <v>8071</v>
      </c>
      <c r="J1375" t="inlineStr">
        <is>
          <t>Y</t>
        </is>
      </c>
      <c r="K1375" t="inlineStr">
        <is>
          <t>villaresorts.dash.app</t>
        </is>
      </c>
      <c r="L1375" t="inlineStr">
        <is>
          <t>brand-cdn</t>
        </is>
      </c>
      <c r="M1375"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5"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5" t="inlineStr">
        <is>
          <t>dcbb4a54083c70f137ca648a23ca13014a1829d3bf6ce0348eba07afd9574c33</t>
        </is>
      </c>
      <c r="P1375" t="inlineStr">
        <is>
          <t>library/175_villa-nautica-paradise-island/villa_plans/2025_Villa Nautica - Sunset Deluxe Beach Pool Villa.pdf</t>
        </is>
      </c>
      <c r="R1375" t="inlineStr">
        <is>
          <t>current</t>
        </is>
      </c>
      <c r="S1375" t="inlineStr">
        <is>
          <t>N</t>
        </is>
      </c>
      <c r="T1375" t="inlineStr">
        <is>
          <t>matched</t>
        </is>
      </c>
      <c r="U1375" t="inlineStr">
        <is>
          <t>2026-10-04</t>
        </is>
      </c>
      <c r="V1375" t="inlineStr"/>
    </row>
    <row r="1376">
      <c r="A1376" t="n">
        <v>175</v>
      </c>
      <c r="B1376" t="inlineStr">
        <is>
          <t>Villa Nautica Paradise Island</t>
        </is>
      </c>
      <c r="C1376" t="inlineStr">
        <is>
          <t>villa_plans</t>
        </is>
      </c>
      <c r="D1376" t="inlineStr">
        <is>
          <t>2025_Villa Nautica - Two Bedroom Beach Villa with Two Pools.pdf</t>
        </is>
      </c>
      <c r="E1376" t="n">
        <v>2025</v>
      </c>
      <c r="H1376" t="n">
        <v>6</v>
      </c>
      <c r="I1376" t="n">
        <v>5301</v>
      </c>
      <c r="J1376" t="inlineStr">
        <is>
          <t>Y</t>
        </is>
      </c>
      <c r="K1376" t="inlineStr">
        <is>
          <t>villaresorts.dash.app</t>
        </is>
      </c>
      <c r="L1376" t="inlineStr">
        <is>
          <t>brand-cdn</t>
        </is>
      </c>
      <c r="M1376"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6"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6" t="inlineStr">
        <is>
          <t>028f30ea6c61db12bbd41ff5cdc1bd99397463edc626f5be0690f3b72f2604ca</t>
        </is>
      </c>
      <c r="P1376" t="inlineStr">
        <is>
          <t>library/175_villa-nautica-paradise-island/villa_plans/2025_Villa Nautica - Two Bedroom Beach Villa with Two Pools.pdf</t>
        </is>
      </c>
      <c r="R1376" t="inlineStr">
        <is>
          <t>current</t>
        </is>
      </c>
      <c r="S1376" t="inlineStr">
        <is>
          <t>N</t>
        </is>
      </c>
      <c r="T1376" t="inlineStr">
        <is>
          <t>matched</t>
        </is>
      </c>
      <c r="U1376" t="inlineStr">
        <is>
          <t>2026-10-04</t>
        </is>
      </c>
      <c r="V1376" t="inlineStr"/>
    </row>
    <row r="1377">
      <c r="A1377" t="n">
        <v>175</v>
      </c>
      <c r="B1377" t="inlineStr">
        <is>
          <t>Villa Nautica Paradise Island</t>
        </is>
      </c>
      <c r="C1377" t="inlineStr">
        <is>
          <t>villa_plans</t>
        </is>
      </c>
      <c r="D1377" t="inlineStr">
        <is>
          <t>2023_Villa Nautica - Style Guides.pdf</t>
        </is>
      </c>
      <c r="E1377" t="n">
        <v>2023</v>
      </c>
      <c r="H1377" t="n">
        <v>5</v>
      </c>
      <c r="I1377" t="n">
        <v>729</v>
      </c>
      <c r="J1377" t="inlineStr">
        <is>
          <t>Y</t>
        </is>
      </c>
      <c r="K1377" t="inlineStr">
        <is>
          <t>villaresorts.dash.app</t>
        </is>
      </c>
      <c r="L1377" t="inlineStr">
        <is>
          <t>brand-cdn</t>
        </is>
      </c>
      <c r="M1377"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7"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7" t="inlineStr">
        <is>
          <t>94b30137fc0d56cb8a5e2b8c76342b917cd90951fd6469fd9b7813ebb1aeb795</t>
        </is>
      </c>
      <c r="P1377" t="inlineStr">
        <is>
          <t>library/175_villa-nautica-paradise-island/villa_plans/2023_Villa Nautica - Style Guides.pdf</t>
        </is>
      </c>
      <c r="R1377" t="inlineStr">
        <is>
          <t>outdated</t>
        </is>
      </c>
      <c r="S1377" t="inlineStr">
        <is>
          <t>N</t>
        </is>
      </c>
      <c r="T1377" t="inlineStr">
        <is>
          <t>matched</t>
        </is>
      </c>
      <c r="U1377" t="inlineStr">
        <is>
          <t>2026-10-04</t>
        </is>
      </c>
      <c r="V1377" t="inlineStr"/>
    </row>
    <row r="1378">
      <c r="A1378" t="n">
        <v>175</v>
      </c>
      <c r="B1378" t="inlineStr">
        <is>
          <t>Villa Nautica Paradise Island</t>
        </is>
      </c>
      <c r="C1378" t="inlineStr">
        <is>
          <t>villa_plans</t>
        </is>
      </c>
      <c r="D1378" t="inlineStr">
        <is>
          <t>2023_Villa-Nautica-Style-Guides.pdf</t>
        </is>
      </c>
      <c r="E1378" t="n">
        <v>2023</v>
      </c>
      <c r="H1378" t="n">
        <v>5</v>
      </c>
      <c r="I1378" t="n">
        <v>725</v>
      </c>
      <c r="J1378" t="inlineStr">
        <is>
          <t>Y</t>
        </is>
      </c>
      <c r="K1378" t="inlineStr">
        <is>
          <t>letsgomaldives.com</t>
        </is>
      </c>
      <c r="L1378" t="inlineStr">
        <is>
          <t>dmc-agency</t>
        </is>
      </c>
      <c r="M1378" t="inlineStr">
        <is>
          <t>https://letsgomaldives.com/wp-content/uploads/2013/03/Villa-Nautica-Style-Guides.pdf</t>
        </is>
      </c>
      <c r="N1378" t="inlineStr">
        <is>
          <t>https://letsgomaldives.com/wp-content/uploads/2013/03/Villa-Nautica-Style-Guides.pdf</t>
        </is>
      </c>
      <c r="O1378" t="inlineStr">
        <is>
          <t>4068647a7fa2ac001fbe624ef52f10adf81599355740d669bb61e1876c139ab1</t>
        </is>
      </c>
      <c r="P1378" t="inlineStr">
        <is>
          <t>library/175_villa-nautica-paradise-island/villa_plans/2023_Villa-Nautica-Style-Guides.pdf</t>
        </is>
      </c>
      <c r="R1378" t="inlineStr">
        <is>
          <t>outdated</t>
        </is>
      </c>
      <c r="S1378" t="inlineStr">
        <is>
          <t>N</t>
        </is>
      </c>
      <c r="T1378" t="inlineStr">
        <is>
          <t>matched</t>
        </is>
      </c>
      <c r="U1378" t="inlineStr">
        <is>
          <t>2026-10-04</t>
        </is>
      </c>
      <c r="V1378" t="inlineStr"/>
    </row>
    <row r="1379">
      <c r="A1379" t="n">
        <v>175</v>
      </c>
      <c r="B1379" t="inlineStr">
        <is>
          <t>Villa Nautica Paradise Island</t>
        </is>
      </c>
      <c r="C1379" t="inlineStr">
        <is>
          <t>villa_plans</t>
        </is>
      </c>
      <c r="D1379" t="inlineStr">
        <is>
          <t>2022_Villa Resorts - Press Release - ILTM Cannes - December 2022.pdf</t>
        </is>
      </c>
      <c r="E1379" t="n">
        <v>2022</v>
      </c>
      <c r="H1379" t="n">
        <v>4</v>
      </c>
      <c r="I1379" t="n">
        <v>441</v>
      </c>
      <c r="J1379" t="inlineStr">
        <is>
          <t>Y</t>
        </is>
      </c>
      <c r="K1379" t="inlineStr">
        <is>
          <t>villaresorts.dash.app</t>
        </is>
      </c>
      <c r="L1379" t="inlineStr">
        <is>
          <t>brand-cdn</t>
        </is>
      </c>
      <c r="M1379"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9"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9" t="inlineStr">
        <is>
          <t>564eef2914adf772aa9889b6ab10f039403bc0de48538e30c67993aa3b167923</t>
        </is>
      </c>
      <c r="P1379" t="inlineStr">
        <is>
          <t>library/175_villa-nautica-paradise-island/villa_plans/2022_Villa Resorts - Press Release - ILTM Cannes - December 2022.pdf</t>
        </is>
      </c>
      <c r="R1379" t="inlineStr">
        <is>
          <t>outdated</t>
        </is>
      </c>
      <c r="S1379" t="inlineStr">
        <is>
          <t>N</t>
        </is>
      </c>
      <c r="T1379" t="inlineStr">
        <is>
          <t>needs-review</t>
        </is>
      </c>
      <c r="U1379" t="inlineStr">
        <is>
          <t>2026-10-04</t>
        </is>
      </c>
      <c r="V1379" t="inlineStr">
        <is>
          <t>ambiguous match [175, 177]</t>
        </is>
      </c>
    </row>
    <row r="1380">
      <c r="A1380" t="n">
        <v>177</v>
      </c>
      <c r="B1380" t="inlineStr">
        <is>
          <t>Royal Island Resort and Spa</t>
        </is>
      </c>
      <c r="C1380" t="inlineStr">
        <is>
          <t>villa_plans</t>
        </is>
      </c>
      <c r="D1380" t="inlineStr">
        <is>
          <t>2022_Villa Resorts - Press Release - ILTM Cannes - December 2022.pdf</t>
        </is>
      </c>
      <c r="E1380" t="n">
        <v>2022</v>
      </c>
      <c r="H1380" t="n">
        <v>4</v>
      </c>
      <c r="I1380" t="n">
        <v>441</v>
      </c>
      <c r="J1380" t="inlineStr">
        <is>
          <t>Y</t>
        </is>
      </c>
      <c r="K1380" t="inlineStr">
        <is>
          <t>villaresorts.dash.app</t>
        </is>
      </c>
      <c r="L1380" t="inlineStr">
        <is>
          <t>brand-cdn</t>
        </is>
      </c>
      <c r="M1380"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0"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0" t="inlineStr">
        <is>
          <t>564eef2914adf772aa9889b6ab10f039403bc0de48538e30c67993aa3b167923</t>
        </is>
      </c>
      <c r="P1380" t="inlineStr">
        <is>
          <t>library/175_villa-nautica-paradise-island/villa_plans/2022_Villa Resorts - Press Release - ILTM Cannes - December 2022.pdf</t>
        </is>
      </c>
      <c r="R1380" t="inlineStr">
        <is>
          <t>outdated</t>
        </is>
      </c>
      <c r="S1380" t="inlineStr">
        <is>
          <t>N</t>
        </is>
      </c>
      <c r="T1380" t="inlineStr">
        <is>
          <t>needs-review</t>
        </is>
      </c>
      <c r="U1380" t="inlineStr">
        <is>
          <t>2026-10-04</t>
        </is>
      </c>
      <c r="V1380" t="inlineStr">
        <is>
          <t>ambiguous match [175, 177]</t>
        </is>
      </c>
    </row>
    <row r="1381">
      <c r="A1381" t="n">
        <v>175</v>
      </c>
      <c r="B1381" t="inlineStr">
        <is>
          <t>Villa Nautica Paradise Island</t>
        </is>
      </c>
      <c r="C1381" t="inlineStr">
        <is>
          <t>all_inclusive</t>
        </is>
      </c>
      <c r="D1381" t="inlineStr">
        <is>
          <t>2026_Local Package - July 2026.pdf</t>
        </is>
      </c>
      <c r="E1381" t="n">
        <v>2026</v>
      </c>
      <c r="H1381" t="n">
        <v>2</v>
      </c>
      <c r="I1381" t="n">
        <v>4334</v>
      </c>
      <c r="J1381" t="inlineStr">
        <is>
          <t>Y</t>
        </is>
      </c>
      <c r="K1381" t="inlineStr">
        <is>
          <t>villaresorts.dash.app</t>
        </is>
      </c>
      <c r="L1381" t="inlineStr">
        <is>
          <t>brand-cdn</t>
        </is>
      </c>
      <c r="M138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1" t="inlineStr">
        <is>
          <t>2cc82bf4ad3dc3002453c10b58627450f79659560802c056d0520179eeb00c37</t>
        </is>
      </c>
      <c r="P1381" t="inlineStr">
        <is>
          <t>library/175_villa-nautica-paradise-island/all_inclusive/2026_Local Package - July 2026.pdf</t>
        </is>
      </c>
      <c r="R1381" t="inlineStr">
        <is>
          <t>current</t>
        </is>
      </c>
      <c r="S1381" t="inlineStr">
        <is>
          <t>Y</t>
        </is>
      </c>
      <c r="T1381" t="inlineStr">
        <is>
          <t>needs-review</t>
        </is>
      </c>
      <c r="U1381" t="inlineStr">
        <is>
          <t>2026-10-04</t>
        </is>
      </c>
      <c r="V1381" t="inlineStr">
        <is>
          <t>ambiguous match [175, 177, 176]</t>
        </is>
      </c>
    </row>
    <row r="1382">
      <c r="A1382" t="n">
        <v>177</v>
      </c>
      <c r="B1382" t="inlineStr">
        <is>
          <t>Royal Island Resort and Spa</t>
        </is>
      </c>
      <c r="C1382" t="inlineStr">
        <is>
          <t>all_inclusive</t>
        </is>
      </c>
      <c r="D1382" t="inlineStr">
        <is>
          <t>2026_Local Package - July 2026.pdf</t>
        </is>
      </c>
      <c r="E1382" t="n">
        <v>2026</v>
      </c>
      <c r="H1382" t="n">
        <v>2</v>
      </c>
      <c r="I1382" t="n">
        <v>4334</v>
      </c>
      <c r="J1382" t="inlineStr">
        <is>
          <t>Y</t>
        </is>
      </c>
      <c r="K1382" t="inlineStr">
        <is>
          <t>villaresorts.dash.app</t>
        </is>
      </c>
      <c r="L1382" t="inlineStr">
        <is>
          <t>brand-cdn</t>
        </is>
      </c>
      <c r="M1382"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2"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2" t="inlineStr">
        <is>
          <t>2cc82bf4ad3dc3002453c10b58627450f79659560802c056d0520179eeb00c37</t>
        </is>
      </c>
      <c r="P1382" t="inlineStr">
        <is>
          <t>library/175_villa-nautica-paradise-island/all_inclusive/2026_Local Package - July 2026.pdf</t>
        </is>
      </c>
      <c r="R1382" t="inlineStr">
        <is>
          <t>current</t>
        </is>
      </c>
      <c r="S1382" t="inlineStr">
        <is>
          <t>Y</t>
        </is>
      </c>
      <c r="T1382" t="inlineStr">
        <is>
          <t>needs-review</t>
        </is>
      </c>
      <c r="U1382" t="inlineStr">
        <is>
          <t>2026-10-04</t>
        </is>
      </c>
      <c r="V1382" t="inlineStr">
        <is>
          <t>ambiguous match [175, 177, 176]</t>
        </is>
      </c>
    </row>
    <row r="1383">
      <c r="A1383" t="n">
        <v>176</v>
      </c>
      <c r="B1383" t="inlineStr">
        <is>
          <t>Villa Park Sun Island</t>
        </is>
      </c>
      <c r="C1383" t="inlineStr">
        <is>
          <t>all_inclusive</t>
        </is>
      </c>
      <c r="D1383" t="inlineStr">
        <is>
          <t>2026_Local Package - July 2026.pdf</t>
        </is>
      </c>
      <c r="E1383" t="n">
        <v>2026</v>
      </c>
      <c r="H1383" t="n">
        <v>2</v>
      </c>
      <c r="I1383" t="n">
        <v>4334</v>
      </c>
      <c r="J1383" t="inlineStr">
        <is>
          <t>Y</t>
        </is>
      </c>
      <c r="K1383" t="inlineStr">
        <is>
          <t>villaresorts.dash.app</t>
        </is>
      </c>
      <c r="L1383" t="inlineStr">
        <is>
          <t>brand-cdn</t>
        </is>
      </c>
      <c r="M1383"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3"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3" t="inlineStr">
        <is>
          <t>2cc82bf4ad3dc3002453c10b58627450f79659560802c056d0520179eeb00c37</t>
        </is>
      </c>
      <c r="P1383" t="inlineStr">
        <is>
          <t>library/175_villa-nautica-paradise-island/all_inclusive/2026_Local Package - July 2026.pdf</t>
        </is>
      </c>
      <c r="R1383" t="inlineStr">
        <is>
          <t>current</t>
        </is>
      </c>
      <c r="S1383" t="inlineStr">
        <is>
          <t>Y</t>
        </is>
      </c>
      <c r="T1383" t="inlineStr">
        <is>
          <t>needs-review</t>
        </is>
      </c>
      <c r="U1383" t="inlineStr">
        <is>
          <t>2026-10-04</t>
        </is>
      </c>
      <c r="V1383" t="inlineStr">
        <is>
          <t>ambiguous match [175, 177, 176]</t>
        </is>
      </c>
    </row>
    <row r="1384">
      <c r="A1384" t="n">
        <v>176</v>
      </c>
      <c r="B1384" t="inlineStr">
        <is>
          <t>Villa Park Sun Island</t>
        </is>
      </c>
      <c r="C1384" t="inlineStr">
        <is>
          <t>factsheet</t>
        </is>
      </c>
      <c r="D1384" t="inlineStr">
        <is>
          <t>2026_Villa Park - Factsheet Sep 2026.pdf</t>
        </is>
      </c>
      <c r="E1384" t="n">
        <v>2026</v>
      </c>
      <c r="H1384" t="n">
        <v>10</v>
      </c>
      <c r="I1384" t="n">
        <v>9863</v>
      </c>
      <c r="J1384" t="inlineStr">
        <is>
          <t>Y</t>
        </is>
      </c>
      <c r="K1384" t="inlineStr">
        <is>
          <t>villaresorts.dash.app</t>
        </is>
      </c>
      <c r="L1384" t="inlineStr">
        <is>
          <t>brand-cdn</t>
        </is>
      </c>
      <c r="M1384"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4"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4" t="inlineStr">
        <is>
          <t>248134d705580d24fb565b7a0d7360f90d9a48bd26e39784fb4dfc284c2b637f</t>
        </is>
      </c>
      <c r="P1384" t="inlineStr">
        <is>
          <t>library/176_villa-park-sun-island/factsheet/2026_Villa Park - Factsheet Sep 2026.pdf</t>
        </is>
      </c>
      <c r="R1384" t="inlineStr">
        <is>
          <t>current</t>
        </is>
      </c>
      <c r="S1384" t="inlineStr">
        <is>
          <t>N</t>
        </is>
      </c>
      <c r="T1384" t="inlineStr">
        <is>
          <t>matched</t>
        </is>
      </c>
      <c r="U1384" t="inlineStr">
        <is>
          <t>2026-10-04</t>
        </is>
      </c>
      <c r="V1384" t="inlineStr"/>
    </row>
    <row r="1385">
      <c r="A1385" t="n">
        <v>176</v>
      </c>
      <c r="B1385" t="inlineStr">
        <is>
          <t>Villa Park Sun Island</t>
        </is>
      </c>
      <c r="C1385" t="inlineStr">
        <is>
          <t>events</t>
        </is>
      </c>
      <c r="D1385" t="inlineStr">
        <is>
          <t>2021_Villa Park - MICE.pdf</t>
        </is>
      </c>
      <c r="E1385" t="n">
        <v>2021</v>
      </c>
      <c r="H1385" t="n">
        <v>11</v>
      </c>
      <c r="I1385" t="n">
        <v>4809</v>
      </c>
      <c r="J1385" t="inlineStr">
        <is>
          <t>Y</t>
        </is>
      </c>
      <c r="K1385" t="inlineStr">
        <is>
          <t>villaresorts.dash.app</t>
        </is>
      </c>
      <c r="L1385" t="inlineStr">
        <is>
          <t>brand-cdn</t>
        </is>
      </c>
      <c r="M1385"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5"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5" t="inlineStr">
        <is>
          <t>5fd5a725268bc0d0974b6039628ae7d9734b04ae5a866333ecf960f354748faf</t>
        </is>
      </c>
      <c r="P1385" t="inlineStr">
        <is>
          <t>library/176_villa-park-sun-island/events/2021_Villa Park - MICE.pdf</t>
        </is>
      </c>
      <c r="R1385" t="inlineStr">
        <is>
          <t>outdated</t>
        </is>
      </c>
      <c r="S1385" t="inlineStr">
        <is>
          <t>Y</t>
        </is>
      </c>
      <c r="T1385" t="inlineStr">
        <is>
          <t>matched</t>
        </is>
      </c>
      <c r="U1385" t="inlineStr">
        <is>
          <t>2026-10-04</t>
        </is>
      </c>
      <c r="V1385" t="inlineStr"/>
    </row>
    <row r="1386">
      <c r="A1386" t="n">
        <v>176</v>
      </c>
      <c r="B1386" t="inlineStr">
        <is>
          <t>Villa Park Sun Island</t>
        </is>
      </c>
      <c r="C1386" t="inlineStr">
        <is>
          <t>map</t>
        </is>
      </c>
      <c r="D1386" t="inlineStr">
        <is>
          <t>2026_Villa Park - Map September 2026.pdf</t>
        </is>
      </c>
      <c r="E1386" t="n">
        <v>2026</v>
      </c>
      <c r="H1386" t="n">
        <v>1</v>
      </c>
      <c r="I1386" t="n">
        <v>334</v>
      </c>
      <c r="J1386" t="inlineStr">
        <is>
          <t>Y</t>
        </is>
      </c>
      <c r="K1386" t="inlineStr">
        <is>
          <t>villaresorts.dash.app</t>
        </is>
      </c>
      <c r="L1386" t="inlineStr">
        <is>
          <t>brand-cdn</t>
        </is>
      </c>
      <c r="M1386"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6"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6" t="inlineStr">
        <is>
          <t>20d29af9651a9c5e5dfb0cc7c98284314d02540d16a961c6dbb2522b62339d39</t>
        </is>
      </c>
      <c r="P1386" t="inlineStr">
        <is>
          <t>library/176_villa-park-sun-island/map/2026_Villa Park - Map September 2026.pdf</t>
        </is>
      </c>
      <c r="R1386" t="inlineStr">
        <is>
          <t>current</t>
        </is>
      </c>
      <c r="S1386" t="inlineStr">
        <is>
          <t>Y</t>
        </is>
      </c>
      <c r="T1386" t="inlineStr">
        <is>
          <t>matched</t>
        </is>
      </c>
      <c r="U1386" t="inlineStr">
        <is>
          <t>2026-10-04</t>
        </is>
      </c>
      <c r="V1386" t="inlineStr"/>
    </row>
    <row r="1387">
      <c r="A1387" t="n">
        <v>176</v>
      </c>
      <c r="B1387" t="inlineStr">
        <is>
          <t>Villa Park Sun Island</t>
        </is>
      </c>
      <c r="C1387" t="inlineStr">
        <is>
          <t>dining_menu</t>
        </is>
      </c>
      <c r="D1387" t="inlineStr">
        <is>
          <t>2026_Excursions Menu - Villa Park.pdf</t>
        </is>
      </c>
      <c r="E1387" t="n">
        <v>2026</v>
      </c>
      <c r="H1387" t="n">
        <v>11</v>
      </c>
      <c r="I1387" t="n">
        <v>8733</v>
      </c>
      <c r="J1387" t="inlineStr">
        <is>
          <t>Y</t>
        </is>
      </c>
      <c r="K1387" t="inlineStr">
        <is>
          <t>villaresorts.dash.app</t>
        </is>
      </c>
      <c r="L1387" t="inlineStr">
        <is>
          <t>brand-cdn</t>
        </is>
      </c>
      <c r="M138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7" t="inlineStr">
        <is>
          <t>685cb6e6df5dde85e955ae7fffa794d685ba2a8d7073c2733d7490d107799a71</t>
        </is>
      </c>
      <c r="P1387" t="inlineStr">
        <is>
          <t>library/176_villa-park-sun-island/dining_menu/2026_Excursions Menu - Villa Park.pdf</t>
        </is>
      </c>
      <c r="R1387" t="inlineStr">
        <is>
          <t>current</t>
        </is>
      </c>
      <c r="S1387" t="inlineStr">
        <is>
          <t>N</t>
        </is>
      </c>
      <c r="T1387" t="inlineStr">
        <is>
          <t>matched</t>
        </is>
      </c>
      <c r="U1387" t="inlineStr">
        <is>
          <t>2026-10-04</t>
        </is>
      </c>
      <c r="V1387" t="inlineStr"/>
    </row>
    <row r="1388">
      <c r="A1388" t="n">
        <v>176</v>
      </c>
      <c r="B1388" t="inlineStr">
        <is>
          <t>Villa Park Sun Island</t>
        </is>
      </c>
      <c r="C1388" t="inlineStr">
        <is>
          <t>dining_menu</t>
        </is>
      </c>
      <c r="D1388" t="inlineStr">
        <is>
          <t>2026_WATERSPORTS MENU - Villa Park.pdf</t>
        </is>
      </c>
      <c r="E1388" t="n">
        <v>2026</v>
      </c>
      <c r="H1388" t="n">
        <v>31</v>
      </c>
      <c r="I1388" t="n">
        <v>49567</v>
      </c>
      <c r="J1388" t="inlineStr">
        <is>
          <t>Y</t>
        </is>
      </c>
      <c r="K1388" t="inlineStr">
        <is>
          <t>villaresorts.dash.app</t>
        </is>
      </c>
      <c r="L1388" t="inlineStr">
        <is>
          <t>brand-cdn</t>
        </is>
      </c>
      <c r="M138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8" t="inlineStr">
        <is>
          <t>16ec0a770afe273c750ed910b433e178d3bb740bfe1587f2d442270f03ca9c23</t>
        </is>
      </c>
      <c r="P1388" t="inlineStr">
        <is>
          <t>library/176_villa-park-sun-island/dining_menu/2026_WATERSPORTS MENU - Villa Park.pdf</t>
        </is>
      </c>
      <c r="R1388" t="inlineStr">
        <is>
          <t>current</t>
        </is>
      </c>
      <c r="S1388" t="inlineStr">
        <is>
          <t>Y</t>
        </is>
      </c>
      <c r="T1388" t="inlineStr">
        <is>
          <t>matched</t>
        </is>
      </c>
      <c r="U1388" t="inlineStr">
        <is>
          <t>2026-10-04</t>
        </is>
      </c>
      <c r="V1388" t="inlineStr"/>
    </row>
    <row r="1389">
      <c r="A1389" t="n">
        <v>176</v>
      </c>
      <c r="B1389" t="inlineStr">
        <is>
          <t>Villa Park Sun Island</t>
        </is>
      </c>
      <c r="C1389" t="inlineStr">
        <is>
          <t>dive_prices</t>
        </is>
      </c>
      <c r="D1389" t="inlineStr">
        <is>
          <t>2026_Villa Park - Diving - Brochure 2026.pdf</t>
        </is>
      </c>
      <c r="E1389" t="n">
        <v>2026</v>
      </c>
      <c r="H1389" t="n">
        <v>24</v>
      </c>
      <c r="I1389" t="n">
        <v>2295</v>
      </c>
      <c r="J1389" t="inlineStr">
        <is>
          <t>Y</t>
        </is>
      </c>
      <c r="K1389" t="inlineStr">
        <is>
          <t>villaresorts.dash.app</t>
        </is>
      </c>
      <c r="L1389" t="inlineStr">
        <is>
          <t>brand-cdn</t>
        </is>
      </c>
      <c r="M138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9" t="inlineStr">
        <is>
          <t>8392cf294d82e91ca40f6ecdac728c912a5eb160f9c501abb496b5d76f54b628</t>
        </is>
      </c>
      <c r="P1389" t="inlineStr">
        <is>
          <t>library/176_villa-park-sun-island/dive_prices/2026_Villa Park - Diving - Brochure 2026.pdf</t>
        </is>
      </c>
      <c r="R1389" t="inlineStr">
        <is>
          <t>current</t>
        </is>
      </c>
      <c r="S1389" t="inlineStr">
        <is>
          <t>Y</t>
        </is>
      </c>
      <c r="T1389" t="inlineStr">
        <is>
          <t>matched</t>
        </is>
      </c>
      <c r="U1389" t="inlineStr">
        <is>
          <t>2026-10-04</t>
        </is>
      </c>
      <c r="V1389" t="inlineStr"/>
    </row>
    <row r="1390">
      <c r="A1390" t="n">
        <v>176</v>
      </c>
      <c r="B1390" t="inlineStr">
        <is>
          <t>Villa Park Sun Island</t>
        </is>
      </c>
      <c r="C1390" t="inlineStr">
        <is>
          <t>dive_prices</t>
        </is>
      </c>
      <c r="D1390" t="inlineStr">
        <is>
          <t>2026_Villa Park - Diving - Price List 2026.pdf</t>
        </is>
      </c>
      <c r="E1390" t="n">
        <v>2026</v>
      </c>
      <c r="H1390" t="n">
        <v>1</v>
      </c>
      <c r="I1390" t="n">
        <v>119</v>
      </c>
      <c r="J1390" t="inlineStr">
        <is>
          <t>Y</t>
        </is>
      </c>
      <c r="K1390" t="inlineStr">
        <is>
          <t>villaresorts.dash.app</t>
        </is>
      </c>
      <c r="L1390" t="inlineStr">
        <is>
          <t>brand-cdn</t>
        </is>
      </c>
      <c r="M139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0" t="inlineStr">
        <is>
          <t>443ce9c001ea0b1892b4ef817e03da5b616a98ca7b9132adced470a5201a02df</t>
        </is>
      </c>
      <c r="P1390" t="inlineStr">
        <is>
          <t>library/176_villa-park-sun-island/dive_prices/2026_Villa Park - Diving - Price List 2026.pdf</t>
        </is>
      </c>
      <c r="R1390" t="inlineStr">
        <is>
          <t>current</t>
        </is>
      </c>
      <c r="S1390" t="inlineStr">
        <is>
          <t>N</t>
        </is>
      </c>
      <c r="T1390" t="inlineStr">
        <is>
          <t>matched</t>
        </is>
      </c>
      <c r="U1390" t="inlineStr">
        <is>
          <t>2026-10-04</t>
        </is>
      </c>
      <c r="V1390" t="inlineStr"/>
    </row>
    <row r="1391">
      <c r="A1391" t="n">
        <v>176</v>
      </c>
      <c r="B1391" t="inlineStr">
        <is>
          <t>Villa Park Sun Island</t>
        </is>
      </c>
      <c r="C1391" t="inlineStr">
        <is>
          <t>villa_plans</t>
        </is>
      </c>
      <c r="D1391" t="inlineStr">
        <is>
          <t>2026_Villa Park - AI Plans _G1D27_ - May 2026.pdf</t>
        </is>
      </c>
      <c r="E1391" t="n">
        <v>2026</v>
      </c>
      <c r="H1391" t="n">
        <v>3</v>
      </c>
      <c r="I1391" t="n">
        <v>2537</v>
      </c>
      <c r="J1391" t="inlineStr">
        <is>
          <t>Y</t>
        </is>
      </c>
      <c r="K1391" t="inlineStr">
        <is>
          <t>villaresorts.dash.app</t>
        </is>
      </c>
      <c r="L1391" t="inlineStr">
        <is>
          <t>brand-cdn</t>
        </is>
      </c>
      <c r="M139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1" t="inlineStr">
        <is>
          <t>40f40c00bff9aa200d63d7b7b5c84eb77bdf650456fb8c88e9000f27e94e6f61</t>
        </is>
      </c>
      <c r="P1391" t="inlineStr">
        <is>
          <t>library/176_villa-park-sun-island/villa_plans/2026_Villa Park - AI Plans _G1D27_ - May 2026.pdf</t>
        </is>
      </c>
      <c r="R1391" t="inlineStr">
        <is>
          <t>current</t>
        </is>
      </c>
      <c r="S1391" t="inlineStr">
        <is>
          <t>Y</t>
        </is>
      </c>
      <c r="T1391" t="inlineStr">
        <is>
          <t>matched</t>
        </is>
      </c>
      <c r="U1391" t="inlineStr">
        <is>
          <t>2026-10-04</t>
        </is>
      </c>
      <c r="V1391" t="inlineStr"/>
    </row>
    <row r="1392">
      <c r="A1392" t="n">
        <v>176</v>
      </c>
      <c r="B1392" t="inlineStr">
        <is>
          <t>Villa Park Sun Island</t>
        </is>
      </c>
      <c r="C1392" t="inlineStr">
        <is>
          <t>villa_plans</t>
        </is>
      </c>
      <c r="D1392" t="inlineStr">
        <is>
          <t>2025_Photo Studio - Digital Brochure - Villa Park.pdf</t>
        </is>
      </c>
      <c r="E1392" t="n">
        <v>2025</v>
      </c>
      <c r="H1392" t="n">
        <v>13</v>
      </c>
      <c r="I1392" t="n">
        <v>5912</v>
      </c>
      <c r="J1392" t="inlineStr">
        <is>
          <t>Y</t>
        </is>
      </c>
      <c r="K1392" t="inlineStr">
        <is>
          <t>villaresorts.dash.app</t>
        </is>
      </c>
      <c r="L1392" t="inlineStr">
        <is>
          <t>brand-cdn</t>
        </is>
      </c>
      <c r="M1392"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2"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2" t="inlineStr">
        <is>
          <t>e58224034f6d6dd14c93645565844ecc5658ebc5d46bfe8939e83c2a6f353a43</t>
        </is>
      </c>
      <c r="P1392" t="inlineStr">
        <is>
          <t>library/176_villa-park-sun-island/villa_plans/2025_Photo Studio - Digital Brochure - Villa Park.pdf</t>
        </is>
      </c>
      <c r="R1392" t="inlineStr">
        <is>
          <t>current</t>
        </is>
      </c>
      <c r="S1392" t="inlineStr">
        <is>
          <t>N</t>
        </is>
      </c>
      <c r="T1392" t="inlineStr">
        <is>
          <t>matched</t>
        </is>
      </c>
      <c r="U1392" t="inlineStr">
        <is>
          <t>2026-10-04</t>
        </is>
      </c>
      <c r="V1392" t="inlineStr"/>
    </row>
    <row r="1393">
      <c r="A1393" t="n">
        <v>176</v>
      </c>
      <c r="B1393" t="inlineStr">
        <is>
          <t>Villa Park Sun Island</t>
        </is>
      </c>
      <c r="C1393" t="inlineStr">
        <is>
          <t>villa_plans</t>
        </is>
      </c>
      <c r="D1393" t="inlineStr">
        <is>
          <t>2025_Villa Park - Sunset Deluxe Beach Villa.pdf</t>
        </is>
      </c>
      <c r="E1393" t="n">
        <v>2025</v>
      </c>
      <c r="H1393" t="n">
        <v>6</v>
      </c>
      <c r="I1393" t="n">
        <v>4908</v>
      </c>
      <c r="J1393" t="inlineStr">
        <is>
          <t>Y</t>
        </is>
      </c>
      <c r="K1393" t="inlineStr">
        <is>
          <t>villaresorts.dash.app</t>
        </is>
      </c>
      <c r="L1393" t="inlineStr">
        <is>
          <t>brand-cdn</t>
        </is>
      </c>
      <c r="M1393"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3"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3" t="inlineStr">
        <is>
          <t>b6bced83d2c2aec1bd570a1787c81789e75273321e303cc2c170ec47ff35d8f2</t>
        </is>
      </c>
      <c r="P1393" t="inlineStr">
        <is>
          <t>library/176_villa-park-sun-island/villa_plans/2025_Villa Park - Sunset Deluxe Beach Villa.pdf</t>
        </is>
      </c>
      <c r="R1393" t="inlineStr">
        <is>
          <t>current</t>
        </is>
      </c>
      <c r="S1393" t="inlineStr">
        <is>
          <t>N</t>
        </is>
      </c>
      <c r="T1393" t="inlineStr">
        <is>
          <t>matched</t>
        </is>
      </c>
      <c r="U1393" t="inlineStr">
        <is>
          <t>2026-10-04</t>
        </is>
      </c>
      <c r="V1393" t="inlineStr"/>
    </row>
    <row r="1394">
      <c r="A1394" t="n">
        <v>176</v>
      </c>
      <c r="B1394" t="inlineStr">
        <is>
          <t>Villa Park Sun Island</t>
        </is>
      </c>
      <c r="C1394" t="inlineStr">
        <is>
          <t>villa_plans</t>
        </is>
      </c>
      <c r="D1394" t="inlineStr">
        <is>
          <t>2024_Villa Park - Brochure - FEB2024.pdf</t>
        </is>
      </c>
      <c r="E1394" t="n">
        <v>2024</v>
      </c>
      <c r="H1394" t="n">
        <v>15</v>
      </c>
      <c r="I1394" t="n">
        <v>19834</v>
      </c>
      <c r="J1394" t="inlineStr">
        <is>
          <t>Y</t>
        </is>
      </c>
      <c r="K1394" t="inlineStr">
        <is>
          <t>villaresorts.dash.app</t>
        </is>
      </c>
      <c r="L1394" t="inlineStr">
        <is>
          <t>brand-cdn</t>
        </is>
      </c>
      <c r="M1394"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4"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4" t="inlineStr">
        <is>
          <t>5e0290b151904b5f5ba266cba67baabed85a76a651f95959a8242e4c49d73fca</t>
        </is>
      </c>
      <c r="P1394" t="inlineStr">
        <is>
          <t>library/176_villa-park-sun-island/villa_plans/2024_Villa Park - Brochure - FEB2024.pdf</t>
        </is>
      </c>
      <c r="R1394" t="inlineStr">
        <is>
          <t>outdated</t>
        </is>
      </c>
      <c r="S1394" t="inlineStr">
        <is>
          <t>N</t>
        </is>
      </c>
      <c r="T1394" t="inlineStr">
        <is>
          <t>matched</t>
        </is>
      </c>
      <c r="U1394" t="inlineStr">
        <is>
          <t>2026-10-04</t>
        </is>
      </c>
      <c r="V1394" t="inlineStr"/>
    </row>
    <row r="1395">
      <c r="A1395" t="n">
        <v>176</v>
      </c>
      <c r="B1395" t="inlineStr">
        <is>
          <t>Villa Park Sun Island</t>
        </is>
      </c>
      <c r="C1395" t="inlineStr">
        <is>
          <t>villa_plans</t>
        </is>
      </c>
      <c r="D1395" t="inlineStr">
        <is>
          <t>2023_Villa Park _ Style Guides.pdf</t>
        </is>
      </c>
      <c r="E1395" t="n">
        <v>2023</v>
      </c>
      <c r="H1395" t="n">
        <v>5</v>
      </c>
      <c r="I1395" t="n">
        <v>556</v>
      </c>
      <c r="J1395" t="inlineStr">
        <is>
          <t>Y</t>
        </is>
      </c>
      <c r="K1395" t="inlineStr">
        <is>
          <t>villaresorts.dash.app</t>
        </is>
      </c>
      <c r="L1395" t="inlineStr">
        <is>
          <t>brand-cdn</t>
        </is>
      </c>
      <c r="M1395"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5"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5" t="inlineStr">
        <is>
          <t>20211e95f2833aaeecb2002a4c09c3600ca6b515e5b8a3ac35d5156f4c700ae3</t>
        </is>
      </c>
      <c r="P1395" t="inlineStr">
        <is>
          <t>library/176_villa-park-sun-island/villa_plans/2023_Villa Park _ Style Guides.pdf</t>
        </is>
      </c>
      <c r="R1395" t="inlineStr">
        <is>
          <t>outdated</t>
        </is>
      </c>
      <c r="S1395" t="inlineStr">
        <is>
          <t>N</t>
        </is>
      </c>
      <c r="T1395" t="inlineStr">
        <is>
          <t>matched</t>
        </is>
      </c>
      <c r="U1395" t="inlineStr">
        <is>
          <t>2026-10-04</t>
        </is>
      </c>
      <c r="V1395" t="inlineStr"/>
    </row>
    <row r="1396">
      <c r="A1396" t="n">
        <v>177</v>
      </c>
      <c r="B1396" t="inlineStr">
        <is>
          <t>Royal Island Resort and Spa</t>
        </is>
      </c>
      <c r="C1396" t="inlineStr">
        <is>
          <t>factsheet</t>
        </is>
      </c>
      <c r="D1396" t="inlineStr">
        <is>
          <t>2026_Royal - Factsheet Jun 2026.pdf</t>
        </is>
      </c>
      <c r="E1396" t="n">
        <v>2026</v>
      </c>
      <c r="H1396" t="n">
        <v>10</v>
      </c>
      <c r="I1396" t="n">
        <v>10632</v>
      </c>
      <c r="J1396" t="inlineStr">
        <is>
          <t>Y</t>
        </is>
      </c>
      <c r="K1396" t="inlineStr">
        <is>
          <t>villaresorts.dash.app</t>
        </is>
      </c>
      <c r="L1396" t="inlineStr">
        <is>
          <t>brand-cdn</t>
        </is>
      </c>
      <c r="M1396"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6"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6" t="inlineStr">
        <is>
          <t>f349f4de5f0aa27e60480e98751f26306fba366370e40d6fb82b2dd00927a53c</t>
        </is>
      </c>
      <c r="P1396" t="inlineStr">
        <is>
          <t>library/177_royal-island-resort-and-spa/factsheet/2026_Royal - Factsheet Jun 2026.pdf</t>
        </is>
      </c>
      <c r="R1396" t="inlineStr">
        <is>
          <t>current</t>
        </is>
      </c>
      <c r="S1396" t="inlineStr">
        <is>
          <t>Y</t>
        </is>
      </c>
      <c r="T1396" t="inlineStr">
        <is>
          <t>matched</t>
        </is>
      </c>
      <c r="U1396" t="inlineStr">
        <is>
          <t>2026-10-04</t>
        </is>
      </c>
      <c r="V1396" t="inlineStr"/>
    </row>
    <row r="1397">
      <c r="A1397" t="n">
        <v>177</v>
      </c>
      <c r="B1397" t="inlineStr">
        <is>
          <t>Royal Island Resort and Spa</t>
        </is>
      </c>
      <c r="C1397" t="inlineStr">
        <is>
          <t>wedding</t>
        </is>
      </c>
      <c r="D1397" t="inlineStr">
        <is>
          <t>2022_Royal Island - Weddings - Menu.pdf</t>
        </is>
      </c>
      <c r="E1397" t="n">
        <v>2022</v>
      </c>
      <c r="H1397" t="n">
        <v>1</v>
      </c>
      <c r="I1397" t="n">
        <v>355</v>
      </c>
      <c r="J1397" t="inlineStr">
        <is>
          <t>Y</t>
        </is>
      </c>
      <c r="K1397" t="inlineStr">
        <is>
          <t>villaresorts.dash.app</t>
        </is>
      </c>
      <c r="L1397" t="inlineStr">
        <is>
          <t>brand-cdn</t>
        </is>
      </c>
      <c r="M1397"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7"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7" t="inlineStr">
        <is>
          <t>0a7467fdec21f6c61dbdbb504df4a88d0ce1eb310ac9b229e6dfc574cb8cd49c</t>
        </is>
      </c>
      <c r="P1397" t="inlineStr">
        <is>
          <t>library/177_royal-island-resort-and-spa/wedding/2022_Royal Island - Weddings - Menu.pdf</t>
        </is>
      </c>
      <c r="R1397" t="inlineStr">
        <is>
          <t>outdated</t>
        </is>
      </c>
      <c r="S1397" t="inlineStr">
        <is>
          <t>Y</t>
        </is>
      </c>
      <c r="T1397" t="inlineStr">
        <is>
          <t>matched</t>
        </is>
      </c>
      <c r="U1397" t="inlineStr">
        <is>
          <t>2026-10-04</t>
        </is>
      </c>
      <c r="V1397" t="inlineStr"/>
    </row>
    <row r="1398">
      <c r="A1398" t="n">
        <v>177</v>
      </c>
      <c r="B1398" t="inlineStr">
        <is>
          <t>Royal Island Resort and Spa</t>
        </is>
      </c>
      <c r="C1398" t="inlineStr">
        <is>
          <t>map</t>
        </is>
      </c>
      <c r="D1398" t="inlineStr">
        <is>
          <t>2025_Royal Island - Resort Map - October 2025.pdf</t>
        </is>
      </c>
      <c r="E1398" t="n">
        <v>2025</v>
      </c>
      <c r="H1398" t="n">
        <v>1</v>
      </c>
      <c r="I1398" t="n">
        <v>755</v>
      </c>
      <c r="J1398" t="inlineStr">
        <is>
          <t>Y</t>
        </is>
      </c>
      <c r="K1398" t="inlineStr">
        <is>
          <t>villaresorts.dash.app</t>
        </is>
      </c>
      <c r="L1398" t="inlineStr">
        <is>
          <t>brand-cdn</t>
        </is>
      </c>
      <c r="M1398"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8"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8" t="inlineStr">
        <is>
          <t>dd747e182dffa46ec6f15c0a43b6893fe7d822d354ac89b4f571105ff59a010e</t>
        </is>
      </c>
      <c r="P1398" t="inlineStr">
        <is>
          <t>library/177_royal-island-resort-and-spa/map/2025_Royal Island - Resort Map - October 2025.pdf</t>
        </is>
      </c>
      <c r="R1398" t="inlineStr">
        <is>
          <t>current</t>
        </is>
      </c>
      <c r="S1398" t="inlineStr">
        <is>
          <t>Y</t>
        </is>
      </c>
      <c r="T1398" t="inlineStr">
        <is>
          <t>matched</t>
        </is>
      </c>
      <c r="U1398" t="inlineStr">
        <is>
          <t>2026-10-04</t>
        </is>
      </c>
      <c r="V1398" t="inlineStr"/>
    </row>
    <row r="1399">
      <c r="A1399" t="n">
        <v>177</v>
      </c>
      <c r="B1399" t="inlineStr">
        <is>
          <t>Royal Island Resort and Spa</t>
        </is>
      </c>
      <c r="C1399" t="inlineStr">
        <is>
          <t>spa_menu</t>
        </is>
      </c>
      <c r="D1399" t="inlineStr">
        <is>
          <t>2025_Royal Island - Araamu Spa Menu - July 2025.pdf</t>
        </is>
      </c>
      <c r="E1399" t="n">
        <v>2025</v>
      </c>
      <c r="H1399" t="n">
        <v>22</v>
      </c>
      <c r="I1399" t="n">
        <v>59402</v>
      </c>
      <c r="J1399" t="inlineStr">
        <is>
          <t>Y</t>
        </is>
      </c>
      <c r="K1399" t="inlineStr">
        <is>
          <t>villaresorts.dash.app</t>
        </is>
      </c>
      <c r="L1399" t="inlineStr">
        <is>
          <t>brand-cdn</t>
        </is>
      </c>
      <c r="M1399"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9"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9" t="inlineStr">
        <is>
          <t>afc4ef1dd3853e56ef251b3e2e0d3bd2fd04b78213002c2b0007f32b8a867cc9</t>
        </is>
      </c>
      <c r="P1399" t="inlineStr">
        <is>
          <t>library/177_royal-island-resort-and-spa/spa_menu/2025_Royal Island - Araamu Spa Menu - July 2025.pdf</t>
        </is>
      </c>
      <c r="R1399" t="inlineStr">
        <is>
          <t>current</t>
        </is>
      </c>
      <c r="S1399" t="inlineStr">
        <is>
          <t>Y</t>
        </is>
      </c>
      <c r="T1399" t="inlineStr">
        <is>
          <t>matched</t>
        </is>
      </c>
      <c r="U1399" t="inlineStr">
        <is>
          <t>2026-10-04</t>
        </is>
      </c>
      <c r="V1399" t="inlineStr"/>
    </row>
    <row r="1400">
      <c r="A1400" t="n">
        <v>177</v>
      </c>
      <c r="B1400" t="inlineStr">
        <is>
          <t>Royal Island Resort and Spa</t>
        </is>
      </c>
      <c r="C1400" t="inlineStr">
        <is>
          <t>dive_prices</t>
        </is>
      </c>
      <c r="D1400" t="inlineStr">
        <is>
          <t>2026_Royal Island - Diving - Brochure 2026.pdf</t>
        </is>
      </c>
      <c r="E1400" t="n">
        <v>2026</v>
      </c>
      <c r="H1400" t="n">
        <v>18</v>
      </c>
      <c r="I1400" t="n">
        <v>1729</v>
      </c>
      <c r="J1400" t="inlineStr">
        <is>
          <t>Y</t>
        </is>
      </c>
      <c r="K1400" t="inlineStr">
        <is>
          <t>villaresorts.dash.app</t>
        </is>
      </c>
      <c r="L1400" t="inlineStr">
        <is>
          <t>brand-cdn</t>
        </is>
      </c>
      <c r="M1400"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0"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0" t="inlineStr">
        <is>
          <t>e238db4174439b90f873794ff59243e80754fbc2e04dcb14b8d36207dc161654</t>
        </is>
      </c>
      <c r="P1400" t="inlineStr">
        <is>
          <t>library/177_royal-island-resort-and-spa/dive_prices/2026_Royal Island - Diving - Brochure 2026.pdf</t>
        </is>
      </c>
      <c r="R1400" t="inlineStr">
        <is>
          <t>current</t>
        </is>
      </c>
      <c r="S1400" t="inlineStr">
        <is>
          <t>Y</t>
        </is>
      </c>
      <c r="T1400" t="inlineStr">
        <is>
          <t>matched</t>
        </is>
      </c>
      <c r="U1400" t="inlineStr">
        <is>
          <t>2026-10-04</t>
        </is>
      </c>
      <c r="V1400" t="inlineStr"/>
    </row>
    <row r="1401">
      <c r="A1401" t="n">
        <v>177</v>
      </c>
      <c r="B1401" t="inlineStr">
        <is>
          <t>Royal Island Resort and Spa</t>
        </is>
      </c>
      <c r="C1401" t="inlineStr">
        <is>
          <t>dive_prices</t>
        </is>
      </c>
      <c r="D1401" t="inlineStr">
        <is>
          <t>2026_Royal Island - Diving - Price List 2026.pdf</t>
        </is>
      </c>
      <c r="E1401" t="n">
        <v>2026</v>
      </c>
      <c r="H1401" t="n">
        <v>1</v>
      </c>
      <c r="I1401" t="n">
        <v>124</v>
      </c>
      <c r="J1401" t="inlineStr">
        <is>
          <t>Y</t>
        </is>
      </c>
      <c r="K1401" t="inlineStr">
        <is>
          <t>villaresorts.dash.app</t>
        </is>
      </c>
      <c r="L1401" t="inlineStr">
        <is>
          <t>brand-cdn</t>
        </is>
      </c>
      <c r="M1401"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1"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1" t="inlineStr">
        <is>
          <t>bed1897f2218169eee212edfeb0bdf8d4cb7aca10791f786ec4e23f1c445164e</t>
        </is>
      </c>
      <c r="P1401" t="inlineStr">
        <is>
          <t>library/177_royal-island-resort-and-spa/dive_prices/2026_Royal Island - Diving - Price List 2026.pdf</t>
        </is>
      </c>
      <c r="R1401" t="inlineStr">
        <is>
          <t>current</t>
        </is>
      </c>
      <c r="S1401" t="inlineStr">
        <is>
          <t>N</t>
        </is>
      </c>
      <c r="T1401" t="inlineStr">
        <is>
          <t>matched</t>
        </is>
      </c>
      <c r="U1401" t="inlineStr">
        <is>
          <t>2026-10-04</t>
        </is>
      </c>
      <c r="V1401" t="inlineStr"/>
    </row>
    <row r="1402">
      <c r="A1402" t="n">
        <v>177</v>
      </c>
      <c r="B1402" t="inlineStr">
        <is>
          <t>Royal Island Resort and Spa</t>
        </is>
      </c>
      <c r="C1402" t="inlineStr">
        <is>
          <t>kids</t>
        </is>
      </c>
      <c r="D1402" t="inlineStr">
        <is>
          <t>2026_Royal Island - Kids Club Calender - March 2026.pdf</t>
        </is>
      </c>
      <c r="E1402" t="n">
        <v>2026</v>
      </c>
      <c r="H1402" t="n">
        <v>2</v>
      </c>
      <c r="I1402" t="n">
        <v>140</v>
      </c>
      <c r="J1402" t="inlineStr">
        <is>
          <t>Y</t>
        </is>
      </c>
      <c r="K1402" t="inlineStr">
        <is>
          <t>villaresorts.dash.app</t>
        </is>
      </c>
      <c r="L1402" t="inlineStr">
        <is>
          <t>brand-cdn</t>
        </is>
      </c>
      <c r="M1402"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2"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2" t="inlineStr">
        <is>
          <t>565bae0076c131517650622a9218f5d502199f9acd88b45c4be4c144f9a5a0d2</t>
        </is>
      </c>
      <c r="P1402" t="inlineStr">
        <is>
          <t>library/177_royal-island-resort-and-spa/kids/2026_Royal Island - Kids Club Calender - March 2026.pdf</t>
        </is>
      </c>
      <c r="R1402" t="inlineStr">
        <is>
          <t>current</t>
        </is>
      </c>
      <c r="S1402" t="inlineStr">
        <is>
          <t>Y</t>
        </is>
      </c>
      <c r="T1402" t="inlineStr">
        <is>
          <t>matched</t>
        </is>
      </c>
      <c r="U1402" t="inlineStr">
        <is>
          <t>2026-10-04</t>
        </is>
      </c>
      <c r="V1402" t="inlineStr"/>
    </row>
    <row r="1403">
      <c r="A1403" t="n">
        <v>177</v>
      </c>
      <c r="B1403" t="inlineStr">
        <is>
          <t>Royal Island Resort and Spa</t>
        </is>
      </c>
      <c r="C1403" t="inlineStr">
        <is>
          <t>villa_plans</t>
        </is>
      </c>
      <c r="D1403" t="inlineStr">
        <is>
          <t>2022_Villa Resorts - Press Kit - December 2022.pdf</t>
        </is>
      </c>
      <c r="E1403" t="n">
        <v>2022</v>
      </c>
      <c r="H1403" t="n">
        <v>23</v>
      </c>
      <c r="I1403" t="n">
        <v>11541</v>
      </c>
      <c r="J1403" t="inlineStr">
        <is>
          <t>Y</t>
        </is>
      </c>
      <c r="K1403" t="inlineStr">
        <is>
          <t>villaresorts.dash.app</t>
        </is>
      </c>
      <c r="L1403" t="inlineStr">
        <is>
          <t>brand-cdn</t>
        </is>
      </c>
      <c r="M1403"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3"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3" t="inlineStr">
        <is>
          <t>bc62a8988747be4ee60e680d720d53e34f50a08bcdaba1cda2e5afd1d575048a</t>
        </is>
      </c>
      <c r="P1403" t="inlineStr">
        <is>
          <t>library/177_royal-island-resort-and-spa/villa_plans/2022_Villa Resorts - Press Kit - December 2022.pdf</t>
        </is>
      </c>
      <c r="R1403" t="inlineStr">
        <is>
          <t>outdated</t>
        </is>
      </c>
      <c r="S1403" t="inlineStr">
        <is>
          <t>Y</t>
        </is>
      </c>
      <c r="T1403" t="inlineStr">
        <is>
          <t>matched</t>
        </is>
      </c>
      <c r="U1403" t="inlineStr">
        <is>
          <t>2026-10-04</t>
        </is>
      </c>
      <c r="V1403" t="inlineStr"/>
    </row>
    <row r="1404">
      <c r="A1404" t="n">
        <v>177</v>
      </c>
      <c r="B1404" t="inlineStr">
        <is>
          <t>Royal Island Resort and Spa</t>
        </is>
      </c>
      <c r="C1404" t="inlineStr">
        <is>
          <t>all_inclusive</t>
        </is>
      </c>
      <c r="D1404" t="inlineStr">
        <is>
          <t>2026_Royal Island - AI Plans _G1D27_ - May 2026.pdf</t>
        </is>
      </c>
      <c r="E1404" t="n">
        <v>2026</v>
      </c>
      <c r="H1404" t="n">
        <v>3</v>
      </c>
      <c r="I1404" t="n">
        <v>2284</v>
      </c>
      <c r="J1404" t="inlineStr">
        <is>
          <t>Y</t>
        </is>
      </c>
      <c r="K1404" t="inlineStr">
        <is>
          <t>villaresorts.dash.app</t>
        </is>
      </c>
      <c r="L1404" t="inlineStr">
        <is>
          <t>brand-cdn</t>
        </is>
      </c>
      <c r="M1404"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4"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4" t="inlineStr">
        <is>
          <t>16690d20c1dead576619c69e319582fe757f6594e2dd95769cb40953606c52db</t>
        </is>
      </c>
      <c r="P1404" t="inlineStr">
        <is>
          <t>library/177_royal-island-resort-and-spa/all_inclusive/2026_Royal Island - AI Plans _G1D27_ - May 2026.pdf</t>
        </is>
      </c>
      <c r="R1404" t="inlineStr">
        <is>
          <t>current</t>
        </is>
      </c>
      <c r="S1404" t="inlineStr">
        <is>
          <t>Y</t>
        </is>
      </c>
      <c r="T1404" t="inlineStr">
        <is>
          <t>matched</t>
        </is>
      </c>
      <c r="U1404" t="inlineStr">
        <is>
          <t>2026-10-04</t>
        </is>
      </c>
      <c r="V1404" t="inlineStr"/>
    </row>
    <row r="1405">
      <c r="A1405" t="n">
        <v>178</v>
      </c>
      <c r="B1405" t="inlineStr">
        <is>
          <t>Diamonds Athuruga Beach &amp; Water Villas</t>
        </is>
      </c>
      <c r="C1405" t="inlineStr">
        <is>
          <t>factsheet</t>
        </is>
      </c>
      <c r="D1405" t="inlineStr">
        <is>
          <t>2019_Diamonds-Athuruga-Fact-Sheet-2019.pdf</t>
        </is>
      </c>
      <c r="E1405" t="n">
        <v>2019</v>
      </c>
      <c r="H1405" t="n">
        <v>5</v>
      </c>
      <c r="I1405" t="n">
        <v>823</v>
      </c>
      <c r="J1405" t="inlineStr">
        <is>
          <t>Y</t>
        </is>
      </c>
      <c r="K1405" t="inlineStr">
        <is>
          <t>neoscapesmaldives.com</t>
        </is>
      </c>
      <c r="L1405" t="inlineStr">
        <is>
          <t>dmc-agency</t>
        </is>
      </c>
      <c r="M1405" t="inlineStr">
        <is>
          <t>https://neoscapesmaldives.com/wp-content/uploads/Diamonds-Athuruga-Fact-Sheet-2019.pdf</t>
        </is>
      </c>
      <c r="N1405" t="inlineStr">
        <is>
          <t>https://neoscapesmaldives.com/wp-content/uploads/Diamonds-Athuruga-Fact-Sheet-2019.pdf</t>
        </is>
      </c>
      <c r="O1405" t="inlineStr">
        <is>
          <t>9eb37a3f4c7b4d3470fc83d51d7e20e717c8077d23d9d64daeee5496391acf44</t>
        </is>
      </c>
      <c r="P1405" t="inlineStr">
        <is>
          <t>library/178_diamonds-athuruga-beach-water-villas/factsheet/2019_Diamonds-Athuruga-Fact-Sheet-2019.pdf</t>
        </is>
      </c>
      <c r="R1405" t="inlineStr">
        <is>
          <t>outdated</t>
        </is>
      </c>
      <c r="S1405" t="inlineStr">
        <is>
          <t>Y</t>
        </is>
      </c>
      <c r="T1405" t="inlineStr">
        <is>
          <t>matched</t>
        </is>
      </c>
      <c r="U1405" t="inlineStr">
        <is>
          <t>2026-10-04</t>
        </is>
      </c>
      <c r="V1405" t="inlineStr"/>
    </row>
    <row r="1406">
      <c r="A1406" t="n">
        <v>178</v>
      </c>
      <c r="B1406" t="inlineStr">
        <is>
          <t>Diamonds Athuruga Beach &amp; Water Villas</t>
        </is>
      </c>
      <c r="C1406" t="inlineStr">
        <is>
          <t>map</t>
        </is>
      </c>
      <c r="D1406" t="inlineStr">
        <is>
          <t>2020_Diamonds-Athuruga_map.pdf</t>
        </is>
      </c>
      <c r="E1406" t="n">
        <v>2020</v>
      </c>
      <c r="H1406" t="n">
        <v>1</v>
      </c>
      <c r="I1406" t="n">
        <v>98</v>
      </c>
      <c r="J1406" t="inlineStr">
        <is>
          <t>N</t>
        </is>
      </c>
      <c r="K1406" t="inlineStr">
        <is>
          <t>neoscapesmaldives.com</t>
        </is>
      </c>
      <c r="L1406" t="inlineStr">
        <is>
          <t>dmc-agency</t>
        </is>
      </c>
      <c r="M1406" t="inlineStr">
        <is>
          <t>https://www.neoscapesmaldives.com/wp-content/uploads/Diamonds-Athuruga_map.pdf</t>
        </is>
      </c>
      <c r="N1406" t="inlineStr">
        <is>
          <t>https://www.neoscapesmaldives.com/wp-content/uploads/Diamonds-Athuruga_map.pdf</t>
        </is>
      </c>
      <c r="O1406" t="inlineStr">
        <is>
          <t>2c203ac7713b79f8def9019ba3d85ab48c9a861a899a98c38a62dfc61902c9f5</t>
        </is>
      </c>
      <c r="P1406" t="inlineStr">
        <is>
          <t>library/178_diamonds-athuruga-beach-water-villas/map/2020_Diamonds-Athuruga_map.pdf</t>
        </is>
      </c>
      <c r="R1406" t="inlineStr">
        <is>
          <t>outdated</t>
        </is>
      </c>
      <c r="S1406" t="inlineStr">
        <is>
          <t>Y</t>
        </is>
      </c>
      <c r="T1406" t="inlineStr">
        <is>
          <t>matched</t>
        </is>
      </c>
      <c r="U1406" t="inlineStr">
        <is>
          <t>2026-10-04</t>
        </is>
      </c>
      <c r="V1406" t="inlineStr"/>
    </row>
    <row r="1407">
      <c r="A1407" t="n">
        <v>178</v>
      </c>
      <c r="B1407" t="inlineStr">
        <is>
          <t>Diamonds Athuruga Beach &amp; Water Villas</t>
        </is>
      </c>
      <c r="C1407" t="inlineStr">
        <is>
          <t>spa_menu</t>
        </is>
      </c>
      <c r="D1407" t="inlineStr">
        <is>
          <t>2018_mc05-maldive.pdf</t>
        </is>
      </c>
      <c r="E1407" t="n">
        <v>2018</v>
      </c>
      <c r="H1407" t="n">
        <v>4</v>
      </c>
      <c r="I1407" t="n">
        <v>847</v>
      </c>
      <c r="J1407" t="inlineStr">
        <is>
          <t>Y</t>
        </is>
      </c>
      <c r="K1407" t="inlineStr">
        <is>
          <t>planhotel.com</t>
        </is>
      </c>
      <c r="L1407" t="inlineStr">
        <is>
          <t>official</t>
        </is>
      </c>
      <c r="M1407" t="inlineStr">
        <is>
          <t>https://d1vp8nomjxwyf1.cloudfront.net/wp-content/uploads/sites/109/2017/03/03070503/mc05-maldive.pdf</t>
        </is>
      </c>
      <c r="N1407" t="inlineStr">
        <is>
          <t>https://d1vp8nomjxwyf1.cloudfront.net/wp-content/uploads/sites/109/2017/03/03070503/mc05-maldive.pdf</t>
        </is>
      </c>
      <c r="O1407" t="inlineStr">
        <is>
          <t>b7967146877bf23ba6c55d09f4651d9f79220b77716342b7dd61fa873dfe3afa</t>
        </is>
      </c>
      <c r="P1407" t="inlineStr">
        <is>
          <t>library/178_diamonds-athuruga-beach-water-villas/spa_menu/2018_mc05-maldive.pdf</t>
        </is>
      </c>
      <c r="R1407" t="inlineStr">
        <is>
          <t>outdated</t>
        </is>
      </c>
      <c r="S1407" t="inlineStr">
        <is>
          <t>Y</t>
        </is>
      </c>
      <c r="T1407" t="inlineStr">
        <is>
          <t>matched</t>
        </is>
      </c>
      <c r="U1407" t="inlineStr">
        <is>
          <t>2026-10-04</t>
        </is>
      </c>
      <c r="V1407" t="inlineStr"/>
    </row>
    <row r="1408">
      <c r="A1408" t="n">
        <v>178</v>
      </c>
      <c r="B1408" t="inlineStr">
        <is>
          <t>Diamonds Athuruga Beach &amp; Water Villas</t>
        </is>
      </c>
      <c r="C1408" t="inlineStr">
        <is>
          <t>dining_menu</t>
        </is>
      </c>
      <c r="D1408" t="inlineStr">
        <is>
          <t>2019_Diamonds-Resorts_Gastronomie-e-Turisme_MarchApril-2019.pdf</t>
        </is>
      </c>
      <c r="E1408" t="n">
        <v>2019</v>
      </c>
      <c r="H1408" t="n">
        <v>4</v>
      </c>
      <c r="I1408" t="n">
        <v>1958</v>
      </c>
      <c r="J1408" t="inlineStr">
        <is>
          <t>Y</t>
        </is>
      </c>
      <c r="K1408" t="inlineStr">
        <is>
          <t>planhotel.com</t>
        </is>
      </c>
      <c r="L1408" t="inlineStr">
        <is>
          <t>official</t>
        </is>
      </c>
      <c r="M1408" t="inlineStr">
        <is>
          <t>https://d1vp8nomjxwyf1.cloudfront.net/wp-content/uploads/sites/109/2017/03/29131429/Diamonds-Resorts_Gastronomie-e-Turisme_MarchApril-2019.pdf</t>
        </is>
      </c>
      <c r="N1408" t="inlineStr">
        <is>
          <t>https://d1vp8nomjxwyf1.cloudfront.net/wp-content/uploads/sites/109/2017/03/29131429/Diamonds-Resorts_Gastronomie-e-Turisme_MarchApril-2019.pdf</t>
        </is>
      </c>
      <c r="O1408" t="inlineStr">
        <is>
          <t>01fa404b6ef0aa66cb8d9d1dd6b65f0a8cae65bc1dc078e767adbe010b324cb2</t>
        </is>
      </c>
      <c r="P1408" t="inlineStr">
        <is>
          <t>library/178_diamonds-athuruga-beach-water-villas/dining_menu/2019_Diamonds-Resorts_Gastronomie-e-Turisme_MarchApril-2019.pdf</t>
        </is>
      </c>
      <c r="R1408" t="inlineStr">
        <is>
          <t>outdated</t>
        </is>
      </c>
      <c r="S1408" t="inlineStr">
        <is>
          <t>Y</t>
        </is>
      </c>
      <c r="T1408" t="inlineStr">
        <is>
          <t>needs-review</t>
        </is>
      </c>
      <c r="U1408" t="inlineStr">
        <is>
          <t>2026-10-04</t>
        </is>
      </c>
      <c r="V1408" t="inlineStr">
        <is>
          <t>ambiguous match [178, 135]</t>
        </is>
      </c>
    </row>
    <row r="1409">
      <c r="A1409" t="n">
        <v>135</v>
      </c>
      <c r="B1409" t="inlineStr">
        <is>
          <t>Diamonds Thudufushi Beach and Water Villas</t>
        </is>
      </c>
      <c r="C1409" t="inlineStr">
        <is>
          <t>dining_menu</t>
        </is>
      </c>
      <c r="D1409" t="inlineStr">
        <is>
          <t>2019_Diamonds-Resorts_Gastronomie-e-Turisme_MarchApril-2019.pdf</t>
        </is>
      </c>
      <c r="E1409" t="n">
        <v>2019</v>
      </c>
      <c r="H1409" t="n">
        <v>4</v>
      </c>
      <c r="I1409" t="n">
        <v>1958</v>
      </c>
      <c r="J1409" t="inlineStr">
        <is>
          <t>Y</t>
        </is>
      </c>
      <c r="K1409" t="inlineStr">
        <is>
          <t>planhotel.com</t>
        </is>
      </c>
      <c r="L1409" t="inlineStr">
        <is>
          <t>official</t>
        </is>
      </c>
      <c r="M1409" t="inlineStr">
        <is>
          <t>https://d1vp8nomjxwyf1.cloudfront.net/wp-content/uploads/sites/109/2017/03/29131429/Diamonds-Resorts_Gastronomie-e-Turisme_MarchApril-2019.pdf</t>
        </is>
      </c>
      <c r="N1409" t="inlineStr">
        <is>
          <t>https://d1vp8nomjxwyf1.cloudfront.net/wp-content/uploads/sites/109/2017/03/29131429/Diamonds-Resorts_Gastronomie-e-Turisme_MarchApril-2019.pdf</t>
        </is>
      </c>
      <c r="O1409" t="inlineStr">
        <is>
          <t>01fa404b6ef0aa66cb8d9d1dd6b65f0a8cae65bc1dc078e767adbe010b324cb2</t>
        </is>
      </c>
      <c r="P1409" t="inlineStr">
        <is>
          <t>library/178_diamonds-athuruga-beach-water-villas/dining_menu/2019_Diamonds-Resorts_Gastronomie-e-Turisme_MarchApril-2019.pdf</t>
        </is>
      </c>
      <c r="R1409" t="inlineStr">
        <is>
          <t>outdated</t>
        </is>
      </c>
      <c r="S1409" t="inlineStr">
        <is>
          <t>Y</t>
        </is>
      </c>
      <c r="T1409" t="inlineStr">
        <is>
          <t>needs-review</t>
        </is>
      </c>
      <c r="U1409" t="inlineStr">
        <is>
          <t>2026-10-04</t>
        </is>
      </c>
      <c r="V1409" t="inlineStr">
        <is>
          <t>ambiguous match [178, 135]</t>
        </is>
      </c>
    </row>
    <row r="1410">
      <c r="A1410" t="n">
        <v>178</v>
      </c>
      <c r="B1410" t="inlineStr">
        <is>
          <t>Diamonds Athuruga Beach &amp; Water Villas</t>
        </is>
      </c>
      <c r="C1410" t="inlineStr">
        <is>
          <t>other</t>
        </is>
      </c>
      <c r="D1410" t="inlineStr">
        <is>
          <t>2019_Diamonds-Athuruga.pdf</t>
        </is>
      </c>
      <c r="E1410" t="n">
        <v>2019</v>
      </c>
      <c r="H1410" t="n">
        <v>13</v>
      </c>
      <c r="I1410" t="n">
        <v>5770</v>
      </c>
      <c r="J1410" t="inlineStr">
        <is>
          <t>Y</t>
        </is>
      </c>
      <c r="K1410" t="inlineStr">
        <is>
          <t>planhotel.com</t>
        </is>
      </c>
      <c r="L1410" t="inlineStr">
        <is>
          <t>official</t>
        </is>
      </c>
      <c r="M1410" t="inlineStr">
        <is>
          <t>https://d1vp8nomjxwyf1.cloudfront.net/wp-content/uploads/sites/212/2023/03/17094933/Diamonds-Athuruga.pdf</t>
        </is>
      </c>
      <c r="N1410" t="inlineStr">
        <is>
          <t>https://d1vp8nomjxwyf1.cloudfront.net/wp-content/uploads/sites/212/2023/03/17094933/Diamonds-Athuruga.pdf</t>
        </is>
      </c>
      <c r="O1410" t="inlineStr">
        <is>
          <t>451bef3be72dffd7248c020cef69959199902a98f505dfc1be90d495e34e25fa</t>
        </is>
      </c>
      <c r="P1410" t="inlineStr">
        <is>
          <t>library/178_diamonds-athuruga-beach-water-villas/other/2019_Diamonds-Athuruga.pdf</t>
        </is>
      </c>
      <c r="R1410" t="inlineStr">
        <is>
          <t>outdated</t>
        </is>
      </c>
      <c r="S1410" t="inlineStr">
        <is>
          <t>Y</t>
        </is>
      </c>
      <c r="T1410" t="inlineStr">
        <is>
          <t>matched</t>
        </is>
      </c>
      <c r="U1410" t="inlineStr">
        <is>
          <t>2026-10-04</t>
        </is>
      </c>
      <c r="V1410" t="inlineStr"/>
    </row>
    <row r="1411">
      <c r="A1411" t="n">
        <v>178</v>
      </c>
      <c r="B1411" t="inlineStr">
        <is>
          <t>Diamonds Athuruga Beach &amp; Water Villas</t>
        </is>
      </c>
      <c r="C1411" t="inlineStr">
        <is>
          <t>other</t>
        </is>
      </c>
      <c r="D1411" t="inlineStr">
        <is>
          <t>2015_DiamondsMaldives_TMA-Inflight_01_2015.pdf</t>
        </is>
      </c>
      <c r="E1411" t="n">
        <v>2015</v>
      </c>
      <c r="H1411" t="n">
        <v>2</v>
      </c>
      <c r="I1411" t="n">
        <v>947</v>
      </c>
      <c r="J1411" t="inlineStr">
        <is>
          <t>Y</t>
        </is>
      </c>
      <c r="K1411" t="inlineStr">
        <is>
          <t>planhotel.com</t>
        </is>
      </c>
      <c r="L1411" t="inlineStr">
        <is>
          <t>official</t>
        </is>
      </c>
      <c r="M1411" t="inlineStr">
        <is>
          <t>https://d1vp8nomjxwyf1.cloudfront.net/wp-content/uploads/sites/110/2017/03/10145405/DiamondsMaldives_TMA-Inflight_01_2015.pdf</t>
        </is>
      </c>
      <c r="N1411" t="inlineStr">
        <is>
          <t>https://d1vp8nomjxwyf1.cloudfront.net/wp-content/uploads/sites/110/2017/03/10145405/DiamondsMaldives_TMA-Inflight_01_2015.pdf | https://d1vp8nomjxwyf1.cloudfront.net/wp-content/uploads/sites/109/2017/03/10144945/DiamondsMaldives_TMA-Inflight_01_2015.pdf</t>
        </is>
      </c>
      <c r="O1411" t="inlineStr">
        <is>
          <t>360d9d045a7f7c87369f123896b66839bea1a2d0a70f2b74156ef29d886a0216</t>
        </is>
      </c>
      <c r="P1411" t="inlineStr">
        <is>
          <t>library/178_diamonds-athuruga-beach-water-villas/other/2015_DiamondsMaldives_TMA-Inflight_01_2015.pdf</t>
        </is>
      </c>
      <c r="R1411" t="inlineStr">
        <is>
          <t>outdated</t>
        </is>
      </c>
      <c r="S1411" t="inlineStr">
        <is>
          <t>N</t>
        </is>
      </c>
      <c r="T1411" t="inlineStr">
        <is>
          <t>needs-review</t>
        </is>
      </c>
      <c r="U1411" t="inlineStr">
        <is>
          <t>2026-10-04</t>
        </is>
      </c>
      <c r="V1411" t="inlineStr">
        <is>
          <t>ambiguous match [178, 135]</t>
        </is>
      </c>
    </row>
    <row r="1412">
      <c r="A1412" t="n">
        <v>135</v>
      </c>
      <c r="B1412" t="inlineStr">
        <is>
          <t>Diamonds Thudufushi Beach and Water Villas</t>
        </is>
      </c>
      <c r="C1412" t="inlineStr">
        <is>
          <t>other</t>
        </is>
      </c>
      <c r="D1412" t="inlineStr">
        <is>
          <t>2015_DiamondsMaldives_TMA-Inflight_01_2015.pdf</t>
        </is>
      </c>
      <c r="E1412" t="n">
        <v>2015</v>
      </c>
      <c r="H1412" t="n">
        <v>2</v>
      </c>
      <c r="I1412" t="n">
        <v>947</v>
      </c>
      <c r="J1412" t="inlineStr">
        <is>
          <t>Y</t>
        </is>
      </c>
      <c r="K1412" t="inlineStr">
        <is>
          <t>planhotel.com</t>
        </is>
      </c>
      <c r="L1412" t="inlineStr">
        <is>
          <t>official</t>
        </is>
      </c>
      <c r="M1412" t="inlineStr">
        <is>
          <t>https://d1vp8nomjxwyf1.cloudfront.net/wp-content/uploads/sites/110/2017/03/10145405/DiamondsMaldives_TMA-Inflight_01_2015.pdf</t>
        </is>
      </c>
      <c r="N1412" t="inlineStr">
        <is>
          <t>https://d1vp8nomjxwyf1.cloudfront.net/wp-content/uploads/sites/110/2017/03/10145405/DiamondsMaldives_TMA-Inflight_01_2015.pdf | https://d1vp8nomjxwyf1.cloudfront.net/wp-content/uploads/sites/109/2017/03/10144945/DiamondsMaldives_TMA-Inflight_01_2015.pdf</t>
        </is>
      </c>
      <c r="O1412" t="inlineStr">
        <is>
          <t>360d9d045a7f7c87369f123896b66839bea1a2d0a70f2b74156ef29d886a0216</t>
        </is>
      </c>
      <c r="P1412" t="inlineStr">
        <is>
          <t>library/178_diamonds-athuruga-beach-water-villas/other/2015_DiamondsMaldives_TMA-Inflight_01_2015.pdf</t>
        </is>
      </c>
      <c r="R1412" t="inlineStr">
        <is>
          <t>outdated</t>
        </is>
      </c>
      <c r="S1412" t="inlineStr">
        <is>
          <t>N</t>
        </is>
      </c>
      <c r="T1412" t="inlineStr">
        <is>
          <t>needs-review</t>
        </is>
      </c>
      <c r="U1412" t="inlineStr">
        <is>
          <t>2026-10-04</t>
        </is>
      </c>
      <c r="V1412" t="inlineStr">
        <is>
          <t>ambiguous match [178, 135]</t>
        </is>
      </c>
    </row>
    <row r="1413">
      <c r="A1413" t="n">
        <v>178</v>
      </c>
      <c r="B1413" t="inlineStr">
        <is>
          <t>Diamonds Athuruga Beach &amp; Water Villas</t>
        </is>
      </c>
      <c r="C1413" t="inlineStr">
        <is>
          <t>other</t>
        </is>
      </c>
      <c r="D1413" t="inlineStr">
        <is>
          <t>2015_DiamondsAthuruga_Aurum-9999_Winter-2015.pdf</t>
        </is>
      </c>
      <c r="E1413" t="n">
        <v>2015</v>
      </c>
      <c r="H1413" t="n">
        <v>2</v>
      </c>
      <c r="I1413" t="n">
        <v>1518</v>
      </c>
      <c r="J1413" t="inlineStr">
        <is>
          <t>N</t>
        </is>
      </c>
      <c r="K1413" t="inlineStr">
        <is>
          <t>planhotel.com</t>
        </is>
      </c>
      <c r="L1413" t="inlineStr">
        <is>
          <t>official</t>
        </is>
      </c>
      <c r="M1413" t="inlineStr">
        <is>
          <t>https://d1vp8nomjxwyf1.cloudfront.net/wp-content/uploads/sites/109/2017/03/10144057/DiamondsAthuruga_Aurum-9999_Winter-2015.pdf</t>
        </is>
      </c>
      <c r="N1413" t="inlineStr">
        <is>
          <t>https://d1vp8nomjxwyf1.cloudfront.net/wp-content/uploads/sites/109/2017/03/10144057/DiamondsAthuruga_Aurum-9999_Winter-2015.pdf</t>
        </is>
      </c>
      <c r="O1413" t="inlineStr">
        <is>
          <t>3f981060770603408bb1db8baf1e0376cf087e802358e76f0dfb71c04a32aa07</t>
        </is>
      </c>
      <c r="P1413" t="inlineStr">
        <is>
          <t>library/178_diamonds-athuruga-beach-water-villas/other/2015_DiamondsAthuruga_Aurum-9999_Winter-2015.pdf</t>
        </is>
      </c>
      <c r="R1413" t="inlineStr">
        <is>
          <t>outdated</t>
        </is>
      </c>
      <c r="S1413" t="inlineStr">
        <is>
          <t>N</t>
        </is>
      </c>
      <c r="T1413" t="inlineStr">
        <is>
          <t>matched</t>
        </is>
      </c>
      <c r="U1413" t="inlineStr">
        <is>
          <t>2026-10-04</t>
        </is>
      </c>
      <c r="V1413" t="inlineStr"/>
    </row>
    <row r="1414">
      <c r="A1414" t="n">
        <v>179</v>
      </c>
      <c r="B1414" t="inlineStr">
        <is>
          <t>Siyam World Maldives</t>
        </is>
      </c>
      <c r="C1414" t="inlineStr">
        <is>
          <t>factsheet</t>
        </is>
      </c>
      <c r="D1414" t="inlineStr">
        <is>
          <t>2024_Siyam-World-Factsheet_02-Nov-2024-31-Oct-25.pdf</t>
        </is>
      </c>
      <c r="E1414" t="n">
        <v>2024</v>
      </c>
      <c r="H1414" t="n">
        <v>17</v>
      </c>
      <c r="I1414" t="n">
        <v>21214</v>
      </c>
      <c r="J1414" t="inlineStr">
        <is>
          <t>Y</t>
        </is>
      </c>
      <c r="K1414" t="inlineStr">
        <is>
          <t>neoscapesmaldives.com</t>
        </is>
      </c>
      <c r="L1414" t="inlineStr">
        <is>
          <t>dmc-agency</t>
        </is>
      </c>
      <c r="M1414" t="inlineStr">
        <is>
          <t>https://www.neoscapesmaldives.com/wp-content/uploads/Siyam-World-Factsheet_02-Nov-2024-31-Oct-25.pdf</t>
        </is>
      </c>
      <c r="N1414" t="inlineStr">
        <is>
          <t>https://www.neoscapesmaldives.com/wp-content/uploads/Siyam-World-Factsheet_02-Nov-2024-31-Oct-25.pdf</t>
        </is>
      </c>
      <c r="O1414" t="inlineStr">
        <is>
          <t>032865e409dd84d74d33523489a8d14b68f4c796884310c93381b150c1682de1</t>
        </is>
      </c>
      <c r="P1414" t="inlineStr">
        <is>
          <t>library/179_siyam-world-maldives/factsheet/2024_Siyam-World-Factsheet_02-Nov-2024-31-Oct-25.pdf</t>
        </is>
      </c>
      <c r="R1414" t="inlineStr">
        <is>
          <t>outdated</t>
        </is>
      </c>
      <c r="S1414" t="inlineStr">
        <is>
          <t>Y</t>
        </is>
      </c>
      <c r="T1414" t="inlineStr">
        <is>
          <t>matched</t>
        </is>
      </c>
      <c r="U1414" t="inlineStr">
        <is>
          <t>2026-10-04</t>
        </is>
      </c>
      <c r="V1414" t="inlineStr"/>
    </row>
    <row r="1415">
      <c r="A1415" t="n">
        <v>179</v>
      </c>
      <c r="B1415" t="inlineStr">
        <is>
          <t>Siyam World Maldives</t>
        </is>
      </c>
      <c r="C1415" t="inlineStr">
        <is>
          <t>map</t>
        </is>
      </c>
      <c r="D1415" t="inlineStr">
        <is>
          <t>2025_SW-main-map-with-categories.pdf</t>
        </is>
      </c>
      <c r="E1415" t="n">
        <v>2025</v>
      </c>
      <c r="H1415" t="n">
        <v>1</v>
      </c>
      <c r="I1415" t="n">
        <v>5715</v>
      </c>
      <c r="J1415" t="inlineStr">
        <is>
          <t>Y</t>
        </is>
      </c>
      <c r="K1415" t="inlineStr">
        <is>
          <t>neoscapesmaldives.com</t>
        </is>
      </c>
      <c r="L1415" t="inlineStr">
        <is>
          <t>dmc-agency</t>
        </is>
      </c>
      <c r="M1415" t="inlineStr">
        <is>
          <t>https://www.neoscapesmaldives.com/wp-content/uploads/SW-main-map-with-categories.pdf</t>
        </is>
      </c>
      <c r="N1415" t="inlineStr">
        <is>
          <t>https://www.neoscapesmaldives.com/wp-content/uploads/SW-main-map-with-categories.pdf</t>
        </is>
      </c>
      <c r="O1415" t="inlineStr">
        <is>
          <t>e29f89009e8370a7f0ca53d67c026a1d459aeac7935ad4a1f74f429c1f3edaf6</t>
        </is>
      </c>
      <c r="P1415" t="inlineStr">
        <is>
          <t>library/179_siyam-world-maldives/map/2025_SW-main-map-with-categories.pdf</t>
        </is>
      </c>
      <c r="R1415" t="inlineStr">
        <is>
          <t>current</t>
        </is>
      </c>
      <c r="S1415" t="inlineStr">
        <is>
          <t>Y</t>
        </is>
      </c>
      <c r="T1415" t="inlineStr">
        <is>
          <t>needs-review</t>
        </is>
      </c>
      <c r="U1415" t="inlineStr">
        <is>
          <t>2026-10-04</t>
        </is>
      </c>
      <c r="V1415" t="inlineStr">
        <is>
          <t>ambiguous match [179]</t>
        </is>
      </c>
    </row>
    <row r="1416">
      <c r="A1416" t="n">
        <v>179</v>
      </c>
      <c r="B1416" t="inlineStr">
        <is>
          <t>Siyam World Maldives</t>
        </is>
      </c>
      <c r="C1416" t="inlineStr">
        <is>
          <t>dining_menu</t>
        </is>
      </c>
      <c r="D1416" t="inlineStr">
        <is>
          <t>2023_SIYAM-WORLD_WOW-INCLUSIVE-W23S24_01-Nov-23.pdf</t>
        </is>
      </c>
      <c r="E1416" t="n">
        <v>2023</v>
      </c>
      <c r="H1416" t="n">
        <v>2</v>
      </c>
      <c r="I1416" t="n">
        <v>188</v>
      </c>
      <c r="J1416" t="inlineStr">
        <is>
          <t>Y</t>
        </is>
      </c>
      <c r="K1416" t="inlineStr">
        <is>
          <t>letsgomaldives.com</t>
        </is>
      </c>
      <c r="L1416" t="inlineStr">
        <is>
          <t>dmc-agency</t>
        </is>
      </c>
      <c r="M1416" t="inlineStr">
        <is>
          <t>https://letsgomaldives.com/wp-content/uploads/2023/11/SIYAM-WORLD_WOW-INCLUSIVE-W23S24_01-Nov-23.pdf</t>
        </is>
      </c>
      <c r="N1416" t="inlineStr">
        <is>
          <t>https://letsgomaldives.com/wp-content/uploads/2023/11/SIYAM-WORLD_WOW-INCLUSIVE-W23S24_01-Nov-23.pdf</t>
        </is>
      </c>
      <c r="O1416" t="inlineStr">
        <is>
          <t>61be9ce5ee8505dde496f10dc47865940303f5b7f1ca2ff84cb4b32877de08f0</t>
        </is>
      </c>
      <c r="P1416" t="inlineStr">
        <is>
          <t>library/179_siyam-world-maldives/dining_menu/2023_SIYAM-WORLD_WOW-INCLUSIVE-W23S24_01-Nov-23.pdf</t>
        </is>
      </c>
      <c r="R1416" t="inlineStr">
        <is>
          <t>outdated</t>
        </is>
      </c>
      <c r="S1416" t="inlineStr">
        <is>
          <t>Y</t>
        </is>
      </c>
      <c r="T1416" t="inlineStr">
        <is>
          <t>matched</t>
        </is>
      </c>
      <c r="U1416" t="inlineStr">
        <is>
          <t>2026-10-04</t>
        </is>
      </c>
      <c r="V1416" t="inlineStr"/>
    </row>
    <row r="1417">
      <c r="A1417" t="n">
        <v>180</v>
      </c>
      <c r="B1417" t="inlineStr">
        <is>
          <t>Lux* South Ari Atoll, Maldives</t>
        </is>
      </c>
      <c r="C1417" t="inlineStr">
        <is>
          <t>factsheet</t>
        </is>
      </c>
      <c r="D1417" t="inlineStr">
        <is>
          <t>2025_LUX_-South-Ari-Atoll-Factsheet-ENG.pdf</t>
        </is>
      </c>
      <c r="E1417" t="n">
        <v>2025</v>
      </c>
      <c r="H1417" t="n">
        <v>19</v>
      </c>
      <c r="I1417" t="n">
        <v>2054</v>
      </c>
      <c r="J1417" t="inlineStr">
        <is>
          <t>Y</t>
        </is>
      </c>
      <c r="K1417" t="inlineStr">
        <is>
          <t>neoscapesmaldives.com</t>
        </is>
      </c>
      <c r="L1417" t="inlineStr">
        <is>
          <t>dmc-agency</t>
        </is>
      </c>
      <c r="M1417" t="inlineStr">
        <is>
          <t>https://www.neoscapesmaldives.com/wp-content/uploads/LUX_-South-Ari-Atoll-Factsheet-ENG.pdf</t>
        </is>
      </c>
      <c r="N1417" t="inlineStr">
        <is>
          <t>https://www.neoscapesmaldives.com/wp-content/uploads/LUX_-South-Ari-Atoll-Factsheet-ENG.pdf</t>
        </is>
      </c>
      <c r="O1417" t="inlineStr">
        <is>
          <t>d2ce1f2aed0e1be425211fa5e31e99de185b81e658c5bbb0223f6ed6cb71dc34</t>
        </is>
      </c>
      <c r="P1417" t="inlineStr">
        <is>
          <t>library/180_lux-south-ari-atoll-maldives/factsheet/2025_LUX_-South-Ari-Atoll-Factsheet-ENG.pdf</t>
        </is>
      </c>
      <c r="R1417" t="inlineStr">
        <is>
          <t>current</t>
        </is>
      </c>
      <c r="S1417" t="inlineStr">
        <is>
          <t>Y</t>
        </is>
      </c>
      <c r="T1417" t="inlineStr">
        <is>
          <t>matched</t>
        </is>
      </c>
      <c r="U1417" t="inlineStr">
        <is>
          <t>2026-10-04</t>
        </is>
      </c>
      <c r="V1417" t="inlineStr"/>
    </row>
    <row r="1418">
      <c r="A1418" t="n">
        <v>180</v>
      </c>
      <c r="B1418" t="inlineStr">
        <is>
          <t>Lux* South Ari Atoll, Maldives</t>
        </is>
      </c>
      <c r="C1418" t="inlineStr">
        <is>
          <t>map</t>
        </is>
      </c>
      <c r="D1418" t="inlineStr">
        <is>
          <t>2019_Map-LUX-South-Ari-Atoll.pdf</t>
        </is>
      </c>
      <c r="E1418" t="n">
        <v>2019</v>
      </c>
      <c r="H1418" t="n">
        <v>1</v>
      </c>
      <c r="I1418" t="n">
        <v>217</v>
      </c>
      <c r="J1418" t="inlineStr">
        <is>
          <t>N</t>
        </is>
      </c>
      <c r="K1418" t="inlineStr">
        <is>
          <t>neoscapesmaldives.com</t>
        </is>
      </c>
      <c r="L1418" t="inlineStr">
        <is>
          <t>dmc-agency</t>
        </is>
      </c>
      <c r="M1418" t="inlineStr">
        <is>
          <t>https://www.neoscapesmaldives.com/wp-content/uploads/Map-LUX-South-Ari-Atoll.pdf</t>
        </is>
      </c>
      <c r="N1418" t="inlineStr">
        <is>
          <t>https://www.neoscapesmaldives.com/wp-content/uploads/Map-LUX-South-Ari-Atoll.pdf</t>
        </is>
      </c>
      <c r="O1418" t="inlineStr">
        <is>
          <t>fdf5bf4ad3319a00ee9286119aef61e143abdc1ab44ff5c0d0572cc4fbdc1612</t>
        </is>
      </c>
      <c r="P1418" t="inlineStr">
        <is>
          <t>library/180_lux-south-ari-atoll-maldives/map/2019_Map-LUX-South-Ari-Atoll.pdf</t>
        </is>
      </c>
      <c r="R1418" t="inlineStr">
        <is>
          <t>outdated</t>
        </is>
      </c>
      <c r="S1418" t="inlineStr">
        <is>
          <t>Y</t>
        </is>
      </c>
      <c r="T1418" t="inlineStr">
        <is>
          <t>matched</t>
        </is>
      </c>
      <c r="U1418" t="inlineStr">
        <is>
          <t>2026-10-04</t>
        </is>
      </c>
      <c r="V1418" t="inlineStr"/>
    </row>
    <row r="1419">
      <c r="A1419" t="n">
        <v>180</v>
      </c>
      <c r="B1419" t="inlineStr">
        <is>
          <t>Lux* South Ari Atoll, Maldives</t>
        </is>
      </c>
      <c r="C1419" t="inlineStr">
        <is>
          <t>calendar</t>
        </is>
      </c>
      <c r="D1419" t="inlineStr">
        <is>
          <t>2027_LSAA_-FESTIVE-BROCHURE_2627.pdf</t>
        </is>
      </c>
      <c r="E1419" t="n">
        <v>2027</v>
      </c>
      <c r="H1419" t="n">
        <v>34</v>
      </c>
      <c r="I1419" t="n">
        <v>2601</v>
      </c>
      <c r="J1419" t="inlineStr">
        <is>
          <t>Y</t>
        </is>
      </c>
      <c r="K1419" t="inlineStr">
        <is>
          <t>letsgomaldives.com</t>
        </is>
      </c>
      <c r="L1419" t="inlineStr">
        <is>
          <t>dmc-agency</t>
        </is>
      </c>
      <c r="M1419" t="inlineStr">
        <is>
          <t>https://letsgomaldives.com/wp-content/uploads/2026/08/LSAA_-FESTIVE-BROCHURE_2627.pdf</t>
        </is>
      </c>
      <c r="N1419" t="inlineStr">
        <is>
          <t>https://letsgomaldives.com/wp-content/uploads/2026/08/LSAA_-FESTIVE-BROCHURE_2627.pdf</t>
        </is>
      </c>
      <c r="O1419" t="inlineStr">
        <is>
          <t>c7d8b234786278bb4ca2fe1b14b08608c4b1a0670c2d8837183400e171d23e7c</t>
        </is>
      </c>
      <c r="P1419" t="inlineStr">
        <is>
          <t>library/180_lux-south-ari-atoll-maldives/calendar/2027_LSAA_-FESTIVE-BROCHURE_2627.pdf</t>
        </is>
      </c>
      <c r="R1419" t="inlineStr">
        <is>
          <t>current</t>
        </is>
      </c>
      <c r="S1419" t="inlineStr">
        <is>
          <t>Y</t>
        </is>
      </c>
      <c r="T1419" t="inlineStr">
        <is>
          <t>matched</t>
        </is>
      </c>
      <c r="U1419" t="inlineStr">
        <is>
          <t>2026-10-04</t>
        </is>
      </c>
      <c r="V1419" t="inlineStr"/>
    </row>
    <row r="1420">
      <c r="A1420" t="n">
        <v>180</v>
      </c>
      <c r="B1420" t="inlineStr">
        <is>
          <t>Lux* South Ari Atoll, Maldives</t>
        </is>
      </c>
      <c r="C1420" t="inlineStr">
        <is>
          <t>calendar</t>
        </is>
      </c>
      <c r="D1420" t="inlineStr">
        <is>
          <t>2026_LSAA-Easter-Program-30th-March-to-6th-April-2026.pdf</t>
        </is>
      </c>
      <c r="E1420" t="n">
        <v>2026</v>
      </c>
      <c r="H1420" t="n">
        <v>15</v>
      </c>
      <c r="I1420" t="n">
        <v>4223</v>
      </c>
      <c r="J1420" t="inlineStr">
        <is>
          <t>Y</t>
        </is>
      </c>
      <c r="K1420" t="inlineStr">
        <is>
          <t>letsgomaldives.com</t>
        </is>
      </c>
      <c r="L1420" t="inlineStr">
        <is>
          <t>dmc-agency</t>
        </is>
      </c>
      <c r="M1420" t="inlineStr">
        <is>
          <t>https://letsgomaldives.com/wp-content/uploads/2026/02/LSAA-Easter-Program-30th-March-to-6th-April-2026.pdf</t>
        </is>
      </c>
      <c r="N1420" t="inlineStr">
        <is>
          <t>https://letsgomaldives.com/wp-content/uploads/2026/02/LSAA-Easter-Program-30th-March-to-6th-April-2026.pdf</t>
        </is>
      </c>
      <c r="O1420" t="inlineStr">
        <is>
          <t>df2bdceba041c4d765f59e911da21bf00ae42827f209c118f2c12a1dc9265dfd</t>
        </is>
      </c>
      <c r="P1420" t="inlineStr">
        <is>
          <t>library/180_lux-south-ari-atoll-maldives/calendar/2026_LSAA-Easter-Program-30th-March-to-6th-April-2026.pdf</t>
        </is>
      </c>
      <c r="R1420" t="inlineStr">
        <is>
          <t>current</t>
        </is>
      </c>
      <c r="S1420" t="inlineStr">
        <is>
          <t>N</t>
        </is>
      </c>
      <c r="T1420" t="inlineStr">
        <is>
          <t>matched</t>
        </is>
      </c>
      <c r="U1420" t="inlineStr">
        <is>
          <t>2026-10-04</t>
        </is>
      </c>
      <c r="V1420" t="inlineStr"/>
    </row>
    <row r="1421">
      <c r="A1421" t="n">
        <v>182</v>
      </c>
      <c r="B1421" t="inlineStr">
        <is>
          <t>Kuredhivaru Resort and Spa</t>
        </is>
      </c>
      <c r="C1421" t="inlineStr">
        <is>
          <t>factsheet</t>
        </is>
      </c>
      <c r="D1421" t="inlineStr">
        <is>
          <t>2025_Kuredhivaru-Resort-And-Spa-Factsheet-ENG.pdf</t>
        </is>
      </c>
      <c r="E1421" t="n">
        <v>2025</v>
      </c>
      <c r="H1421" t="n">
        <v>2</v>
      </c>
      <c r="I1421" t="n">
        <v>9554</v>
      </c>
      <c r="J1421" t="inlineStr">
        <is>
          <t>N</t>
        </is>
      </c>
      <c r="K1421" t="inlineStr">
        <is>
          <t>neoscapesmaldives.com</t>
        </is>
      </c>
      <c r="L1421" t="inlineStr">
        <is>
          <t>dmc-agency</t>
        </is>
      </c>
      <c r="M1421" t="inlineStr">
        <is>
          <t>https://www.neoscapesmaldives.com/wp-content/uploads/Kuredhivaru-Resort-And-Spa-Factsheet-ENG.pdf</t>
        </is>
      </c>
      <c r="N1421" t="inlineStr">
        <is>
          <t>https://www.neoscapesmaldives.com/wp-content/uploads/Kuredhivaru-Resort-And-Spa-Factsheet-ENG.pdf</t>
        </is>
      </c>
      <c r="O1421" t="inlineStr">
        <is>
          <t>83f5a3d498950bd18837fa3976c7f3ed7bb56de6396e31f122ec55b137768b62</t>
        </is>
      </c>
      <c r="P1421" t="inlineStr">
        <is>
          <t>library/182_kuredhivaru-resort-and-spa/factsheet/2025_Kuredhivaru-Resort-And-Spa-Factsheet-ENG.pdf</t>
        </is>
      </c>
      <c r="R1421" t="inlineStr">
        <is>
          <t>current</t>
        </is>
      </c>
      <c r="S1421" t="inlineStr">
        <is>
          <t>Y</t>
        </is>
      </c>
      <c r="T1421" t="inlineStr">
        <is>
          <t>matched</t>
        </is>
      </c>
      <c r="U1421" t="inlineStr">
        <is>
          <t>2026-10-04</t>
        </is>
      </c>
      <c r="V142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224</v>
      </c>
      <c r="G2" t="inlineStr"/>
      <c r="H2" t="inlineStr">
        <is>
          <t>2026-10-04</t>
        </is>
      </c>
    </row>
    <row r="3">
      <c r="A3" t="inlineStr">
        <is>
          <t>heritancehotels.com</t>
        </is>
      </c>
      <c r="B3" t="inlineStr">
        <is>
          <t>crawl</t>
        </is>
      </c>
      <c r="C3" t="inlineStr">
        <is>
          <t>ok</t>
        </is>
      </c>
      <c r="D3" t="n">
        <v>231</v>
      </c>
      <c r="E3" t="n">
        <v>231</v>
      </c>
      <c r="F3" t="n">
        <v>189</v>
      </c>
      <c r="G3" t="inlineStr">
        <is>
          <t>pages=70 js=False dam=11</t>
        </is>
      </c>
      <c r="H3" t="inlineStr">
        <is>
          <t>2026-10-04</t>
        </is>
      </c>
    </row>
    <row r="4">
      <c r="A4" t="inlineStr">
        <is>
          <t>amilla.com</t>
        </is>
      </c>
      <c r="B4" t="inlineStr">
        <is>
          <t>crawl</t>
        </is>
      </c>
      <c r="C4" t="inlineStr">
        <is>
          <t>ok</t>
        </is>
      </c>
      <c r="D4" t="n">
        <v>94</v>
      </c>
      <c r="E4" t="n">
        <v>94</v>
      </c>
      <c r="F4" t="n">
        <v>91</v>
      </c>
      <c r="G4" t="inlineStr">
        <is>
          <t>pages=40 js=False dam=8</t>
        </is>
      </c>
      <c r="H4" t="inlineStr">
        <is>
          <t>2026-10-04</t>
        </is>
      </c>
    </row>
    <row r="5">
      <c r="A5" t="inlineStr">
        <is>
          <t>dhigali.com</t>
        </is>
      </c>
      <c r="B5" t="inlineStr">
        <is>
          <t>crawl</t>
        </is>
      </c>
      <c r="C5" t="inlineStr">
        <is>
          <t>ok</t>
        </is>
      </c>
      <c r="D5" t="n">
        <v>104</v>
      </c>
      <c r="E5" t="n">
        <v>104</v>
      </c>
      <c r="F5" t="n">
        <v>87</v>
      </c>
      <c r="G5" t="inlineStr">
        <is>
          <t>pages=70 js=False dam=0</t>
        </is>
      </c>
      <c r="H5" t="inlineStr">
        <is>
          <t>2026-10-04</t>
        </is>
      </c>
    </row>
    <row r="6">
      <c r="A6" t="inlineStr">
        <is>
          <t>saiiresorts.com</t>
        </is>
      </c>
      <c r="B6" t="inlineStr">
        <is>
          <t>crawl</t>
        </is>
      </c>
      <c r="C6" t="inlineStr">
        <is>
          <t>ok</t>
        </is>
      </c>
      <c r="D6" t="n">
        <v>98</v>
      </c>
      <c r="E6" t="n">
        <v>98</v>
      </c>
      <c r="F6" t="n">
        <v>81</v>
      </c>
      <c r="G6" t="inlineStr">
        <is>
          <t>pages=1 js=False dam=0</t>
        </is>
      </c>
      <c r="H6" t="inlineStr">
        <is>
          <t>2026-10-04</t>
        </is>
      </c>
    </row>
    <row r="7">
      <c r="A7" t="inlineStr">
        <is>
          <t>sales.crownandchamparesorts.com</t>
        </is>
      </c>
      <c r="B7" t="inlineStr">
        <is>
          <t>wp-media-api+crawl</t>
        </is>
      </c>
      <c r="C7" t="inlineStr">
        <is>
          <t>ok</t>
        </is>
      </c>
      <c r="D7" t="n">
        <v>115</v>
      </c>
      <c r="E7" t="n">
        <v>97</v>
      </c>
      <c r="F7" t="n">
        <v>75</v>
      </c>
      <c r="G7" t="inlineStr"/>
      <c r="H7" t="inlineStr">
        <is>
          <t>2026-10-04</t>
        </is>
      </c>
    </row>
    <row r="8">
      <c r="A8" t="inlineStr">
        <is>
          <t>letsgomaldives.com</t>
        </is>
      </c>
      <c r="B8" t="inlineStr">
        <is>
          <t>crawl</t>
        </is>
      </c>
      <c r="C8" t="inlineStr">
        <is>
          <t>ok</t>
        </is>
      </c>
      <c r="D8" t="n">
        <v>89</v>
      </c>
      <c r="E8" t="n">
        <v>0</v>
      </c>
      <c r="F8" t="n">
        <v>63</v>
      </c>
      <c r="G8" t="inlineStr">
        <is>
          <t>pages=150 js=False dam=0</t>
        </is>
      </c>
      <c r="H8" t="inlineStr">
        <is>
          <t>2026-10-04</t>
        </is>
      </c>
    </row>
    <row r="9">
      <c r="A9" t="inlineStr">
        <is>
          <t>so-hotels.com</t>
        </is>
      </c>
      <c r="B9" t="inlineStr">
        <is>
          <t>crawl</t>
        </is>
      </c>
      <c r="C9" t="inlineStr">
        <is>
          <t>ok</t>
        </is>
      </c>
      <c r="D9" t="n">
        <v>88</v>
      </c>
      <c r="E9" t="n">
        <v>88</v>
      </c>
      <c r="F9" t="n">
        <v>59</v>
      </c>
      <c r="G9" t="inlineStr">
        <is>
          <t>pages=70 js=False dam=2</t>
        </is>
      </c>
      <c r="H9" t="inlineStr">
        <is>
          <t>2026-10-04</t>
        </is>
      </c>
    </row>
    <row r="10">
      <c r="A10" t="inlineStr">
        <is>
          <t>planhotel.com</t>
        </is>
      </c>
      <c r="B10" t="inlineStr">
        <is>
          <t>crawl</t>
        </is>
      </c>
      <c r="C10" t="inlineStr">
        <is>
          <t>ok</t>
        </is>
      </c>
      <c r="D10" t="n">
        <v>64</v>
      </c>
      <c r="E10" t="n">
        <v>64</v>
      </c>
      <c r="F10" t="n">
        <v>45</v>
      </c>
      <c r="G10" t="inlineStr">
        <is>
          <t>pages=70 js=False dam=483</t>
        </is>
      </c>
      <c r="H10" t="inlineStr">
        <is>
          <t>2026-10-04</t>
        </is>
      </c>
    </row>
    <row r="11">
      <c r="A11" t="inlineStr">
        <is>
          <t>adaaran.com</t>
        </is>
      </c>
      <c r="B11" t="inlineStr">
        <is>
          <t>crawl</t>
        </is>
      </c>
      <c r="C11" t="inlineStr">
        <is>
          <t>ok</t>
        </is>
      </c>
      <c r="D11" t="n">
        <v>45</v>
      </c>
      <c r="E11" t="n">
        <v>45</v>
      </c>
      <c r="F11" t="n">
        <v>44</v>
      </c>
      <c r="G11" t="inlineStr">
        <is>
          <t>pages=53 js=False dam=0</t>
        </is>
      </c>
      <c r="H11" t="inlineStr">
        <is>
          <t>2026-10-04</t>
        </is>
      </c>
    </row>
    <row r="12">
      <c r="A12" t="inlineStr">
        <is>
          <t>veligandu.com</t>
        </is>
      </c>
      <c r="B12" t="inlineStr">
        <is>
          <t>crawl</t>
        </is>
      </c>
      <c r="C12" t="inlineStr">
        <is>
          <t>ok</t>
        </is>
      </c>
      <c r="D12" t="n">
        <v>51</v>
      </c>
      <c r="E12" t="n">
        <v>51</v>
      </c>
      <c r="F12" t="n">
        <v>44</v>
      </c>
      <c r="G12" t="inlineStr">
        <is>
          <t>pages=70 js=True dam=0</t>
        </is>
      </c>
      <c r="H12" t="inlineStr">
        <is>
          <t>2026-10-04</t>
        </is>
      </c>
    </row>
    <row r="13">
      <c r="A13" t="inlineStr">
        <is>
          <t>hardrockhotels.com</t>
        </is>
      </c>
      <c r="B13" t="inlineStr">
        <is>
          <t>crawl</t>
        </is>
      </c>
      <c r="C13" t="inlineStr">
        <is>
          <t>ok</t>
        </is>
      </c>
      <c r="D13" t="n">
        <v>68</v>
      </c>
      <c r="E13" t="n">
        <v>68</v>
      </c>
      <c r="F13" t="n">
        <v>40</v>
      </c>
      <c r="G13" t="inlineStr">
        <is>
          <t>pages=70 js=True dam=0</t>
        </is>
      </c>
      <c r="H13" t="inlineStr">
        <is>
          <t>2026-10-04</t>
        </is>
      </c>
    </row>
    <row r="14">
      <c r="A14" t="inlineStr">
        <is>
          <t>cenizaro.com</t>
        </is>
      </c>
      <c r="B14" t="inlineStr">
        <is>
          <t>crawl</t>
        </is>
      </c>
      <c r="C14" t="inlineStr">
        <is>
          <t>ok</t>
        </is>
      </c>
      <c r="D14" t="n">
        <v>33</v>
      </c>
      <c r="E14" t="n">
        <v>33</v>
      </c>
      <c r="F14" t="n">
        <v>32</v>
      </c>
      <c r="G14" t="inlineStr">
        <is>
          <t>pages=54 js=True dam=0</t>
        </is>
      </c>
      <c r="H14" t="inlineStr">
        <is>
          <t>2026-10-04</t>
        </is>
      </c>
    </row>
    <row r="15">
      <c r="A15" t="inlineStr">
        <is>
          <t>vakkarumaldives.com</t>
        </is>
      </c>
      <c r="B15" t="inlineStr">
        <is>
          <t>crawl</t>
        </is>
      </c>
      <c r="C15" t="inlineStr">
        <is>
          <t>ok</t>
        </is>
      </c>
      <c r="D15" t="n">
        <v>32</v>
      </c>
      <c r="E15" t="n">
        <v>32</v>
      </c>
      <c r="F15" t="n">
        <v>32</v>
      </c>
      <c r="G15" t="inlineStr">
        <is>
          <t>pages=70 js=False dam=0</t>
        </is>
      </c>
      <c r="H15" t="inlineStr">
        <is>
          <t>2026-10-04</t>
        </is>
      </c>
    </row>
    <row r="16">
      <c r="A16" t="inlineStr">
        <is>
          <t>ayadamaldives.com</t>
        </is>
      </c>
      <c r="B16" t="inlineStr">
        <is>
          <t>crawl</t>
        </is>
      </c>
      <c r="C16" t="inlineStr">
        <is>
          <t>ok</t>
        </is>
      </c>
      <c r="D16" t="n">
        <v>30</v>
      </c>
      <c r="E16" t="n">
        <v>30</v>
      </c>
      <c r="F16" t="n">
        <v>29</v>
      </c>
      <c r="G16" t="inlineStr">
        <is>
          <t>pages=70 js=False dam=45</t>
        </is>
      </c>
      <c r="H16" t="inlineStr">
        <is>
          <t>2026-10-04</t>
        </is>
      </c>
    </row>
    <row r="17">
      <c r="A17" t="inlineStr">
        <is>
          <t>angaga.com.mv</t>
        </is>
      </c>
      <c r="B17" t="inlineStr">
        <is>
          <t>crawl</t>
        </is>
      </c>
      <c r="C17" t="inlineStr">
        <is>
          <t>ok</t>
        </is>
      </c>
      <c r="D17" t="n">
        <v>71</v>
      </c>
      <c r="E17" t="n">
        <v>71</v>
      </c>
      <c r="F17" t="n">
        <v>27</v>
      </c>
      <c r="G17" t="inlineStr">
        <is>
          <t>pages=41 js=False dam=0</t>
        </is>
      </c>
      <c r="H17" t="inlineStr">
        <is>
          <t>2026-10-04</t>
        </is>
      </c>
    </row>
    <row r="18">
      <c r="A18" t="inlineStr">
        <is>
          <t>dreamland.com.mv</t>
        </is>
      </c>
      <c r="B18" t="inlineStr">
        <is>
          <t>crawl</t>
        </is>
      </c>
      <c r="C18" t="inlineStr">
        <is>
          <t>ok</t>
        </is>
      </c>
      <c r="D18" t="n">
        <v>35</v>
      </c>
      <c r="E18" t="n">
        <v>35</v>
      </c>
      <c r="F18" t="n">
        <v>22</v>
      </c>
      <c r="G18" t="inlineStr">
        <is>
          <t>pages=24 js=False dam=0</t>
        </is>
      </c>
      <c r="H18" t="inlineStr">
        <is>
          <t>2026-10-04</t>
        </is>
      </c>
    </row>
    <row r="19">
      <c r="A19" t="inlineStr">
        <is>
          <t>thulhagiri.com.mv</t>
        </is>
      </c>
      <c r="B19" t="inlineStr">
        <is>
          <t>crawl</t>
        </is>
      </c>
      <c r="C19" t="inlineStr">
        <is>
          <t>ok</t>
        </is>
      </c>
      <c r="D19" t="n">
        <v>43</v>
      </c>
      <c r="E19" t="n">
        <v>43</v>
      </c>
      <c r="F19" t="n">
        <v>19</v>
      </c>
      <c r="G19" t="inlineStr">
        <is>
          <t>pages=40 js=False dam=0</t>
        </is>
      </c>
      <c r="H19" t="inlineStr">
        <is>
          <t>2026-10-04</t>
        </is>
      </c>
    </row>
    <row r="20">
      <c r="A20" t="inlineStr">
        <is>
          <t>emerald-maldives.com</t>
        </is>
      </c>
      <c r="B20" t="inlineStr">
        <is>
          <t>crawl</t>
        </is>
      </c>
      <c r="C20" t="inlineStr">
        <is>
          <t>ok</t>
        </is>
      </c>
      <c r="D20" t="n">
        <v>16</v>
      </c>
      <c r="E20" t="n">
        <v>16</v>
      </c>
      <c r="F20" t="n">
        <v>16</v>
      </c>
      <c r="G20" t="inlineStr">
        <is>
          <t>pages=70 js=False dam=1</t>
        </is>
      </c>
      <c r="H20" t="inlineStr">
        <is>
          <t>2026-10-04</t>
        </is>
      </c>
    </row>
    <row r="21">
      <c r="A21" t="inlineStr">
        <is>
          <t>emerald-faarufushi.com</t>
        </is>
      </c>
      <c r="B21" t="inlineStr">
        <is>
          <t>crawl</t>
        </is>
      </c>
      <c r="C21" t="inlineStr">
        <is>
          <t>ok</t>
        </is>
      </c>
      <c r="D21" t="n">
        <v>12</v>
      </c>
      <c r="E21" t="n">
        <v>12</v>
      </c>
      <c r="F21" t="n">
        <v>11</v>
      </c>
      <c r="G21" t="inlineStr">
        <is>
          <t>pages=70 js=False dam=2</t>
        </is>
      </c>
      <c r="H21" t="inlineStr">
        <is>
          <t>2026-10-04</t>
        </is>
      </c>
    </row>
    <row r="22">
      <c r="A22" t="inlineStr">
        <is>
          <t>dhigufaru.com</t>
        </is>
      </c>
      <c r="B22" t="inlineStr">
        <is>
          <t>crawl</t>
        </is>
      </c>
      <c r="C22" t="inlineStr">
        <is>
          <t>ok</t>
        </is>
      </c>
      <c r="D22" t="n">
        <v>11</v>
      </c>
      <c r="E22" t="n">
        <v>11</v>
      </c>
      <c r="F22" t="n">
        <v>10</v>
      </c>
      <c r="G22" t="inlineStr">
        <is>
          <t>pages=70 js=False dam=0</t>
        </is>
      </c>
      <c r="H22" t="inlineStr">
        <is>
          <t>2026-10-04</t>
        </is>
      </c>
    </row>
    <row r="23">
      <c r="A23" t="inlineStr">
        <is>
          <t>sunsiyam.com</t>
        </is>
      </c>
      <c r="B23" t="inlineStr">
        <is>
          <t>crawl</t>
        </is>
      </c>
      <c r="C23" t="inlineStr">
        <is>
          <t>ok</t>
        </is>
      </c>
      <c r="D23" t="n">
        <v>10</v>
      </c>
      <c r="E23" t="n">
        <v>10</v>
      </c>
      <c r="F23" t="n">
        <v>10</v>
      </c>
      <c r="G23" t="inlineStr">
        <is>
          <t>pages=70 js=False dam=0</t>
        </is>
      </c>
      <c r="H23" t="inlineStr">
        <is>
          <t>2026-10-04</t>
        </is>
      </c>
    </row>
    <row r="24">
      <c r="A24" t="inlineStr">
        <is>
          <t>awesomegetawaymaldives.com</t>
        </is>
      </c>
      <c r="B24" t="inlineStr">
        <is>
          <t>crawl</t>
        </is>
      </c>
      <c r="C24" t="inlineStr">
        <is>
          <t>ok</t>
        </is>
      </c>
      <c r="D24" t="n">
        <v>22</v>
      </c>
      <c r="E24" t="n">
        <v>0</v>
      </c>
      <c r="F24" t="n">
        <v>10</v>
      </c>
      <c r="G24" t="inlineStr">
        <is>
          <t>pages=10 js=False dam=0</t>
        </is>
      </c>
      <c r="H24" t="inlineStr">
        <is>
          <t>2026-10-04</t>
        </is>
      </c>
    </row>
    <row r="25">
      <c r="A25" t="inlineStr">
        <is>
          <t>brennia.com</t>
        </is>
      </c>
      <c r="B25" t="inlineStr">
        <is>
          <t>crawl</t>
        </is>
      </c>
      <c r="C25" t="inlineStr">
        <is>
          <t>ok</t>
        </is>
      </c>
      <c r="D25" t="n">
        <v>8</v>
      </c>
      <c r="E25" t="n">
        <v>8</v>
      </c>
      <c r="F25" t="n">
        <v>8</v>
      </c>
      <c r="G25" t="inlineStr">
        <is>
          <t>pages=33 js=True dam=0</t>
        </is>
      </c>
      <c r="H25" t="inlineStr">
        <is>
          <t>2026-10-04</t>
        </is>
      </c>
    </row>
    <row r="26">
      <c r="A26" t="inlineStr">
        <is>
          <t>canareef.com</t>
        </is>
      </c>
      <c r="B26" t="inlineStr">
        <is>
          <t>crawl</t>
        </is>
      </c>
      <c r="C26" t="inlineStr">
        <is>
          <t>ok</t>
        </is>
      </c>
      <c r="D26" t="n">
        <v>5</v>
      </c>
      <c r="E26" t="n">
        <v>5</v>
      </c>
      <c r="F26" t="n">
        <v>5</v>
      </c>
      <c r="G26" t="inlineStr">
        <is>
          <t>pages=70 js=False dam=14</t>
        </is>
      </c>
      <c r="H26" t="inlineStr">
        <is>
          <t>2026-10-04</t>
        </is>
      </c>
    </row>
    <row r="27">
      <c r="A27" t="inlineStr">
        <is>
          <t>centarahotelsresorts.com</t>
        </is>
      </c>
      <c r="B27" t="inlineStr">
        <is>
          <t>crawl</t>
        </is>
      </c>
      <c r="C27" t="inlineStr">
        <is>
          <t>ok</t>
        </is>
      </c>
      <c r="D27" t="n">
        <v>5</v>
      </c>
      <c r="E27" t="n">
        <v>5</v>
      </c>
      <c r="F27" t="n">
        <v>4</v>
      </c>
      <c r="G27" t="inlineStr">
        <is>
          <t>pages=42 js=False dam=0</t>
        </is>
      </c>
      <c r="H27" t="inlineStr">
        <is>
          <t>2026-10-04</t>
        </is>
      </c>
    </row>
    <row r="28">
      <c r="A28" t="inlineStr">
        <is>
          <t>cocoonmaldives.com</t>
        </is>
      </c>
      <c r="B28" t="inlineStr">
        <is>
          <t>crawl</t>
        </is>
      </c>
      <c r="C28" t="inlineStr">
        <is>
          <t>ok</t>
        </is>
      </c>
      <c r="D28" t="n">
        <v>2</v>
      </c>
      <c r="E28" t="n">
        <v>2</v>
      </c>
      <c r="F28" t="n">
        <v>2</v>
      </c>
      <c r="G28" t="inlineStr">
        <is>
          <t>pages=50 js=True dam=899</t>
        </is>
      </c>
      <c r="H28" t="inlineStr">
        <is>
          <t>2026-10-04</t>
        </is>
      </c>
    </row>
    <row r="29">
      <c r="A29" t="inlineStr">
        <is>
          <t>secretparadise.mv</t>
        </is>
      </c>
      <c r="B29" t="inlineStr">
        <is>
          <t>crawl</t>
        </is>
      </c>
      <c r="C29" t="inlineStr">
        <is>
          <t>ok</t>
        </is>
      </c>
      <c r="D29" t="n">
        <v>7</v>
      </c>
      <c r="E29" t="n">
        <v>0</v>
      </c>
      <c r="F29" t="n">
        <v>2</v>
      </c>
      <c r="G29" t="inlineStr">
        <is>
          <t>pages=38 js=False dam=1</t>
        </is>
      </c>
      <c r="H29" t="inlineStr">
        <is>
          <t>2026-10-04</t>
        </is>
      </c>
    </row>
    <row r="30">
      <c r="A30" t="inlineStr">
        <is>
          <t>maldivesexperts.com</t>
        </is>
      </c>
      <c r="B30" t="inlineStr">
        <is>
          <t>crawl</t>
        </is>
      </c>
      <c r="C30" t="inlineStr">
        <is>
          <t>ok</t>
        </is>
      </c>
      <c r="D30" t="n">
        <v>5</v>
      </c>
      <c r="E30" t="n">
        <v>0</v>
      </c>
      <c r="F30" t="n">
        <v>2</v>
      </c>
      <c r="G30" t="inlineStr">
        <is>
          <t>pages=61 js=False dam=0</t>
        </is>
      </c>
      <c r="H30" t="inlineStr">
        <is>
          <t>2026-10-04</t>
        </is>
      </c>
    </row>
    <row r="31">
      <c r="A31" t="inlineStr">
        <is>
          <t>sixsenses.com</t>
        </is>
      </c>
      <c r="B31" t="inlineStr">
        <is>
          <t>crawl</t>
        </is>
      </c>
      <c r="C31" t="inlineStr">
        <is>
          <t>blocked</t>
        </is>
      </c>
      <c r="D31" t="n">
        <v>0</v>
      </c>
      <c r="E31" t="n">
        <v>0</v>
      </c>
      <c r="F31" t="n">
        <v>0</v>
      </c>
      <c r="G31" t="inlineStr"/>
      <c r="H31" t="inlineStr">
        <is>
          <t>2026-10-04</t>
        </is>
      </c>
    </row>
    <row r="32">
      <c r="A32" t="inlineStr">
        <is>
          <t>ozenreservebolifushi.com</t>
        </is>
      </c>
      <c r="B32" t="inlineStr">
        <is>
          <t>crawl</t>
        </is>
      </c>
      <c r="C32" t="inlineStr">
        <is>
          <t>blocked</t>
        </is>
      </c>
      <c r="D32" t="n">
        <v>0</v>
      </c>
      <c r="E32" t="n">
        <v>0</v>
      </c>
      <c r="F32" t="n">
        <v>0</v>
      </c>
      <c r="G32" t="inlineStr"/>
      <c r="H32" t="inlineStr">
        <is>
          <t>2026-10-04</t>
        </is>
      </c>
    </row>
    <row r="33">
      <c r="A33" t="inlineStr">
        <is>
          <t>filitheyo.com</t>
        </is>
      </c>
      <c r="B33" t="inlineStr">
        <is>
          <t>crawl</t>
        </is>
      </c>
      <c r="C33" t="inlineStr">
        <is>
          <t>unverified</t>
        </is>
      </c>
      <c r="D33" t="n">
        <v>0</v>
      </c>
      <c r="E33" t="n">
        <v>0</v>
      </c>
      <c r="F33" t="n">
        <v>0</v>
      </c>
      <c r="G33" t="inlineStr">
        <is>
          <t>resort name not found on page</t>
        </is>
      </c>
      <c r="H33" t="inlineStr">
        <is>
          <t>2026-10-04</t>
        </is>
      </c>
    </row>
    <row r="34">
      <c r="A34" t="inlineStr">
        <is>
          <t>joali.com</t>
        </is>
      </c>
      <c r="B34" t="inlineStr">
        <is>
          <t>crawl</t>
        </is>
      </c>
      <c r="C34" t="inlineStr">
        <is>
          <t>unreachable</t>
        </is>
      </c>
      <c r="D34" t="n">
        <v>0</v>
      </c>
      <c r="E34" t="n">
        <v>0</v>
      </c>
      <c r="F34" t="n">
        <v>0</v>
      </c>
      <c r="G34" t="inlineStr"/>
      <c r="H34" t="inlineStr">
        <is>
          <t>2026-10-04</t>
        </is>
      </c>
    </row>
    <row r="35">
      <c r="A35" t="inlineStr">
        <is>
          <t>joalibeing.com</t>
        </is>
      </c>
      <c r="B35" t="inlineStr">
        <is>
          <t>crawl</t>
        </is>
      </c>
      <c r="C35" t="inlineStr">
        <is>
          <t>unreachable</t>
        </is>
      </c>
      <c r="D35" t="n">
        <v>0</v>
      </c>
      <c r="E35" t="n">
        <v>0</v>
      </c>
      <c r="F35" t="n">
        <v>0</v>
      </c>
      <c r="G35" t="inlineStr"/>
      <c r="H35" t="inlineStr">
        <is>
          <t>2026-10-04</t>
        </is>
      </c>
    </row>
    <row r="36">
      <c r="A36" t="inlineStr">
        <is>
          <t>dreamlandmaldives.com</t>
        </is>
      </c>
      <c r="B36" t="inlineStr">
        <is>
          <t>crawl</t>
        </is>
      </c>
      <c r="C36" t="inlineStr">
        <is>
          <t>unreachable</t>
        </is>
      </c>
      <c r="D36" t="n">
        <v>0</v>
      </c>
      <c r="E36" t="n">
        <v>0</v>
      </c>
      <c r="F36" t="n">
        <v>0</v>
      </c>
      <c r="G36" t="inlineStr"/>
      <c r="H36" t="inlineStr">
        <is>
          <t>2026-10-04</t>
        </is>
      </c>
    </row>
    <row r="37">
      <c r="A37" t="inlineStr">
        <is>
          <t>hilton.com</t>
        </is>
      </c>
      <c r="B37" t="inlineStr">
        <is>
          <t>crawl</t>
        </is>
      </c>
      <c r="C37" t="inlineStr">
        <is>
          <t>unverified</t>
        </is>
      </c>
      <c r="D37" t="n">
        <v>0</v>
      </c>
      <c r="E37" t="n">
        <v>0</v>
      </c>
      <c r="F37" t="n">
        <v>0</v>
      </c>
      <c r="G37" t="inlineStr">
        <is>
          <t>resort name not found on page</t>
        </is>
      </c>
      <c r="H37" t="inlineStr">
        <is>
          <t>2026-10-04</t>
        </is>
      </c>
    </row>
    <row r="38">
      <c r="A38" t="inlineStr">
        <is>
          <t>sandies-bathala.com</t>
        </is>
      </c>
      <c r="B38" t="inlineStr">
        <is>
          <t>crawl</t>
        </is>
      </c>
      <c r="C38" t="inlineStr">
        <is>
          <t>unreachable</t>
        </is>
      </c>
      <c r="D38" t="n">
        <v>0</v>
      </c>
      <c r="E38" t="n">
        <v>0</v>
      </c>
      <c r="F38" t="n">
        <v>0</v>
      </c>
      <c r="G38" t="inlineStr"/>
      <c r="H38" t="inlineStr">
        <is>
          <t>2026-10-04</t>
        </is>
      </c>
    </row>
    <row r="39">
      <c r="A39" t="inlineStr">
        <is>
          <t>alilahotels.com</t>
        </is>
      </c>
      <c r="B39" t="inlineStr">
        <is>
          <t>crawl</t>
        </is>
      </c>
      <c r="C39" t="inlineStr">
        <is>
          <t>blocked</t>
        </is>
      </c>
      <c r="D39" t="n">
        <v>0</v>
      </c>
      <c r="E39" t="n">
        <v>0</v>
      </c>
      <c r="F39" t="n">
        <v>0</v>
      </c>
      <c r="G39" t="inlineStr"/>
      <c r="H39" t="inlineStr">
        <is>
          <t>2026-10-04</t>
        </is>
      </c>
    </row>
    <row r="40">
      <c r="A40" t="inlineStr">
        <is>
          <t>hyatt.com</t>
        </is>
      </c>
      <c r="B40" t="inlineStr">
        <is>
          <t>crawl</t>
        </is>
      </c>
      <c r="C40" t="inlineStr">
        <is>
          <t>unverified</t>
        </is>
      </c>
      <c r="D40" t="n">
        <v>0</v>
      </c>
      <c r="E40" t="n">
        <v>0</v>
      </c>
      <c r="F40" t="n">
        <v>0</v>
      </c>
      <c r="G40" t="inlineStr">
        <is>
          <t>resort name not found on page</t>
        </is>
      </c>
      <c r="H40" t="inlineStr">
        <is>
          <t>2026-10-04</t>
        </is>
      </c>
    </row>
    <row r="41">
      <c r="A41" t="inlineStr">
        <is>
          <t>baglionihotels.com</t>
        </is>
      </c>
      <c r="B41" t="inlineStr">
        <is>
          <t>crawl</t>
        </is>
      </c>
      <c r="C41" t="inlineStr">
        <is>
          <t>blocked</t>
        </is>
      </c>
      <c r="D41" t="n">
        <v>0</v>
      </c>
      <c r="E41" t="n">
        <v>0</v>
      </c>
      <c r="F41" t="n">
        <v>0</v>
      </c>
      <c r="G41" t="inlineStr"/>
      <c r="H41" t="inlineStr">
        <is>
          <t>2026-10-04</t>
        </is>
      </c>
    </row>
    <row r="42">
      <c r="A42" t="inlineStr">
        <is>
          <t>marriott.com</t>
        </is>
      </c>
      <c r="B42" t="inlineStr">
        <is>
          <t>crawl</t>
        </is>
      </c>
      <c r="C42" t="inlineStr">
        <is>
          <t>blocked</t>
        </is>
      </c>
      <c r="D42" t="n">
        <v>0</v>
      </c>
      <c r="E42" t="n">
        <v>0</v>
      </c>
      <c r="F42" t="n">
        <v>0</v>
      </c>
      <c r="G42" t="inlineStr"/>
      <c r="H42" t="inlineStr">
        <is>
          <t>2026-10-04</t>
        </is>
      </c>
    </row>
    <row r="43">
      <c r="A43" t="inlineStr">
        <is>
          <t>rihivelimaldives.com</t>
        </is>
      </c>
      <c r="B43" t="inlineStr">
        <is>
          <t>crawl</t>
        </is>
      </c>
      <c r="C43" t="inlineStr">
        <is>
          <t>ok</t>
        </is>
      </c>
      <c r="D43" t="n">
        <v>0</v>
      </c>
      <c r="E43" t="n">
        <v>0</v>
      </c>
      <c r="F43" t="n">
        <v>0</v>
      </c>
      <c r="G43" t="inlineStr">
        <is>
          <t>pages=1 js=False dam=0</t>
        </is>
      </c>
      <c r="H43" t="inlineStr">
        <is>
          <t>2026-10-04</t>
        </is>
      </c>
    </row>
    <row r="44">
      <c r="A44" t="inlineStr">
        <is>
          <t>rihiveli-maldives.com</t>
        </is>
      </c>
      <c r="B44" t="inlineStr">
        <is>
          <t>crawl</t>
        </is>
      </c>
      <c r="C44" t="inlineStr">
        <is>
          <t>unverified</t>
        </is>
      </c>
      <c r="D44" t="n">
        <v>0</v>
      </c>
      <c r="E44" t="n">
        <v>0</v>
      </c>
      <c r="F44" t="n">
        <v>0</v>
      </c>
      <c r="G44" t="inlineStr">
        <is>
          <t>resort name not found on page</t>
        </is>
      </c>
      <c r="H44" t="inlineStr">
        <is>
          <t>2026-10-04</t>
        </is>
      </c>
    </row>
    <row r="45">
      <c r="A45" t="inlineStr">
        <is>
          <t>nooemaldives.com</t>
        </is>
      </c>
      <c r="B45" t="inlineStr">
        <is>
          <t>crawl</t>
        </is>
      </c>
      <c r="C45" t="inlineStr">
        <is>
          <t>unreachable</t>
        </is>
      </c>
      <c r="D45" t="n">
        <v>0</v>
      </c>
      <c r="E45" t="n">
        <v>0</v>
      </c>
      <c r="F45" t="n">
        <v>0</v>
      </c>
      <c r="G45" t="inlineStr"/>
      <c r="H45" t="inlineStr">
        <is>
          <t>2026-10-04</t>
        </is>
      </c>
    </row>
    <row r="46">
      <c r="A46" t="inlineStr">
        <is>
          <t>halcyonmaldives.com</t>
        </is>
      </c>
      <c r="B46" t="inlineStr">
        <is>
          <t>crawl</t>
        </is>
      </c>
      <c r="C46" t="inlineStr">
        <is>
          <t>blocked</t>
        </is>
      </c>
      <c r="D46" t="n">
        <v>0</v>
      </c>
      <c r="E46" t="n">
        <v>0</v>
      </c>
      <c r="F46" t="n">
        <v>0</v>
      </c>
      <c r="G46" t="inlineStr"/>
      <c r="H46" t="inlineStr">
        <is>
          <t>2026-10-04</t>
        </is>
      </c>
    </row>
    <row r="47">
      <c r="A47" t="inlineStr">
        <is>
          <t>melia.com</t>
        </is>
      </c>
      <c r="B47" t="inlineStr">
        <is>
          <t>crawl</t>
        </is>
      </c>
      <c r="C47" t="inlineStr">
        <is>
          <t>blocked</t>
        </is>
      </c>
      <c r="D47" t="n">
        <v>0</v>
      </c>
      <c r="E47" t="n">
        <v>0</v>
      </c>
      <c r="F47" t="n">
        <v>0</v>
      </c>
      <c r="G47" t="inlineStr"/>
      <c r="H47" t="inlineStr">
        <is>
          <t>2026-10-04</t>
        </is>
      </c>
    </row>
    <row r="48">
      <c r="A48" t="inlineStr">
        <is>
          <t>raffles.com</t>
        </is>
      </c>
      <c r="B48" t="inlineStr">
        <is>
          <t>crawl</t>
        </is>
      </c>
      <c r="C48" t="inlineStr">
        <is>
          <t>blocked</t>
        </is>
      </c>
      <c r="D48" t="n">
        <v>0</v>
      </c>
      <c r="E48" t="n">
        <v>0</v>
      </c>
      <c r="F48" t="n">
        <v>0</v>
      </c>
      <c r="G48" t="inlineStr"/>
      <c r="H48" t="inlineStr">
        <is>
          <t>2026-10-04</t>
        </is>
      </c>
    </row>
    <row r="49">
      <c r="A49" t="inlineStr">
        <is>
          <t>parkhotelgroup.com</t>
        </is>
      </c>
      <c r="B49" t="inlineStr">
        <is>
          <t>crawl</t>
        </is>
      </c>
      <c r="C49" t="inlineStr">
        <is>
          <t>ok</t>
        </is>
      </c>
      <c r="D49" t="n">
        <v>0</v>
      </c>
      <c r="E49" t="n">
        <v>0</v>
      </c>
      <c r="F49" t="n">
        <v>0</v>
      </c>
      <c r="G49" t="inlineStr">
        <is>
          <t>pages=1 js=False dam=0</t>
        </is>
      </c>
      <c r="H49" t="inlineStr">
        <is>
          <t>2026-10-04</t>
        </is>
      </c>
    </row>
    <row r="50">
      <c r="A50" t="inlineStr">
        <is>
          <t>barcelo.com</t>
        </is>
      </c>
      <c r="B50" t="inlineStr">
        <is>
          <t>crawl</t>
        </is>
      </c>
      <c r="C50" t="inlineStr">
        <is>
          <t>unverified</t>
        </is>
      </c>
      <c r="D50" t="n">
        <v>0</v>
      </c>
      <c r="E50" t="n">
        <v>0</v>
      </c>
      <c r="F50" t="n">
        <v>0</v>
      </c>
      <c r="G50" t="inlineStr">
        <is>
          <t>resort name not found on page</t>
        </is>
      </c>
      <c r="H50" t="inlineStr">
        <is>
          <t>2026-10-04</t>
        </is>
      </c>
    </row>
    <row r="51">
      <c r="A51" t="inlineStr">
        <is>
          <t>kudadoo.com</t>
        </is>
      </c>
      <c r="B51" t="inlineStr">
        <is>
          <t>crawl</t>
        </is>
      </c>
      <c r="C51" t="inlineStr">
        <is>
          <t>ok</t>
        </is>
      </c>
      <c r="D51" t="n">
        <v>0</v>
      </c>
      <c r="E51" t="n">
        <v>0</v>
      </c>
      <c r="F51" t="n">
        <v>0</v>
      </c>
      <c r="G51" t="inlineStr">
        <is>
          <t>pages=1 js=True dam=2</t>
        </is>
      </c>
      <c r="H51" t="inlineStr">
        <is>
          <t>2026-10-04</t>
        </is>
      </c>
    </row>
    <row r="52">
      <c r="A52" t="inlineStr">
        <is>
          <t>hurawalhi.com</t>
        </is>
      </c>
      <c r="B52" t="inlineStr">
        <is>
          <t>crawl</t>
        </is>
      </c>
      <c r="C52" t="inlineStr">
        <is>
          <t>ok</t>
        </is>
      </c>
      <c r="D52" t="n">
        <v>0</v>
      </c>
      <c r="E52" t="n">
        <v>0</v>
      </c>
      <c r="F52" t="n">
        <v>0</v>
      </c>
      <c r="G52" t="inlineStr">
        <is>
          <t>pages=1 js=True dam=2</t>
        </is>
      </c>
      <c r="H52" t="inlineStr">
        <is>
          <t>2026-10-04</t>
        </is>
      </c>
    </row>
    <row r="53">
      <c r="A53" t="inlineStr">
        <is>
          <t>innahura.com</t>
        </is>
      </c>
      <c r="B53" t="inlineStr">
        <is>
          <t>crawl</t>
        </is>
      </c>
      <c r="C53" t="inlineStr">
        <is>
          <t>unverified</t>
        </is>
      </c>
      <c r="D53" t="n">
        <v>0</v>
      </c>
      <c r="E53" t="n">
        <v>0</v>
      </c>
      <c r="F53" t="n">
        <v>0</v>
      </c>
      <c r="G53" t="inlineStr">
        <is>
          <t>resort name not found on page</t>
        </is>
      </c>
      <c r="H53" t="inlineStr">
        <is>
          <t>2026-10-04</t>
        </is>
      </c>
    </row>
    <row r="54">
      <c r="A54" t="inlineStr">
        <is>
          <t>coastlinemaldives.com</t>
        </is>
      </c>
      <c r="B54" t="inlineStr">
        <is>
          <t>crawl</t>
        </is>
      </c>
      <c r="C54" t="inlineStr">
        <is>
          <t>unreachable</t>
        </is>
      </c>
      <c r="D54" t="n">
        <v>0</v>
      </c>
      <c r="E54" t="n">
        <v>0</v>
      </c>
      <c r="F54" t="n">
        <v>0</v>
      </c>
      <c r="G54" t="inlineStr"/>
      <c r="H54" t="inlineStr">
        <is>
          <t>2026-10-04</t>
        </is>
      </c>
    </row>
    <row r="55">
      <c r="A55" t="inlineStr">
        <is>
          <t>coastlineresidences.com</t>
        </is>
      </c>
      <c r="B55" t="inlineStr">
        <is>
          <t>crawl</t>
        </is>
      </c>
      <c r="C55" t="inlineStr">
        <is>
          <t>unreachable</t>
        </is>
      </c>
      <c r="D55" t="n">
        <v>0</v>
      </c>
      <c r="E55" t="n">
        <v>0</v>
      </c>
      <c r="F55" t="n">
        <v>0</v>
      </c>
      <c r="G55" t="inlineStr"/>
      <c r="H55" t="inlineStr">
        <is>
          <t>2026-10-04</t>
        </is>
      </c>
    </row>
    <row r="56">
      <c r="A56" t="inlineStr">
        <is>
          <t>ritzcarlton.com</t>
        </is>
      </c>
      <c r="B56" t="inlineStr">
        <is>
          <t>crawl</t>
        </is>
      </c>
      <c r="C56" t="inlineStr">
        <is>
          <t>unreachable</t>
        </is>
      </c>
      <c r="D56" t="n">
        <v>0</v>
      </c>
      <c r="E56" t="n">
        <v>0</v>
      </c>
      <c r="F56" t="n">
        <v>0</v>
      </c>
      <c r="G56" t="inlineStr"/>
      <c r="H56" t="inlineStr">
        <is>
          <t>2026-10-04</t>
        </is>
      </c>
    </row>
    <row r="57">
      <c r="A57" t="inlineStr">
        <is>
          <t>nh-collection.com</t>
        </is>
      </c>
      <c r="B57" t="inlineStr">
        <is>
          <t>crawl</t>
        </is>
      </c>
      <c r="C57" t="inlineStr">
        <is>
          <t>blocked</t>
        </is>
      </c>
      <c r="D57" t="n">
        <v>0</v>
      </c>
      <c r="E57" t="n">
        <v>0</v>
      </c>
      <c r="F57" t="n">
        <v>0</v>
      </c>
      <c r="G57" t="inlineStr"/>
      <c r="H57" t="inlineStr">
        <is>
          <t>2026-10-04</t>
        </is>
      </c>
    </row>
    <row r="58">
      <c r="A58" t="inlineStr">
        <is>
          <t>nh-hotels.com</t>
        </is>
      </c>
      <c r="B58" t="inlineStr">
        <is>
          <t>crawl</t>
        </is>
      </c>
      <c r="C58" t="inlineStr">
        <is>
          <t>blocked</t>
        </is>
      </c>
      <c r="D58" t="n">
        <v>0</v>
      </c>
      <c r="E58" t="n">
        <v>0</v>
      </c>
      <c r="F58" t="n">
        <v>0</v>
      </c>
      <c r="G58" t="inlineStr"/>
      <c r="H58" t="inlineStr">
        <is>
          <t>2026-10-04</t>
        </is>
      </c>
    </row>
    <row r="59">
      <c r="A59" t="inlineStr">
        <is>
          <t>jawakaraislands.com</t>
        </is>
      </c>
      <c r="B59" t="inlineStr">
        <is>
          <t>crawl</t>
        </is>
      </c>
      <c r="C59" t="inlineStr">
        <is>
          <t>ok</t>
        </is>
      </c>
      <c r="D59" t="n">
        <v>0</v>
      </c>
      <c r="E59" t="n">
        <v>0</v>
      </c>
      <c r="F59" t="n">
        <v>0</v>
      </c>
      <c r="G59" t="inlineStr">
        <is>
          <t>pages=1 js=True dam=0</t>
        </is>
      </c>
      <c r="H59" t="inlineStr">
        <is>
          <t>2026-10-04</t>
        </is>
      </c>
    </row>
    <row r="60">
      <c r="A60" t="inlineStr">
        <is>
          <t>dhiggiri.com</t>
        </is>
      </c>
      <c r="B60" t="inlineStr">
        <is>
          <t>crawl</t>
        </is>
      </c>
      <c r="C60" t="inlineStr">
        <is>
          <t>unverified</t>
        </is>
      </c>
      <c r="D60" t="n">
        <v>0</v>
      </c>
      <c r="E60" t="n">
        <v>0</v>
      </c>
      <c r="F60" t="n">
        <v>0</v>
      </c>
      <c r="G60" t="inlineStr">
        <is>
          <t>resort name not found on page</t>
        </is>
      </c>
      <c r="H60" t="inlineStr">
        <is>
          <t>2026-10-04</t>
        </is>
      </c>
    </row>
    <row r="61">
      <c r="A61" t="inlineStr">
        <is>
          <t>so-maldives.com</t>
        </is>
      </c>
      <c r="B61" t="inlineStr">
        <is>
          <t>crawl</t>
        </is>
      </c>
      <c r="C61" t="inlineStr">
        <is>
          <t>unreachable</t>
        </is>
      </c>
      <c r="D61" t="n">
        <v>0</v>
      </c>
      <c r="E61" t="n">
        <v>0</v>
      </c>
      <c r="F61" t="n">
        <v>0</v>
      </c>
      <c r="G61" t="inlineStr"/>
      <c r="H61" t="inlineStr">
        <is>
          <t>2026-10-04</t>
        </is>
      </c>
    </row>
    <row r="62">
      <c r="A62" t="inlineStr">
        <is>
          <t>ozenlifemaadhoo.com</t>
        </is>
      </c>
      <c r="B62" t="inlineStr">
        <is>
          <t>crawl</t>
        </is>
      </c>
      <c r="C62" t="inlineStr">
        <is>
          <t>unverified</t>
        </is>
      </c>
      <c r="D62" t="n">
        <v>0</v>
      </c>
      <c r="E62" t="n">
        <v>0</v>
      </c>
      <c r="F62" t="n">
        <v>0</v>
      </c>
      <c r="G62" t="inlineStr">
        <is>
          <t>resort name not found on page</t>
        </is>
      </c>
      <c r="H62" t="inlineStr">
        <is>
          <t>2026-10-04</t>
        </is>
      </c>
    </row>
    <row r="63">
      <c r="A63" t="inlineStr">
        <is>
          <t>dusit.com</t>
        </is>
      </c>
      <c r="B63" t="inlineStr">
        <is>
          <t>crawl</t>
        </is>
      </c>
      <c r="C63" t="inlineStr">
        <is>
          <t>unverified</t>
        </is>
      </c>
      <c r="D63" t="n">
        <v>0</v>
      </c>
      <c r="E63" t="n">
        <v>0</v>
      </c>
      <c r="F63" t="n">
        <v>0</v>
      </c>
      <c r="G63" t="inlineStr">
        <is>
          <t>resort name not found on page</t>
        </is>
      </c>
      <c r="H63" t="inlineStr">
        <is>
          <t>2026-10-04</t>
        </is>
      </c>
    </row>
    <row r="64">
      <c r="A64" t="inlineStr">
        <is>
          <t>cinnamonhotels.com</t>
        </is>
      </c>
      <c r="B64" t="inlineStr">
        <is>
          <t>crawl</t>
        </is>
      </c>
      <c r="C64" t="inlineStr">
        <is>
          <t>ok</t>
        </is>
      </c>
      <c r="D64" t="n">
        <v>0</v>
      </c>
      <c r="E64" t="n">
        <v>0</v>
      </c>
      <c r="F64" t="n">
        <v>0</v>
      </c>
      <c r="G64" t="inlineStr">
        <is>
          <t>pages=1 js=False dam=267</t>
        </is>
      </c>
      <c r="H64" t="inlineStr">
        <is>
          <t>2026-10-04</t>
        </is>
      </c>
    </row>
    <row r="65">
      <c r="A65" t="inlineStr">
        <is>
          <t>fourseasons.com</t>
        </is>
      </c>
      <c r="B65" t="inlineStr">
        <is>
          <t>crawl</t>
        </is>
      </c>
      <c r="C65" t="inlineStr">
        <is>
          <t>blocked</t>
        </is>
      </c>
      <c r="D65" t="n">
        <v>0</v>
      </c>
      <c r="E65" t="n">
        <v>0</v>
      </c>
      <c r="F65" t="n">
        <v>0</v>
      </c>
      <c r="G65" t="inlineStr"/>
      <c r="H65" t="inlineStr">
        <is>
          <t>2026-10-04</t>
        </is>
      </c>
    </row>
    <row r="66">
      <c r="A66" t="inlineStr">
        <is>
          <t>fihalhohi.com</t>
        </is>
      </c>
      <c r="B66" t="inlineStr">
        <is>
          <t>crawl</t>
        </is>
      </c>
      <c r="C66" t="inlineStr">
        <is>
          <t>unverified</t>
        </is>
      </c>
      <c r="D66" t="n">
        <v>0</v>
      </c>
      <c r="E66" t="n">
        <v>0</v>
      </c>
      <c r="F66" t="n">
        <v>0</v>
      </c>
      <c r="G66" t="inlineStr">
        <is>
          <t>resort name not found on page</t>
        </is>
      </c>
      <c r="H66" t="inlineStr">
        <is>
          <t>2026-10-04</t>
        </is>
      </c>
    </row>
    <row r="67">
      <c r="A67" t="inlineStr">
        <is>
          <t>fihalhohi.net</t>
        </is>
      </c>
      <c r="B67" t="inlineStr">
        <is>
          <t>crawl</t>
        </is>
      </c>
      <c r="C67" t="inlineStr">
        <is>
          <t>unreachable</t>
        </is>
      </c>
      <c r="D67" t="n">
        <v>0</v>
      </c>
      <c r="E67" t="n">
        <v>0</v>
      </c>
      <c r="F67" t="n">
        <v>0</v>
      </c>
      <c r="G67" t="inlineStr"/>
      <c r="H67" t="inlineStr">
        <is>
          <t>2026-10-04</t>
        </is>
      </c>
    </row>
    <row r="68">
      <c r="A68" t="inlineStr">
        <is>
          <t>fairmont-maldives.com</t>
        </is>
      </c>
      <c r="B68" t="inlineStr">
        <is>
          <t>crawl</t>
        </is>
      </c>
      <c r="C68" t="inlineStr">
        <is>
          <t>unverified</t>
        </is>
      </c>
      <c r="D68" t="n">
        <v>0</v>
      </c>
      <c r="E68" t="n">
        <v>0</v>
      </c>
      <c r="F68" t="n">
        <v>0</v>
      </c>
      <c r="G68" t="inlineStr">
        <is>
          <t>resort name not found on page</t>
        </is>
      </c>
      <c r="H68" t="inlineStr">
        <is>
          <t>2026-10-04</t>
        </is>
      </c>
    </row>
    <row r="69">
      <c r="A69" t="inlineStr">
        <is>
          <t>jumeirah.com</t>
        </is>
      </c>
      <c r="B69" t="inlineStr">
        <is>
          <t>crawl</t>
        </is>
      </c>
      <c r="C69" t="inlineStr">
        <is>
          <t>ok</t>
        </is>
      </c>
      <c r="D69" t="n">
        <v>0</v>
      </c>
      <c r="E69" t="n">
        <v>0</v>
      </c>
      <c r="F69" t="n">
        <v>0</v>
      </c>
      <c r="G69" t="inlineStr">
        <is>
          <t>pages=1 js=False dam=1</t>
        </is>
      </c>
      <c r="H69" t="inlineStr">
        <is>
          <t>2026-10-04</t>
        </is>
      </c>
    </row>
    <row r="70">
      <c r="A70" t="inlineStr">
        <is>
          <t>pulse.dash.app/portals/kandima-maldives-official-library</t>
        </is>
      </c>
      <c r="B70" t="inlineStr">
        <is>
          <t>dash-api</t>
        </is>
      </c>
      <c r="C70" t="inlineStr">
        <is>
          <t>ok</t>
        </is>
      </c>
      <c r="D70" t="n">
        <v>14</v>
      </c>
      <c r="E70" t="n">
        <v>14</v>
      </c>
      <c r="F70" t="n">
        <v>0</v>
      </c>
      <c r="G70" t="inlineStr">
        <is>
          <t>Kandima Maldives Official Library</t>
        </is>
      </c>
      <c r="H70" t="inlineStr">
        <is>
          <t>2026-10-04</t>
        </is>
      </c>
    </row>
    <row r="71">
      <c r="A71" t="inlineStr">
        <is>
          <t>pulse.dash.app/portals/nova-maldives-official-library</t>
        </is>
      </c>
      <c r="B71" t="inlineStr">
        <is>
          <t>dash-api</t>
        </is>
      </c>
      <c r="C71" t="inlineStr">
        <is>
          <t>ok</t>
        </is>
      </c>
      <c r="D71" t="n">
        <v>30</v>
      </c>
      <c r="E71" t="n">
        <v>30</v>
      </c>
      <c r="F71" t="n">
        <v>0</v>
      </c>
      <c r="G71" t="inlineStr">
        <is>
          <t>Nova Maldives Official Library</t>
        </is>
      </c>
      <c r="H71" t="inlineStr">
        <is>
          <t>2026-10-04</t>
        </is>
      </c>
    </row>
    <row r="72">
      <c r="A72" t="inlineStr">
        <is>
          <t>pulse.dash.app/portals/pulse-hotels-and-resorts</t>
        </is>
      </c>
      <c r="B72" t="inlineStr">
        <is>
          <t>dash-api</t>
        </is>
      </c>
      <c r="C72" t="inlineStr">
        <is>
          <t>ok</t>
        </is>
      </c>
      <c r="D72" t="n">
        <v>102</v>
      </c>
      <c r="E72" t="n">
        <v>58</v>
      </c>
      <c r="F72" t="n">
        <v>0</v>
      </c>
      <c r="G72" t="inlineStr">
        <is>
          <t>Pulse Hotels &amp; Resorts - Brand Assets</t>
        </is>
      </c>
      <c r="H72" t="inlineStr">
        <is>
          <t>2026-10-04</t>
        </is>
      </c>
    </row>
    <row r="73">
      <c r="A73" t="inlineStr">
        <is>
          <t>villaresorts.dash.app/portals/villa-resorts</t>
        </is>
      </c>
      <c r="B73" t="inlineStr">
        <is>
          <t>dash-api</t>
        </is>
      </c>
      <c r="C73" t="inlineStr">
        <is>
          <t>ok</t>
        </is>
      </c>
      <c r="D73" t="n">
        <v>54</v>
      </c>
      <c r="E73" t="n">
        <v>54</v>
      </c>
      <c r="F73" t="n">
        <v>0</v>
      </c>
      <c r="G73" t="inlineStr">
        <is>
          <t>Villa Resorts</t>
        </is>
      </c>
      <c r="H73" t="inlineStr">
        <is>
          <t>2026-10-04</t>
        </is>
      </c>
    </row>
    <row r="74">
      <c r="A74" t="inlineStr">
        <is>
          <t>villaresorts.dash.app/portals/villa-nautica</t>
        </is>
      </c>
      <c r="B74" t="inlineStr">
        <is>
          <t>dash-api</t>
        </is>
      </c>
      <c r="C74" t="inlineStr">
        <is>
          <t>ok</t>
        </is>
      </c>
      <c r="D74" t="n">
        <v>15</v>
      </c>
      <c r="E74" t="n">
        <v>0</v>
      </c>
      <c r="F74" t="n">
        <v>0</v>
      </c>
      <c r="G74" t="inlineStr">
        <is>
          <t>Villa Nautica</t>
        </is>
      </c>
      <c r="H74" t="inlineStr">
        <is>
          <t>2026-10-04</t>
        </is>
      </c>
    </row>
    <row r="75">
      <c r="A75" t="inlineStr">
        <is>
          <t>villaresorts.dash.app/portals/villa-park</t>
        </is>
      </c>
      <c r="B75" t="inlineStr">
        <is>
          <t>dash-api</t>
        </is>
      </c>
      <c r="C75" t="inlineStr">
        <is>
          <t>ok</t>
        </is>
      </c>
      <c r="D75" t="n">
        <v>14</v>
      </c>
      <c r="E75" t="n">
        <v>0</v>
      </c>
      <c r="F75" t="n">
        <v>0</v>
      </c>
      <c r="G75" t="inlineStr">
        <is>
          <t>Villa Park</t>
        </is>
      </c>
      <c r="H75" t="inlineStr">
        <is>
          <t>2026-10-04</t>
        </is>
      </c>
    </row>
    <row r="76">
      <c r="A76" t="inlineStr">
        <is>
          <t>villaresorts.dash.app/portals/royal-island</t>
        </is>
      </c>
      <c r="B76" t="inlineStr">
        <is>
          <t>dash-api</t>
        </is>
      </c>
      <c r="C76" t="inlineStr">
        <is>
          <t>ok</t>
        </is>
      </c>
      <c r="D76" t="n">
        <v>10</v>
      </c>
      <c r="E76" t="n">
        <v>0</v>
      </c>
      <c r="F76" t="n">
        <v>0</v>
      </c>
      <c r="G76" t="inlineStr">
        <is>
          <t>Royal Island</t>
        </is>
      </c>
      <c r="H76" t="inlineStr">
        <is>
          <t>2026-10-04</t>
        </is>
      </c>
    </row>
    <row r="77">
      <c r="A77" t="inlineStr">
        <is>
          <t>fushifaru.com</t>
        </is>
      </c>
      <c r="B77" t="inlineStr">
        <is>
          <t>crawl</t>
        </is>
      </c>
      <c r="C77" t="inlineStr">
        <is>
          <t>blocked-partial</t>
        </is>
      </c>
      <c r="D77" t="n">
        <v>32</v>
      </c>
      <c r="E77" t="n">
        <v>32</v>
      </c>
      <c r="F77" t="n">
        <v>0</v>
      </c>
      <c r="G77" t="inlineStr">
        <is>
          <t>pages=34 js=False dam=0</t>
        </is>
      </c>
      <c r="H77" t="inlineStr">
        <is>
          <t>2026-10-04</t>
        </is>
      </c>
    </row>
    <row r="78">
      <c r="A78" t="inlineStr">
        <is>
          <t>fairmont.com</t>
        </is>
      </c>
      <c r="B78" t="inlineStr">
        <is>
          <t>crawl</t>
        </is>
      </c>
      <c r="C78" t="inlineStr">
        <is>
          <t>unverified</t>
        </is>
      </c>
      <c r="D78" t="n">
        <v>0</v>
      </c>
      <c r="E78" t="n">
        <v>0</v>
      </c>
      <c r="F78" t="n">
        <v>0</v>
      </c>
      <c r="G78" t="inlineStr">
        <is>
          <t>resort name not found on page</t>
        </is>
      </c>
      <c r="H78" t="inlineStr">
        <is>
          <t>2026-10-04</t>
        </is>
      </c>
    </row>
    <row r="79">
      <c r="A79" t="inlineStr">
        <is>
          <t>soneva.dash.app/portals/media-library</t>
        </is>
      </c>
      <c r="B79" t="inlineStr">
        <is>
          <t>dash-api</t>
        </is>
      </c>
      <c r="C79" t="inlineStr">
        <is>
          <t>login-required</t>
        </is>
      </c>
      <c r="D79" t="n">
        <v>0</v>
      </c>
      <c r="E79" t="n">
        <v>0</v>
      </c>
      <c r="F79" t="n">
        <v>0</v>
      </c>
      <c r="G79" t="inlineStr">
        <is>
          <t>Media Library</t>
        </is>
      </c>
      <c r="H79" t="inlineStr">
        <is>
          <t>2026-10-04</t>
        </is>
      </c>
    </row>
    <row r="80">
      <c r="A80" t="inlineStr">
        <is>
          <t>soneva.dash.app/portals/brand-assets</t>
        </is>
      </c>
      <c r="B80" t="inlineStr">
        <is>
          <t>dash-api</t>
        </is>
      </c>
      <c r="C80" t="inlineStr">
        <is>
          <t>login-required</t>
        </is>
      </c>
      <c r="D80" t="n">
        <v>0</v>
      </c>
      <c r="E80" t="n">
        <v>0</v>
      </c>
      <c r="F80" t="n">
        <v>0</v>
      </c>
      <c r="G80" t="inlineStr">
        <is>
          <t xml:space="preserve">Brand Assets </t>
        </is>
      </c>
      <c r="H80" t="inlineStr">
        <is>
          <t>2026-10-04</t>
        </is>
      </c>
    </row>
    <row r="81">
      <c r="A81" t="inlineStr">
        <is>
          <t>reethibeach.com</t>
        </is>
      </c>
      <c r="B81" t="inlineStr">
        <is>
          <t>crawl</t>
        </is>
      </c>
      <c r="C81" t="inlineStr">
        <is>
          <t>unverified</t>
        </is>
      </c>
      <c r="D81" t="n">
        <v>0</v>
      </c>
      <c r="E81" t="n">
        <v>0</v>
      </c>
      <c r="F81" t="n">
        <v>0</v>
      </c>
      <c r="G81" t="inlineStr">
        <is>
          <t>resort name not found on page</t>
        </is>
      </c>
      <c r="H81" t="inlineStr">
        <is>
          <t>2026-10-04</t>
        </is>
      </c>
    </row>
    <row r="82">
      <c r="A82" t="inlineStr">
        <is>
          <t>erimaldives.com</t>
        </is>
      </c>
      <c r="B82" t="inlineStr">
        <is>
          <t>crawl</t>
        </is>
      </c>
      <c r="C82" t="inlineStr">
        <is>
          <t>ok</t>
        </is>
      </c>
      <c r="D82" t="n">
        <v>0</v>
      </c>
      <c r="E82" t="n">
        <v>0</v>
      </c>
      <c r="F82" t="n">
        <v>0</v>
      </c>
      <c r="G82" t="inlineStr">
        <is>
          <t>pages=70 js=False dam=13</t>
        </is>
      </c>
      <c r="H82" t="inlineStr">
        <is>
          <t>2026-10-04</t>
        </is>
      </c>
    </row>
    <row r="83">
      <c r="A83" t="inlineStr">
        <is>
          <t>tourism.gov.mv</t>
        </is>
      </c>
      <c r="B83" t="inlineStr">
        <is>
          <t>register</t>
        </is>
      </c>
      <c r="C83" t="inlineStr">
        <is>
          <t>no-list</t>
        </is>
      </c>
      <c r="D83" t="n">
        <v>0</v>
      </c>
      <c r="E83" t="n">
        <v>0</v>
      </c>
      <c r="F83" t="n">
        <v>0</v>
      </c>
      <c r="G83" t="inlineStr">
        <is>
          <t>0 agency domains</t>
        </is>
      </c>
      <c r="H83" t="inlineStr">
        <is>
          <t>2026-10-04</t>
        </is>
      </c>
    </row>
    <row r="84">
      <c r="A84" t="inlineStr">
        <is>
          <t>kellyan.co.jp</t>
        </is>
      </c>
      <c r="B84" t="inlineStr">
        <is>
          <t>crawl</t>
        </is>
      </c>
      <c r="C84" t="inlineStr">
        <is>
          <t>ok</t>
        </is>
      </c>
      <c r="D84" t="n">
        <v>0</v>
      </c>
      <c r="E84" t="n">
        <v>0</v>
      </c>
      <c r="F84" t="n">
        <v>0</v>
      </c>
      <c r="G84" t="inlineStr">
        <is>
          <t>pages=12 js=False dam=0</t>
        </is>
      </c>
      <c r="H84" t="inlineStr">
        <is>
          <t>2026-10-04</t>
        </is>
      </c>
    </row>
    <row r="85">
      <c r="A85" t="inlineStr">
        <is>
          <t>innermaldives.com</t>
        </is>
      </c>
      <c r="B85" t="inlineStr">
        <is>
          <t>crawl</t>
        </is>
      </c>
      <c r="C85" t="inlineStr">
        <is>
          <t>ok</t>
        </is>
      </c>
      <c r="D85" t="n">
        <v>0</v>
      </c>
      <c r="E85" t="n">
        <v>0</v>
      </c>
      <c r="F85" t="n">
        <v>0</v>
      </c>
      <c r="G85" t="inlineStr">
        <is>
          <t>pages=12 js=False dam=62</t>
        </is>
      </c>
      <c r="H85" t="inlineStr">
        <is>
          <t>2026-10-04</t>
        </is>
      </c>
    </row>
    <row r="86">
      <c r="A86" t="inlineStr">
        <is>
          <t>voyagesmaldives.com</t>
        </is>
      </c>
      <c r="B86" t="inlineStr">
        <is>
          <t>crawl</t>
        </is>
      </c>
      <c r="C86" t="inlineStr">
        <is>
          <t>ok</t>
        </is>
      </c>
      <c r="D86" t="n">
        <v>1</v>
      </c>
      <c r="E86" t="n">
        <v>0</v>
      </c>
      <c r="F86" t="n">
        <v>0</v>
      </c>
      <c r="G86" t="inlineStr">
        <is>
          <t>pages=27 js=False dam=1</t>
        </is>
      </c>
      <c r="H86" t="inlineStr">
        <is>
          <t>2026-10-04</t>
        </is>
      </c>
    </row>
    <row r="87">
      <c r="A87" t="inlineStr">
        <is>
          <t>unihotel.org</t>
        </is>
      </c>
      <c r="B87" t="inlineStr">
        <is>
          <t>crawl</t>
        </is>
      </c>
      <c r="C87" t="inlineStr">
        <is>
          <t>ok</t>
        </is>
      </c>
      <c r="D87" t="n">
        <v>18</v>
      </c>
      <c r="E87" t="n">
        <v>0</v>
      </c>
      <c r="F87" t="n">
        <v>0</v>
      </c>
      <c r="G87" t="inlineStr">
        <is>
          <t>pages=150 js=False dam=0</t>
        </is>
      </c>
      <c r="H87" t="inlineStr">
        <is>
          <t>2026-10-04</t>
        </is>
      </c>
    </row>
    <row r="88">
      <c r="A88" t="inlineStr">
        <is>
          <t>hummingbird.travel</t>
        </is>
      </c>
      <c r="B88" t="inlineStr">
        <is>
          <t>crawl</t>
        </is>
      </c>
      <c r="C88" t="inlineStr">
        <is>
          <t>ok</t>
        </is>
      </c>
      <c r="D88" t="n">
        <v>12</v>
      </c>
      <c r="E88" t="n">
        <v>0</v>
      </c>
      <c r="F88" t="n">
        <v>0</v>
      </c>
      <c r="G88" t="inlineStr">
        <is>
          <t>pages=150 js=False dam=2</t>
        </is>
      </c>
      <c r="H88" t="inlineStr">
        <is>
          <t>2026-10-04</t>
        </is>
      </c>
    </row>
    <row r="89">
      <c r="A89" t="inlineStr">
        <is>
          <t>travelconnectionmaldives.com</t>
        </is>
      </c>
      <c r="B89" t="inlineStr">
        <is>
          <t>crawl</t>
        </is>
      </c>
      <c r="C89" t="inlineStr">
        <is>
          <t>ok</t>
        </is>
      </c>
      <c r="D89" t="n">
        <v>0</v>
      </c>
      <c r="E89" t="n">
        <v>0</v>
      </c>
      <c r="F89" t="n">
        <v>0</v>
      </c>
      <c r="G89" t="inlineStr">
        <is>
          <t>pages=1 js=False dam=0</t>
        </is>
      </c>
      <c r="H89" t="inlineStr">
        <is>
          <t>2026-10-04</t>
        </is>
      </c>
    </row>
    <row r="90">
      <c r="A90" t="inlineStr">
        <is>
          <t>suntravelsmaldives.com</t>
        </is>
      </c>
      <c r="B90" t="inlineStr">
        <is>
          <t>crawl</t>
        </is>
      </c>
      <c r="C90" t="inlineStr">
        <is>
          <t>ok</t>
        </is>
      </c>
      <c r="D90" t="n">
        <v>0</v>
      </c>
      <c r="E90" t="n">
        <v>0</v>
      </c>
      <c r="F90" t="n">
        <v>0</v>
      </c>
      <c r="G90" t="inlineStr">
        <is>
          <t>pages=139 js=False dam=0</t>
        </is>
      </c>
      <c r="H90" t="inlineStr">
        <is>
          <t>2026-10-04</t>
        </is>
      </c>
    </row>
    <row r="91">
      <c r="A91" t="inlineStr">
        <is>
          <t>mondomaldive.it</t>
        </is>
      </c>
      <c r="B91" t="inlineStr">
        <is>
          <t>crawl</t>
        </is>
      </c>
      <c r="C91" t="inlineStr">
        <is>
          <t>ok</t>
        </is>
      </c>
      <c r="D91" t="n">
        <v>0</v>
      </c>
      <c r="E91" t="n">
        <v>0</v>
      </c>
      <c r="F91" t="n">
        <v>0</v>
      </c>
      <c r="G91" t="inlineStr">
        <is>
          <t>pages=150 js=False dam=0</t>
        </is>
      </c>
      <c r="H91" t="inlineStr">
        <is>
          <t>2026-10-04</t>
        </is>
      </c>
    </row>
    <row r="92">
      <c r="A92" t="inlineStr">
        <is>
          <t>resortlife.mv</t>
        </is>
      </c>
      <c r="B92" t="inlineStr">
        <is>
          <t>crawl</t>
        </is>
      </c>
      <c r="C92" t="inlineStr">
        <is>
          <t>unreachable</t>
        </is>
      </c>
      <c r="D92" t="n">
        <v>0</v>
      </c>
      <c r="E92" t="n">
        <v>0</v>
      </c>
      <c r="F92" t="n">
        <v>0</v>
      </c>
      <c r="G92" t="inlineStr"/>
      <c r="H92" t="inlineStr">
        <is>
          <t>2026-10-04</t>
        </is>
      </c>
    </row>
    <row r="93">
      <c r="A93" t="inlineStr">
        <is>
          <t>islandsmaldives.com</t>
        </is>
      </c>
      <c r="B93" t="inlineStr">
        <is>
          <t>crawl</t>
        </is>
      </c>
      <c r="C93" t="inlineStr">
        <is>
          <t>ok</t>
        </is>
      </c>
      <c r="D93" t="n">
        <v>0</v>
      </c>
      <c r="E93" t="n">
        <v>0</v>
      </c>
      <c r="F93" t="n">
        <v>0</v>
      </c>
      <c r="G93" t="inlineStr">
        <is>
          <t>pages=2 js=False dam=0</t>
        </is>
      </c>
      <c r="H93" t="inlineStr">
        <is>
          <t>2026-10-04</t>
        </is>
      </c>
    </row>
    <row r="94">
      <c r="A94" t="inlineStr">
        <is>
          <t>maldivesdmc.com</t>
        </is>
      </c>
      <c r="B94" t="inlineStr">
        <is>
          <t>crawl</t>
        </is>
      </c>
      <c r="C94" t="inlineStr">
        <is>
          <t>ok</t>
        </is>
      </c>
      <c r="D94" t="n">
        <v>0</v>
      </c>
      <c r="E94" t="n">
        <v>0</v>
      </c>
      <c r="F94" t="n">
        <v>0</v>
      </c>
      <c r="G94" t="inlineStr">
        <is>
          <t>pages=2 js=False dam=0</t>
        </is>
      </c>
      <c r="H94" t="inlineStr">
        <is>
          <t>2026-10-04</t>
        </is>
      </c>
    </row>
    <row r="95">
      <c r="A95" t="inlineStr">
        <is>
          <t>ablemaldives.com</t>
        </is>
      </c>
      <c r="B95" t="inlineStr">
        <is>
          <t>crawl</t>
        </is>
      </c>
      <c r="C95" t="inlineStr">
        <is>
          <t>unreachable</t>
        </is>
      </c>
      <c r="D95" t="n">
        <v>0</v>
      </c>
      <c r="E95" t="n">
        <v>0</v>
      </c>
      <c r="F95" t="n">
        <v>0</v>
      </c>
      <c r="G95" t="inlineStr"/>
      <c r="H95" t="inlineStr">
        <is>
          <t>2026-10-04</t>
        </is>
      </c>
    </row>
    <row r="96">
      <c r="A96" t="inlineStr">
        <is>
          <t>maldives-travel.com</t>
        </is>
      </c>
      <c r="B96" t="inlineStr">
        <is>
          <t>crawl</t>
        </is>
      </c>
      <c r="C96" t="inlineStr">
        <is>
          <t>unreachable</t>
        </is>
      </c>
      <c r="D96" t="n">
        <v>0</v>
      </c>
      <c r="E96" t="n">
        <v>0</v>
      </c>
      <c r="F96" t="n">
        <v>0</v>
      </c>
      <c r="G96" t="inlineStr"/>
      <c r="H96" t="inlineStr">
        <is>
          <t>2026-10-04</t>
        </is>
      </c>
    </row>
    <row r="97">
      <c r="A97" t="inlineStr">
        <is>
          <t>maldivestravelspot.com</t>
        </is>
      </c>
      <c r="B97" t="inlineStr">
        <is>
          <t>crawl</t>
        </is>
      </c>
      <c r="C97" t="inlineStr">
        <is>
          <t>unreachable</t>
        </is>
      </c>
      <c r="D97" t="n">
        <v>0</v>
      </c>
      <c r="E97" t="n">
        <v>0</v>
      </c>
      <c r="F97" t="n">
        <v>0</v>
      </c>
      <c r="G97" t="inlineStr"/>
      <c r="H97" t="inlineStr">
        <is>
          <t>2026-10-04</t>
        </is>
      </c>
    </row>
    <row r="98">
      <c r="A98" t="inlineStr">
        <is>
          <t>capitaltravel.com</t>
        </is>
      </c>
      <c r="B98" t="inlineStr">
        <is>
          <t>crawl</t>
        </is>
      </c>
      <c r="C98" t="inlineStr">
        <is>
          <t>ok</t>
        </is>
      </c>
      <c r="D98" t="n">
        <v>0</v>
      </c>
      <c r="E98" t="n">
        <v>0</v>
      </c>
      <c r="F98" t="n">
        <v>0</v>
      </c>
      <c r="G98" t="inlineStr">
        <is>
          <t>pages=150 js=False dam=0</t>
        </is>
      </c>
      <c r="H98" t="inlineStr">
        <is>
          <t>2026-10-04</t>
        </is>
      </c>
    </row>
    <row r="99">
      <c r="A99" t="inlineStr">
        <is>
          <t>maldivesbookings.com</t>
        </is>
      </c>
      <c r="B99" t="inlineStr">
        <is>
          <t>crawl</t>
        </is>
      </c>
      <c r="C99" t="inlineStr">
        <is>
          <t>unreachable</t>
        </is>
      </c>
      <c r="D99" t="n">
        <v>0</v>
      </c>
      <c r="E99" t="n">
        <v>0</v>
      </c>
      <c r="F99" t="n">
        <v>0</v>
      </c>
      <c r="G99" t="inlineStr"/>
      <c r="H99" t="inlineStr">
        <is>
          <t>2026-10-04</t>
        </is>
      </c>
    </row>
    <row r="100">
      <c r="A100" t="inlineStr">
        <is>
          <t>lilyhotels.com</t>
        </is>
      </c>
      <c r="B100" t="inlineStr">
        <is>
          <t>crawl</t>
        </is>
      </c>
      <c r="C100" t="inlineStr">
        <is>
          <t>ok</t>
        </is>
      </c>
      <c r="D100" t="n">
        <v>0</v>
      </c>
      <c r="E100" t="n">
        <v>0</v>
      </c>
      <c r="F100" t="n">
        <v>0</v>
      </c>
      <c r="G100" t="inlineStr">
        <is>
          <t>pages=4 js=False dam=0</t>
        </is>
      </c>
      <c r="H100" t="inlineStr">
        <is>
          <t>2026-10-04</t>
        </is>
      </c>
    </row>
    <row r="101">
      <c r="A101" t="inlineStr">
        <is>
          <t>maldivesholidayoffers.com</t>
        </is>
      </c>
      <c r="B101" t="inlineStr">
        <is>
          <t>crawl</t>
        </is>
      </c>
      <c r="C101" t="inlineStr">
        <is>
          <t>ok</t>
        </is>
      </c>
      <c r="D101" t="n">
        <v>1</v>
      </c>
      <c r="E101" t="n">
        <v>0</v>
      </c>
      <c r="F101" t="n">
        <v>0</v>
      </c>
      <c r="G101" t="inlineStr">
        <is>
          <t>pages=72 js=False dam=2</t>
        </is>
      </c>
      <c r="H101" t="inlineStr">
        <is>
          <t>2026-10-04</t>
        </is>
      </c>
    </row>
    <row r="102">
      <c r="A102" t="inlineStr">
        <is>
          <t>mymaldives.com</t>
        </is>
      </c>
      <c r="B102" t="inlineStr">
        <is>
          <t>crawl</t>
        </is>
      </c>
      <c r="C102" t="inlineStr">
        <is>
          <t>ok</t>
        </is>
      </c>
      <c r="D102" t="n">
        <v>0</v>
      </c>
      <c r="E102" t="n">
        <v>0</v>
      </c>
      <c r="F102" t="n">
        <v>0</v>
      </c>
      <c r="G102" t="inlineStr">
        <is>
          <t>pages=150 js=False dam=1</t>
        </is>
      </c>
      <c r="H102" t="inlineStr">
        <is>
          <t>2026-10-04</t>
        </is>
      </c>
    </row>
    <row r="103">
      <c r="A103" t="inlineStr">
        <is>
          <t>simplymaldives.co.uk</t>
        </is>
      </c>
      <c r="B103" t="inlineStr">
        <is>
          <t>crawl</t>
        </is>
      </c>
      <c r="C103" t="inlineStr">
        <is>
          <t>ok</t>
        </is>
      </c>
      <c r="D103" t="n">
        <v>0</v>
      </c>
      <c r="E103" t="n">
        <v>0</v>
      </c>
      <c r="F103" t="n">
        <v>0</v>
      </c>
      <c r="G103" t="inlineStr">
        <is>
          <t>pages=150 js=False dam=0</t>
        </is>
      </c>
      <c r="H103" t="inlineStr">
        <is>
          <t>2026-10-04</t>
        </is>
      </c>
    </row>
    <row r="104">
      <c r="A104" t="inlineStr">
        <is>
          <t>atollsmaldives.com</t>
        </is>
      </c>
      <c r="B104" t="inlineStr">
        <is>
          <t>crawl</t>
        </is>
      </c>
      <c r="C104" t="inlineStr">
        <is>
          <t>unreachable</t>
        </is>
      </c>
      <c r="D104" t="n">
        <v>0</v>
      </c>
      <c r="E104" t="n">
        <v>0</v>
      </c>
      <c r="F104" t="n">
        <v>0</v>
      </c>
      <c r="G104" t="inlineStr"/>
      <c r="H104" t="inlineStr">
        <is>
          <t>2026-10-04</t>
        </is>
      </c>
    </row>
    <row r="105">
      <c r="A105" t="inlineStr">
        <is>
          <t>ocean-maldives.com</t>
        </is>
      </c>
      <c r="B105" t="inlineStr">
        <is>
          <t>crawl</t>
        </is>
      </c>
      <c r="C105" t="inlineStr">
        <is>
          <t>unreachable</t>
        </is>
      </c>
      <c r="D105" t="n">
        <v>0</v>
      </c>
      <c r="E105" t="n">
        <v>0</v>
      </c>
      <c r="F105" t="n">
        <v>0</v>
      </c>
      <c r="G105" t="inlineStr"/>
      <c r="H105" t="inlineStr">
        <is>
          <t>2026-10-04</t>
        </is>
      </c>
    </row>
    <row r="106">
      <c r="A106" t="inlineStr">
        <is>
          <t>maldivesresorts.com</t>
        </is>
      </c>
      <c r="B106" t="inlineStr">
        <is>
          <t>crawl</t>
        </is>
      </c>
      <c r="C106" t="inlineStr">
        <is>
          <t>blocked-partial</t>
        </is>
      </c>
      <c r="D106" t="n">
        <v>0</v>
      </c>
      <c r="E106" t="n">
        <v>0</v>
      </c>
      <c r="F106" t="n">
        <v>0</v>
      </c>
      <c r="G106" t="inlineStr">
        <is>
          <t>pages=1 js=False dam=0</t>
        </is>
      </c>
      <c r="H106" t="inlineStr">
        <is>
          <t>2026-10-04</t>
        </is>
      </c>
    </row>
    <row r="107">
      <c r="A107" t="inlineStr">
        <is>
          <t>maldivestraveller.mv</t>
        </is>
      </c>
      <c r="B107" t="inlineStr">
        <is>
          <t>crawl</t>
        </is>
      </c>
      <c r="C107" t="inlineStr">
        <is>
          <t>ok</t>
        </is>
      </c>
      <c r="D107" t="n">
        <v>0</v>
      </c>
      <c r="E107" t="n">
        <v>0</v>
      </c>
      <c r="F107" t="n">
        <v>0</v>
      </c>
      <c r="G107" t="inlineStr">
        <is>
          <t>pages=150 js=False dam=0</t>
        </is>
      </c>
      <c r="H107" t="inlineStr">
        <is>
          <t>2026-10-04</t>
        </is>
      </c>
    </row>
    <row r="108">
      <c r="A108" t="inlineStr">
        <is>
          <t>maldiveslovers.com</t>
        </is>
      </c>
      <c r="B108" t="inlineStr">
        <is>
          <t>crawl</t>
        </is>
      </c>
      <c r="C108" t="inlineStr">
        <is>
          <t>ok</t>
        </is>
      </c>
      <c r="D108" t="n">
        <v>0</v>
      </c>
      <c r="E108" t="n">
        <v>0</v>
      </c>
      <c r="F108" t="n">
        <v>0</v>
      </c>
      <c r="G108" t="inlineStr">
        <is>
          <t>pages=1 js=False dam=0</t>
        </is>
      </c>
      <c r="H108" t="inlineStr">
        <is>
          <t>2026-10-04</t>
        </is>
      </c>
    </row>
    <row r="109">
      <c r="A109" t="inlineStr">
        <is>
          <t>allmaldives.com</t>
        </is>
      </c>
      <c r="B109" t="inlineStr">
        <is>
          <t>crawl</t>
        </is>
      </c>
      <c r="C109" t="inlineStr">
        <is>
          <t>blocked-partial</t>
        </is>
      </c>
      <c r="D109" t="n">
        <v>0</v>
      </c>
      <c r="E109" t="n">
        <v>0</v>
      </c>
      <c r="F109" t="n">
        <v>0</v>
      </c>
      <c r="G109" t="inlineStr">
        <is>
          <t>pages=1 js=False dam=0</t>
        </is>
      </c>
      <c r="H109" t="inlineStr">
        <is>
          <t>2026-10-04</t>
        </is>
      </c>
    </row>
    <row r="110">
      <c r="A110" t="inlineStr">
        <is>
          <t>maldivesfinest.com</t>
        </is>
      </c>
      <c r="B110" t="inlineStr">
        <is>
          <t>crawl</t>
        </is>
      </c>
      <c r="C110" t="inlineStr">
        <is>
          <t>unreachable</t>
        </is>
      </c>
      <c r="D110" t="n">
        <v>0</v>
      </c>
      <c r="E110" t="n">
        <v>0</v>
      </c>
      <c r="F110" t="n">
        <v>0</v>
      </c>
      <c r="G110" t="inlineStr"/>
      <c r="H110" t="inlineStr">
        <is>
          <t>2026-10-04</t>
        </is>
      </c>
    </row>
    <row r="111">
      <c r="A111" t="inlineStr">
        <is>
          <t>maldivesmagazine.com</t>
        </is>
      </c>
      <c r="B111" t="inlineStr">
        <is>
          <t>crawl</t>
        </is>
      </c>
      <c r="C111" t="inlineStr">
        <is>
          <t>unreachable</t>
        </is>
      </c>
      <c r="D111" t="n">
        <v>0</v>
      </c>
      <c r="E111" t="n">
        <v>0</v>
      </c>
      <c r="F111" t="n">
        <v>0</v>
      </c>
      <c r="G111" t="inlineStr"/>
      <c r="H111" t="inlineStr">
        <is>
          <t>2026-10-04</t>
        </is>
      </c>
    </row>
    <row r="112">
      <c r="A112" t="inlineStr">
        <is>
          <t>islandhoppers.com.mv</t>
        </is>
      </c>
      <c r="B112" t="inlineStr">
        <is>
          <t>crawl</t>
        </is>
      </c>
      <c r="C112" t="inlineStr">
        <is>
          <t>unreachable</t>
        </is>
      </c>
      <c r="D112" t="n">
        <v>0</v>
      </c>
      <c r="E112" t="n">
        <v>0</v>
      </c>
      <c r="F112" t="n">
        <v>0</v>
      </c>
      <c r="G112" t="inlineStr"/>
      <c r="H112" t="inlineStr">
        <is>
          <t>2026-10-04</t>
        </is>
      </c>
    </row>
    <row r="113">
      <c r="A113" t="inlineStr">
        <is>
          <t>triptomaldives.com</t>
        </is>
      </c>
      <c r="B113" t="inlineStr">
        <is>
          <t>crawl</t>
        </is>
      </c>
      <c r="C113" t="inlineStr">
        <is>
          <t>unreachable</t>
        </is>
      </c>
      <c r="D113" t="n">
        <v>0</v>
      </c>
      <c r="E113" t="n">
        <v>0</v>
      </c>
      <c r="F113" t="n">
        <v>0</v>
      </c>
      <c r="G113" t="inlineStr"/>
      <c r="H113" t="inlineStr">
        <is>
          <t>2026-10-04</t>
        </is>
      </c>
    </row>
    <row r="114">
      <c r="A114" t="inlineStr">
        <is>
          <t>maldivestourism.net</t>
        </is>
      </c>
      <c r="B114" t="inlineStr">
        <is>
          <t>crawl</t>
        </is>
      </c>
      <c r="C114" t="inlineStr">
        <is>
          <t>ok</t>
        </is>
      </c>
      <c r="D114" t="n">
        <v>1</v>
      </c>
      <c r="E114" t="n">
        <v>0</v>
      </c>
      <c r="F114" t="n">
        <v>0</v>
      </c>
      <c r="G114" t="inlineStr">
        <is>
          <t>pages=139 js=False dam=0</t>
        </is>
      </c>
      <c r="H114" t="inlineStr">
        <is>
          <t>2026-10-04</t>
        </is>
      </c>
    </row>
    <row r="115">
      <c r="A115" t="inlineStr">
        <is>
          <t>visitmaldives.com</t>
        </is>
      </c>
      <c r="B115" t="inlineStr">
        <is>
          <t>crawl</t>
        </is>
      </c>
      <c r="C115" t="inlineStr">
        <is>
          <t>ok</t>
        </is>
      </c>
      <c r="D115" t="n">
        <v>78</v>
      </c>
      <c r="E115" t="n">
        <v>0</v>
      </c>
      <c r="F115" t="n">
        <v>0</v>
      </c>
      <c r="G115" t="inlineStr">
        <is>
          <t>pages=150 js=False dam=787</t>
        </is>
      </c>
      <c r="H115" t="inlineStr">
        <is>
          <t>2026-10-04</t>
        </is>
      </c>
    </row>
    <row r="116">
      <c r="A116" t="inlineStr">
        <is>
          <t>radissonhotels.com</t>
        </is>
      </c>
      <c r="B116" t="inlineStr">
        <is>
          <t>crawl</t>
        </is>
      </c>
      <c r="C116" t="inlineStr">
        <is>
          <t>unverified</t>
        </is>
      </c>
      <c r="D116" t="n">
        <v>0</v>
      </c>
      <c r="E116" t="n">
        <v>0</v>
      </c>
      <c r="F116" t="n">
        <v>0</v>
      </c>
      <c r="G116" t="inlineStr">
        <is>
          <t>resort name not found on page</t>
        </is>
      </c>
      <c r="H116" t="inlineStr">
        <is>
          <t>2026-10-04</t>
        </is>
      </c>
    </row>
    <row r="117">
      <c r="A117" t="inlineStr">
        <is>
          <t>hondaafushi.com</t>
        </is>
      </c>
      <c r="B117" t="inlineStr">
        <is>
          <t>crawl</t>
        </is>
      </c>
      <c r="C117" t="inlineStr">
        <is>
          <t>ok</t>
        </is>
      </c>
      <c r="D117" t="n">
        <v>0</v>
      </c>
      <c r="E117" t="n">
        <v>0</v>
      </c>
      <c r="F117" t="n">
        <v>0</v>
      </c>
      <c r="G117" t="inlineStr">
        <is>
          <t>pages=2 js=True dam=0</t>
        </is>
      </c>
      <c r="H117" t="inlineStr">
        <is>
          <t>2026-10-04</t>
        </is>
      </c>
    </row>
    <row r="118">
      <c r="A118" t="inlineStr">
        <is>
          <t>chevalblanc.com</t>
        </is>
      </c>
      <c r="B118" t="inlineStr">
        <is>
          <t>crawl</t>
        </is>
      </c>
      <c r="C118" t="inlineStr">
        <is>
          <t>ok</t>
        </is>
      </c>
      <c r="D118" t="n">
        <v>15</v>
      </c>
      <c r="E118" t="n">
        <v>15</v>
      </c>
      <c r="F118" t="n">
        <v>0</v>
      </c>
      <c r="G118" t="inlineStr">
        <is>
          <t>pages=30 js=True dam=3875</t>
        </is>
      </c>
      <c r="H118" t="inlineStr">
        <is>
          <t>2026-10-04</t>
        </is>
      </c>
    </row>
    <row r="119">
      <c r="A119" t="inlineStr">
        <is>
          <t>equatorvillage.com</t>
        </is>
      </c>
      <c r="B119" t="inlineStr">
        <is>
          <t>crawl</t>
        </is>
      </c>
      <c r="C119" t="inlineStr">
        <is>
          <t>ok</t>
        </is>
      </c>
      <c r="D119" t="n">
        <v>8</v>
      </c>
      <c r="E119" t="n">
        <v>8</v>
      </c>
      <c r="F119" t="n">
        <v>0</v>
      </c>
      <c r="G119" t="inlineStr">
        <is>
          <t>pages=52 js=True dam=0</t>
        </is>
      </c>
      <c r="H119" t="inlineStr">
        <is>
          <t>2026-10-04</t>
        </is>
      </c>
    </row>
    <row r="120">
      <c r="A120" t="inlineStr">
        <is>
          <t>jaresortshotels.com</t>
        </is>
      </c>
      <c r="B120" t="inlineStr">
        <is>
          <t>crawl</t>
        </is>
      </c>
      <c r="C120" t="inlineStr">
        <is>
          <t>ok</t>
        </is>
      </c>
      <c r="D120" t="n">
        <v>1</v>
      </c>
      <c r="E120" t="n">
        <v>1</v>
      </c>
      <c r="F120" t="n">
        <v>0</v>
      </c>
      <c r="G120" t="inlineStr">
        <is>
          <t>pages=12 js=False dam=0</t>
        </is>
      </c>
      <c r="H120" t="inlineStr">
        <is>
          <t>2026-10-04</t>
        </is>
      </c>
    </row>
    <row r="121">
      <c r="A121" t="inlineStr">
        <is>
          <t>comohotels.com</t>
        </is>
      </c>
      <c r="B121" t="inlineStr">
        <is>
          <t>crawl</t>
        </is>
      </c>
      <c r="C121" t="inlineStr">
        <is>
          <t>ok</t>
        </is>
      </c>
      <c r="D121" t="n">
        <v>53</v>
      </c>
      <c r="E121" t="n">
        <v>53</v>
      </c>
      <c r="F121" t="n">
        <v>0</v>
      </c>
      <c r="G121" t="inlineStr">
        <is>
          <t>pages=70 js=False dam=92</t>
        </is>
      </c>
      <c r="H121" t="inlineStr">
        <is>
          <t>2026-10-04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t>
        </is>
      </c>
      <c r="E2" t="inlineStr">
        <is>
          <t>2026-10-04</t>
        </is>
      </c>
    </row>
    <row r="3">
      <c r="A3" t="inlineStr">
        <is>
          <t>www.ozenreservebolifushi.com</t>
        </is>
      </c>
      <c r="B3" t="inlineStr">
        <is>
          <t>GET home, sitemap, headless render</t>
        </is>
      </c>
      <c r="C3" t="inlineStr">
        <is>
          <t>blocked</t>
        </is>
      </c>
      <c r="D3" t="inlineStr">
        <is>
          <t>Bolifushi Island Resort</t>
        </is>
      </c>
      <c r="E3" t="inlineStr">
        <is>
          <t>2026-10-04</t>
        </is>
      </c>
    </row>
    <row r="4">
      <c r="A4" t="inlineStr">
        <is>
          <t>www.dreamlandmaldives.com</t>
        </is>
      </c>
      <c r="B4" t="inlineStr">
        <is>
          <t>GET home, sitemap, headless render</t>
        </is>
      </c>
      <c r="C4" t="inlineStr">
        <is>
          <t>unreachable</t>
        </is>
      </c>
      <c r="D4" t="inlineStr">
        <is>
          <t>Dreamland - The Unique Sea &amp; Lake Resort/Spa</t>
        </is>
      </c>
      <c r="E4" t="inlineStr">
        <is>
          <t>2026-10-04</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t>
        </is>
      </c>
      <c r="E5" t="inlineStr">
        <is>
          <t>2026-10-04</t>
        </is>
      </c>
    </row>
    <row r="6">
      <c r="A6" t="inlineStr">
        <is>
          <t>www.joali.com</t>
        </is>
      </c>
      <c r="B6" t="inlineStr">
        <is>
          <t>GET home, sitemap, headless render</t>
        </is>
      </c>
      <c r="C6" t="inlineStr">
        <is>
          <t>unreachable</t>
        </is>
      </c>
      <c r="D6" t="inlineStr">
        <is>
          <t>Joali Muravandhoo</t>
        </is>
      </c>
      <c r="E6" t="inlineStr">
        <is>
          <t>2026-10-04</t>
        </is>
      </c>
    </row>
    <row r="7">
      <c r="A7" t="inlineStr">
        <is>
          <t>www.joalibeing.com</t>
        </is>
      </c>
      <c r="B7" t="inlineStr">
        <is>
          <t>GET home, sitemap, headless render</t>
        </is>
      </c>
      <c r="C7" t="inlineStr">
        <is>
          <t>unreachable</t>
        </is>
      </c>
      <c r="D7" t="inlineStr">
        <is>
          <t>Joali Being Bodufushi</t>
        </is>
      </c>
      <c r="E7" t="inlineStr">
        <is>
          <t>2026-10-04</t>
        </is>
      </c>
    </row>
    <row r="8">
      <c r="A8" t="inlineStr">
        <is>
          <t>www.filitheyo.com</t>
        </is>
      </c>
      <c r="B8" t="inlineStr">
        <is>
          <t>GET home, sitemap, headless render</t>
        </is>
      </c>
      <c r="C8" t="inlineStr">
        <is>
          <t>unverified</t>
        </is>
      </c>
      <c r="D8" t="inlineStr">
        <is>
          <t>Filitheyo Island Resort</t>
        </is>
      </c>
      <c r="E8" t="inlineStr">
        <is>
          <t>2026-10-04</t>
        </is>
      </c>
    </row>
    <row r="9">
      <c r="A9" t="inlineStr">
        <is>
          <t>www.baglionihotels.com</t>
        </is>
      </c>
      <c r="B9" t="inlineStr">
        <is>
          <t>GET home, sitemap, headless render</t>
        </is>
      </c>
      <c r="C9" t="inlineStr">
        <is>
          <t>blocked</t>
        </is>
      </c>
      <c r="D9" t="inlineStr">
        <is>
          <t>Baglioni Resort Maldives</t>
        </is>
      </c>
      <c r="E9" t="inlineStr">
        <is>
          <t>2026-10-04</t>
        </is>
      </c>
    </row>
    <row r="10">
      <c r="A10" t="inlineStr">
        <is>
          <t>www.rihiveli-maldives.com</t>
        </is>
      </c>
      <c r="B10" t="inlineStr">
        <is>
          <t>GET home, sitemap, headless render</t>
        </is>
      </c>
      <c r="C10" t="inlineStr">
        <is>
          <t>unverified</t>
        </is>
      </c>
      <c r="D10" t="inlineStr">
        <is>
          <t>Rihiveli Maldives Resort</t>
        </is>
      </c>
      <c r="E10" t="inlineStr">
        <is>
          <t>2026-10-04</t>
        </is>
      </c>
    </row>
    <row r="11">
      <c r="A11" t="inlineStr">
        <is>
          <t>www.hilton.com</t>
        </is>
      </c>
      <c r="B11" t="inlineStr">
        <is>
          <t>GET home, sitemap, headless render</t>
        </is>
      </c>
      <c r="C11" t="inlineStr">
        <is>
          <t>unverified</t>
        </is>
      </c>
      <c r="D11" t="inlineStr">
        <is>
          <t>Hilton Maldives Amingiri Resort &amp; Spa, Waldorf Astoria Maldives Ithaafushi</t>
        </is>
      </c>
      <c r="E11" t="inlineStr">
        <is>
          <t>2026-10-04</t>
        </is>
      </c>
    </row>
    <row r="12">
      <c r="A12" t="inlineStr">
        <is>
          <t>www.hyatt.com</t>
        </is>
      </c>
      <c r="B12" t="inlineStr">
        <is>
          <t>GET home, sitemap, headless render</t>
        </is>
      </c>
      <c r="C12" t="inlineStr">
        <is>
          <t>unverified</t>
        </is>
      </c>
      <c r="D12" t="inlineStr">
        <is>
          <t>Alila Kothaifaru Maldives, Park Hyatt Maldives, Hadahaa</t>
        </is>
      </c>
      <c r="E12" t="inlineStr">
        <is>
          <t>2026-10-04</t>
        </is>
      </c>
    </row>
    <row r="13">
      <c r="A13" t="inlineStr">
        <is>
          <t>www.alilahotels.com</t>
        </is>
      </c>
      <c r="B13" t="inlineStr">
        <is>
          <t>GET home, sitemap, headless render</t>
        </is>
      </c>
      <c r="C13" t="inlineStr">
        <is>
          <t>blocked</t>
        </is>
      </c>
      <c r="D13" t="inlineStr">
        <is>
          <t>Alila Kothaifaru Maldives</t>
        </is>
      </c>
      <c r="E13" t="inlineStr">
        <is>
          <t>2026-10-04</t>
        </is>
      </c>
    </row>
    <row r="14">
      <c r="A14" t="inlineStr">
        <is>
          <t>www.nooemaldives.com</t>
        </is>
      </c>
      <c r="B14" t="inlineStr">
        <is>
          <t>GET home, sitemap, headless render</t>
        </is>
      </c>
      <c r="C14" t="inlineStr">
        <is>
          <t>unreachable</t>
        </is>
      </c>
      <c r="D14" t="inlineStr">
        <is>
          <t>Nooe Maldives Kunavashi</t>
        </is>
      </c>
      <c r="E14" t="inlineStr">
        <is>
          <t>2026-10-04</t>
        </is>
      </c>
    </row>
    <row r="15">
      <c r="A15" t="inlineStr">
        <is>
          <t>www.halcyonmaldives.com</t>
        </is>
      </c>
      <c r="B15" t="inlineStr">
        <is>
          <t>GET home, sitemap, headless render</t>
        </is>
      </c>
      <c r="C15" t="inlineStr">
        <is>
          <t>blocked</t>
        </is>
      </c>
      <c r="D15" t="inlineStr">
        <is>
          <t>Raffles Maldives Meradhoo Resort</t>
        </is>
      </c>
      <c r="E15" t="inlineStr">
        <is>
          <t>2026-10-04</t>
        </is>
      </c>
    </row>
    <row r="16">
      <c r="A16" t="inlineStr">
        <is>
          <t>www.melia.com</t>
        </is>
      </c>
      <c r="B16" t="inlineStr">
        <is>
          <t>GET home, sitemap, headless render</t>
        </is>
      </c>
      <c r="C16" t="inlineStr">
        <is>
          <t>blocked</t>
        </is>
      </c>
      <c r="D16" t="inlineStr">
        <is>
          <t>Barceló Whale Lagoon Maldives</t>
        </is>
      </c>
      <c r="E16" t="inlineStr">
        <is>
          <t>2026-10-04</t>
        </is>
      </c>
    </row>
    <row r="17">
      <c r="A17" t="inlineStr">
        <is>
          <t>www.raffles.com</t>
        </is>
      </c>
      <c r="B17" t="inlineStr">
        <is>
          <t>GET home, sitemap, headless render</t>
        </is>
      </c>
      <c r="C17" t="inlineStr">
        <is>
          <t>blocked</t>
        </is>
      </c>
      <c r="D17" t="inlineStr">
        <is>
          <t>Raffles Maldives Meradhoo Resort</t>
        </is>
      </c>
      <c r="E17" t="inlineStr">
        <is>
          <t>2026-10-04</t>
        </is>
      </c>
    </row>
    <row r="18">
      <c r="A18" t="inlineStr">
        <is>
          <t>www.barcelo.com</t>
        </is>
      </c>
      <c r="B18" t="inlineStr">
        <is>
          <t>GET home, sitemap, headless render</t>
        </is>
      </c>
      <c r="C18" t="inlineStr">
        <is>
          <t>unverified</t>
        </is>
      </c>
      <c r="D18" t="inlineStr">
        <is>
          <t>Barceló Whale Lagoon Maldives</t>
        </is>
      </c>
      <c r="E18" t="inlineStr">
        <is>
          <t>2026-10-04</t>
        </is>
      </c>
    </row>
    <row r="19">
      <c r="A19" t="inlineStr">
        <is>
          <t>www.innahura.com</t>
        </is>
      </c>
      <c r="B19" t="inlineStr">
        <is>
          <t>GET home, sitemap, headless render</t>
        </is>
      </c>
      <c r="C19" t="inlineStr">
        <is>
          <t>unverified</t>
        </is>
      </c>
      <c r="D19" t="inlineStr">
        <is>
          <t>Innahura Maldives Resort</t>
        </is>
      </c>
      <c r="E19" t="inlineStr">
        <is>
          <t>2026-10-04</t>
        </is>
      </c>
    </row>
    <row r="20">
      <c r="A20" t="inlineStr">
        <is>
          <t>www.coastlinemaldives.com</t>
        </is>
      </c>
      <c r="B20" t="inlineStr">
        <is>
          <t>GET home, sitemap, headless render</t>
        </is>
      </c>
      <c r="C20" t="inlineStr">
        <is>
          <t>unreachable</t>
        </is>
      </c>
      <c r="D20" t="inlineStr">
        <is>
          <t>Coastline Residences</t>
        </is>
      </c>
      <c r="E20" t="inlineStr">
        <is>
          <t>2026-10-04</t>
        </is>
      </c>
    </row>
    <row r="21">
      <c r="A21" t="inlineStr">
        <is>
          <t>coastlineresidences.com</t>
        </is>
      </c>
      <c r="B21" t="inlineStr">
        <is>
          <t>GET home, sitemap, headless render</t>
        </is>
      </c>
      <c r="C21" t="inlineStr">
        <is>
          <t>unreachable</t>
        </is>
      </c>
      <c r="D21" t="inlineStr">
        <is>
          <t>Coastline Residences</t>
        </is>
      </c>
      <c r="E21" t="inlineStr">
        <is>
          <t>2026-10-04</t>
        </is>
      </c>
    </row>
    <row r="22">
      <c r="A22" t="inlineStr">
        <is>
          <t>www.ritzcarlton.com</t>
        </is>
      </c>
      <c r="B22" t="inlineStr">
        <is>
          <t>GET home, sitemap, headless render</t>
        </is>
      </c>
      <c r="C22" t="inlineStr">
        <is>
          <t>unreachable</t>
        </is>
      </c>
      <c r="D22" t="inlineStr">
        <is>
          <t>The Ritz Carlton Maldives Fari Islands</t>
        </is>
      </c>
      <c r="E22" t="inlineStr">
        <is>
          <t>2026-10-04</t>
        </is>
      </c>
    </row>
    <row r="23">
      <c r="A23" t="inlineStr">
        <is>
          <t>www.nh-collection.com</t>
        </is>
      </c>
      <c r="B23" t="inlineStr">
        <is>
          <t>GET home, sitemap, headless render</t>
        </is>
      </c>
      <c r="C23" t="inlineStr">
        <is>
          <t>blocked</t>
        </is>
      </c>
      <c r="D23" t="inlineStr">
        <is>
          <t>NH Collection Maldives Havodda Resort</t>
        </is>
      </c>
      <c r="E23" t="inlineStr">
        <is>
          <t>2026-10-04</t>
        </is>
      </c>
    </row>
    <row r="24">
      <c r="A24" t="inlineStr">
        <is>
          <t>www.nh-hotels.com</t>
        </is>
      </c>
      <c r="B24" t="inlineStr">
        <is>
          <t>GET home, sitemap, headless render</t>
        </is>
      </c>
      <c r="C24" t="inlineStr">
        <is>
          <t>blocked</t>
        </is>
      </c>
      <c r="D24" t="inlineStr">
        <is>
          <t>NH Collection Maldives Havodda Resort</t>
        </is>
      </c>
      <c r="E24" t="inlineStr">
        <is>
          <t>2026-10-04</t>
        </is>
      </c>
    </row>
    <row r="25">
      <c r="A25" t="inlineStr">
        <is>
          <t>www.dhiggiri.com</t>
        </is>
      </c>
      <c r="B25" t="inlineStr">
        <is>
          <t>GET home, sitemap, headless render</t>
        </is>
      </c>
      <c r="C25" t="inlineStr">
        <is>
          <t>unverified</t>
        </is>
      </c>
      <c r="D25" t="inlineStr">
        <is>
          <t>Dhiggiri Tourist Resort</t>
        </is>
      </c>
      <c r="E25" t="inlineStr">
        <is>
          <t>2026-10-04</t>
        </is>
      </c>
    </row>
    <row r="26">
      <c r="A26" t="inlineStr">
        <is>
          <t>www.so-maldives.com</t>
        </is>
      </c>
      <c r="B26" t="inlineStr">
        <is>
          <t>GET home, sitemap, headless render</t>
        </is>
      </c>
      <c r="C26" t="inlineStr">
        <is>
          <t>unreachable</t>
        </is>
      </c>
      <c r="D26" t="inlineStr">
        <is>
          <t>SO/ Maldives</t>
        </is>
      </c>
      <c r="E26" t="inlineStr">
        <is>
          <t>2026-10-04</t>
        </is>
      </c>
    </row>
    <row r="27">
      <c r="A27" t="inlineStr">
        <is>
          <t>dhiggiri.com</t>
        </is>
      </c>
      <c r="B27" t="inlineStr">
        <is>
          <t>GET home, sitemap, headless render</t>
        </is>
      </c>
      <c r="C27" t="inlineStr">
        <is>
          <t>unverified</t>
        </is>
      </c>
      <c r="D27" t="inlineStr">
        <is>
          <t>Dhiggiri Tourist Resort</t>
        </is>
      </c>
      <c r="E27" t="inlineStr">
        <is>
          <t>2026-10-04</t>
        </is>
      </c>
    </row>
    <row r="28">
      <c r="A28" t="inlineStr">
        <is>
          <t>www.ozenlifemaadhoo.com</t>
        </is>
      </c>
      <c r="B28" t="inlineStr">
        <is>
          <t>GET home, sitemap, headless render</t>
        </is>
      </c>
      <c r="C28" t="inlineStr">
        <is>
          <t>unverified</t>
        </is>
      </c>
      <c r="D28" t="inlineStr">
        <is>
          <t>Ozen By Atmosphere At Maadhoo</t>
        </is>
      </c>
      <c r="E28" t="inlineStr">
        <is>
          <t>2026-10-04</t>
        </is>
      </c>
    </row>
    <row r="29">
      <c r="A29" t="inlineStr">
        <is>
          <t>www.dusit.com</t>
        </is>
      </c>
      <c r="B29" t="inlineStr">
        <is>
          <t>GET home, sitemap, headless render</t>
        </is>
      </c>
      <c r="C29" t="inlineStr">
        <is>
          <t>unverified</t>
        </is>
      </c>
      <c r="D29" t="inlineStr">
        <is>
          <t>Dusit Thani Maldives</t>
        </is>
      </c>
      <c r="E29" t="inlineStr">
        <is>
          <t>2026-10-04</t>
        </is>
      </c>
    </row>
    <row r="30">
      <c r="A30" t="inlineStr">
        <is>
          <t>www.fourseasons.com</t>
        </is>
      </c>
      <c r="B30" t="inlineStr">
        <is>
          <t>GET home, sitemap, headless render</t>
        </is>
      </c>
      <c r="C30" t="inlineStr">
        <is>
          <t>blocked</t>
        </is>
      </c>
      <c r="D30" t="inlineStr">
        <is>
          <t>Four Seasons Resort Maldives at Kuda Huraa</t>
        </is>
      </c>
      <c r="E30" t="inlineStr">
        <is>
          <t>2026-10-04</t>
        </is>
      </c>
    </row>
    <row r="31">
      <c r="A31" t="inlineStr">
        <is>
          <t>www.fihalhohi.com</t>
        </is>
      </c>
      <c r="B31" t="inlineStr">
        <is>
          <t>GET home, sitemap, headless render</t>
        </is>
      </c>
      <c r="C31" t="inlineStr">
        <is>
          <t>unverified</t>
        </is>
      </c>
      <c r="D31" t="inlineStr">
        <is>
          <t>Fihaalhohi Maldives</t>
        </is>
      </c>
      <c r="E31" t="inlineStr">
        <is>
          <t>2026-10-04</t>
        </is>
      </c>
    </row>
    <row r="32">
      <c r="A32" t="inlineStr">
        <is>
          <t>www.fihalhohi.net</t>
        </is>
      </c>
      <c r="B32" t="inlineStr">
        <is>
          <t>GET home, sitemap, headless render</t>
        </is>
      </c>
      <c r="C32" t="inlineStr">
        <is>
          <t>unreachable</t>
        </is>
      </c>
      <c r="D32" t="inlineStr">
        <is>
          <t>Fihaalhohi Maldives</t>
        </is>
      </c>
      <c r="E32" t="inlineStr">
        <is>
          <t>2026-10-04</t>
        </is>
      </c>
    </row>
    <row r="33">
      <c r="A33" t="inlineStr">
        <is>
          <t>www.jumeirah.com</t>
        </is>
      </c>
      <c r="B33" t="inlineStr">
        <is>
          <t>GET home, sitemap, headless render</t>
        </is>
      </c>
      <c r="C33" t="inlineStr">
        <is>
          <t>unreachable</t>
        </is>
      </c>
      <c r="D33" t="inlineStr">
        <is>
          <t>Jumeirah Maldives Olhahali Island</t>
        </is>
      </c>
      <c r="E33" t="inlineStr">
        <is>
          <t>2026-10-04</t>
        </is>
      </c>
    </row>
    <row r="34">
      <c r="A34" t="inlineStr">
        <is>
          <t>www.fairmont-maldives.com</t>
        </is>
      </c>
      <c r="B34" t="inlineStr">
        <is>
          <t>GET home, sitemap, headless render</t>
        </is>
      </c>
      <c r="C34" t="inlineStr">
        <is>
          <t>unverified</t>
        </is>
      </c>
      <c r="D34" t="inlineStr">
        <is>
          <t>Sirru Fen Fushi</t>
        </is>
      </c>
      <c r="E34" t="inlineStr">
        <is>
          <t>2026-10-04</t>
        </is>
      </c>
    </row>
    <row r="35">
      <c r="A35" t="inlineStr">
        <is>
          <t>www.fushifaru.com</t>
        </is>
      </c>
      <c r="B35" t="inlineStr">
        <is>
          <t>GET home, sitemap, headless render</t>
        </is>
      </c>
      <c r="C35" t="inlineStr">
        <is>
          <t>blocked-partial</t>
        </is>
      </c>
      <c r="D35" t="inlineStr">
        <is>
          <t>Fushifaru Maldives</t>
        </is>
      </c>
      <c r="E35" t="inlineStr">
        <is>
          <t>2026-10-04</t>
        </is>
      </c>
    </row>
    <row r="36">
      <c r="A36" t="inlineStr">
        <is>
          <t>www.fairmont.com</t>
        </is>
      </c>
      <c r="B36" t="inlineStr">
        <is>
          <t>GET home, sitemap, headless render</t>
        </is>
      </c>
      <c r="C36" t="inlineStr">
        <is>
          <t>unverified</t>
        </is>
      </c>
      <c r="D36" t="inlineStr">
        <is>
          <t>Sirru Fen Fushi</t>
        </is>
      </c>
      <c r="E36" t="inlineStr">
        <is>
          <t>2026-10-04</t>
        </is>
      </c>
    </row>
    <row r="37">
      <c r="A37" t="inlineStr">
        <is>
          <t>www.reethibeach.com</t>
        </is>
      </c>
      <c r="B37" t="inlineStr">
        <is>
          <t>GET home, sitemap, headless render</t>
        </is>
      </c>
      <c r="C37" t="inlineStr">
        <is>
          <t>unverified</t>
        </is>
      </c>
      <c r="D37" t="inlineStr">
        <is>
          <t>Reethi Beach Resort</t>
        </is>
      </c>
      <c r="E37" t="inlineStr">
        <is>
          <t>2026-10-04</t>
        </is>
      </c>
    </row>
    <row r="38">
      <c r="A38" t="inlineStr">
        <is>
          <t>www.resortlife.mv</t>
        </is>
      </c>
      <c r="B38" t="inlineStr">
        <is>
          <t>GET home, sitemap, headless render</t>
        </is>
      </c>
      <c r="C38" t="inlineStr">
        <is>
          <t>unreachable</t>
        </is>
      </c>
      <c r="D38" t="inlineStr"/>
      <c r="E38" t="inlineStr">
        <is>
          <t>2026-10-04</t>
        </is>
      </c>
    </row>
    <row r="39">
      <c r="A39" t="inlineStr">
        <is>
          <t>www.ablemaldives.com</t>
        </is>
      </c>
      <c r="B39" t="inlineStr">
        <is>
          <t>GET home, sitemap, headless render</t>
        </is>
      </c>
      <c r="C39" t="inlineStr">
        <is>
          <t>unreachable</t>
        </is>
      </c>
      <c r="D39" t="inlineStr"/>
      <c r="E39" t="inlineStr">
        <is>
          <t>2026-10-04</t>
        </is>
      </c>
    </row>
    <row r="40">
      <c r="A40" t="inlineStr">
        <is>
          <t>www.maldives-travel.com</t>
        </is>
      </c>
      <c r="B40" t="inlineStr">
        <is>
          <t>GET home, sitemap, headless render</t>
        </is>
      </c>
      <c r="C40" t="inlineStr">
        <is>
          <t>unreachable</t>
        </is>
      </c>
      <c r="D40" t="inlineStr"/>
      <c r="E40" t="inlineStr">
        <is>
          <t>2026-10-04</t>
        </is>
      </c>
    </row>
    <row r="41">
      <c r="A41" t="inlineStr">
        <is>
          <t>www.maldivestravelspot.com</t>
        </is>
      </c>
      <c r="B41" t="inlineStr">
        <is>
          <t>GET home, sitemap, headless render</t>
        </is>
      </c>
      <c r="C41" t="inlineStr">
        <is>
          <t>unreachable</t>
        </is>
      </c>
      <c r="D41" t="inlineStr"/>
      <c r="E41" t="inlineStr">
        <is>
          <t>2026-10-04</t>
        </is>
      </c>
    </row>
    <row r="42">
      <c r="A42" t="inlineStr">
        <is>
          <t>www.maldivesbookings.com</t>
        </is>
      </c>
      <c r="B42" t="inlineStr">
        <is>
          <t>GET home, sitemap, headless render</t>
        </is>
      </c>
      <c r="C42" t="inlineStr">
        <is>
          <t>unreachable</t>
        </is>
      </c>
      <c r="D42" t="inlineStr"/>
      <c r="E42" t="inlineStr">
        <is>
          <t>2026-10-04</t>
        </is>
      </c>
    </row>
    <row r="43">
      <c r="A43" t="inlineStr">
        <is>
          <t>www.atollsmaldives.com</t>
        </is>
      </c>
      <c r="B43" t="inlineStr">
        <is>
          <t>GET home, sitemap, headless render</t>
        </is>
      </c>
      <c r="C43" t="inlineStr">
        <is>
          <t>unreachable</t>
        </is>
      </c>
      <c r="D43" t="inlineStr"/>
      <c r="E43" t="inlineStr">
        <is>
          <t>2026-10-04</t>
        </is>
      </c>
    </row>
    <row r="44">
      <c r="A44" t="inlineStr">
        <is>
          <t>www.ocean-maldives.com</t>
        </is>
      </c>
      <c r="B44" t="inlineStr">
        <is>
          <t>GET home, sitemap, headless render</t>
        </is>
      </c>
      <c r="C44" t="inlineStr">
        <is>
          <t>unreachable</t>
        </is>
      </c>
      <c r="D44" t="inlineStr"/>
      <c r="E44" t="inlineStr">
        <is>
          <t>2026-10-04</t>
        </is>
      </c>
    </row>
    <row r="45">
      <c r="A45" t="inlineStr">
        <is>
          <t>www.maldivesresorts.com</t>
        </is>
      </c>
      <c r="B45" t="inlineStr">
        <is>
          <t>GET home, sitemap, headless render</t>
        </is>
      </c>
      <c r="C45" t="inlineStr">
        <is>
          <t>blocked-partial</t>
        </is>
      </c>
      <c r="D45" t="inlineStr"/>
      <c r="E45" t="inlineStr">
        <is>
          <t>2026-10-04</t>
        </is>
      </c>
    </row>
    <row r="46">
      <c r="A46" t="inlineStr">
        <is>
          <t>www.allmaldives.com</t>
        </is>
      </c>
      <c r="B46" t="inlineStr">
        <is>
          <t>GET home, sitemap, headless render</t>
        </is>
      </c>
      <c r="C46" t="inlineStr">
        <is>
          <t>blocked-partial</t>
        </is>
      </c>
      <c r="D46" t="inlineStr"/>
      <c r="E46" t="inlineStr">
        <is>
          <t>2026-10-04</t>
        </is>
      </c>
    </row>
    <row r="47">
      <c r="A47" t="inlineStr">
        <is>
          <t>www.maldivesfinest.com</t>
        </is>
      </c>
      <c r="B47" t="inlineStr">
        <is>
          <t>GET home, sitemap, headless render</t>
        </is>
      </c>
      <c r="C47" t="inlineStr">
        <is>
          <t>unreachable</t>
        </is>
      </c>
      <c r="D47" t="inlineStr"/>
      <c r="E47" t="inlineStr">
        <is>
          <t>2026-10-04</t>
        </is>
      </c>
    </row>
    <row r="48">
      <c r="A48" t="inlineStr">
        <is>
          <t>www.maldivesmagazine.com</t>
        </is>
      </c>
      <c r="B48" t="inlineStr">
        <is>
          <t>GET home, sitemap, headless render</t>
        </is>
      </c>
      <c r="C48" t="inlineStr">
        <is>
          <t>unreachable</t>
        </is>
      </c>
      <c r="D48" t="inlineStr"/>
      <c r="E48" t="inlineStr">
        <is>
          <t>2026-10-04</t>
        </is>
      </c>
    </row>
    <row r="49">
      <c r="A49" t="inlineStr">
        <is>
          <t>www.islandhoppers.com.mv</t>
        </is>
      </c>
      <c r="B49" t="inlineStr">
        <is>
          <t>GET home, sitemap, headless render</t>
        </is>
      </c>
      <c r="C49" t="inlineStr">
        <is>
          <t>unreachable</t>
        </is>
      </c>
      <c r="D49" t="inlineStr"/>
      <c r="E49" t="inlineStr">
        <is>
          <t>2026-10-04</t>
        </is>
      </c>
    </row>
    <row r="50">
      <c r="A50" t="inlineStr">
        <is>
          <t>www.triptomaldives.com</t>
        </is>
      </c>
      <c r="B50" t="inlineStr">
        <is>
          <t>GET home, sitemap, headless render</t>
        </is>
      </c>
      <c r="C50" t="inlineStr">
        <is>
          <t>unreachable</t>
        </is>
      </c>
      <c r="D50" t="inlineStr"/>
      <c r="E50" t="inlineStr">
        <is>
          <t>2026-10-04</t>
        </is>
      </c>
    </row>
    <row r="51">
      <c r="A51" t="inlineStr">
        <is>
          <t>www.radissonhotels.com</t>
        </is>
      </c>
      <c r="B51" t="inlineStr">
        <is>
          <t>GET home, sitemap, headless render</t>
        </is>
      </c>
      <c r="C51" t="inlineStr">
        <is>
          <t>unverified</t>
        </is>
      </c>
      <c r="D51" t="inlineStr">
        <is>
          <t>Radisson Blu Resort Maldives</t>
        </is>
      </c>
      <c r="E51" t="inlineStr">
        <is>
          <t>2026-10-04</t>
        </is>
      </c>
    </row>
    <row r="52">
      <c r="A52" t="inlineStr">
        <is>
          <t>www.sixsenses.com</t>
        </is>
      </c>
      <c r="B52" t="inlineStr">
        <is>
          <t>GET home + render</t>
        </is>
      </c>
      <c r="C52" t="inlineStr">
        <is>
          <t>403</t>
        </is>
      </c>
      <c r="D52" t="inlineStr"/>
      <c r="E52" t="inlineStr">
        <is>
          <t>2026-10-04</t>
        </is>
      </c>
    </row>
    <row r="53">
      <c r="A53" t="inlineStr">
        <is>
          <t>www.ozenreservebolifushi.com</t>
        </is>
      </c>
      <c r="B53" t="inlineStr">
        <is>
          <t>GET home + render</t>
        </is>
      </c>
      <c r="C53" t="inlineStr">
        <is>
          <t>403</t>
        </is>
      </c>
      <c r="D53" t="inlineStr"/>
      <c r="E53" t="inlineStr">
        <is>
          <t>2026-10-04</t>
        </is>
      </c>
    </row>
    <row r="54">
      <c r="A54" t="inlineStr">
        <is>
          <t>www.alilahotels.com</t>
        </is>
      </c>
      <c r="B54" t="inlineStr">
        <is>
          <t>GET home + render</t>
        </is>
      </c>
      <c r="C54" t="inlineStr">
        <is>
          <t>403</t>
        </is>
      </c>
      <c r="D54" t="inlineStr"/>
      <c r="E54" t="inlineStr">
        <is>
          <t>2026-10-04</t>
        </is>
      </c>
    </row>
    <row r="55">
      <c r="A55" t="inlineStr">
        <is>
          <t>www.hyatt.com</t>
        </is>
      </c>
      <c r="B55" t="inlineStr">
        <is>
          <t>GET home + render</t>
        </is>
      </c>
      <c r="C55" t="inlineStr">
        <is>
          <t>403</t>
        </is>
      </c>
      <c r="D55" t="inlineStr"/>
      <c r="E55" t="inlineStr">
        <is>
          <t>2026-10-04</t>
        </is>
      </c>
    </row>
    <row r="56">
      <c r="A56" t="inlineStr">
        <is>
          <t>www.marriott.com</t>
        </is>
      </c>
      <c r="B56" t="inlineStr">
        <is>
          <t>GET home + render</t>
        </is>
      </c>
      <c r="C56" t="inlineStr">
        <is>
          <t>403</t>
        </is>
      </c>
      <c r="D56" t="inlineStr"/>
      <c r="E56" t="inlineStr">
        <is>
          <t>2026-10-04</t>
        </is>
      </c>
    </row>
    <row r="57">
      <c r="A57" t="inlineStr">
        <is>
          <t>www.marriott.com</t>
        </is>
      </c>
      <c r="B57" t="inlineStr">
        <is>
          <t>GET home + render</t>
        </is>
      </c>
      <c r="C57" t="inlineStr">
        <is>
          <t>403</t>
        </is>
      </c>
      <c r="D57" t="inlineStr"/>
      <c r="E57" t="inlineStr">
        <is>
          <t>2026-10-04</t>
        </is>
      </c>
    </row>
    <row r="58">
      <c r="A58" t="inlineStr">
        <is>
          <t>www.sixsenses.com</t>
        </is>
      </c>
      <c r="B58" t="inlineStr">
        <is>
          <t>pdf download</t>
        </is>
      </c>
      <c r="C58" t="inlineStr">
        <is>
          <t>403 challenge</t>
        </is>
      </c>
      <c r="D58" t="inlineStr"/>
      <c r="E58" t="inlineStr">
        <is>
          <t>2026-10-04</t>
        </is>
      </c>
    </row>
    <row r="59">
      <c r="A59" t="inlineStr">
        <is>
          <t>www.ozenreservebolifushi.com</t>
        </is>
      </c>
      <c r="B59" t="inlineStr">
        <is>
          <t>pdf download</t>
        </is>
      </c>
      <c r="C59" t="inlineStr">
        <is>
          <t>403 challenge</t>
        </is>
      </c>
      <c r="D59" t="inlineStr"/>
      <c r="E59" t="inlineStr">
        <is>
          <t>2026-10-04</t>
        </is>
      </c>
    </row>
    <row r="60">
      <c r="A60" t="inlineStr">
        <is>
          <t>forsale.godaddy.com</t>
        </is>
      </c>
      <c r="B60" t="inlineStr">
        <is>
          <t>pdf download</t>
        </is>
      </c>
      <c r="C60" t="inlineStr">
        <is>
          <t>403 challenge</t>
        </is>
      </c>
      <c r="D60" t="inlineStr"/>
      <c r="E60" t="inlineStr">
        <is>
          <t>2026-10-04</t>
        </is>
      </c>
    </row>
    <row r="61">
      <c r="A61" t="inlineStr">
        <is>
          <t>www.baglionihotels.com</t>
        </is>
      </c>
      <c r="B61" t="inlineStr">
        <is>
          <t>pdf download</t>
        </is>
      </c>
      <c r="C61" t="inlineStr">
        <is>
          <t>403 challenge</t>
        </is>
      </c>
      <c r="D61" t="inlineStr"/>
      <c r="E61" t="inlineStr">
        <is>
          <t>2026-10-04</t>
        </is>
      </c>
    </row>
    <row r="62">
      <c r="A62" t="inlineStr">
        <is>
          <t>www.marriott.com</t>
        </is>
      </c>
      <c r="B62" t="inlineStr">
        <is>
          <t>pdf download</t>
        </is>
      </c>
      <c r="C62" t="inlineStr">
        <is>
          <t>403 challenge</t>
        </is>
      </c>
      <c r="D62" t="inlineStr"/>
      <c r="E62" t="inlineStr">
        <is>
          <t>2026-10-04</t>
        </is>
      </c>
    </row>
    <row r="63">
      <c r="A63" t="inlineStr">
        <is>
          <t>expireddomains.com</t>
        </is>
      </c>
      <c r="B63" t="inlineStr">
        <is>
          <t>pdf download</t>
        </is>
      </c>
      <c r="C63" t="inlineStr">
        <is>
          <t>403 challenge</t>
        </is>
      </c>
      <c r="D63" t="inlineStr"/>
      <c r="E63" t="inlineStr">
        <is>
          <t>2026-10-04</t>
        </is>
      </c>
    </row>
    <row r="64">
      <c r="A64" t="inlineStr">
        <is>
          <t>www.baglionihotels.com</t>
        </is>
      </c>
      <c r="B64" t="inlineStr">
        <is>
          <t>GET home + render</t>
        </is>
      </c>
      <c r="C64" t="inlineStr">
        <is>
          <t>403</t>
        </is>
      </c>
      <c r="D64" t="inlineStr"/>
      <c r="E64" t="inlineStr">
        <is>
          <t>2026-10-04</t>
        </is>
      </c>
    </row>
    <row r="65">
      <c r="A65" t="inlineStr">
        <is>
          <t>www.baglionihotels.com</t>
        </is>
      </c>
      <c r="B65" t="inlineStr">
        <is>
          <t>GET home</t>
        </is>
      </c>
      <c r="C65" t="inlineStr">
        <is>
          <t>403 challenge</t>
        </is>
      </c>
      <c r="D65" t="inlineStr"/>
      <c r="E65" t="inlineStr">
        <is>
          <t>2026-10-04</t>
        </is>
      </c>
    </row>
    <row r="66">
      <c r="A66" t="inlineStr">
        <is>
          <t>www.alilahotels.com</t>
        </is>
      </c>
      <c r="B66" t="inlineStr">
        <is>
          <t>GET home + render</t>
        </is>
      </c>
      <c r="C66" t="inlineStr">
        <is>
          <t>403</t>
        </is>
      </c>
      <c r="D66" t="inlineStr"/>
      <c r="E66" t="inlineStr">
        <is>
          <t>2026-10-04</t>
        </is>
      </c>
    </row>
    <row r="67">
      <c r="A67" t="inlineStr">
        <is>
          <t>www.baglionihotels.com</t>
        </is>
      </c>
      <c r="B67" t="inlineStr">
        <is>
          <t>pdf download</t>
        </is>
      </c>
      <c r="C67" t="inlineStr">
        <is>
          <t>403 challenge</t>
        </is>
      </c>
      <c r="D67" t="inlineStr"/>
      <c r="E67" t="inlineStr">
        <is>
          <t>2026-10-04</t>
        </is>
      </c>
    </row>
    <row r="68">
      <c r="A68" t="inlineStr">
        <is>
          <t>www.halcyonmaldives.com</t>
        </is>
      </c>
      <c r="B68" t="inlineStr">
        <is>
          <t>GET home + render</t>
        </is>
      </c>
      <c r="C68" t="inlineStr">
        <is>
          <t>403</t>
        </is>
      </c>
      <c r="D68" t="inlineStr"/>
      <c r="E68" t="inlineStr">
        <is>
          <t>2026-10-04</t>
        </is>
      </c>
    </row>
    <row r="69">
      <c r="A69" t="inlineStr">
        <is>
          <t>www.melia.com</t>
        </is>
      </c>
      <c r="B69" t="inlineStr">
        <is>
          <t>GET home + render</t>
        </is>
      </c>
      <c r="C69" t="inlineStr">
        <is>
          <t>403</t>
        </is>
      </c>
      <c r="D69" t="inlineStr"/>
      <c r="E69" t="inlineStr">
        <is>
          <t>2026-10-04</t>
        </is>
      </c>
    </row>
    <row r="70">
      <c r="A70" t="inlineStr">
        <is>
          <t>www.raffles.com</t>
        </is>
      </c>
      <c r="B70" t="inlineStr">
        <is>
          <t>GET home + render</t>
        </is>
      </c>
      <c r="C70" t="inlineStr">
        <is>
          <t>403</t>
        </is>
      </c>
      <c r="D70" t="inlineStr"/>
      <c r="E70" t="inlineStr">
        <is>
          <t>2026-10-04</t>
        </is>
      </c>
    </row>
    <row r="71">
      <c r="A71" t="inlineStr">
        <is>
          <t>www.nh-collection.com</t>
        </is>
      </c>
      <c r="B71" t="inlineStr">
        <is>
          <t>GET home + render</t>
        </is>
      </c>
      <c r="C71" t="inlineStr">
        <is>
          <t>403</t>
        </is>
      </c>
      <c r="D71" t="inlineStr"/>
      <c r="E71" t="inlineStr">
        <is>
          <t>2026-10-04</t>
        </is>
      </c>
    </row>
    <row r="72">
      <c r="A72" t="inlineStr">
        <is>
          <t>www.marriott.com</t>
        </is>
      </c>
      <c r="B72" t="inlineStr">
        <is>
          <t>GET home + render</t>
        </is>
      </c>
      <c r="C72" t="inlineStr">
        <is>
          <t>403</t>
        </is>
      </c>
      <c r="D72" t="inlineStr"/>
      <c r="E72" t="inlineStr">
        <is>
          <t>2026-10-04</t>
        </is>
      </c>
    </row>
    <row r="73">
      <c r="A73" t="inlineStr">
        <is>
          <t>www.nh-hotels.com</t>
        </is>
      </c>
      <c r="B73" t="inlineStr">
        <is>
          <t>GET home + render</t>
        </is>
      </c>
      <c r="C73" t="inlineStr">
        <is>
          <t>403</t>
        </is>
      </c>
      <c r="D73" t="inlineStr"/>
      <c r="E73" t="inlineStr">
        <is>
          <t>2026-10-04</t>
        </is>
      </c>
    </row>
    <row r="74">
      <c r="A74" t="inlineStr">
        <is>
          <t>www.baglionihotels.com</t>
        </is>
      </c>
      <c r="B74" t="inlineStr">
        <is>
          <t>pdf download</t>
        </is>
      </c>
      <c r="C74" t="inlineStr">
        <is>
          <t>403 challenge</t>
        </is>
      </c>
      <c r="D74" t="inlineStr"/>
      <c r="E74" t="inlineStr">
        <is>
          <t>2026-10-04</t>
        </is>
      </c>
    </row>
    <row r="75">
      <c r="A75" t="inlineStr">
        <is>
          <t>www.halcyonmaldives.com</t>
        </is>
      </c>
      <c r="B75" t="inlineStr">
        <is>
          <t>pdf download</t>
        </is>
      </c>
      <c r="C75" t="inlineStr">
        <is>
          <t>403 challenge</t>
        </is>
      </c>
      <c r="D75" t="inlineStr"/>
      <c r="E75" t="inlineStr">
        <is>
          <t>2026-10-04</t>
        </is>
      </c>
    </row>
    <row r="76">
      <c r="A76" t="inlineStr">
        <is>
          <t>www.melia.com</t>
        </is>
      </c>
      <c r="B76" t="inlineStr">
        <is>
          <t>pdf download</t>
        </is>
      </c>
      <c r="C76" t="inlineStr">
        <is>
          <t>403 challenge</t>
        </is>
      </c>
      <c r="D76" t="inlineStr"/>
      <c r="E76" t="inlineStr">
        <is>
          <t>2026-10-04</t>
        </is>
      </c>
    </row>
    <row r="77">
      <c r="A77" t="inlineStr">
        <is>
          <t>www.raffles.com</t>
        </is>
      </c>
      <c r="B77" t="inlineStr">
        <is>
          <t>pdf download</t>
        </is>
      </c>
      <c r="C77" t="inlineStr">
        <is>
          <t>403 challenge</t>
        </is>
      </c>
      <c r="D77" t="inlineStr"/>
      <c r="E77" t="inlineStr">
        <is>
          <t>2026-10-04</t>
        </is>
      </c>
    </row>
    <row r="78">
      <c r="A78" t="inlineStr">
        <is>
          <t>www.nh-collection.com</t>
        </is>
      </c>
      <c r="B78" t="inlineStr">
        <is>
          <t>pdf download</t>
        </is>
      </c>
      <c r="C78" t="inlineStr">
        <is>
          <t>403 challenge</t>
        </is>
      </c>
      <c r="D78" t="inlineStr"/>
      <c r="E78" t="inlineStr">
        <is>
          <t>2026-10-04</t>
        </is>
      </c>
    </row>
    <row r="79">
      <c r="A79" t="inlineStr">
        <is>
          <t>www.marriott.com</t>
        </is>
      </c>
      <c r="B79" t="inlineStr">
        <is>
          <t>pdf download</t>
        </is>
      </c>
      <c r="C79" t="inlineStr">
        <is>
          <t>403 challenge</t>
        </is>
      </c>
      <c r="D79" t="inlineStr"/>
      <c r="E79" t="inlineStr">
        <is>
          <t>2026-10-04</t>
        </is>
      </c>
    </row>
    <row r="80">
      <c r="A80" t="inlineStr">
        <is>
          <t>www.nh-hotels.com</t>
        </is>
      </c>
      <c r="B80" t="inlineStr">
        <is>
          <t>pdf download</t>
        </is>
      </c>
      <c r="C80" t="inlineStr">
        <is>
          <t>403 challenge</t>
        </is>
      </c>
      <c r="D80" t="inlineStr"/>
      <c r="E80" t="inlineStr">
        <is>
          <t>2026-10-04</t>
        </is>
      </c>
    </row>
    <row r="81">
      <c r="A81" t="inlineStr">
        <is>
          <t>www.fourseasons.com</t>
        </is>
      </c>
      <c r="B81" t="inlineStr">
        <is>
          <t>GET home + render</t>
        </is>
      </c>
      <c r="C81" t="inlineStr">
        <is>
          <t>403</t>
        </is>
      </c>
      <c r="D81" t="inlineStr"/>
      <c r="E81" t="inlineStr">
        <is>
          <t>2026-10-04</t>
        </is>
      </c>
    </row>
    <row r="82">
      <c r="A82" t="inlineStr">
        <is>
          <t>www.fushifaru.com</t>
        </is>
      </c>
      <c r="B82" t="inlineStr">
        <is>
          <t>pdf download</t>
        </is>
      </c>
      <c r="C82" t="inlineStr">
        <is>
          <t>429 challenge</t>
        </is>
      </c>
      <c r="D82" t="inlineStr"/>
      <c r="E82" t="inlineStr">
        <is>
          <t>2026-10-04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2026-10-04T23:30:59Z</dcterms:created>
  <dcterms:modified xmlns:dcterms="http://purl.org/dc/terms/" xmlns:xsi="http://www.w3.org/2001/XMLSchema-instance" xsi:type="dcterms:W3CDTF">2026-10-04T23:30:59Z</dcterms:modified>
</cp:coreProperties>
</file>