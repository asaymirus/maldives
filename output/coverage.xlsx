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age" sheetId="1" state="visible" r:id="rId1"/>
    <sheet xmlns:r="http://schemas.openxmlformats.org/officeDocument/2006/relationships" name="Documents" sheetId="2" state="visible" r:id="rId2"/>
    <sheet xmlns:r="http://schemas.openxmlformats.org/officeDocument/2006/relationships" name="Pages" sheetId="3" state="visible" r:id="rId3"/>
    <sheet xmlns:r="http://schemas.openxmlformats.org/officeDocument/2006/relationships" name="Sources" sheetId="4" state="visible" r:id="rId4"/>
    <sheet xmlns:r="http://schemas.openxmlformats.org/officeDocument/2006/relationships" name="Extra resorts" sheetId="5" state="visible" r:id="rId5"/>
    <sheet xmlns:r="http://schemas.openxmlformats.org/officeDocument/2006/relationships" name="Blocked" sheetId="6" state="visible" r:id="rId6"/>
    <sheet xmlns:r="http://schemas.openxmlformats.org/officeDocument/2006/relationships" name="Log" sheetId="7" state="visible" r:id="rId7"/>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F4E78"/>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45" customWidth="1" min="2" max="2"/>
    <col width="22" customWidth="1" min="3" max="3"/>
    <col width="40" customWidth="1" min="4" max="4"/>
    <col width="40" customWidth="1" min="5" max="5"/>
    <col width="40" customWidth="1" min="6" max="6"/>
    <col width="40" customWidth="1" min="7" max="7"/>
    <col width="40" customWidth="1" min="8" max="8"/>
    <col width="40" customWidth="1" min="9" max="9"/>
    <col width="40" customWidth="1" min="10" max="10"/>
    <col width="40" customWidth="1" min="11" max="11"/>
    <col width="40" customWidth="1" min="12" max="12"/>
    <col width="40" customWidth="1" min="13" max="13"/>
    <col width="40" customWidth="1" min="14" max="14"/>
    <col width="40" customWidth="1" min="15" max="15"/>
    <col width="40" customWidth="1" min="16" max="16"/>
    <col width="40" customWidth="1" min="17" max="17"/>
    <col width="40" customWidth="1" min="18" max="18"/>
    <col width="40" customWidth="1" min="19" max="19"/>
    <col width="40" customWidth="1" min="20" max="20"/>
    <col width="40" customWidth="1" min="21" max="21"/>
    <col width="40" customWidth="1" min="22" max="22"/>
    <col width="40" customWidth="1" min="23" max="23"/>
    <col width="40" customWidth="1" min="24" max="24"/>
    <col width="28" customWidth="1" min="25" max="25"/>
    <col width="40" customWidth="1" min="26" max="26"/>
  </cols>
  <sheetData>
    <row r="1">
      <c r="A1" s="1" t="inlineStr">
        <is>
          <t>#</t>
        </is>
      </c>
      <c r="B1" s="1" t="inlineStr">
        <is>
          <t>Resort</t>
        </is>
      </c>
      <c r="C1" s="1" t="inlineStr">
        <is>
          <t>Official site status</t>
        </is>
      </c>
      <c r="D1" s="1" t="inlineStr">
        <is>
          <t>factsheet (latest yr)</t>
        </is>
      </c>
      <c r="E1" s="1" t="inlineStr">
        <is>
          <t>wedding (latest yr)</t>
        </is>
      </c>
      <c r="F1" s="1" t="inlineStr">
        <is>
          <t>events (latest yr)</t>
        </is>
      </c>
      <c r="G1" s="1" t="inlineStr">
        <is>
          <t>map (latest yr)</t>
        </is>
      </c>
      <c r="H1" s="1" t="inlineStr">
        <is>
          <t>dive_map (latest yr)</t>
        </is>
      </c>
      <c r="I1" s="1" t="inlineStr">
        <is>
          <t>spa_menu (latest yr)</t>
        </is>
      </c>
      <c r="J1" s="1" t="inlineStr">
        <is>
          <t>dining_menu (latest yr)</t>
        </is>
      </c>
      <c r="K1" s="1" t="inlineStr">
        <is>
          <t>dive_prices (latest yr)</t>
        </is>
      </c>
      <c r="L1" s="1" t="inlineStr">
        <is>
          <t>excursions (latest yr)</t>
        </is>
      </c>
      <c r="M1" s="1" t="inlineStr">
        <is>
          <t>kids (latest yr)</t>
        </is>
      </c>
      <c r="N1" s="1" t="inlineStr">
        <is>
          <t>villa_plans (latest yr)</t>
        </is>
      </c>
      <c r="O1" s="1" t="inlineStr">
        <is>
          <t>all_inclusive (latest yr)</t>
        </is>
      </c>
      <c r="P1" s="1" t="inlineStr">
        <is>
          <t>sustainability (latest yr)</t>
        </is>
      </c>
      <c r="Q1" s="1" t="inlineStr">
        <is>
          <t>calendar (latest yr)</t>
        </is>
      </c>
      <c r="R1" s="1" t="inlineStr">
        <is>
          <t>brochure (latest yr)</t>
        </is>
      </c>
      <c r="S1" s="1" t="inlineStr">
        <is>
          <t>press_kit (latest yr)</t>
        </is>
      </c>
      <c r="T1" s="1" t="inlineStr">
        <is>
          <t>other (latest yr)</t>
        </is>
      </c>
      <c r="U1" s="1" t="inlineStr">
        <is>
          <t>obsolete (latest yr)</t>
        </is>
      </c>
      <c r="V1" s="1" t="inlineStr">
        <is>
          <t>Total docs</t>
        </is>
      </c>
      <c r="W1" s="1" t="inlineStr">
        <is>
          <t>Current docs</t>
        </is>
      </c>
      <c r="X1" s="1" t="inlineStr">
        <is>
          <t>Latest factsheet</t>
        </is>
      </c>
      <c r="Y1" s="1" t="inlineStr">
        <is>
          <t>Gaps (priority 1)</t>
        </is>
      </c>
      <c r="Z1" s="1" t="inlineStr">
        <is>
          <t>Rename notes</t>
        </is>
      </c>
    </row>
    <row r="2">
      <c r="A2" t="n">
        <v>1</v>
      </c>
      <c r="B2" t="inlineStr">
        <is>
          <t>Six Senses Laamu</t>
        </is>
      </c>
      <c r="C2" t="inlineStr">
        <is>
          <t>blocked</t>
        </is>
      </c>
      <c r="D2">
        <f>IFERROR(IF(MAXIFS(Documents!$E$2:$E$619,Documents!$A$2:$A$619,$A2,Documents!$C$2:$C$619,"factsheet")=0,"",MAXIFS(Documents!$E$2:$E$619,Documents!$A$2:$A$619,$A2,Documents!$C$2:$C$619,"factsheet")),"")</f>
        <v/>
      </c>
      <c r="E2">
        <f>IFERROR(IF(MAXIFS(Documents!$E$2:$E$619,Documents!$A$2:$A$619,$A2,Documents!$C$2:$C$619,"wedding")=0,"",MAXIFS(Documents!$E$2:$E$619,Documents!$A$2:$A$619,$A2,Documents!$C$2:$C$619,"wedding")),"")</f>
        <v/>
      </c>
      <c r="F2">
        <f>IFERROR(IF(MAXIFS(Documents!$E$2:$E$619,Documents!$A$2:$A$619,$A2,Documents!$C$2:$C$619,"events")=0,"",MAXIFS(Documents!$E$2:$E$619,Documents!$A$2:$A$619,$A2,Documents!$C$2:$C$619,"events")),"")</f>
        <v/>
      </c>
      <c r="G2">
        <f>IFERROR(IF(MAXIFS(Documents!$E$2:$E$619,Documents!$A$2:$A$619,$A2,Documents!$C$2:$C$619,"map")=0,"",MAXIFS(Documents!$E$2:$E$619,Documents!$A$2:$A$619,$A2,Documents!$C$2:$C$619,"map")),"")</f>
        <v/>
      </c>
      <c r="H2">
        <f>IFERROR(IF(MAXIFS(Documents!$E$2:$E$619,Documents!$A$2:$A$619,$A2,Documents!$C$2:$C$619,"dive_map")=0,"",MAXIFS(Documents!$E$2:$E$619,Documents!$A$2:$A$619,$A2,Documents!$C$2:$C$619,"dive_map")),"")</f>
        <v/>
      </c>
      <c r="I2">
        <f>IFERROR(IF(MAXIFS(Documents!$E$2:$E$619,Documents!$A$2:$A$619,$A2,Documents!$C$2:$C$619,"spa_menu")=0,"",MAXIFS(Documents!$E$2:$E$619,Documents!$A$2:$A$619,$A2,Documents!$C$2:$C$619,"spa_menu")),"")</f>
        <v/>
      </c>
      <c r="J2">
        <f>IFERROR(IF(MAXIFS(Documents!$E$2:$E$619,Documents!$A$2:$A$619,$A2,Documents!$C$2:$C$619,"dining_menu")=0,"",MAXIFS(Documents!$E$2:$E$619,Documents!$A$2:$A$619,$A2,Documents!$C$2:$C$619,"dining_menu")),"")</f>
        <v/>
      </c>
      <c r="K2">
        <f>IFERROR(IF(MAXIFS(Documents!$E$2:$E$619,Documents!$A$2:$A$619,$A2,Documents!$C$2:$C$619,"dive_prices")=0,"",MAXIFS(Documents!$E$2:$E$619,Documents!$A$2:$A$619,$A2,Documents!$C$2:$C$619,"dive_prices")),"")</f>
        <v/>
      </c>
      <c r="L2">
        <f>IFERROR(IF(MAXIFS(Documents!$E$2:$E$619,Documents!$A$2:$A$619,$A2,Documents!$C$2:$C$619,"excursions")=0,"",MAXIFS(Documents!$E$2:$E$619,Documents!$A$2:$A$619,$A2,Documents!$C$2:$C$619,"excursions")),"")</f>
        <v/>
      </c>
      <c r="M2">
        <f>IFERROR(IF(MAXIFS(Documents!$E$2:$E$619,Documents!$A$2:$A$619,$A2,Documents!$C$2:$C$619,"kids")=0,"",MAXIFS(Documents!$E$2:$E$619,Documents!$A$2:$A$619,$A2,Documents!$C$2:$C$619,"kids")),"")</f>
        <v/>
      </c>
      <c r="N2">
        <f>IFERROR(IF(MAXIFS(Documents!$E$2:$E$619,Documents!$A$2:$A$619,$A2,Documents!$C$2:$C$619,"villa_plans")=0,"",MAXIFS(Documents!$E$2:$E$619,Documents!$A$2:$A$619,$A2,Documents!$C$2:$C$619,"villa_plans")),"")</f>
        <v/>
      </c>
      <c r="O2">
        <f>IFERROR(IF(MAXIFS(Documents!$E$2:$E$619,Documents!$A$2:$A$619,$A2,Documents!$C$2:$C$619,"all_inclusive")=0,"",MAXIFS(Documents!$E$2:$E$619,Documents!$A$2:$A$619,$A2,Documents!$C$2:$C$619,"all_inclusive")),"")</f>
        <v/>
      </c>
      <c r="P2">
        <f>IFERROR(IF(MAXIFS(Documents!$E$2:$E$619,Documents!$A$2:$A$619,$A2,Documents!$C$2:$C$619,"sustainability")=0,"",MAXIFS(Documents!$E$2:$E$619,Documents!$A$2:$A$619,$A2,Documents!$C$2:$C$619,"sustainability")),"")</f>
        <v/>
      </c>
      <c r="Q2">
        <f>IFERROR(IF(MAXIFS(Documents!$E$2:$E$619,Documents!$A$2:$A$619,$A2,Documents!$C$2:$C$619,"calendar")=0,"",MAXIFS(Documents!$E$2:$E$619,Documents!$A$2:$A$619,$A2,Documents!$C$2:$C$619,"calendar")),"")</f>
        <v/>
      </c>
      <c r="R2">
        <f>IFERROR(IF(MAXIFS(Documents!$E$2:$E$619,Documents!$A$2:$A$619,$A2,Documents!$C$2:$C$619,"brochure")=0,"",MAXIFS(Documents!$E$2:$E$619,Documents!$A$2:$A$619,$A2,Documents!$C$2:$C$619,"brochure")),"")</f>
        <v/>
      </c>
      <c r="S2">
        <f>IFERROR(IF(MAXIFS(Documents!$E$2:$E$619,Documents!$A$2:$A$619,$A2,Documents!$C$2:$C$619,"press_kit")=0,"",MAXIFS(Documents!$E$2:$E$619,Documents!$A$2:$A$619,$A2,Documents!$C$2:$C$619,"press_kit")),"")</f>
        <v/>
      </c>
      <c r="T2">
        <f>IFERROR(IF(MAXIFS(Documents!$E$2:$E$619,Documents!$A$2:$A$619,$A2,Documents!$C$2:$C$619,"other")=0,"",MAXIFS(Documents!$E$2:$E$619,Documents!$A$2:$A$619,$A2,Documents!$C$2:$C$619,"other")),"")</f>
        <v/>
      </c>
      <c r="U2">
        <f>IFERROR(IF(MAXIFS(Documents!$E$2:$E$619,Documents!$A$2:$A$619,$A2,Documents!$C$2:$C$619,"obsolete")=0,"",MAXIFS(Documents!$E$2:$E$619,Documents!$A$2:$A$619,$A2,Documents!$C$2:$C$619,"obsolete")),"")</f>
        <v/>
      </c>
      <c r="V2">
        <f>COUNTIFS(Documents!$A$2:$A$619,$A2)</f>
        <v/>
      </c>
      <c r="W2">
        <f>COUNTIFS(Documents!$A$2:$A$619,$A2,Documents!$R$2:$R$619,"current")</f>
        <v/>
      </c>
      <c r="X2">
        <f>HYPERLINK("https://sales.crownandchamparesorts.com/wp-content/uploads/2026/04/NalaMaldivesFactsheet011125311026Ver030426.pdf","2025_NalaMaldivesFactsheet011125311026Ve")</f>
        <v/>
      </c>
      <c r="Y2" t="inlineStr">
        <is>
          <t>wedding, events</t>
        </is>
      </c>
      <c r="Z2" t="inlineStr"/>
    </row>
    <row r="3">
      <c r="A3" t="n">
        <v>2</v>
      </c>
      <c r="B3" t="inlineStr">
        <is>
          <t>Filitheyo Island Resort</t>
        </is>
      </c>
      <c r="C3" t="inlineStr">
        <is>
          <t>unverified</t>
        </is>
      </c>
      <c r="D3">
        <f>IFERROR(IF(MAXIFS(Documents!$E$2:$E$619,Documents!$A$2:$A$619,$A3,Documents!$C$2:$C$619,"factsheet")=0,"",MAXIFS(Documents!$E$2:$E$619,Documents!$A$2:$A$619,$A3,Documents!$C$2:$C$619,"factsheet")),"")</f>
        <v/>
      </c>
      <c r="E3">
        <f>IFERROR(IF(MAXIFS(Documents!$E$2:$E$619,Documents!$A$2:$A$619,$A3,Documents!$C$2:$C$619,"wedding")=0,"",MAXIFS(Documents!$E$2:$E$619,Documents!$A$2:$A$619,$A3,Documents!$C$2:$C$619,"wedding")),"")</f>
        <v/>
      </c>
      <c r="F3">
        <f>IFERROR(IF(MAXIFS(Documents!$E$2:$E$619,Documents!$A$2:$A$619,$A3,Documents!$C$2:$C$619,"events")=0,"",MAXIFS(Documents!$E$2:$E$619,Documents!$A$2:$A$619,$A3,Documents!$C$2:$C$619,"events")),"")</f>
        <v/>
      </c>
      <c r="G3">
        <f>IFERROR(IF(MAXIFS(Documents!$E$2:$E$619,Documents!$A$2:$A$619,$A3,Documents!$C$2:$C$619,"map")=0,"",MAXIFS(Documents!$E$2:$E$619,Documents!$A$2:$A$619,$A3,Documents!$C$2:$C$619,"map")),"")</f>
        <v/>
      </c>
      <c r="H3">
        <f>IFERROR(IF(MAXIFS(Documents!$E$2:$E$619,Documents!$A$2:$A$619,$A3,Documents!$C$2:$C$619,"dive_map")=0,"",MAXIFS(Documents!$E$2:$E$619,Documents!$A$2:$A$619,$A3,Documents!$C$2:$C$619,"dive_map")),"")</f>
        <v/>
      </c>
      <c r="I3">
        <f>IFERROR(IF(MAXIFS(Documents!$E$2:$E$619,Documents!$A$2:$A$619,$A3,Documents!$C$2:$C$619,"spa_menu")=0,"",MAXIFS(Documents!$E$2:$E$619,Documents!$A$2:$A$619,$A3,Documents!$C$2:$C$619,"spa_menu")),"")</f>
        <v/>
      </c>
      <c r="J3">
        <f>IFERROR(IF(MAXIFS(Documents!$E$2:$E$619,Documents!$A$2:$A$619,$A3,Documents!$C$2:$C$619,"dining_menu")=0,"",MAXIFS(Documents!$E$2:$E$619,Documents!$A$2:$A$619,$A3,Documents!$C$2:$C$619,"dining_menu")),"")</f>
        <v/>
      </c>
      <c r="K3">
        <f>IFERROR(IF(MAXIFS(Documents!$E$2:$E$619,Documents!$A$2:$A$619,$A3,Documents!$C$2:$C$619,"dive_prices")=0,"",MAXIFS(Documents!$E$2:$E$619,Documents!$A$2:$A$619,$A3,Documents!$C$2:$C$619,"dive_prices")),"")</f>
        <v/>
      </c>
      <c r="L3">
        <f>IFERROR(IF(MAXIFS(Documents!$E$2:$E$619,Documents!$A$2:$A$619,$A3,Documents!$C$2:$C$619,"excursions")=0,"",MAXIFS(Documents!$E$2:$E$619,Documents!$A$2:$A$619,$A3,Documents!$C$2:$C$619,"excursions")),"")</f>
        <v/>
      </c>
      <c r="M3">
        <f>IFERROR(IF(MAXIFS(Documents!$E$2:$E$619,Documents!$A$2:$A$619,$A3,Documents!$C$2:$C$619,"kids")=0,"",MAXIFS(Documents!$E$2:$E$619,Documents!$A$2:$A$619,$A3,Documents!$C$2:$C$619,"kids")),"")</f>
        <v/>
      </c>
      <c r="N3">
        <f>IFERROR(IF(MAXIFS(Documents!$E$2:$E$619,Documents!$A$2:$A$619,$A3,Documents!$C$2:$C$619,"villa_plans")=0,"",MAXIFS(Documents!$E$2:$E$619,Documents!$A$2:$A$619,$A3,Documents!$C$2:$C$619,"villa_plans")),"")</f>
        <v/>
      </c>
      <c r="O3">
        <f>IFERROR(IF(MAXIFS(Documents!$E$2:$E$619,Documents!$A$2:$A$619,$A3,Documents!$C$2:$C$619,"all_inclusive")=0,"",MAXIFS(Documents!$E$2:$E$619,Documents!$A$2:$A$619,$A3,Documents!$C$2:$C$619,"all_inclusive")),"")</f>
        <v/>
      </c>
      <c r="P3">
        <f>IFERROR(IF(MAXIFS(Documents!$E$2:$E$619,Documents!$A$2:$A$619,$A3,Documents!$C$2:$C$619,"sustainability")=0,"",MAXIFS(Documents!$E$2:$E$619,Documents!$A$2:$A$619,$A3,Documents!$C$2:$C$619,"sustainability")),"")</f>
        <v/>
      </c>
      <c r="Q3">
        <f>IFERROR(IF(MAXIFS(Documents!$E$2:$E$619,Documents!$A$2:$A$619,$A3,Documents!$C$2:$C$619,"calendar")=0,"",MAXIFS(Documents!$E$2:$E$619,Documents!$A$2:$A$619,$A3,Documents!$C$2:$C$619,"calendar")),"")</f>
        <v/>
      </c>
      <c r="R3">
        <f>IFERROR(IF(MAXIFS(Documents!$E$2:$E$619,Documents!$A$2:$A$619,$A3,Documents!$C$2:$C$619,"brochure")=0,"",MAXIFS(Documents!$E$2:$E$619,Documents!$A$2:$A$619,$A3,Documents!$C$2:$C$619,"brochure")),"")</f>
        <v/>
      </c>
      <c r="S3">
        <f>IFERROR(IF(MAXIFS(Documents!$E$2:$E$619,Documents!$A$2:$A$619,$A3,Documents!$C$2:$C$619,"press_kit")=0,"",MAXIFS(Documents!$E$2:$E$619,Documents!$A$2:$A$619,$A3,Documents!$C$2:$C$619,"press_kit")),"")</f>
        <v/>
      </c>
      <c r="T3">
        <f>IFERROR(IF(MAXIFS(Documents!$E$2:$E$619,Documents!$A$2:$A$619,$A3,Documents!$C$2:$C$619,"other")=0,"",MAXIFS(Documents!$E$2:$E$619,Documents!$A$2:$A$619,$A3,Documents!$C$2:$C$619,"other")),"")</f>
        <v/>
      </c>
      <c r="U3">
        <f>IFERROR(IF(MAXIFS(Documents!$E$2:$E$619,Documents!$A$2:$A$619,$A3,Documents!$C$2:$C$619,"obsolete")=0,"",MAXIFS(Documents!$E$2:$E$619,Documents!$A$2:$A$619,$A3,Documents!$C$2:$C$619,"obsolete")),"")</f>
        <v/>
      </c>
      <c r="V3">
        <f>COUNTIFS(Documents!$A$2:$A$619,$A3)</f>
        <v/>
      </c>
      <c r="W3">
        <f>COUNTIFS(Documents!$A$2:$A$619,$A3,Documents!$R$2:$R$619,"current")</f>
        <v/>
      </c>
      <c r="X3" t="inlineStr"/>
      <c r="Y3" t="inlineStr">
        <is>
          <t>factsheet, wedding, events</t>
        </is>
      </c>
      <c r="Z3" t="inlineStr"/>
    </row>
    <row r="4">
      <c r="A4" t="n">
        <v>3</v>
      </c>
      <c r="B4" t="inlineStr">
        <is>
          <t>Adaaran Select Hudhuranfushi</t>
        </is>
      </c>
      <c r="C4" t="inlineStr">
        <is>
          <t>ok</t>
        </is>
      </c>
      <c r="D4">
        <f>IFERROR(IF(MAXIFS(Documents!$E$2:$E$619,Documents!$A$2:$A$619,$A4,Documents!$C$2:$C$619,"factsheet")=0,"",MAXIFS(Documents!$E$2:$E$619,Documents!$A$2:$A$619,$A4,Documents!$C$2:$C$619,"factsheet")),"")</f>
        <v/>
      </c>
      <c r="E4">
        <f>IFERROR(IF(MAXIFS(Documents!$E$2:$E$619,Documents!$A$2:$A$619,$A4,Documents!$C$2:$C$619,"wedding")=0,"",MAXIFS(Documents!$E$2:$E$619,Documents!$A$2:$A$619,$A4,Documents!$C$2:$C$619,"wedding")),"")</f>
        <v/>
      </c>
      <c r="F4">
        <f>IFERROR(IF(MAXIFS(Documents!$E$2:$E$619,Documents!$A$2:$A$619,$A4,Documents!$C$2:$C$619,"events")=0,"",MAXIFS(Documents!$E$2:$E$619,Documents!$A$2:$A$619,$A4,Documents!$C$2:$C$619,"events")),"")</f>
        <v/>
      </c>
      <c r="G4">
        <f>IFERROR(IF(MAXIFS(Documents!$E$2:$E$619,Documents!$A$2:$A$619,$A4,Documents!$C$2:$C$619,"map")=0,"",MAXIFS(Documents!$E$2:$E$619,Documents!$A$2:$A$619,$A4,Documents!$C$2:$C$619,"map")),"")</f>
        <v/>
      </c>
      <c r="H4">
        <f>IFERROR(IF(MAXIFS(Documents!$E$2:$E$619,Documents!$A$2:$A$619,$A4,Documents!$C$2:$C$619,"dive_map")=0,"",MAXIFS(Documents!$E$2:$E$619,Documents!$A$2:$A$619,$A4,Documents!$C$2:$C$619,"dive_map")),"")</f>
        <v/>
      </c>
      <c r="I4">
        <f>IFERROR(IF(MAXIFS(Documents!$E$2:$E$619,Documents!$A$2:$A$619,$A4,Documents!$C$2:$C$619,"spa_menu")=0,"",MAXIFS(Documents!$E$2:$E$619,Documents!$A$2:$A$619,$A4,Documents!$C$2:$C$619,"spa_menu")),"")</f>
        <v/>
      </c>
      <c r="J4">
        <f>IFERROR(IF(MAXIFS(Documents!$E$2:$E$619,Documents!$A$2:$A$619,$A4,Documents!$C$2:$C$619,"dining_menu")=0,"",MAXIFS(Documents!$E$2:$E$619,Documents!$A$2:$A$619,$A4,Documents!$C$2:$C$619,"dining_menu")),"")</f>
        <v/>
      </c>
      <c r="K4">
        <f>IFERROR(IF(MAXIFS(Documents!$E$2:$E$619,Documents!$A$2:$A$619,$A4,Documents!$C$2:$C$619,"dive_prices")=0,"",MAXIFS(Documents!$E$2:$E$619,Documents!$A$2:$A$619,$A4,Documents!$C$2:$C$619,"dive_prices")),"")</f>
        <v/>
      </c>
      <c r="L4">
        <f>IFERROR(IF(MAXIFS(Documents!$E$2:$E$619,Documents!$A$2:$A$619,$A4,Documents!$C$2:$C$619,"excursions")=0,"",MAXIFS(Documents!$E$2:$E$619,Documents!$A$2:$A$619,$A4,Documents!$C$2:$C$619,"excursions")),"")</f>
        <v/>
      </c>
      <c r="M4">
        <f>IFERROR(IF(MAXIFS(Documents!$E$2:$E$619,Documents!$A$2:$A$619,$A4,Documents!$C$2:$C$619,"kids")=0,"",MAXIFS(Documents!$E$2:$E$619,Documents!$A$2:$A$619,$A4,Documents!$C$2:$C$619,"kids")),"")</f>
        <v/>
      </c>
      <c r="N4">
        <f>IFERROR(IF(MAXIFS(Documents!$E$2:$E$619,Documents!$A$2:$A$619,$A4,Documents!$C$2:$C$619,"villa_plans")=0,"",MAXIFS(Documents!$E$2:$E$619,Documents!$A$2:$A$619,$A4,Documents!$C$2:$C$619,"villa_plans")),"")</f>
        <v/>
      </c>
      <c r="O4">
        <f>IFERROR(IF(MAXIFS(Documents!$E$2:$E$619,Documents!$A$2:$A$619,$A4,Documents!$C$2:$C$619,"all_inclusive")=0,"",MAXIFS(Documents!$E$2:$E$619,Documents!$A$2:$A$619,$A4,Documents!$C$2:$C$619,"all_inclusive")),"")</f>
        <v/>
      </c>
      <c r="P4">
        <f>IFERROR(IF(MAXIFS(Documents!$E$2:$E$619,Documents!$A$2:$A$619,$A4,Documents!$C$2:$C$619,"sustainability")=0,"",MAXIFS(Documents!$E$2:$E$619,Documents!$A$2:$A$619,$A4,Documents!$C$2:$C$619,"sustainability")),"")</f>
        <v/>
      </c>
      <c r="Q4">
        <f>IFERROR(IF(MAXIFS(Documents!$E$2:$E$619,Documents!$A$2:$A$619,$A4,Documents!$C$2:$C$619,"calendar")=0,"",MAXIFS(Documents!$E$2:$E$619,Documents!$A$2:$A$619,$A4,Documents!$C$2:$C$619,"calendar")),"")</f>
        <v/>
      </c>
      <c r="R4">
        <f>IFERROR(IF(MAXIFS(Documents!$E$2:$E$619,Documents!$A$2:$A$619,$A4,Documents!$C$2:$C$619,"brochure")=0,"",MAXIFS(Documents!$E$2:$E$619,Documents!$A$2:$A$619,$A4,Documents!$C$2:$C$619,"brochure")),"")</f>
        <v/>
      </c>
      <c r="S4">
        <f>IFERROR(IF(MAXIFS(Documents!$E$2:$E$619,Documents!$A$2:$A$619,$A4,Documents!$C$2:$C$619,"press_kit")=0,"",MAXIFS(Documents!$E$2:$E$619,Documents!$A$2:$A$619,$A4,Documents!$C$2:$C$619,"press_kit")),"")</f>
        <v/>
      </c>
      <c r="T4">
        <f>IFERROR(IF(MAXIFS(Documents!$E$2:$E$619,Documents!$A$2:$A$619,$A4,Documents!$C$2:$C$619,"other")=0,"",MAXIFS(Documents!$E$2:$E$619,Documents!$A$2:$A$619,$A4,Documents!$C$2:$C$619,"other")),"")</f>
        <v/>
      </c>
      <c r="U4">
        <f>IFERROR(IF(MAXIFS(Documents!$E$2:$E$619,Documents!$A$2:$A$619,$A4,Documents!$C$2:$C$619,"obsolete")=0,"",MAXIFS(Documents!$E$2:$E$619,Documents!$A$2:$A$619,$A4,Documents!$C$2:$C$619,"obsolete")),"")</f>
        <v/>
      </c>
      <c r="V4">
        <f>COUNTIFS(Documents!$A$2:$A$619,$A4)</f>
        <v/>
      </c>
      <c r="W4">
        <f>COUNTIFS(Documents!$A$2:$A$619,$A4,Documents!$R$2:$R$619,"current")</f>
        <v/>
      </c>
      <c r="X4">
        <f>HYPERLINK("https://www.adaaran.com/selecthudhuranfushi/view-download/?id=menu-16","2026_document.pdf")</f>
        <v/>
      </c>
      <c r="Y4" t="inlineStr"/>
      <c r="Z4" t="inlineStr"/>
    </row>
    <row r="5">
      <c r="A5" t="n">
        <v>4</v>
      </c>
      <c r="B5" t="inlineStr">
        <is>
          <t>Ayada Maldives</t>
        </is>
      </c>
      <c r="C5" t="inlineStr">
        <is>
          <t>ok</t>
        </is>
      </c>
      <c r="D5">
        <f>IFERROR(IF(MAXIFS(Documents!$E$2:$E$619,Documents!$A$2:$A$619,$A5,Documents!$C$2:$C$619,"factsheet")=0,"",MAXIFS(Documents!$E$2:$E$619,Documents!$A$2:$A$619,$A5,Documents!$C$2:$C$619,"factsheet")),"")</f>
        <v/>
      </c>
      <c r="E5">
        <f>IFERROR(IF(MAXIFS(Documents!$E$2:$E$619,Documents!$A$2:$A$619,$A5,Documents!$C$2:$C$619,"wedding")=0,"",MAXIFS(Documents!$E$2:$E$619,Documents!$A$2:$A$619,$A5,Documents!$C$2:$C$619,"wedding")),"")</f>
        <v/>
      </c>
      <c r="F5">
        <f>IFERROR(IF(MAXIFS(Documents!$E$2:$E$619,Documents!$A$2:$A$619,$A5,Documents!$C$2:$C$619,"events")=0,"",MAXIFS(Documents!$E$2:$E$619,Documents!$A$2:$A$619,$A5,Documents!$C$2:$C$619,"events")),"")</f>
        <v/>
      </c>
      <c r="G5">
        <f>IFERROR(IF(MAXIFS(Documents!$E$2:$E$619,Documents!$A$2:$A$619,$A5,Documents!$C$2:$C$619,"map")=0,"",MAXIFS(Documents!$E$2:$E$619,Documents!$A$2:$A$619,$A5,Documents!$C$2:$C$619,"map")),"")</f>
        <v/>
      </c>
      <c r="H5">
        <f>IFERROR(IF(MAXIFS(Documents!$E$2:$E$619,Documents!$A$2:$A$619,$A5,Documents!$C$2:$C$619,"dive_map")=0,"",MAXIFS(Documents!$E$2:$E$619,Documents!$A$2:$A$619,$A5,Documents!$C$2:$C$619,"dive_map")),"")</f>
        <v/>
      </c>
      <c r="I5">
        <f>IFERROR(IF(MAXIFS(Documents!$E$2:$E$619,Documents!$A$2:$A$619,$A5,Documents!$C$2:$C$619,"spa_menu")=0,"",MAXIFS(Documents!$E$2:$E$619,Documents!$A$2:$A$619,$A5,Documents!$C$2:$C$619,"spa_menu")),"")</f>
        <v/>
      </c>
      <c r="J5">
        <f>IFERROR(IF(MAXIFS(Documents!$E$2:$E$619,Documents!$A$2:$A$619,$A5,Documents!$C$2:$C$619,"dining_menu")=0,"",MAXIFS(Documents!$E$2:$E$619,Documents!$A$2:$A$619,$A5,Documents!$C$2:$C$619,"dining_menu")),"")</f>
        <v/>
      </c>
      <c r="K5">
        <f>IFERROR(IF(MAXIFS(Documents!$E$2:$E$619,Documents!$A$2:$A$619,$A5,Documents!$C$2:$C$619,"dive_prices")=0,"",MAXIFS(Documents!$E$2:$E$619,Documents!$A$2:$A$619,$A5,Documents!$C$2:$C$619,"dive_prices")),"")</f>
        <v/>
      </c>
      <c r="L5">
        <f>IFERROR(IF(MAXIFS(Documents!$E$2:$E$619,Documents!$A$2:$A$619,$A5,Documents!$C$2:$C$619,"excursions")=0,"",MAXIFS(Documents!$E$2:$E$619,Documents!$A$2:$A$619,$A5,Documents!$C$2:$C$619,"excursions")),"")</f>
        <v/>
      </c>
      <c r="M5">
        <f>IFERROR(IF(MAXIFS(Documents!$E$2:$E$619,Documents!$A$2:$A$619,$A5,Documents!$C$2:$C$619,"kids")=0,"",MAXIFS(Documents!$E$2:$E$619,Documents!$A$2:$A$619,$A5,Documents!$C$2:$C$619,"kids")),"")</f>
        <v/>
      </c>
      <c r="N5">
        <f>IFERROR(IF(MAXIFS(Documents!$E$2:$E$619,Documents!$A$2:$A$619,$A5,Documents!$C$2:$C$619,"villa_plans")=0,"",MAXIFS(Documents!$E$2:$E$619,Documents!$A$2:$A$619,$A5,Documents!$C$2:$C$619,"villa_plans")),"")</f>
        <v/>
      </c>
      <c r="O5">
        <f>IFERROR(IF(MAXIFS(Documents!$E$2:$E$619,Documents!$A$2:$A$619,$A5,Documents!$C$2:$C$619,"all_inclusive")=0,"",MAXIFS(Documents!$E$2:$E$619,Documents!$A$2:$A$619,$A5,Documents!$C$2:$C$619,"all_inclusive")),"")</f>
        <v/>
      </c>
      <c r="P5">
        <f>IFERROR(IF(MAXIFS(Documents!$E$2:$E$619,Documents!$A$2:$A$619,$A5,Documents!$C$2:$C$619,"sustainability")=0,"",MAXIFS(Documents!$E$2:$E$619,Documents!$A$2:$A$619,$A5,Documents!$C$2:$C$619,"sustainability")),"")</f>
        <v/>
      </c>
      <c r="Q5">
        <f>IFERROR(IF(MAXIFS(Documents!$E$2:$E$619,Documents!$A$2:$A$619,$A5,Documents!$C$2:$C$619,"calendar")=0,"",MAXIFS(Documents!$E$2:$E$619,Documents!$A$2:$A$619,$A5,Documents!$C$2:$C$619,"calendar")),"")</f>
        <v/>
      </c>
      <c r="R5">
        <f>IFERROR(IF(MAXIFS(Documents!$E$2:$E$619,Documents!$A$2:$A$619,$A5,Documents!$C$2:$C$619,"brochure")=0,"",MAXIFS(Documents!$E$2:$E$619,Documents!$A$2:$A$619,$A5,Documents!$C$2:$C$619,"brochure")),"")</f>
        <v/>
      </c>
      <c r="S5">
        <f>IFERROR(IF(MAXIFS(Documents!$E$2:$E$619,Documents!$A$2:$A$619,$A5,Documents!$C$2:$C$619,"press_kit")=0,"",MAXIFS(Documents!$E$2:$E$619,Documents!$A$2:$A$619,$A5,Documents!$C$2:$C$619,"press_kit")),"")</f>
        <v/>
      </c>
      <c r="T5">
        <f>IFERROR(IF(MAXIFS(Documents!$E$2:$E$619,Documents!$A$2:$A$619,$A5,Documents!$C$2:$C$619,"other")=0,"",MAXIFS(Documents!$E$2:$E$619,Documents!$A$2:$A$619,$A5,Documents!$C$2:$C$619,"other")),"")</f>
        <v/>
      </c>
      <c r="U5">
        <f>IFERROR(IF(MAXIFS(Documents!$E$2:$E$619,Documents!$A$2:$A$619,$A5,Documents!$C$2:$C$619,"obsolete")=0,"",MAXIFS(Documents!$E$2:$E$619,Documents!$A$2:$A$619,$A5,Documents!$C$2:$C$619,"obsolete")),"")</f>
        <v/>
      </c>
      <c r="V5">
        <f>COUNTIFS(Documents!$A$2:$A$619,$A5)</f>
        <v/>
      </c>
      <c r="W5">
        <f>COUNTIFS(Documents!$A$2:$A$619,$A5,Documents!$R$2:$R$619,"current")</f>
        <v/>
      </c>
      <c r="X5">
        <f>HYPERLINK("https://www.neoscapesmaldives.com/wp-content/uploads/Ayada-Maldives-Factsheet.pdf","2024_Ayada-Maldives-Factsheet.pdf")</f>
        <v/>
      </c>
      <c r="Y5" t="inlineStr">
        <is>
          <t>events</t>
        </is>
      </c>
      <c r="Z5" t="inlineStr"/>
    </row>
    <row r="6">
      <c r="A6" t="n">
        <v>5</v>
      </c>
      <c r="B6" t="inlineStr">
        <is>
          <t>Bolifushi Island Resort</t>
        </is>
      </c>
      <c r="C6" t="inlineStr">
        <is>
          <t>blocked</t>
        </is>
      </c>
      <c r="D6">
        <f>IFERROR(IF(MAXIFS(Documents!$E$2:$E$619,Documents!$A$2:$A$619,$A6,Documents!$C$2:$C$619,"factsheet")=0,"",MAXIFS(Documents!$E$2:$E$619,Documents!$A$2:$A$619,$A6,Documents!$C$2:$C$619,"factsheet")),"")</f>
        <v/>
      </c>
      <c r="E6">
        <f>IFERROR(IF(MAXIFS(Documents!$E$2:$E$619,Documents!$A$2:$A$619,$A6,Documents!$C$2:$C$619,"wedding")=0,"",MAXIFS(Documents!$E$2:$E$619,Documents!$A$2:$A$619,$A6,Documents!$C$2:$C$619,"wedding")),"")</f>
        <v/>
      </c>
      <c r="F6">
        <f>IFERROR(IF(MAXIFS(Documents!$E$2:$E$619,Documents!$A$2:$A$619,$A6,Documents!$C$2:$C$619,"events")=0,"",MAXIFS(Documents!$E$2:$E$619,Documents!$A$2:$A$619,$A6,Documents!$C$2:$C$619,"events")),"")</f>
        <v/>
      </c>
      <c r="G6">
        <f>IFERROR(IF(MAXIFS(Documents!$E$2:$E$619,Documents!$A$2:$A$619,$A6,Documents!$C$2:$C$619,"map")=0,"",MAXIFS(Documents!$E$2:$E$619,Documents!$A$2:$A$619,$A6,Documents!$C$2:$C$619,"map")),"")</f>
        <v/>
      </c>
      <c r="H6">
        <f>IFERROR(IF(MAXIFS(Documents!$E$2:$E$619,Documents!$A$2:$A$619,$A6,Documents!$C$2:$C$619,"dive_map")=0,"",MAXIFS(Documents!$E$2:$E$619,Documents!$A$2:$A$619,$A6,Documents!$C$2:$C$619,"dive_map")),"")</f>
        <v/>
      </c>
      <c r="I6">
        <f>IFERROR(IF(MAXIFS(Documents!$E$2:$E$619,Documents!$A$2:$A$619,$A6,Documents!$C$2:$C$619,"spa_menu")=0,"",MAXIFS(Documents!$E$2:$E$619,Documents!$A$2:$A$619,$A6,Documents!$C$2:$C$619,"spa_menu")),"")</f>
        <v/>
      </c>
      <c r="J6">
        <f>IFERROR(IF(MAXIFS(Documents!$E$2:$E$619,Documents!$A$2:$A$619,$A6,Documents!$C$2:$C$619,"dining_menu")=0,"",MAXIFS(Documents!$E$2:$E$619,Documents!$A$2:$A$619,$A6,Documents!$C$2:$C$619,"dining_menu")),"")</f>
        <v/>
      </c>
      <c r="K6">
        <f>IFERROR(IF(MAXIFS(Documents!$E$2:$E$619,Documents!$A$2:$A$619,$A6,Documents!$C$2:$C$619,"dive_prices")=0,"",MAXIFS(Documents!$E$2:$E$619,Documents!$A$2:$A$619,$A6,Documents!$C$2:$C$619,"dive_prices")),"")</f>
        <v/>
      </c>
      <c r="L6">
        <f>IFERROR(IF(MAXIFS(Documents!$E$2:$E$619,Documents!$A$2:$A$619,$A6,Documents!$C$2:$C$619,"excursions")=0,"",MAXIFS(Documents!$E$2:$E$619,Documents!$A$2:$A$619,$A6,Documents!$C$2:$C$619,"excursions")),"")</f>
        <v/>
      </c>
      <c r="M6">
        <f>IFERROR(IF(MAXIFS(Documents!$E$2:$E$619,Documents!$A$2:$A$619,$A6,Documents!$C$2:$C$619,"kids")=0,"",MAXIFS(Documents!$E$2:$E$619,Documents!$A$2:$A$619,$A6,Documents!$C$2:$C$619,"kids")),"")</f>
        <v/>
      </c>
      <c r="N6">
        <f>IFERROR(IF(MAXIFS(Documents!$E$2:$E$619,Documents!$A$2:$A$619,$A6,Documents!$C$2:$C$619,"villa_plans")=0,"",MAXIFS(Documents!$E$2:$E$619,Documents!$A$2:$A$619,$A6,Documents!$C$2:$C$619,"villa_plans")),"")</f>
        <v/>
      </c>
      <c r="O6">
        <f>IFERROR(IF(MAXIFS(Documents!$E$2:$E$619,Documents!$A$2:$A$619,$A6,Documents!$C$2:$C$619,"all_inclusive")=0,"",MAXIFS(Documents!$E$2:$E$619,Documents!$A$2:$A$619,$A6,Documents!$C$2:$C$619,"all_inclusive")),"")</f>
        <v/>
      </c>
      <c r="P6">
        <f>IFERROR(IF(MAXIFS(Documents!$E$2:$E$619,Documents!$A$2:$A$619,$A6,Documents!$C$2:$C$619,"sustainability")=0,"",MAXIFS(Documents!$E$2:$E$619,Documents!$A$2:$A$619,$A6,Documents!$C$2:$C$619,"sustainability")),"")</f>
        <v/>
      </c>
      <c r="Q6">
        <f>IFERROR(IF(MAXIFS(Documents!$E$2:$E$619,Documents!$A$2:$A$619,$A6,Documents!$C$2:$C$619,"calendar")=0,"",MAXIFS(Documents!$E$2:$E$619,Documents!$A$2:$A$619,$A6,Documents!$C$2:$C$619,"calendar")),"")</f>
        <v/>
      </c>
      <c r="R6">
        <f>IFERROR(IF(MAXIFS(Documents!$E$2:$E$619,Documents!$A$2:$A$619,$A6,Documents!$C$2:$C$619,"brochure")=0,"",MAXIFS(Documents!$E$2:$E$619,Documents!$A$2:$A$619,$A6,Documents!$C$2:$C$619,"brochure")),"")</f>
        <v/>
      </c>
      <c r="S6">
        <f>IFERROR(IF(MAXIFS(Documents!$E$2:$E$619,Documents!$A$2:$A$619,$A6,Documents!$C$2:$C$619,"press_kit")=0,"",MAXIFS(Documents!$E$2:$E$619,Documents!$A$2:$A$619,$A6,Documents!$C$2:$C$619,"press_kit")),"")</f>
        <v/>
      </c>
      <c r="T6">
        <f>IFERROR(IF(MAXIFS(Documents!$E$2:$E$619,Documents!$A$2:$A$619,$A6,Documents!$C$2:$C$619,"other")=0,"",MAXIFS(Documents!$E$2:$E$619,Documents!$A$2:$A$619,$A6,Documents!$C$2:$C$619,"other")),"")</f>
        <v/>
      </c>
      <c r="U6">
        <f>IFERROR(IF(MAXIFS(Documents!$E$2:$E$619,Documents!$A$2:$A$619,$A6,Documents!$C$2:$C$619,"obsolete")=0,"",MAXIFS(Documents!$E$2:$E$619,Documents!$A$2:$A$619,$A6,Documents!$C$2:$C$619,"obsolete")),"")</f>
        <v/>
      </c>
      <c r="V6">
        <f>COUNTIFS(Documents!$A$2:$A$619,$A6)</f>
        <v/>
      </c>
      <c r="W6">
        <f>COUNTIFS(Documents!$A$2:$A$619,$A6,Documents!$R$2:$R$619,"current")</f>
        <v/>
      </c>
      <c r="X6">
        <f>HYPERLINK("https://www.neoscapesmaldives.com/wp-content/uploads/OZEN-RESERVE-BOLIFUSHI-Fact-Sheet.pdf","2023_OZEN-RESERVE-BOLIFUSHI-Fact-Sheet.p")</f>
        <v/>
      </c>
      <c r="Y6" t="inlineStr">
        <is>
          <t>wedding, events</t>
        </is>
      </c>
      <c r="Z6" t="inlineStr">
        <is>
          <t>OZEN Reserve Bolifushi (confirm)</t>
        </is>
      </c>
    </row>
    <row r="7">
      <c r="A7" t="n">
        <v>6</v>
      </c>
      <c r="B7" t="inlineStr">
        <is>
          <t>Joali Being Bodufushi</t>
        </is>
      </c>
      <c r="C7" t="inlineStr">
        <is>
          <t>unreachable</t>
        </is>
      </c>
      <c r="D7">
        <f>IFERROR(IF(MAXIFS(Documents!$E$2:$E$619,Documents!$A$2:$A$619,$A7,Documents!$C$2:$C$619,"factsheet")=0,"",MAXIFS(Documents!$E$2:$E$619,Documents!$A$2:$A$619,$A7,Documents!$C$2:$C$619,"factsheet")),"")</f>
        <v/>
      </c>
      <c r="E7">
        <f>IFERROR(IF(MAXIFS(Documents!$E$2:$E$619,Documents!$A$2:$A$619,$A7,Documents!$C$2:$C$619,"wedding")=0,"",MAXIFS(Documents!$E$2:$E$619,Documents!$A$2:$A$619,$A7,Documents!$C$2:$C$619,"wedding")),"")</f>
        <v/>
      </c>
      <c r="F7">
        <f>IFERROR(IF(MAXIFS(Documents!$E$2:$E$619,Documents!$A$2:$A$619,$A7,Documents!$C$2:$C$619,"events")=0,"",MAXIFS(Documents!$E$2:$E$619,Documents!$A$2:$A$619,$A7,Documents!$C$2:$C$619,"events")),"")</f>
        <v/>
      </c>
      <c r="G7">
        <f>IFERROR(IF(MAXIFS(Documents!$E$2:$E$619,Documents!$A$2:$A$619,$A7,Documents!$C$2:$C$619,"map")=0,"",MAXIFS(Documents!$E$2:$E$619,Documents!$A$2:$A$619,$A7,Documents!$C$2:$C$619,"map")),"")</f>
        <v/>
      </c>
      <c r="H7">
        <f>IFERROR(IF(MAXIFS(Documents!$E$2:$E$619,Documents!$A$2:$A$619,$A7,Documents!$C$2:$C$619,"dive_map")=0,"",MAXIFS(Documents!$E$2:$E$619,Documents!$A$2:$A$619,$A7,Documents!$C$2:$C$619,"dive_map")),"")</f>
        <v/>
      </c>
      <c r="I7">
        <f>IFERROR(IF(MAXIFS(Documents!$E$2:$E$619,Documents!$A$2:$A$619,$A7,Documents!$C$2:$C$619,"spa_menu")=0,"",MAXIFS(Documents!$E$2:$E$619,Documents!$A$2:$A$619,$A7,Documents!$C$2:$C$619,"spa_menu")),"")</f>
        <v/>
      </c>
      <c r="J7">
        <f>IFERROR(IF(MAXIFS(Documents!$E$2:$E$619,Documents!$A$2:$A$619,$A7,Documents!$C$2:$C$619,"dining_menu")=0,"",MAXIFS(Documents!$E$2:$E$619,Documents!$A$2:$A$619,$A7,Documents!$C$2:$C$619,"dining_menu")),"")</f>
        <v/>
      </c>
      <c r="K7">
        <f>IFERROR(IF(MAXIFS(Documents!$E$2:$E$619,Documents!$A$2:$A$619,$A7,Documents!$C$2:$C$619,"dive_prices")=0,"",MAXIFS(Documents!$E$2:$E$619,Documents!$A$2:$A$619,$A7,Documents!$C$2:$C$619,"dive_prices")),"")</f>
        <v/>
      </c>
      <c r="L7">
        <f>IFERROR(IF(MAXIFS(Documents!$E$2:$E$619,Documents!$A$2:$A$619,$A7,Documents!$C$2:$C$619,"excursions")=0,"",MAXIFS(Documents!$E$2:$E$619,Documents!$A$2:$A$619,$A7,Documents!$C$2:$C$619,"excursions")),"")</f>
        <v/>
      </c>
      <c r="M7">
        <f>IFERROR(IF(MAXIFS(Documents!$E$2:$E$619,Documents!$A$2:$A$619,$A7,Documents!$C$2:$C$619,"kids")=0,"",MAXIFS(Documents!$E$2:$E$619,Documents!$A$2:$A$619,$A7,Documents!$C$2:$C$619,"kids")),"")</f>
        <v/>
      </c>
      <c r="N7">
        <f>IFERROR(IF(MAXIFS(Documents!$E$2:$E$619,Documents!$A$2:$A$619,$A7,Documents!$C$2:$C$619,"villa_plans")=0,"",MAXIFS(Documents!$E$2:$E$619,Documents!$A$2:$A$619,$A7,Documents!$C$2:$C$619,"villa_plans")),"")</f>
        <v/>
      </c>
      <c r="O7">
        <f>IFERROR(IF(MAXIFS(Documents!$E$2:$E$619,Documents!$A$2:$A$619,$A7,Documents!$C$2:$C$619,"all_inclusive")=0,"",MAXIFS(Documents!$E$2:$E$619,Documents!$A$2:$A$619,$A7,Documents!$C$2:$C$619,"all_inclusive")),"")</f>
        <v/>
      </c>
      <c r="P7">
        <f>IFERROR(IF(MAXIFS(Documents!$E$2:$E$619,Documents!$A$2:$A$619,$A7,Documents!$C$2:$C$619,"sustainability")=0,"",MAXIFS(Documents!$E$2:$E$619,Documents!$A$2:$A$619,$A7,Documents!$C$2:$C$619,"sustainability")),"")</f>
        <v/>
      </c>
      <c r="Q7">
        <f>IFERROR(IF(MAXIFS(Documents!$E$2:$E$619,Documents!$A$2:$A$619,$A7,Documents!$C$2:$C$619,"calendar")=0,"",MAXIFS(Documents!$E$2:$E$619,Documents!$A$2:$A$619,$A7,Documents!$C$2:$C$619,"calendar")),"")</f>
        <v/>
      </c>
      <c r="R7">
        <f>IFERROR(IF(MAXIFS(Documents!$E$2:$E$619,Documents!$A$2:$A$619,$A7,Documents!$C$2:$C$619,"brochure")=0,"",MAXIFS(Documents!$E$2:$E$619,Documents!$A$2:$A$619,$A7,Documents!$C$2:$C$619,"brochure")),"")</f>
        <v/>
      </c>
      <c r="S7">
        <f>IFERROR(IF(MAXIFS(Documents!$E$2:$E$619,Documents!$A$2:$A$619,$A7,Documents!$C$2:$C$619,"press_kit")=0,"",MAXIFS(Documents!$E$2:$E$619,Documents!$A$2:$A$619,$A7,Documents!$C$2:$C$619,"press_kit")),"")</f>
        <v/>
      </c>
      <c r="T7">
        <f>IFERROR(IF(MAXIFS(Documents!$E$2:$E$619,Documents!$A$2:$A$619,$A7,Documents!$C$2:$C$619,"other")=0,"",MAXIFS(Documents!$E$2:$E$619,Documents!$A$2:$A$619,$A7,Documents!$C$2:$C$619,"other")),"")</f>
        <v/>
      </c>
      <c r="U7">
        <f>IFERROR(IF(MAXIFS(Documents!$E$2:$E$619,Documents!$A$2:$A$619,$A7,Documents!$C$2:$C$619,"obsolete")=0,"",MAXIFS(Documents!$E$2:$E$619,Documents!$A$2:$A$619,$A7,Documents!$C$2:$C$619,"obsolete")),"")</f>
        <v/>
      </c>
      <c r="V7">
        <f>COUNTIFS(Documents!$A$2:$A$619,$A7)</f>
        <v/>
      </c>
      <c r="W7">
        <f>COUNTIFS(Documents!$A$2:$A$619,$A7,Documents!$R$2:$R$619,"current")</f>
        <v/>
      </c>
      <c r="X7">
        <f>HYPERLINK("https://www.neoscapesmaldives.com/wp-content/uploads/JoaliBeing_Factsheet_V13.pdf","2025_JoaliBeing_Factsheet_V13.pdf")</f>
        <v/>
      </c>
      <c r="Y7" t="inlineStr">
        <is>
          <t>wedding, events</t>
        </is>
      </c>
      <c r="Z7" t="inlineStr"/>
    </row>
    <row r="8">
      <c r="A8" t="n">
        <v>7</v>
      </c>
      <c r="B8" t="inlineStr">
        <is>
          <t>Joali Muravandhoo</t>
        </is>
      </c>
      <c r="C8" t="inlineStr">
        <is>
          <t>unreachable</t>
        </is>
      </c>
      <c r="D8">
        <f>IFERROR(IF(MAXIFS(Documents!$E$2:$E$619,Documents!$A$2:$A$619,$A8,Documents!$C$2:$C$619,"factsheet")=0,"",MAXIFS(Documents!$E$2:$E$619,Documents!$A$2:$A$619,$A8,Documents!$C$2:$C$619,"factsheet")),"")</f>
        <v/>
      </c>
      <c r="E8">
        <f>IFERROR(IF(MAXIFS(Documents!$E$2:$E$619,Documents!$A$2:$A$619,$A8,Documents!$C$2:$C$619,"wedding")=0,"",MAXIFS(Documents!$E$2:$E$619,Documents!$A$2:$A$619,$A8,Documents!$C$2:$C$619,"wedding")),"")</f>
        <v/>
      </c>
      <c r="F8">
        <f>IFERROR(IF(MAXIFS(Documents!$E$2:$E$619,Documents!$A$2:$A$619,$A8,Documents!$C$2:$C$619,"events")=0,"",MAXIFS(Documents!$E$2:$E$619,Documents!$A$2:$A$619,$A8,Documents!$C$2:$C$619,"events")),"")</f>
        <v/>
      </c>
      <c r="G8">
        <f>IFERROR(IF(MAXIFS(Documents!$E$2:$E$619,Documents!$A$2:$A$619,$A8,Documents!$C$2:$C$619,"map")=0,"",MAXIFS(Documents!$E$2:$E$619,Documents!$A$2:$A$619,$A8,Documents!$C$2:$C$619,"map")),"")</f>
        <v/>
      </c>
      <c r="H8">
        <f>IFERROR(IF(MAXIFS(Documents!$E$2:$E$619,Documents!$A$2:$A$619,$A8,Documents!$C$2:$C$619,"dive_map")=0,"",MAXIFS(Documents!$E$2:$E$619,Documents!$A$2:$A$619,$A8,Documents!$C$2:$C$619,"dive_map")),"")</f>
        <v/>
      </c>
      <c r="I8">
        <f>IFERROR(IF(MAXIFS(Documents!$E$2:$E$619,Documents!$A$2:$A$619,$A8,Documents!$C$2:$C$619,"spa_menu")=0,"",MAXIFS(Documents!$E$2:$E$619,Documents!$A$2:$A$619,$A8,Documents!$C$2:$C$619,"spa_menu")),"")</f>
        <v/>
      </c>
      <c r="J8">
        <f>IFERROR(IF(MAXIFS(Documents!$E$2:$E$619,Documents!$A$2:$A$619,$A8,Documents!$C$2:$C$619,"dining_menu")=0,"",MAXIFS(Documents!$E$2:$E$619,Documents!$A$2:$A$619,$A8,Documents!$C$2:$C$619,"dining_menu")),"")</f>
        <v/>
      </c>
      <c r="K8">
        <f>IFERROR(IF(MAXIFS(Documents!$E$2:$E$619,Documents!$A$2:$A$619,$A8,Documents!$C$2:$C$619,"dive_prices")=0,"",MAXIFS(Documents!$E$2:$E$619,Documents!$A$2:$A$619,$A8,Documents!$C$2:$C$619,"dive_prices")),"")</f>
        <v/>
      </c>
      <c r="L8">
        <f>IFERROR(IF(MAXIFS(Documents!$E$2:$E$619,Documents!$A$2:$A$619,$A8,Documents!$C$2:$C$619,"excursions")=0,"",MAXIFS(Documents!$E$2:$E$619,Documents!$A$2:$A$619,$A8,Documents!$C$2:$C$619,"excursions")),"")</f>
        <v/>
      </c>
      <c r="M8">
        <f>IFERROR(IF(MAXIFS(Documents!$E$2:$E$619,Documents!$A$2:$A$619,$A8,Documents!$C$2:$C$619,"kids")=0,"",MAXIFS(Documents!$E$2:$E$619,Documents!$A$2:$A$619,$A8,Documents!$C$2:$C$619,"kids")),"")</f>
        <v/>
      </c>
      <c r="N8">
        <f>IFERROR(IF(MAXIFS(Documents!$E$2:$E$619,Documents!$A$2:$A$619,$A8,Documents!$C$2:$C$619,"villa_plans")=0,"",MAXIFS(Documents!$E$2:$E$619,Documents!$A$2:$A$619,$A8,Documents!$C$2:$C$619,"villa_plans")),"")</f>
        <v/>
      </c>
      <c r="O8">
        <f>IFERROR(IF(MAXIFS(Documents!$E$2:$E$619,Documents!$A$2:$A$619,$A8,Documents!$C$2:$C$619,"all_inclusive")=0,"",MAXIFS(Documents!$E$2:$E$619,Documents!$A$2:$A$619,$A8,Documents!$C$2:$C$619,"all_inclusive")),"")</f>
        <v/>
      </c>
      <c r="P8">
        <f>IFERROR(IF(MAXIFS(Documents!$E$2:$E$619,Documents!$A$2:$A$619,$A8,Documents!$C$2:$C$619,"sustainability")=0,"",MAXIFS(Documents!$E$2:$E$619,Documents!$A$2:$A$619,$A8,Documents!$C$2:$C$619,"sustainability")),"")</f>
        <v/>
      </c>
      <c r="Q8">
        <f>IFERROR(IF(MAXIFS(Documents!$E$2:$E$619,Documents!$A$2:$A$619,$A8,Documents!$C$2:$C$619,"calendar")=0,"",MAXIFS(Documents!$E$2:$E$619,Documents!$A$2:$A$619,$A8,Documents!$C$2:$C$619,"calendar")),"")</f>
        <v/>
      </c>
      <c r="R8">
        <f>IFERROR(IF(MAXIFS(Documents!$E$2:$E$619,Documents!$A$2:$A$619,$A8,Documents!$C$2:$C$619,"brochure")=0,"",MAXIFS(Documents!$E$2:$E$619,Documents!$A$2:$A$619,$A8,Documents!$C$2:$C$619,"brochure")),"")</f>
        <v/>
      </c>
      <c r="S8">
        <f>IFERROR(IF(MAXIFS(Documents!$E$2:$E$619,Documents!$A$2:$A$619,$A8,Documents!$C$2:$C$619,"press_kit")=0,"",MAXIFS(Documents!$E$2:$E$619,Documents!$A$2:$A$619,$A8,Documents!$C$2:$C$619,"press_kit")),"")</f>
        <v/>
      </c>
      <c r="T8">
        <f>IFERROR(IF(MAXIFS(Documents!$E$2:$E$619,Documents!$A$2:$A$619,$A8,Documents!$C$2:$C$619,"other")=0,"",MAXIFS(Documents!$E$2:$E$619,Documents!$A$2:$A$619,$A8,Documents!$C$2:$C$619,"other")),"")</f>
        <v/>
      </c>
      <c r="U8">
        <f>IFERROR(IF(MAXIFS(Documents!$E$2:$E$619,Documents!$A$2:$A$619,$A8,Documents!$C$2:$C$619,"obsolete")=0,"",MAXIFS(Documents!$E$2:$E$619,Documents!$A$2:$A$619,$A8,Documents!$C$2:$C$619,"obsolete")),"")</f>
        <v/>
      </c>
      <c r="V8">
        <f>COUNTIFS(Documents!$A$2:$A$619,$A8)</f>
        <v/>
      </c>
      <c r="W8">
        <f>COUNTIFS(Documents!$A$2:$A$619,$A8,Documents!$R$2:$R$619,"current")</f>
        <v/>
      </c>
      <c r="X8">
        <f>HYPERLINK("https://www.neoscapesmaldives.com/wp-content/uploads/JOALI-Maldives-Factsheet.pdf","2023_JOALI-Maldives-Factsheet.pdf")</f>
        <v/>
      </c>
      <c r="Y8" t="inlineStr">
        <is>
          <t>wedding, events</t>
        </is>
      </c>
      <c r="Z8" t="inlineStr"/>
    </row>
    <row r="9">
      <c r="A9" t="n">
        <v>8</v>
      </c>
      <c r="B9" t="inlineStr">
        <is>
          <t>Hilton Maldives Amingiri Resort &amp; Spa</t>
        </is>
      </c>
      <c r="C9" t="inlineStr">
        <is>
          <t>unverified</t>
        </is>
      </c>
      <c r="D9">
        <f>IFERROR(IF(MAXIFS(Documents!$E$2:$E$619,Documents!$A$2:$A$619,$A9,Documents!$C$2:$C$619,"factsheet")=0,"",MAXIFS(Documents!$E$2:$E$619,Documents!$A$2:$A$619,$A9,Documents!$C$2:$C$619,"factsheet")),"")</f>
        <v/>
      </c>
      <c r="E9">
        <f>IFERROR(IF(MAXIFS(Documents!$E$2:$E$619,Documents!$A$2:$A$619,$A9,Documents!$C$2:$C$619,"wedding")=0,"",MAXIFS(Documents!$E$2:$E$619,Documents!$A$2:$A$619,$A9,Documents!$C$2:$C$619,"wedding")),"")</f>
        <v/>
      </c>
      <c r="F9">
        <f>IFERROR(IF(MAXIFS(Documents!$E$2:$E$619,Documents!$A$2:$A$619,$A9,Documents!$C$2:$C$619,"events")=0,"",MAXIFS(Documents!$E$2:$E$619,Documents!$A$2:$A$619,$A9,Documents!$C$2:$C$619,"events")),"")</f>
        <v/>
      </c>
      <c r="G9">
        <f>IFERROR(IF(MAXIFS(Documents!$E$2:$E$619,Documents!$A$2:$A$619,$A9,Documents!$C$2:$C$619,"map")=0,"",MAXIFS(Documents!$E$2:$E$619,Documents!$A$2:$A$619,$A9,Documents!$C$2:$C$619,"map")),"")</f>
        <v/>
      </c>
      <c r="H9">
        <f>IFERROR(IF(MAXIFS(Documents!$E$2:$E$619,Documents!$A$2:$A$619,$A9,Documents!$C$2:$C$619,"dive_map")=0,"",MAXIFS(Documents!$E$2:$E$619,Documents!$A$2:$A$619,$A9,Documents!$C$2:$C$619,"dive_map")),"")</f>
        <v/>
      </c>
      <c r="I9">
        <f>IFERROR(IF(MAXIFS(Documents!$E$2:$E$619,Documents!$A$2:$A$619,$A9,Documents!$C$2:$C$619,"spa_menu")=0,"",MAXIFS(Documents!$E$2:$E$619,Documents!$A$2:$A$619,$A9,Documents!$C$2:$C$619,"spa_menu")),"")</f>
        <v/>
      </c>
      <c r="J9">
        <f>IFERROR(IF(MAXIFS(Documents!$E$2:$E$619,Documents!$A$2:$A$619,$A9,Documents!$C$2:$C$619,"dining_menu")=0,"",MAXIFS(Documents!$E$2:$E$619,Documents!$A$2:$A$619,$A9,Documents!$C$2:$C$619,"dining_menu")),"")</f>
        <v/>
      </c>
      <c r="K9">
        <f>IFERROR(IF(MAXIFS(Documents!$E$2:$E$619,Documents!$A$2:$A$619,$A9,Documents!$C$2:$C$619,"dive_prices")=0,"",MAXIFS(Documents!$E$2:$E$619,Documents!$A$2:$A$619,$A9,Documents!$C$2:$C$619,"dive_prices")),"")</f>
        <v/>
      </c>
      <c r="L9">
        <f>IFERROR(IF(MAXIFS(Documents!$E$2:$E$619,Documents!$A$2:$A$619,$A9,Documents!$C$2:$C$619,"excursions")=0,"",MAXIFS(Documents!$E$2:$E$619,Documents!$A$2:$A$619,$A9,Documents!$C$2:$C$619,"excursions")),"")</f>
        <v/>
      </c>
      <c r="M9">
        <f>IFERROR(IF(MAXIFS(Documents!$E$2:$E$619,Documents!$A$2:$A$619,$A9,Documents!$C$2:$C$619,"kids")=0,"",MAXIFS(Documents!$E$2:$E$619,Documents!$A$2:$A$619,$A9,Documents!$C$2:$C$619,"kids")),"")</f>
        <v/>
      </c>
      <c r="N9">
        <f>IFERROR(IF(MAXIFS(Documents!$E$2:$E$619,Documents!$A$2:$A$619,$A9,Documents!$C$2:$C$619,"villa_plans")=0,"",MAXIFS(Documents!$E$2:$E$619,Documents!$A$2:$A$619,$A9,Documents!$C$2:$C$619,"villa_plans")),"")</f>
        <v/>
      </c>
      <c r="O9">
        <f>IFERROR(IF(MAXIFS(Documents!$E$2:$E$619,Documents!$A$2:$A$619,$A9,Documents!$C$2:$C$619,"all_inclusive")=0,"",MAXIFS(Documents!$E$2:$E$619,Documents!$A$2:$A$619,$A9,Documents!$C$2:$C$619,"all_inclusive")),"")</f>
        <v/>
      </c>
      <c r="P9">
        <f>IFERROR(IF(MAXIFS(Documents!$E$2:$E$619,Documents!$A$2:$A$619,$A9,Documents!$C$2:$C$619,"sustainability")=0,"",MAXIFS(Documents!$E$2:$E$619,Documents!$A$2:$A$619,$A9,Documents!$C$2:$C$619,"sustainability")),"")</f>
        <v/>
      </c>
      <c r="Q9">
        <f>IFERROR(IF(MAXIFS(Documents!$E$2:$E$619,Documents!$A$2:$A$619,$A9,Documents!$C$2:$C$619,"calendar")=0,"",MAXIFS(Documents!$E$2:$E$619,Documents!$A$2:$A$619,$A9,Documents!$C$2:$C$619,"calendar")),"")</f>
        <v/>
      </c>
      <c r="R9">
        <f>IFERROR(IF(MAXIFS(Documents!$E$2:$E$619,Documents!$A$2:$A$619,$A9,Documents!$C$2:$C$619,"brochure")=0,"",MAXIFS(Documents!$E$2:$E$619,Documents!$A$2:$A$619,$A9,Documents!$C$2:$C$619,"brochure")),"")</f>
        <v/>
      </c>
      <c r="S9">
        <f>IFERROR(IF(MAXIFS(Documents!$E$2:$E$619,Documents!$A$2:$A$619,$A9,Documents!$C$2:$C$619,"press_kit")=0,"",MAXIFS(Documents!$E$2:$E$619,Documents!$A$2:$A$619,$A9,Documents!$C$2:$C$619,"press_kit")),"")</f>
        <v/>
      </c>
      <c r="T9">
        <f>IFERROR(IF(MAXIFS(Documents!$E$2:$E$619,Documents!$A$2:$A$619,$A9,Documents!$C$2:$C$619,"other")=0,"",MAXIFS(Documents!$E$2:$E$619,Documents!$A$2:$A$619,$A9,Documents!$C$2:$C$619,"other")),"")</f>
        <v/>
      </c>
      <c r="U9">
        <f>IFERROR(IF(MAXIFS(Documents!$E$2:$E$619,Documents!$A$2:$A$619,$A9,Documents!$C$2:$C$619,"obsolete")=0,"",MAXIFS(Documents!$E$2:$E$619,Documents!$A$2:$A$619,$A9,Documents!$C$2:$C$619,"obsolete")),"")</f>
        <v/>
      </c>
      <c r="V9">
        <f>COUNTIFS(Documents!$A$2:$A$619,$A9)</f>
        <v/>
      </c>
      <c r="W9">
        <f>COUNTIFS(Documents!$A$2:$A$619,$A9,Documents!$R$2:$R$619,"current")</f>
        <v/>
      </c>
      <c r="X9">
        <f>HYPERLINK("https://www.neoscapesmaldives.com/wp-content/uploads/MLEAI_Factsheet-March-2025.pdf","2025_MLEAI_Factsheet-March-2025.pdf")</f>
        <v/>
      </c>
      <c r="Y9" t="inlineStr">
        <is>
          <t>wedding, events</t>
        </is>
      </c>
      <c r="Z9" t="inlineStr"/>
    </row>
    <row r="10">
      <c r="A10" t="n">
        <v>9</v>
      </c>
      <c r="B10" t="inlineStr">
        <is>
          <t>Amilla Fushi</t>
        </is>
      </c>
      <c r="C10" t="inlineStr">
        <is>
          <t>ok</t>
        </is>
      </c>
      <c r="D10">
        <f>IFERROR(IF(MAXIFS(Documents!$E$2:$E$619,Documents!$A$2:$A$619,$A10,Documents!$C$2:$C$619,"factsheet")=0,"",MAXIFS(Documents!$E$2:$E$619,Documents!$A$2:$A$619,$A10,Documents!$C$2:$C$619,"factsheet")),"")</f>
        <v/>
      </c>
      <c r="E10">
        <f>IFERROR(IF(MAXIFS(Documents!$E$2:$E$619,Documents!$A$2:$A$619,$A10,Documents!$C$2:$C$619,"wedding")=0,"",MAXIFS(Documents!$E$2:$E$619,Documents!$A$2:$A$619,$A10,Documents!$C$2:$C$619,"wedding")),"")</f>
        <v/>
      </c>
      <c r="F10">
        <f>IFERROR(IF(MAXIFS(Documents!$E$2:$E$619,Documents!$A$2:$A$619,$A10,Documents!$C$2:$C$619,"events")=0,"",MAXIFS(Documents!$E$2:$E$619,Documents!$A$2:$A$619,$A10,Documents!$C$2:$C$619,"events")),"")</f>
        <v/>
      </c>
      <c r="G10">
        <f>IFERROR(IF(MAXIFS(Documents!$E$2:$E$619,Documents!$A$2:$A$619,$A10,Documents!$C$2:$C$619,"map")=0,"",MAXIFS(Documents!$E$2:$E$619,Documents!$A$2:$A$619,$A10,Documents!$C$2:$C$619,"map")),"")</f>
        <v/>
      </c>
      <c r="H10">
        <f>IFERROR(IF(MAXIFS(Documents!$E$2:$E$619,Documents!$A$2:$A$619,$A10,Documents!$C$2:$C$619,"dive_map")=0,"",MAXIFS(Documents!$E$2:$E$619,Documents!$A$2:$A$619,$A10,Documents!$C$2:$C$619,"dive_map")),"")</f>
        <v/>
      </c>
      <c r="I10">
        <f>IFERROR(IF(MAXIFS(Documents!$E$2:$E$619,Documents!$A$2:$A$619,$A10,Documents!$C$2:$C$619,"spa_menu")=0,"",MAXIFS(Documents!$E$2:$E$619,Documents!$A$2:$A$619,$A10,Documents!$C$2:$C$619,"spa_menu")),"")</f>
        <v/>
      </c>
      <c r="J10">
        <f>IFERROR(IF(MAXIFS(Documents!$E$2:$E$619,Documents!$A$2:$A$619,$A10,Documents!$C$2:$C$619,"dining_menu")=0,"",MAXIFS(Documents!$E$2:$E$619,Documents!$A$2:$A$619,$A10,Documents!$C$2:$C$619,"dining_menu")),"")</f>
        <v/>
      </c>
      <c r="K10">
        <f>IFERROR(IF(MAXIFS(Documents!$E$2:$E$619,Documents!$A$2:$A$619,$A10,Documents!$C$2:$C$619,"dive_prices")=0,"",MAXIFS(Documents!$E$2:$E$619,Documents!$A$2:$A$619,$A10,Documents!$C$2:$C$619,"dive_prices")),"")</f>
        <v/>
      </c>
      <c r="L10">
        <f>IFERROR(IF(MAXIFS(Documents!$E$2:$E$619,Documents!$A$2:$A$619,$A10,Documents!$C$2:$C$619,"excursions")=0,"",MAXIFS(Documents!$E$2:$E$619,Documents!$A$2:$A$619,$A10,Documents!$C$2:$C$619,"excursions")),"")</f>
        <v/>
      </c>
      <c r="M10">
        <f>IFERROR(IF(MAXIFS(Documents!$E$2:$E$619,Documents!$A$2:$A$619,$A10,Documents!$C$2:$C$619,"kids")=0,"",MAXIFS(Documents!$E$2:$E$619,Documents!$A$2:$A$619,$A10,Documents!$C$2:$C$619,"kids")),"")</f>
        <v/>
      </c>
      <c r="N10">
        <f>IFERROR(IF(MAXIFS(Documents!$E$2:$E$619,Documents!$A$2:$A$619,$A10,Documents!$C$2:$C$619,"villa_plans")=0,"",MAXIFS(Documents!$E$2:$E$619,Documents!$A$2:$A$619,$A10,Documents!$C$2:$C$619,"villa_plans")),"")</f>
        <v/>
      </c>
      <c r="O10">
        <f>IFERROR(IF(MAXIFS(Documents!$E$2:$E$619,Documents!$A$2:$A$619,$A10,Documents!$C$2:$C$619,"all_inclusive")=0,"",MAXIFS(Documents!$E$2:$E$619,Documents!$A$2:$A$619,$A10,Documents!$C$2:$C$619,"all_inclusive")),"")</f>
        <v/>
      </c>
      <c r="P10">
        <f>IFERROR(IF(MAXIFS(Documents!$E$2:$E$619,Documents!$A$2:$A$619,$A10,Documents!$C$2:$C$619,"sustainability")=0,"",MAXIFS(Documents!$E$2:$E$619,Documents!$A$2:$A$619,$A10,Documents!$C$2:$C$619,"sustainability")),"")</f>
        <v/>
      </c>
      <c r="Q10">
        <f>IFERROR(IF(MAXIFS(Documents!$E$2:$E$619,Documents!$A$2:$A$619,$A10,Documents!$C$2:$C$619,"calendar")=0,"",MAXIFS(Documents!$E$2:$E$619,Documents!$A$2:$A$619,$A10,Documents!$C$2:$C$619,"calendar")),"")</f>
        <v/>
      </c>
      <c r="R10">
        <f>IFERROR(IF(MAXIFS(Documents!$E$2:$E$619,Documents!$A$2:$A$619,$A10,Documents!$C$2:$C$619,"brochure")=0,"",MAXIFS(Documents!$E$2:$E$619,Documents!$A$2:$A$619,$A10,Documents!$C$2:$C$619,"brochure")),"")</f>
        <v/>
      </c>
      <c r="S10">
        <f>IFERROR(IF(MAXIFS(Documents!$E$2:$E$619,Documents!$A$2:$A$619,$A10,Documents!$C$2:$C$619,"press_kit")=0,"",MAXIFS(Documents!$E$2:$E$619,Documents!$A$2:$A$619,$A10,Documents!$C$2:$C$619,"press_kit")),"")</f>
        <v/>
      </c>
      <c r="T10">
        <f>IFERROR(IF(MAXIFS(Documents!$E$2:$E$619,Documents!$A$2:$A$619,$A10,Documents!$C$2:$C$619,"other")=0,"",MAXIFS(Documents!$E$2:$E$619,Documents!$A$2:$A$619,$A10,Documents!$C$2:$C$619,"other")),"")</f>
        <v/>
      </c>
      <c r="U10">
        <f>IFERROR(IF(MAXIFS(Documents!$E$2:$E$619,Documents!$A$2:$A$619,$A10,Documents!$C$2:$C$619,"obsolete")=0,"",MAXIFS(Documents!$E$2:$E$619,Documents!$A$2:$A$619,$A10,Documents!$C$2:$C$619,"obsolete")),"")</f>
        <v/>
      </c>
      <c r="V10">
        <f>COUNTIFS(Documents!$A$2:$A$619,$A10)</f>
        <v/>
      </c>
      <c r="W10">
        <f>COUNTIFS(Documents!$A$2:$A$619,$A10,Documents!$R$2:$R$619,"current")</f>
        <v/>
      </c>
      <c r="X10">
        <f>HYPERLINK("https://amilla.com/wp-content/uploads/Amilla-Maldives_Fact-Sheet_2026.pdf","2026_Amilla-Maldives_Fact-Sheet_2026.pdf")</f>
        <v/>
      </c>
      <c r="Y10" t="inlineStr">
        <is>
          <t>events</t>
        </is>
      </c>
      <c r="Z10" t="inlineStr"/>
    </row>
    <row r="11">
      <c r="A11" t="n">
        <v>10</v>
      </c>
      <c r="B11" t="inlineStr">
        <is>
          <t>Dreamland - The Unique Sea &amp; Lake Resort/Spa</t>
        </is>
      </c>
      <c r="C11" t="inlineStr">
        <is>
          <t>ok</t>
        </is>
      </c>
      <c r="D11">
        <f>IFERROR(IF(MAXIFS(Documents!$E$2:$E$619,Documents!$A$2:$A$619,$A11,Documents!$C$2:$C$619,"factsheet")=0,"",MAXIFS(Documents!$E$2:$E$619,Documents!$A$2:$A$619,$A11,Documents!$C$2:$C$619,"factsheet")),"")</f>
        <v/>
      </c>
      <c r="E11">
        <f>IFERROR(IF(MAXIFS(Documents!$E$2:$E$619,Documents!$A$2:$A$619,$A11,Documents!$C$2:$C$619,"wedding")=0,"",MAXIFS(Documents!$E$2:$E$619,Documents!$A$2:$A$619,$A11,Documents!$C$2:$C$619,"wedding")),"")</f>
        <v/>
      </c>
      <c r="F11">
        <f>IFERROR(IF(MAXIFS(Documents!$E$2:$E$619,Documents!$A$2:$A$619,$A11,Documents!$C$2:$C$619,"events")=0,"",MAXIFS(Documents!$E$2:$E$619,Documents!$A$2:$A$619,$A11,Documents!$C$2:$C$619,"events")),"")</f>
        <v/>
      </c>
      <c r="G11">
        <f>IFERROR(IF(MAXIFS(Documents!$E$2:$E$619,Documents!$A$2:$A$619,$A11,Documents!$C$2:$C$619,"map")=0,"",MAXIFS(Documents!$E$2:$E$619,Documents!$A$2:$A$619,$A11,Documents!$C$2:$C$619,"map")),"")</f>
        <v/>
      </c>
      <c r="H11">
        <f>IFERROR(IF(MAXIFS(Documents!$E$2:$E$619,Documents!$A$2:$A$619,$A11,Documents!$C$2:$C$619,"dive_map")=0,"",MAXIFS(Documents!$E$2:$E$619,Documents!$A$2:$A$619,$A11,Documents!$C$2:$C$619,"dive_map")),"")</f>
        <v/>
      </c>
      <c r="I11">
        <f>IFERROR(IF(MAXIFS(Documents!$E$2:$E$619,Documents!$A$2:$A$619,$A11,Documents!$C$2:$C$619,"spa_menu")=0,"",MAXIFS(Documents!$E$2:$E$619,Documents!$A$2:$A$619,$A11,Documents!$C$2:$C$619,"spa_menu")),"")</f>
        <v/>
      </c>
      <c r="J11">
        <f>IFERROR(IF(MAXIFS(Documents!$E$2:$E$619,Documents!$A$2:$A$619,$A11,Documents!$C$2:$C$619,"dining_menu")=0,"",MAXIFS(Documents!$E$2:$E$619,Documents!$A$2:$A$619,$A11,Documents!$C$2:$C$619,"dining_menu")),"")</f>
        <v/>
      </c>
      <c r="K11">
        <f>IFERROR(IF(MAXIFS(Documents!$E$2:$E$619,Documents!$A$2:$A$619,$A11,Documents!$C$2:$C$619,"dive_prices")=0,"",MAXIFS(Documents!$E$2:$E$619,Documents!$A$2:$A$619,$A11,Documents!$C$2:$C$619,"dive_prices")),"")</f>
        <v/>
      </c>
      <c r="L11">
        <f>IFERROR(IF(MAXIFS(Documents!$E$2:$E$619,Documents!$A$2:$A$619,$A11,Documents!$C$2:$C$619,"excursions")=0,"",MAXIFS(Documents!$E$2:$E$619,Documents!$A$2:$A$619,$A11,Documents!$C$2:$C$619,"excursions")),"")</f>
        <v/>
      </c>
      <c r="M11">
        <f>IFERROR(IF(MAXIFS(Documents!$E$2:$E$619,Documents!$A$2:$A$619,$A11,Documents!$C$2:$C$619,"kids")=0,"",MAXIFS(Documents!$E$2:$E$619,Documents!$A$2:$A$619,$A11,Documents!$C$2:$C$619,"kids")),"")</f>
        <v/>
      </c>
      <c r="N11">
        <f>IFERROR(IF(MAXIFS(Documents!$E$2:$E$619,Documents!$A$2:$A$619,$A11,Documents!$C$2:$C$619,"villa_plans")=0,"",MAXIFS(Documents!$E$2:$E$619,Documents!$A$2:$A$619,$A11,Documents!$C$2:$C$619,"villa_plans")),"")</f>
        <v/>
      </c>
      <c r="O11">
        <f>IFERROR(IF(MAXIFS(Documents!$E$2:$E$619,Documents!$A$2:$A$619,$A11,Documents!$C$2:$C$619,"all_inclusive")=0,"",MAXIFS(Documents!$E$2:$E$619,Documents!$A$2:$A$619,$A11,Documents!$C$2:$C$619,"all_inclusive")),"")</f>
        <v/>
      </c>
      <c r="P11">
        <f>IFERROR(IF(MAXIFS(Documents!$E$2:$E$619,Documents!$A$2:$A$619,$A11,Documents!$C$2:$C$619,"sustainability")=0,"",MAXIFS(Documents!$E$2:$E$619,Documents!$A$2:$A$619,$A11,Documents!$C$2:$C$619,"sustainability")),"")</f>
        <v/>
      </c>
      <c r="Q11">
        <f>IFERROR(IF(MAXIFS(Documents!$E$2:$E$619,Documents!$A$2:$A$619,$A11,Documents!$C$2:$C$619,"calendar")=0,"",MAXIFS(Documents!$E$2:$E$619,Documents!$A$2:$A$619,$A11,Documents!$C$2:$C$619,"calendar")),"")</f>
        <v/>
      </c>
      <c r="R11">
        <f>IFERROR(IF(MAXIFS(Documents!$E$2:$E$619,Documents!$A$2:$A$619,$A11,Documents!$C$2:$C$619,"brochure")=0,"",MAXIFS(Documents!$E$2:$E$619,Documents!$A$2:$A$619,$A11,Documents!$C$2:$C$619,"brochure")),"")</f>
        <v/>
      </c>
      <c r="S11">
        <f>IFERROR(IF(MAXIFS(Documents!$E$2:$E$619,Documents!$A$2:$A$619,$A11,Documents!$C$2:$C$619,"press_kit")=0,"",MAXIFS(Documents!$E$2:$E$619,Documents!$A$2:$A$619,$A11,Documents!$C$2:$C$619,"press_kit")),"")</f>
        <v/>
      </c>
      <c r="T11">
        <f>IFERROR(IF(MAXIFS(Documents!$E$2:$E$619,Documents!$A$2:$A$619,$A11,Documents!$C$2:$C$619,"other")=0,"",MAXIFS(Documents!$E$2:$E$619,Documents!$A$2:$A$619,$A11,Documents!$C$2:$C$619,"other")),"")</f>
        <v/>
      </c>
      <c r="U11">
        <f>IFERROR(IF(MAXIFS(Documents!$E$2:$E$619,Documents!$A$2:$A$619,$A11,Documents!$C$2:$C$619,"obsolete")=0,"",MAXIFS(Documents!$E$2:$E$619,Documents!$A$2:$A$619,$A11,Documents!$C$2:$C$619,"obsolete")),"")</f>
        <v/>
      </c>
      <c r="V11">
        <f>COUNTIFS(Documents!$A$2:$A$619,$A11)</f>
        <v/>
      </c>
      <c r="W11">
        <f>COUNTIFS(Documents!$A$2:$A$619,$A11,Documents!$R$2:$R$619,"current")</f>
        <v/>
      </c>
      <c r="X11">
        <f>HYPERLINK("https://dreamland.com.mv/wp-content/uploads/2024/08/DREAMLAND-GENERAL-INFORMATION-GERMAN-2023.pdf","2023_DREAMLAND-GENERAL-INFORMATION-GERMA")</f>
        <v/>
      </c>
      <c r="Y11" t="inlineStr">
        <is>
          <t>events</t>
        </is>
      </c>
      <c r="Z11" t="inlineStr"/>
    </row>
    <row r="12">
      <c r="A12" t="n">
        <v>11</v>
      </c>
      <c r="B12" t="inlineStr">
        <is>
          <t>Angaga Island Resort and Spa</t>
        </is>
      </c>
      <c r="C12" t="inlineStr">
        <is>
          <t>ok</t>
        </is>
      </c>
      <c r="D12">
        <f>IFERROR(IF(MAXIFS(Documents!$E$2:$E$619,Documents!$A$2:$A$619,$A12,Documents!$C$2:$C$619,"factsheet")=0,"",MAXIFS(Documents!$E$2:$E$619,Documents!$A$2:$A$619,$A12,Documents!$C$2:$C$619,"factsheet")),"")</f>
        <v/>
      </c>
      <c r="E12">
        <f>IFERROR(IF(MAXIFS(Documents!$E$2:$E$619,Documents!$A$2:$A$619,$A12,Documents!$C$2:$C$619,"wedding")=0,"",MAXIFS(Documents!$E$2:$E$619,Documents!$A$2:$A$619,$A12,Documents!$C$2:$C$619,"wedding")),"")</f>
        <v/>
      </c>
      <c r="F12">
        <f>IFERROR(IF(MAXIFS(Documents!$E$2:$E$619,Documents!$A$2:$A$619,$A12,Documents!$C$2:$C$619,"events")=0,"",MAXIFS(Documents!$E$2:$E$619,Documents!$A$2:$A$619,$A12,Documents!$C$2:$C$619,"events")),"")</f>
        <v/>
      </c>
      <c r="G12">
        <f>IFERROR(IF(MAXIFS(Documents!$E$2:$E$619,Documents!$A$2:$A$619,$A12,Documents!$C$2:$C$619,"map")=0,"",MAXIFS(Documents!$E$2:$E$619,Documents!$A$2:$A$619,$A12,Documents!$C$2:$C$619,"map")),"")</f>
        <v/>
      </c>
      <c r="H12">
        <f>IFERROR(IF(MAXIFS(Documents!$E$2:$E$619,Documents!$A$2:$A$619,$A12,Documents!$C$2:$C$619,"dive_map")=0,"",MAXIFS(Documents!$E$2:$E$619,Documents!$A$2:$A$619,$A12,Documents!$C$2:$C$619,"dive_map")),"")</f>
        <v/>
      </c>
      <c r="I12">
        <f>IFERROR(IF(MAXIFS(Documents!$E$2:$E$619,Documents!$A$2:$A$619,$A12,Documents!$C$2:$C$619,"spa_menu")=0,"",MAXIFS(Documents!$E$2:$E$619,Documents!$A$2:$A$619,$A12,Documents!$C$2:$C$619,"spa_menu")),"")</f>
        <v/>
      </c>
      <c r="J12">
        <f>IFERROR(IF(MAXIFS(Documents!$E$2:$E$619,Documents!$A$2:$A$619,$A12,Documents!$C$2:$C$619,"dining_menu")=0,"",MAXIFS(Documents!$E$2:$E$619,Documents!$A$2:$A$619,$A12,Documents!$C$2:$C$619,"dining_menu")),"")</f>
        <v/>
      </c>
      <c r="K12">
        <f>IFERROR(IF(MAXIFS(Documents!$E$2:$E$619,Documents!$A$2:$A$619,$A12,Documents!$C$2:$C$619,"dive_prices")=0,"",MAXIFS(Documents!$E$2:$E$619,Documents!$A$2:$A$619,$A12,Documents!$C$2:$C$619,"dive_prices")),"")</f>
        <v/>
      </c>
      <c r="L12">
        <f>IFERROR(IF(MAXIFS(Documents!$E$2:$E$619,Documents!$A$2:$A$619,$A12,Documents!$C$2:$C$619,"excursions")=0,"",MAXIFS(Documents!$E$2:$E$619,Documents!$A$2:$A$619,$A12,Documents!$C$2:$C$619,"excursions")),"")</f>
        <v/>
      </c>
      <c r="M12">
        <f>IFERROR(IF(MAXIFS(Documents!$E$2:$E$619,Documents!$A$2:$A$619,$A12,Documents!$C$2:$C$619,"kids")=0,"",MAXIFS(Documents!$E$2:$E$619,Documents!$A$2:$A$619,$A12,Documents!$C$2:$C$619,"kids")),"")</f>
        <v/>
      </c>
      <c r="N12">
        <f>IFERROR(IF(MAXIFS(Documents!$E$2:$E$619,Documents!$A$2:$A$619,$A12,Documents!$C$2:$C$619,"villa_plans")=0,"",MAXIFS(Documents!$E$2:$E$619,Documents!$A$2:$A$619,$A12,Documents!$C$2:$C$619,"villa_plans")),"")</f>
        <v/>
      </c>
      <c r="O12">
        <f>IFERROR(IF(MAXIFS(Documents!$E$2:$E$619,Documents!$A$2:$A$619,$A12,Documents!$C$2:$C$619,"all_inclusive")=0,"",MAXIFS(Documents!$E$2:$E$619,Documents!$A$2:$A$619,$A12,Documents!$C$2:$C$619,"all_inclusive")),"")</f>
        <v/>
      </c>
      <c r="P12">
        <f>IFERROR(IF(MAXIFS(Documents!$E$2:$E$619,Documents!$A$2:$A$619,$A12,Documents!$C$2:$C$619,"sustainability")=0,"",MAXIFS(Documents!$E$2:$E$619,Documents!$A$2:$A$619,$A12,Documents!$C$2:$C$619,"sustainability")),"")</f>
        <v/>
      </c>
      <c r="Q12">
        <f>IFERROR(IF(MAXIFS(Documents!$E$2:$E$619,Documents!$A$2:$A$619,$A12,Documents!$C$2:$C$619,"calendar")=0,"",MAXIFS(Documents!$E$2:$E$619,Documents!$A$2:$A$619,$A12,Documents!$C$2:$C$619,"calendar")),"")</f>
        <v/>
      </c>
      <c r="R12">
        <f>IFERROR(IF(MAXIFS(Documents!$E$2:$E$619,Documents!$A$2:$A$619,$A12,Documents!$C$2:$C$619,"brochure")=0,"",MAXIFS(Documents!$E$2:$E$619,Documents!$A$2:$A$619,$A12,Documents!$C$2:$C$619,"brochure")),"")</f>
        <v/>
      </c>
      <c r="S12">
        <f>IFERROR(IF(MAXIFS(Documents!$E$2:$E$619,Documents!$A$2:$A$619,$A12,Documents!$C$2:$C$619,"press_kit")=0,"",MAXIFS(Documents!$E$2:$E$619,Documents!$A$2:$A$619,$A12,Documents!$C$2:$C$619,"press_kit")),"")</f>
        <v/>
      </c>
      <c r="T12">
        <f>IFERROR(IF(MAXIFS(Documents!$E$2:$E$619,Documents!$A$2:$A$619,$A12,Documents!$C$2:$C$619,"other")=0,"",MAXIFS(Documents!$E$2:$E$619,Documents!$A$2:$A$619,$A12,Documents!$C$2:$C$619,"other")),"")</f>
        <v/>
      </c>
      <c r="U12">
        <f>IFERROR(IF(MAXIFS(Documents!$E$2:$E$619,Documents!$A$2:$A$619,$A12,Documents!$C$2:$C$619,"obsolete")=0,"",MAXIFS(Documents!$E$2:$E$619,Documents!$A$2:$A$619,$A12,Documents!$C$2:$C$619,"obsolete")),"")</f>
        <v/>
      </c>
      <c r="V12">
        <f>COUNTIFS(Documents!$A$2:$A$619,$A12)</f>
        <v/>
      </c>
      <c r="W12">
        <f>COUNTIFS(Documents!$A$2:$A$619,$A12,Documents!$R$2:$R$619,"current")</f>
        <v/>
      </c>
      <c r="X12">
        <f>HYPERLINK("https://www.angaga.com.mv/wp-content/uploads/2018/12/GENERAL-INFORMATION.pdf","2018_GENERAL-INFORMATION.pdf")</f>
        <v/>
      </c>
      <c r="Y12" t="inlineStr">
        <is>
          <t>events</t>
        </is>
      </c>
      <c r="Z12" t="inlineStr"/>
    </row>
    <row r="13">
      <c r="A13" t="n">
        <v>12</v>
      </c>
      <c r="B13" t="inlineStr">
        <is>
          <t>Thulhagiri Island Resort &amp; Spa</t>
        </is>
      </c>
      <c r="C13" t="inlineStr">
        <is>
          <t>ok</t>
        </is>
      </c>
      <c r="D13">
        <f>IFERROR(IF(MAXIFS(Documents!$E$2:$E$619,Documents!$A$2:$A$619,$A13,Documents!$C$2:$C$619,"factsheet")=0,"",MAXIFS(Documents!$E$2:$E$619,Documents!$A$2:$A$619,$A13,Documents!$C$2:$C$619,"factsheet")),"")</f>
        <v/>
      </c>
      <c r="E13">
        <f>IFERROR(IF(MAXIFS(Documents!$E$2:$E$619,Documents!$A$2:$A$619,$A13,Documents!$C$2:$C$619,"wedding")=0,"",MAXIFS(Documents!$E$2:$E$619,Documents!$A$2:$A$619,$A13,Documents!$C$2:$C$619,"wedding")),"")</f>
        <v/>
      </c>
      <c r="F13">
        <f>IFERROR(IF(MAXIFS(Documents!$E$2:$E$619,Documents!$A$2:$A$619,$A13,Documents!$C$2:$C$619,"events")=0,"",MAXIFS(Documents!$E$2:$E$619,Documents!$A$2:$A$619,$A13,Documents!$C$2:$C$619,"events")),"")</f>
        <v/>
      </c>
      <c r="G13">
        <f>IFERROR(IF(MAXIFS(Documents!$E$2:$E$619,Documents!$A$2:$A$619,$A13,Documents!$C$2:$C$619,"map")=0,"",MAXIFS(Documents!$E$2:$E$619,Documents!$A$2:$A$619,$A13,Documents!$C$2:$C$619,"map")),"")</f>
        <v/>
      </c>
      <c r="H13">
        <f>IFERROR(IF(MAXIFS(Documents!$E$2:$E$619,Documents!$A$2:$A$619,$A13,Documents!$C$2:$C$619,"dive_map")=0,"",MAXIFS(Documents!$E$2:$E$619,Documents!$A$2:$A$619,$A13,Documents!$C$2:$C$619,"dive_map")),"")</f>
        <v/>
      </c>
      <c r="I13">
        <f>IFERROR(IF(MAXIFS(Documents!$E$2:$E$619,Documents!$A$2:$A$619,$A13,Documents!$C$2:$C$619,"spa_menu")=0,"",MAXIFS(Documents!$E$2:$E$619,Documents!$A$2:$A$619,$A13,Documents!$C$2:$C$619,"spa_menu")),"")</f>
        <v/>
      </c>
      <c r="J13">
        <f>IFERROR(IF(MAXIFS(Documents!$E$2:$E$619,Documents!$A$2:$A$619,$A13,Documents!$C$2:$C$619,"dining_menu")=0,"",MAXIFS(Documents!$E$2:$E$619,Documents!$A$2:$A$619,$A13,Documents!$C$2:$C$619,"dining_menu")),"")</f>
        <v/>
      </c>
      <c r="K13">
        <f>IFERROR(IF(MAXIFS(Documents!$E$2:$E$619,Documents!$A$2:$A$619,$A13,Documents!$C$2:$C$619,"dive_prices")=0,"",MAXIFS(Documents!$E$2:$E$619,Documents!$A$2:$A$619,$A13,Documents!$C$2:$C$619,"dive_prices")),"")</f>
        <v/>
      </c>
      <c r="L13">
        <f>IFERROR(IF(MAXIFS(Documents!$E$2:$E$619,Documents!$A$2:$A$619,$A13,Documents!$C$2:$C$619,"excursions")=0,"",MAXIFS(Documents!$E$2:$E$619,Documents!$A$2:$A$619,$A13,Documents!$C$2:$C$619,"excursions")),"")</f>
        <v/>
      </c>
      <c r="M13">
        <f>IFERROR(IF(MAXIFS(Documents!$E$2:$E$619,Documents!$A$2:$A$619,$A13,Documents!$C$2:$C$619,"kids")=0,"",MAXIFS(Documents!$E$2:$E$619,Documents!$A$2:$A$619,$A13,Documents!$C$2:$C$619,"kids")),"")</f>
        <v/>
      </c>
      <c r="N13">
        <f>IFERROR(IF(MAXIFS(Documents!$E$2:$E$619,Documents!$A$2:$A$619,$A13,Documents!$C$2:$C$619,"villa_plans")=0,"",MAXIFS(Documents!$E$2:$E$619,Documents!$A$2:$A$619,$A13,Documents!$C$2:$C$619,"villa_plans")),"")</f>
        <v/>
      </c>
      <c r="O13">
        <f>IFERROR(IF(MAXIFS(Documents!$E$2:$E$619,Documents!$A$2:$A$619,$A13,Documents!$C$2:$C$619,"all_inclusive")=0,"",MAXIFS(Documents!$E$2:$E$619,Documents!$A$2:$A$619,$A13,Documents!$C$2:$C$619,"all_inclusive")),"")</f>
        <v/>
      </c>
      <c r="P13">
        <f>IFERROR(IF(MAXIFS(Documents!$E$2:$E$619,Documents!$A$2:$A$619,$A13,Documents!$C$2:$C$619,"sustainability")=0,"",MAXIFS(Documents!$E$2:$E$619,Documents!$A$2:$A$619,$A13,Documents!$C$2:$C$619,"sustainability")),"")</f>
        <v/>
      </c>
      <c r="Q13">
        <f>IFERROR(IF(MAXIFS(Documents!$E$2:$E$619,Documents!$A$2:$A$619,$A13,Documents!$C$2:$C$619,"calendar")=0,"",MAXIFS(Documents!$E$2:$E$619,Documents!$A$2:$A$619,$A13,Documents!$C$2:$C$619,"calendar")),"")</f>
        <v/>
      </c>
      <c r="R13">
        <f>IFERROR(IF(MAXIFS(Documents!$E$2:$E$619,Documents!$A$2:$A$619,$A13,Documents!$C$2:$C$619,"brochure")=0,"",MAXIFS(Documents!$E$2:$E$619,Documents!$A$2:$A$619,$A13,Documents!$C$2:$C$619,"brochure")),"")</f>
        <v/>
      </c>
      <c r="S13">
        <f>IFERROR(IF(MAXIFS(Documents!$E$2:$E$619,Documents!$A$2:$A$619,$A13,Documents!$C$2:$C$619,"press_kit")=0,"",MAXIFS(Documents!$E$2:$E$619,Documents!$A$2:$A$619,$A13,Documents!$C$2:$C$619,"press_kit")),"")</f>
        <v/>
      </c>
      <c r="T13">
        <f>IFERROR(IF(MAXIFS(Documents!$E$2:$E$619,Documents!$A$2:$A$619,$A13,Documents!$C$2:$C$619,"other")=0,"",MAXIFS(Documents!$E$2:$E$619,Documents!$A$2:$A$619,$A13,Documents!$C$2:$C$619,"other")),"")</f>
        <v/>
      </c>
      <c r="U13">
        <f>IFERROR(IF(MAXIFS(Documents!$E$2:$E$619,Documents!$A$2:$A$619,$A13,Documents!$C$2:$C$619,"obsolete")=0,"",MAXIFS(Documents!$E$2:$E$619,Documents!$A$2:$A$619,$A13,Documents!$C$2:$C$619,"obsolete")),"")</f>
        <v/>
      </c>
      <c r="V13">
        <f>COUNTIFS(Documents!$A$2:$A$619,$A13)</f>
        <v/>
      </c>
      <c r="W13">
        <f>COUNTIFS(Documents!$A$2:$A$619,$A13,Documents!$R$2:$R$619,"current")</f>
        <v/>
      </c>
      <c r="X13" t="inlineStr"/>
      <c r="Y13" t="inlineStr">
        <is>
          <t>factsheet, events</t>
        </is>
      </c>
      <c r="Z13" t="inlineStr"/>
    </row>
    <row r="14">
      <c r="A14" t="n">
        <v>13</v>
      </c>
      <c r="B14" t="inlineStr">
        <is>
          <t>Sandies Bathala</t>
        </is>
      </c>
      <c r="C14" t="inlineStr">
        <is>
          <t>ok</t>
        </is>
      </c>
      <c r="D14">
        <f>IFERROR(IF(MAXIFS(Documents!$E$2:$E$619,Documents!$A$2:$A$619,$A14,Documents!$C$2:$C$619,"factsheet")=0,"",MAXIFS(Documents!$E$2:$E$619,Documents!$A$2:$A$619,$A14,Documents!$C$2:$C$619,"factsheet")),"")</f>
        <v/>
      </c>
      <c r="E14">
        <f>IFERROR(IF(MAXIFS(Documents!$E$2:$E$619,Documents!$A$2:$A$619,$A14,Documents!$C$2:$C$619,"wedding")=0,"",MAXIFS(Documents!$E$2:$E$619,Documents!$A$2:$A$619,$A14,Documents!$C$2:$C$619,"wedding")),"")</f>
        <v/>
      </c>
      <c r="F14">
        <f>IFERROR(IF(MAXIFS(Documents!$E$2:$E$619,Documents!$A$2:$A$619,$A14,Documents!$C$2:$C$619,"events")=0,"",MAXIFS(Documents!$E$2:$E$619,Documents!$A$2:$A$619,$A14,Documents!$C$2:$C$619,"events")),"")</f>
        <v/>
      </c>
      <c r="G14">
        <f>IFERROR(IF(MAXIFS(Documents!$E$2:$E$619,Documents!$A$2:$A$619,$A14,Documents!$C$2:$C$619,"map")=0,"",MAXIFS(Documents!$E$2:$E$619,Documents!$A$2:$A$619,$A14,Documents!$C$2:$C$619,"map")),"")</f>
        <v/>
      </c>
      <c r="H14">
        <f>IFERROR(IF(MAXIFS(Documents!$E$2:$E$619,Documents!$A$2:$A$619,$A14,Documents!$C$2:$C$619,"dive_map")=0,"",MAXIFS(Documents!$E$2:$E$619,Documents!$A$2:$A$619,$A14,Documents!$C$2:$C$619,"dive_map")),"")</f>
        <v/>
      </c>
      <c r="I14">
        <f>IFERROR(IF(MAXIFS(Documents!$E$2:$E$619,Documents!$A$2:$A$619,$A14,Documents!$C$2:$C$619,"spa_menu")=0,"",MAXIFS(Documents!$E$2:$E$619,Documents!$A$2:$A$619,$A14,Documents!$C$2:$C$619,"spa_menu")),"")</f>
        <v/>
      </c>
      <c r="J14">
        <f>IFERROR(IF(MAXIFS(Documents!$E$2:$E$619,Documents!$A$2:$A$619,$A14,Documents!$C$2:$C$619,"dining_menu")=0,"",MAXIFS(Documents!$E$2:$E$619,Documents!$A$2:$A$619,$A14,Documents!$C$2:$C$619,"dining_menu")),"")</f>
        <v/>
      </c>
      <c r="K14">
        <f>IFERROR(IF(MAXIFS(Documents!$E$2:$E$619,Documents!$A$2:$A$619,$A14,Documents!$C$2:$C$619,"dive_prices")=0,"",MAXIFS(Documents!$E$2:$E$619,Documents!$A$2:$A$619,$A14,Documents!$C$2:$C$619,"dive_prices")),"")</f>
        <v/>
      </c>
      <c r="L14">
        <f>IFERROR(IF(MAXIFS(Documents!$E$2:$E$619,Documents!$A$2:$A$619,$A14,Documents!$C$2:$C$619,"excursions")=0,"",MAXIFS(Documents!$E$2:$E$619,Documents!$A$2:$A$619,$A14,Documents!$C$2:$C$619,"excursions")),"")</f>
        <v/>
      </c>
      <c r="M14">
        <f>IFERROR(IF(MAXIFS(Documents!$E$2:$E$619,Documents!$A$2:$A$619,$A14,Documents!$C$2:$C$619,"kids")=0,"",MAXIFS(Documents!$E$2:$E$619,Documents!$A$2:$A$619,$A14,Documents!$C$2:$C$619,"kids")),"")</f>
        <v/>
      </c>
      <c r="N14">
        <f>IFERROR(IF(MAXIFS(Documents!$E$2:$E$619,Documents!$A$2:$A$619,$A14,Documents!$C$2:$C$619,"villa_plans")=0,"",MAXIFS(Documents!$E$2:$E$619,Documents!$A$2:$A$619,$A14,Documents!$C$2:$C$619,"villa_plans")),"")</f>
        <v/>
      </c>
      <c r="O14">
        <f>IFERROR(IF(MAXIFS(Documents!$E$2:$E$619,Documents!$A$2:$A$619,$A14,Documents!$C$2:$C$619,"all_inclusive")=0,"",MAXIFS(Documents!$E$2:$E$619,Documents!$A$2:$A$619,$A14,Documents!$C$2:$C$619,"all_inclusive")),"")</f>
        <v/>
      </c>
      <c r="P14">
        <f>IFERROR(IF(MAXIFS(Documents!$E$2:$E$619,Documents!$A$2:$A$619,$A14,Documents!$C$2:$C$619,"sustainability")=0,"",MAXIFS(Documents!$E$2:$E$619,Documents!$A$2:$A$619,$A14,Documents!$C$2:$C$619,"sustainability")),"")</f>
        <v/>
      </c>
      <c r="Q14">
        <f>IFERROR(IF(MAXIFS(Documents!$E$2:$E$619,Documents!$A$2:$A$619,$A14,Documents!$C$2:$C$619,"calendar")=0,"",MAXIFS(Documents!$E$2:$E$619,Documents!$A$2:$A$619,$A14,Documents!$C$2:$C$619,"calendar")),"")</f>
        <v/>
      </c>
      <c r="R14">
        <f>IFERROR(IF(MAXIFS(Documents!$E$2:$E$619,Documents!$A$2:$A$619,$A14,Documents!$C$2:$C$619,"brochure")=0,"",MAXIFS(Documents!$E$2:$E$619,Documents!$A$2:$A$619,$A14,Documents!$C$2:$C$619,"brochure")),"")</f>
        <v/>
      </c>
      <c r="S14">
        <f>IFERROR(IF(MAXIFS(Documents!$E$2:$E$619,Documents!$A$2:$A$619,$A14,Documents!$C$2:$C$619,"press_kit")=0,"",MAXIFS(Documents!$E$2:$E$619,Documents!$A$2:$A$619,$A14,Documents!$C$2:$C$619,"press_kit")),"")</f>
        <v/>
      </c>
      <c r="T14">
        <f>IFERROR(IF(MAXIFS(Documents!$E$2:$E$619,Documents!$A$2:$A$619,$A14,Documents!$C$2:$C$619,"other")=0,"",MAXIFS(Documents!$E$2:$E$619,Documents!$A$2:$A$619,$A14,Documents!$C$2:$C$619,"other")),"")</f>
        <v/>
      </c>
      <c r="U14">
        <f>IFERROR(IF(MAXIFS(Documents!$E$2:$E$619,Documents!$A$2:$A$619,$A14,Documents!$C$2:$C$619,"obsolete")=0,"",MAXIFS(Documents!$E$2:$E$619,Documents!$A$2:$A$619,$A14,Documents!$C$2:$C$619,"obsolete")),"")</f>
        <v/>
      </c>
      <c r="V14">
        <f>COUNTIFS(Documents!$A$2:$A$619,$A14)</f>
        <v/>
      </c>
      <c r="W14">
        <f>COUNTIFS(Documents!$A$2:$A$619,$A14,Documents!$R$2:$R$619,"current")</f>
        <v/>
      </c>
      <c r="X14" t="inlineStr"/>
      <c r="Y14" t="inlineStr">
        <is>
          <t>factsheet, wedding</t>
        </is>
      </c>
      <c r="Z14" t="inlineStr"/>
    </row>
    <row r="15">
      <c r="A15" t="n">
        <v>14</v>
      </c>
      <c r="B15" t="inlineStr">
        <is>
          <t>Baglioni Resort Maldives</t>
        </is>
      </c>
      <c r="C15" t="inlineStr">
        <is>
          <t>blocked</t>
        </is>
      </c>
      <c r="D15">
        <f>IFERROR(IF(MAXIFS(Documents!$E$2:$E$619,Documents!$A$2:$A$619,$A15,Documents!$C$2:$C$619,"factsheet")=0,"",MAXIFS(Documents!$E$2:$E$619,Documents!$A$2:$A$619,$A15,Documents!$C$2:$C$619,"factsheet")),"")</f>
        <v/>
      </c>
      <c r="E15">
        <f>IFERROR(IF(MAXIFS(Documents!$E$2:$E$619,Documents!$A$2:$A$619,$A15,Documents!$C$2:$C$619,"wedding")=0,"",MAXIFS(Documents!$E$2:$E$619,Documents!$A$2:$A$619,$A15,Documents!$C$2:$C$619,"wedding")),"")</f>
        <v/>
      </c>
      <c r="F15">
        <f>IFERROR(IF(MAXIFS(Documents!$E$2:$E$619,Documents!$A$2:$A$619,$A15,Documents!$C$2:$C$619,"events")=0,"",MAXIFS(Documents!$E$2:$E$619,Documents!$A$2:$A$619,$A15,Documents!$C$2:$C$619,"events")),"")</f>
        <v/>
      </c>
      <c r="G15">
        <f>IFERROR(IF(MAXIFS(Documents!$E$2:$E$619,Documents!$A$2:$A$619,$A15,Documents!$C$2:$C$619,"map")=0,"",MAXIFS(Documents!$E$2:$E$619,Documents!$A$2:$A$619,$A15,Documents!$C$2:$C$619,"map")),"")</f>
        <v/>
      </c>
      <c r="H15">
        <f>IFERROR(IF(MAXIFS(Documents!$E$2:$E$619,Documents!$A$2:$A$619,$A15,Documents!$C$2:$C$619,"dive_map")=0,"",MAXIFS(Documents!$E$2:$E$619,Documents!$A$2:$A$619,$A15,Documents!$C$2:$C$619,"dive_map")),"")</f>
        <v/>
      </c>
      <c r="I15">
        <f>IFERROR(IF(MAXIFS(Documents!$E$2:$E$619,Documents!$A$2:$A$619,$A15,Documents!$C$2:$C$619,"spa_menu")=0,"",MAXIFS(Documents!$E$2:$E$619,Documents!$A$2:$A$619,$A15,Documents!$C$2:$C$619,"spa_menu")),"")</f>
        <v/>
      </c>
      <c r="J15">
        <f>IFERROR(IF(MAXIFS(Documents!$E$2:$E$619,Documents!$A$2:$A$619,$A15,Documents!$C$2:$C$619,"dining_menu")=0,"",MAXIFS(Documents!$E$2:$E$619,Documents!$A$2:$A$619,$A15,Documents!$C$2:$C$619,"dining_menu")),"")</f>
        <v/>
      </c>
      <c r="K15">
        <f>IFERROR(IF(MAXIFS(Documents!$E$2:$E$619,Documents!$A$2:$A$619,$A15,Documents!$C$2:$C$619,"dive_prices")=0,"",MAXIFS(Documents!$E$2:$E$619,Documents!$A$2:$A$619,$A15,Documents!$C$2:$C$619,"dive_prices")),"")</f>
        <v/>
      </c>
      <c r="L15">
        <f>IFERROR(IF(MAXIFS(Documents!$E$2:$E$619,Documents!$A$2:$A$619,$A15,Documents!$C$2:$C$619,"excursions")=0,"",MAXIFS(Documents!$E$2:$E$619,Documents!$A$2:$A$619,$A15,Documents!$C$2:$C$619,"excursions")),"")</f>
        <v/>
      </c>
      <c r="M15">
        <f>IFERROR(IF(MAXIFS(Documents!$E$2:$E$619,Documents!$A$2:$A$619,$A15,Documents!$C$2:$C$619,"kids")=0,"",MAXIFS(Documents!$E$2:$E$619,Documents!$A$2:$A$619,$A15,Documents!$C$2:$C$619,"kids")),"")</f>
        <v/>
      </c>
      <c r="N15">
        <f>IFERROR(IF(MAXIFS(Documents!$E$2:$E$619,Documents!$A$2:$A$619,$A15,Documents!$C$2:$C$619,"villa_plans")=0,"",MAXIFS(Documents!$E$2:$E$619,Documents!$A$2:$A$619,$A15,Documents!$C$2:$C$619,"villa_plans")),"")</f>
        <v/>
      </c>
      <c r="O15">
        <f>IFERROR(IF(MAXIFS(Documents!$E$2:$E$619,Documents!$A$2:$A$619,$A15,Documents!$C$2:$C$619,"all_inclusive")=0,"",MAXIFS(Documents!$E$2:$E$619,Documents!$A$2:$A$619,$A15,Documents!$C$2:$C$619,"all_inclusive")),"")</f>
        <v/>
      </c>
      <c r="P15">
        <f>IFERROR(IF(MAXIFS(Documents!$E$2:$E$619,Documents!$A$2:$A$619,$A15,Documents!$C$2:$C$619,"sustainability")=0,"",MAXIFS(Documents!$E$2:$E$619,Documents!$A$2:$A$619,$A15,Documents!$C$2:$C$619,"sustainability")),"")</f>
        <v/>
      </c>
      <c r="Q15">
        <f>IFERROR(IF(MAXIFS(Documents!$E$2:$E$619,Documents!$A$2:$A$619,$A15,Documents!$C$2:$C$619,"calendar")=0,"",MAXIFS(Documents!$E$2:$E$619,Documents!$A$2:$A$619,$A15,Documents!$C$2:$C$619,"calendar")),"")</f>
        <v/>
      </c>
      <c r="R15">
        <f>IFERROR(IF(MAXIFS(Documents!$E$2:$E$619,Documents!$A$2:$A$619,$A15,Documents!$C$2:$C$619,"brochure")=0,"",MAXIFS(Documents!$E$2:$E$619,Documents!$A$2:$A$619,$A15,Documents!$C$2:$C$619,"brochure")),"")</f>
        <v/>
      </c>
      <c r="S15">
        <f>IFERROR(IF(MAXIFS(Documents!$E$2:$E$619,Documents!$A$2:$A$619,$A15,Documents!$C$2:$C$619,"press_kit")=0,"",MAXIFS(Documents!$E$2:$E$619,Documents!$A$2:$A$619,$A15,Documents!$C$2:$C$619,"press_kit")),"")</f>
        <v/>
      </c>
      <c r="T15">
        <f>IFERROR(IF(MAXIFS(Documents!$E$2:$E$619,Documents!$A$2:$A$619,$A15,Documents!$C$2:$C$619,"other")=0,"",MAXIFS(Documents!$E$2:$E$619,Documents!$A$2:$A$619,$A15,Documents!$C$2:$C$619,"other")),"")</f>
        <v/>
      </c>
      <c r="U15">
        <f>IFERROR(IF(MAXIFS(Documents!$E$2:$E$619,Documents!$A$2:$A$619,$A15,Documents!$C$2:$C$619,"obsolete")=0,"",MAXIFS(Documents!$E$2:$E$619,Documents!$A$2:$A$619,$A15,Documents!$C$2:$C$619,"obsolete")),"")</f>
        <v/>
      </c>
      <c r="V15">
        <f>COUNTIFS(Documents!$A$2:$A$619,$A15)</f>
        <v/>
      </c>
      <c r="W15">
        <f>COUNTIFS(Documents!$A$2:$A$619,$A15,Documents!$R$2:$R$619,"current")</f>
        <v/>
      </c>
      <c r="X15" t="inlineStr"/>
      <c r="Y15" t="inlineStr">
        <is>
          <t>factsheet, wedding, events</t>
        </is>
      </c>
      <c r="Z15" t="inlineStr"/>
    </row>
    <row r="16">
      <c r="A16" t="n">
        <v>15</v>
      </c>
      <c r="B16" t="inlineStr">
        <is>
          <t>Alila Kothaifaru Maldives</t>
        </is>
      </c>
      <c r="C16" t="inlineStr">
        <is>
          <t>blocked</t>
        </is>
      </c>
      <c r="D16">
        <f>IFERROR(IF(MAXIFS(Documents!$E$2:$E$619,Documents!$A$2:$A$619,$A16,Documents!$C$2:$C$619,"factsheet")=0,"",MAXIFS(Documents!$E$2:$E$619,Documents!$A$2:$A$619,$A16,Documents!$C$2:$C$619,"factsheet")),"")</f>
        <v/>
      </c>
      <c r="E16">
        <f>IFERROR(IF(MAXIFS(Documents!$E$2:$E$619,Documents!$A$2:$A$619,$A16,Documents!$C$2:$C$619,"wedding")=0,"",MAXIFS(Documents!$E$2:$E$619,Documents!$A$2:$A$619,$A16,Documents!$C$2:$C$619,"wedding")),"")</f>
        <v/>
      </c>
      <c r="F16">
        <f>IFERROR(IF(MAXIFS(Documents!$E$2:$E$619,Documents!$A$2:$A$619,$A16,Documents!$C$2:$C$619,"events")=0,"",MAXIFS(Documents!$E$2:$E$619,Documents!$A$2:$A$619,$A16,Documents!$C$2:$C$619,"events")),"")</f>
        <v/>
      </c>
      <c r="G16">
        <f>IFERROR(IF(MAXIFS(Documents!$E$2:$E$619,Documents!$A$2:$A$619,$A16,Documents!$C$2:$C$619,"map")=0,"",MAXIFS(Documents!$E$2:$E$619,Documents!$A$2:$A$619,$A16,Documents!$C$2:$C$619,"map")),"")</f>
        <v/>
      </c>
      <c r="H16">
        <f>IFERROR(IF(MAXIFS(Documents!$E$2:$E$619,Documents!$A$2:$A$619,$A16,Documents!$C$2:$C$619,"dive_map")=0,"",MAXIFS(Documents!$E$2:$E$619,Documents!$A$2:$A$619,$A16,Documents!$C$2:$C$619,"dive_map")),"")</f>
        <v/>
      </c>
      <c r="I16">
        <f>IFERROR(IF(MAXIFS(Documents!$E$2:$E$619,Documents!$A$2:$A$619,$A16,Documents!$C$2:$C$619,"spa_menu")=0,"",MAXIFS(Documents!$E$2:$E$619,Documents!$A$2:$A$619,$A16,Documents!$C$2:$C$619,"spa_menu")),"")</f>
        <v/>
      </c>
      <c r="J16">
        <f>IFERROR(IF(MAXIFS(Documents!$E$2:$E$619,Documents!$A$2:$A$619,$A16,Documents!$C$2:$C$619,"dining_menu")=0,"",MAXIFS(Documents!$E$2:$E$619,Documents!$A$2:$A$619,$A16,Documents!$C$2:$C$619,"dining_menu")),"")</f>
        <v/>
      </c>
      <c r="K16">
        <f>IFERROR(IF(MAXIFS(Documents!$E$2:$E$619,Documents!$A$2:$A$619,$A16,Documents!$C$2:$C$619,"dive_prices")=0,"",MAXIFS(Documents!$E$2:$E$619,Documents!$A$2:$A$619,$A16,Documents!$C$2:$C$619,"dive_prices")),"")</f>
        <v/>
      </c>
      <c r="L16">
        <f>IFERROR(IF(MAXIFS(Documents!$E$2:$E$619,Documents!$A$2:$A$619,$A16,Documents!$C$2:$C$619,"excursions")=0,"",MAXIFS(Documents!$E$2:$E$619,Documents!$A$2:$A$619,$A16,Documents!$C$2:$C$619,"excursions")),"")</f>
        <v/>
      </c>
      <c r="M16">
        <f>IFERROR(IF(MAXIFS(Documents!$E$2:$E$619,Documents!$A$2:$A$619,$A16,Documents!$C$2:$C$619,"kids")=0,"",MAXIFS(Documents!$E$2:$E$619,Documents!$A$2:$A$619,$A16,Documents!$C$2:$C$619,"kids")),"")</f>
        <v/>
      </c>
      <c r="N16">
        <f>IFERROR(IF(MAXIFS(Documents!$E$2:$E$619,Documents!$A$2:$A$619,$A16,Documents!$C$2:$C$619,"villa_plans")=0,"",MAXIFS(Documents!$E$2:$E$619,Documents!$A$2:$A$619,$A16,Documents!$C$2:$C$619,"villa_plans")),"")</f>
        <v/>
      </c>
      <c r="O16">
        <f>IFERROR(IF(MAXIFS(Documents!$E$2:$E$619,Documents!$A$2:$A$619,$A16,Documents!$C$2:$C$619,"all_inclusive")=0,"",MAXIFS(Documents!$E$2:$E$619,Documents!$A$2:$A$619,$A16,Documents!$C$2:$C$619,"all_inclusive")),"")</f>
        <v/>
      </c>
      <c r="P16">
        <f>IFERROR(IF(MAXIFS(Documents!$E$2:$E$619,Documents!$A$2:$A$619,$A16,Documents!$C$2:$C$619,"sustainability")=0,"",MAXIFS(Documents!$E$2:$E$619,Documents!$A$2:$A$619,$A16,Documents!$C$2:$C$619,"sustainability")),"")</f>
        <v/>
      </c>
      <c r="Q16">
        <f>IFERROR(IF(MAXIFS(Documents!$E$2:$E$619,Documents!$A$2:$A$619,$A16,Documents!$C$2:$C$619,"calendar")=0,"",MAXIFS(Documents!$E$2:$E$619,Documents!$A$2:$A$619,$A16,Documents!$C$2:$C$619,"calendar")),"")</f>
        <v/>
      </c>
      <c r="R16">
        <f>IFERROR(IF(MAXIFS(Documents!$E$2:$E$619,Documents!$A$2:$A$619,$A16,Documents!$C$2:$C$619,"brochure")=0,"",MAXIFS(Documents!$E$2:$E$619,Documents!$A$2:$A$619,$A16,Documents!$C$2:$C$619,"brochure")),"")</f>
        <v/>
      </c>
      <c r="S16">
        <f>IFERROR(IF(MAXIFS(Documents!$E$2:$E$619,Documents!$A$2:$A$619,$A16,Documents!$C$2:$C$619,"press_kit")=0,"",MAXIFS(Documents!$E$2:$E$619,Documents!$A$2:$A$619,$A16,Documents!$C$2:$C$619,"press_kit")),"")</f>
        <v/>
      </c>
      <c r="T16">
        <f>IFERROR(IF(MAXIFS(Documents!$E$2:$E$619,Documents!$A$2:$A$619,$A16,Documents!$C$2:$C$619,"other")=0,"",MAXIFS(Documents!$E$2:$E$619,Documents!$A$2:$A$619,$A16,Documents!$C$2:$C$619,"other")),"")</f>
        <v/>
      </c>
      <c r="U16">
        <f>IFERROR(IF(MAXIFS(Documents!$E$2:$E$619,Documents!$A$2:$A$619,$A16,Documents!$C$2:$C$619,"obsolete")=0,"",MAXIFS(Documents!$E$2:$E$619,Documents!$A$2:$A$619,$A16,Documents!$C$2:$C$619,"obsolete")),"")</f>
        <v/>
      </c>
      <c r="V16">
        <f>COUNTIFS(Documents!$A$2:$A$619,$A16)</f>
        <v/>
      </c>
      <c r="W16">
        <f>COUNTIFS(Documents!$A$2:$A$619,$A16,Documents!$R$2:$R$619,"current")</f>
        <v/>
      </c>
      <c r="X16">
        <f>HYPERLINK("https://www.neoscapesmaldives.com/wp-content/uploads/Alila-Kothaifaru-Maldives-Factsheet-2022.pdf","2022_Alila-Kothaifaru-Maldives-Factsheet")</f>
        <v/>
      </c>
      <c r="Y16" t="inlineStr">
        <is>
          <t>wedding, events</t>
        </is>
      </c>
      <c r="Z16" t="inlineStr"/>
    </row>
    <row r="17">
      <c r="A17" t="n">
        <v>16</v>
      </c>
      <c r="B17" t="inlineStr">
        <is>
          <t>JW Marriott Kaafu Atoll Island Resort</t>
        </is>
      </c>
      <c r="C17" t="inlineStr">
        <is>
          <t>blocked</t>
        </is>
      </c>
      <c r="D17">
        <f>IFERROR(IF(MAXIFS(Documents!$E$2:$E$619,Documents!$A$2:$A$619,$A17,Documents!$C$2:$C$619,"factsheet")=0,"",MAXIFS(Documents!$E$2:$E$619,Documents!$A$2:$A$619,$A17,Documents!$C$2:$C$619,"factsheet")),"")</f>
        <v/>
      </c>
      <c r="E17">
        <f>IFERROR(IF(MAXIFS(Documents!$E$2:$E$619,Documents!$A$2:$A$619,$A17,Documents!$C$2:$C$619,"wedding")=0,"",MAXIFS(Documents!$E$2:$E$619,Documents!$A$2:$A$619,$A17,Documents!$C$2:$C$619,"wedding")),"")</f>
        <v/>
      </c>
      <c r="F17">
        <f>IFERROR(IF(MAXIFS(Documents!$E$2:$E$619,Documents!$A$2:$A$619,$A17,Documents!$C$2:$C$619,"events")=0,"",MAXIFS(Documents!$E$2:$E$619,Documents!$A$2:$A$619,$A17,Documents!$C$2:$C$619,"events")),"")</f>
        <v/>
      </c>
      <c r="G17">
        <f>IFERROR(IF(MAXIFS(Documents!$E$2:$E$619,Documents!$A$2:$A$619,$A17,Documents!$C$2:$C$619,"map")=0,"",MAXIFS(Documents!$E$2:$E$619,Documents!$A$2:$A$619,$A17,Documents!$C$2:$C$619,"map")),"")</f>
        <v/>
      </c>
      <c r="H17">
        <f>IFERROR(IF(MAXIFS(Documents!$E$2:$E$619,Documents!$A$2:$A$619,$A17,Documents!$C$2:$C$619,"dive_map")=0,"",MAXIFS(Documents!$E$2:$E$619,Documents!$A$2:$A$619,$A17,Documents!$C$2:$C$619,"dive_map")),"")</f>
        <v/>
      </c>
      <c r="I17">
        <f>IFERROR(IF(MAXIFS(Documents!$E$2:$E$619,Documents!$A$2:$A$619,$A17,Documents!$C$2:$C$619,"spa_menu")=0,"",MAXIFS(Documents!$E$2:$E$619,Documents!$A$2:$A$619,$A17,Documents!$C$2:$C$619,"spa_menu")),"")</f>
        <v/>
      </c>
      <c r="J17">
        <f>IFERROR(IF(MAXIFS(Documents!$E$2:$E$619,Documents!$A$2:$A$619,$A17,Documents!$C$2:$C$619,"dining_menu")=0,"",MAXIFS(Documents!$E$2:$E$619,Documents!$A$2:$A$619,$A17,Documents!$C$2:$C$619,"dining_menu")),"")</f>
        <v/>
      </c>
      <c r="K17">
        <f>IFERROR(IF(MAXIFS(Documents!$E$2:$E$619,Documents!$A$2:$A$619,$A17,Documents!$C$2:$C$619,"dive_prices")=0,"",MAXIFS(Documents!$E$2:$E$619,Documents!$A$2:$A$619,$A17,Documents!$C$2:$C$619,"dive_prices")),"")</f>
        <v/>
      </c>
      <c r="L17">
        <f>IFERROR(IF(MAXIFS(Documents!$E$2:$E$619,Documents!$A$2:$A$619,$A17,Documents!$C$2:$C$619,"excursions")=0,"",MAXIFS(Documents!$E$2:$E$619,Documents!$A$2:$A$619,$A17,Documents!$C$2:$C$619,"excursions")),"")</f>
        <v/>
      </c>
      <c r="M17">
        <f>IFERROR(IF(MAXIFS(Documents!$E$2:$E$619,Documents!$A$2:$A$619,$A17,Documents!$C$2:$C$619,"kids")=0,"",MAXIFS(Documents!$E$2:$E$619,Documents!$A$2:$A$619,$A17,Documents!$C$2:$C$619,"kids")),"")</f>
        <v/>
      </c>
      <c r="N17">
        <f>IFERROR(IF(MAXIFS(Documents!$E$2:$E$619,Documents!$A$2:$A$619,$A17,Documents!$C$2:$C$619,"villa_plans")=0,"",MAXIFS(Documents!$E$2:$E$619,Documents!$A$2:$A$619,$A17,Documents!$C$2:$C$619,"villa_plans")),"")</f>
        <v/>
      </c>
      <c r="O17">
        <f>IFERROR(IF(MAXIFS(Documents!$E$2:$E$619,Documents!$A$2:$A$619,$A17,Documents!$C$2:$C$619,"all_inclusive")=0,"",MAXIFS(Documents!$E$2:$E$619,Documents!$A$2:$A$619,$A17,Documents!$C$2:$C$619,"all_inclusive")),"")</f>
        <v/>
      </c>
      <c r="P17">
        <f>IFERROR(IF(MAXIFS(Documents!$E$2:$E$619,Documents!$A$2:$A$619,$A17,Documents!$C$2:$C$619,"sustainability")=0,"",MAXIFS(Documents!$E$2:$E$619,Documents!$A$2:$A$619,$A17,Documents!$C$2:$C$619,"sustainability")),"")</f>
        <v/>
      </c>
      <c r="Q17">
        <f>IFERROR(IF(MAXIFS(Documents!$E$2:$E$619,Documents!$A$2:$A$619,$A17,Documents!$C$2:$C$619,"calendar")=0,"",MAXIFS(Documents!$E$2:$E$619,Documents!$A$2:$A$619,$A17,Documents!$C$2:$C$619,"calendar")),"")</f>
        <v/>
      </c>
      <c r="R17">
        <f>IFERROR(IF(MAXIFS(Documents!$E$2:$E$619,Documents!$A$2:$A$619,$A17,Documents!$C$2:$C$619,"brochure")=0,"",MAXIFS(Documents!$E$2:$E$619,Documents!$A$2:$A$619,$A17,Documents!$C$2:$C$619,"brochure")),"")</f>
        <v/>
      </c>
      <c r="S17">
        <f>IFERROR(IF(MAXIFS(Documents!$E$2:$E$619,Documents!$A$2:$A$619,$A17,Documents!$C$2:$C$619,"press_kit")=0,"",MAXIFS(Documents!$E$2:$E$619,Documents!$A$2:$A$619,$A17,Documents!$C$2:$C$619,"press_kit")),"")</f>
        <v/>
      </c>
      <c r="T17">
        <f>IFERROR(IF(MAXIFS(Documents!$E$2:$E$619,Documents!$A$2:$A$619,$A17,Documents!$C$2:$C$619,"other")=0,"",MAXIFS(Documents!$E$2:$E$619,Documents!$A$2:$A$619,$A17,Documents!$C$2:$C$619,"other")),"")</f>
        <v/>
      </c>
      <c r="U17">
        <f>IFERROR(IF(MAXIFS(Documents!$E$2:$E$619,Documents!$A$2:$A$619,$A17,Documents!$C$2:$C$619,"obsolete")=0,"",MAXIFS(Documents!$E$2:$E$619,Documents!$A$2:$A$619,$A17,Documents!$C$2:$C$619,"obsolete")),"")</f>
        <v/>
      </c>
      <c r="V17">
        <f>COUNTIFS(Documents!$A$2:$A$619,$A17)</f>
        <v/>
      </c>
      <c r="W17">
        <f>COUNTIFS(Documents!$A$2:$A$619,$A17,Documents!$R$2:$R$619,"current")</f>
        <v/>
      </c>
      <c r="X17" t="inlineStr"/>
      <c r="Y17" t="inlineStr">
        <is>
          <t>factsheet, wedding, events</t>
        </is>
      </c>
      <c r="Z17" t="inlineStr"/>
    </row>
    <row r="18">
      <c r="A18" t="n">
        <v>17</v>
      </c>
      <c r="B18" t="inlineStr">
        <is>
          <t>Rihiveli Maldives Resort</t>
        </is>
      </c>
      <c r="C18" t="inlineStr">
        <is>
          <t>unverified</t>
        </is>
      </c>
      <c r="D18">
        <f>IFERROR(IF(MAXIFS(Documents!$E$2:$E$619,Documents!$A$2:$A$619,$A18,Documents!$C$2:$C$619,"factsheet")=0,"",MAXIFS(Documents!$E$2:$E$619,Documents!$A$2:$A$619,$A18,Documents!$C$2:$C$619,"factsheet")),"")</f>
        <v/>
      </c>
      <c r="E18">
        <f>IFERROR(IF(MAXIFS(Documents!$E$2:$E$619,Documents!$A$2:$A$619,$A18,Documents!$C$2:$C$619,"wedding")=0,"",MAXIFS(Documents!$E$2:$E$619,Documents!$A$2:$A$619,$A18,Documents!$C$2:$C$619,"wedding")),"")</f>
        <v/>
      </c>
      <c r="F18">
        <f>IFERROR(IF(MAXIFS(Documents!$E$2:$E$619,Documents!$A$2:$A$619,$A18,Documents!$C$2:$C$619,"events")=0,"",MAXIFS(Documents!$E$2:$E$619,Documents!$A$2:$A$619,$A18,Documents!$C$2:$C$619,"events")),"")</f>
        <v/>
      </c>
      <c r="G18">
        <f>IFERROR(IF(MAXIFS(Documents!$E$2:$E$619,Documents!$A$2:$A$619,$A18,Documents!$C$2:$C$619,"map")=0,"",MAXIFS(Documents!$E$2:$E$619,Documents!$A$2:$A$619,$A18,Documents!$C$2:$C$619,"map")),"")</f>
        <v/>
      </c>
      <c r="H18">
        <f>IFERROR(IF(MAXIFS(Documents!$E$2:$E$619,Documents!$A$2:$A$619,$A18,Documents!$C$2:$C$619,"dive_map")=0,"",MAXIFS(Documents!$E$2:$E$619,Documents!$A$2:$A$619,$A18,Documents!$C$2:$C$619,"dive_map")),"")</f>
        <v/>
      </c>
      <c r="I18">
        <f>IFERROR(IF(MAXIFS(Documents!$E$2:$E$619,Documents!$A$2:$A$619,$A18,Documents!$C$2:$C$619,"spa_menu")=0,"",MAXIFS(Documents!$E$2:$E$619,Documents!$A$2:$A$619,$A18,Documents!$C$2:$C$619,"spa_menu")),"")</f>
        <v/>
      </c>
      <c r="J18">
        <f>IFERROR(IF(MAXIFS(Documents!$E$2:$E$619,Documents!$A$2:$A$619,$A18,Documents!$C$2:$C$619,"dining_menu")=0,"",MAXIFS(Documents!$E$2:$E$619,Documents!$A$2:$A$619,$A18,Documents!$C$2:$C$619,"dining_menu")),"")</f>
        <v/>
      </c>
      <c r="K18">
        <f>IFERROR(IF(MAXIFS(Documents!$E$2:$E$619,Documents!$A$2:$A$619,$A18,Documents!$C$2:$C$619,"dive_prices")=0,"",MAXIFS(Documents!$E$2:$E$619,Documents!$A$2:$A$619,$A18,Documents!$C$2:$C$619,"dive_prices")),"")</f>
        <v/>
      </c>
      <c r="L18">
        <f>IFERROR(IF(MAXIFS(Documents!$E$2:$E$619,Documents!$A$2:$A$619,$A18,Documents!$C$2:$C$619,"excursions")=0,"",MAXIFS(Documents!$E$2:$E$619,Documents!$A$2:$A$619,$A18,Documents!$C$2:$C$619,"excursions")),"")</f>
        <v/>
      </c>
      <c r="M18">
        <f>IFERROR(IF(MAXIFS(Documents!$E$2:$E$619,Documents!$A$2:$A$619,$A18,Documents!$C$2:$C$619,"kids")=0,"",MAXIFS(Documents!$E$2:$E$619,Documents!$A$2:$A$619,$A18,Documents!$C$2:$C$619,"kids")),"")</f>
        <v/>
      </c>
      <c r="N18">
        <f>IFERROR(IF(MAXIFS(Documents!$E$2:$E$619,Documents!$A$2:$A$619,$A18,Documents!$C$2:$C$619,"villa_plans")=0,"",MAXIFS(Documents!$E$2:$E$619,Documents!$A$2:$A$619,$A18,Documents!$C$2:$C$619,"villa_plans")),"")</f>
        <v/>
      </c>
      <c r="O18">
        <f>IFERROR(IF(MAXIFS(Documents!$E$2:$E$619,Documents!$A$2:$A$619,$A18,Documents!$C$2:$C$619,"all_inclusive")=0,"",MAXIFS(Documents!$E$2:$E$619,Documents!$A$2:$A$619,$A18,Documents!$C$2:$C$619,"all_inclusive")),"")</f>
        <v/>
      </c>
      <c r="P18">
        <f>IFERROR(IF(MAXIFS(Documents!$E$2:$E$619,Documents!$A$2:$A$619,$A18,Documents!$C$2:$C$619,"sustainability")=0,"",MAXIFS(Documents!$E$2:$E$619,Documents!$A$2:$A$619,$A18,Documents!$C$2:$C$619,"sustainability")),"")</f>
        <v/>
      </c>
      <c r="Q18">
        <f>IFERROR(IF(MAXIFS(Documents!$E$2:$E$619,Documents!$A$2:$A$619,$A18,Documents!$C$2:$C$619,"calendar")=0,"",MAXIFS(Documents!$E$2:$E$619,Documents!$A$2:$A$619,$A18,Documents!$C$2:$C$619,"calendar")),"")</f>
        <v/>
      </c>
      <c r="R18">
        <f>IFERROR(IF(MAXIFS(Documents!$E$2:$E$619,Documents!$A$2:$A$619,$A18,Documents!$C$2:$C$619,"brochure")=0,"",MAXIFS(Documents!$E$2:$E$619,Documents!$A$2:$A$619,$A18,Documents!$C$2:$C$619,"brochure")),"")</f>
        <v/>
      </c>
      <c r="S18">
        <f>IFERROR(IF(MAXIFS(Documents!$E$2:$E$619,Documents!$A$2:$A$619,$A18,Documents!$C$2:$C$619,"press_kit")=0,"",MAXIFS(Documents!$E$2:$E$619,Documents!$A$2:$A$619,$A18,Documents!$C$2:$C$619,"press_kit")),"")</f>
        <v/>
      </c>
      <c r="T18">
        <f>IFERROR(IF(MAXIFS(Documents!$E$2:$E$619,Documents!$A$2:$A$619,$A18,Documents!$C$2:$C$619,"other")=0,"",MAXIFS(Documents!$E$2:$E$619,Documents!$A$2:$A$619,$A18,Documents!$C$2:$C$619,"other")),"")</f>
        <v/>
      </c>
      <c r="U18">
        <f>IFERROR(IF(MAXIFS(Documents!$E$2:$E$619,Documents!$A$2:$A$619,$A18,Documents!$C$2:$C$619,"obsolete")=0,"",MAXIFS(Documents!$E$2:$E$619,Documents!$A$2:$A$619,$A18,Documents!$C$2:$C$619,"obsolete")),"")</f>
        <v/>
      </c>
      <c r="V18">
        <f>COUNTIFS(Documents!$A$2:$A$619,$A18)</f>
        <v/>
      </c>
      <c r="W18">
        <f>COUNTIFS(Documents!$A$2:$A$619,$A18,Documents!$R$2:$R$619,"current")</f>
        <v/>
      </c>
      <c r="X18" t="inlineStr"/>
      <c r="Y18" t="inlineStr">
        <is>
          <t>factsheet, wedding, events</t>
        </is>
      </c>
      <c r="Z18" t="inlineStr">
        <is>
          <t>site redirects to expireddomains.com</t>
        </is>
      </c>
    </row>
    <row r="19">
      <c r="A19" t="n">
        <v>18</v>
      </c>
      <c r="B19" t="inlineStr">
        <is>
          <t>JW Marriott Maldives Resort &amp; Spa</t>
        </is>
      </c>
      <c r="C19" t="inlineStr">
        <is>
          <t>blocked</t>
        </is>
      </c>
      <c r="D19">
        <f>IFERROR(IF(MAXIFS(Documents!$E$2:$E$619,Documents!$A$2:$A$619,$A19,Documents!$C$2:$C$619,"factsheet")=0,"",MAXIFS(Documents!$E$2:$E$619,Documents!$A$2:$A$619,$A19,Documents!$C$2:$C$619,"factsheet")),"")</f>
        <v/>
      </c>
      <c r="E19">
        <f>IFERROR(IF(MAXIFS(Documents!$E$2:$E$619,Documents!$A$2:$A$619,$A19,Documents!$C$2:$C$619,"wedding")=0,"",MAXIFS(Documents!$E$2:$E$619,Documents!$A$2:$A$619,$A19,Documents!$C$2:$C$619,"wedding")),"")</f>
        <v/>
      </c>
      <c r="F19">
        <f>IFERROR(IF(MAXIFS(Documents!$E$2:$E$619,Documents!$A$2:$A$619,$A19,Documents!$C$2:$C$619,"events")=0,"",MAXIFS(Documents!$E$2:$E$619,Documents!$A$2:$A$619,$A19,Documents!$C$2:$C$619,"events")),"")</f>
        <v/>
      </c>
      <c r="G19">
        <f>IFERROR(IF(MAXIFS(Documents!$E$2:$E$619,Documents!$A$2:$A$619,$A19,Documents!$C$2:$C$619,"map")=0,"",MAXIFS(Documents!$E$2:$E$619,Documents!$A$2:$A$619,$A19,Documents!$C$2:$C$619,"map")),"")</f>
        <v/>
      </c>
      <c r="H19">
        <f>IFERROR(IF(MAXIFS(Documents!$E$2:$E$619,Documents!$A$2:$A$619,$A19,Documents!$C$2:$C$619,"dive_map")=0,"",MAXIFS(Documents!$E$2:$E$619,Documents!$A$2:$A$619,$A19,Documents!$C$2:$C$619,"dive_map")),"")</f>
        <v/>
      </c>
      <c r="I19">
        <f>IFERROR(IF(MAXIFS(Documents!$E$2:$E$619,Documents!$A$2:$A$619,$A19,Documents!$C$2:$C$619,"spa_menu")=0,"",MAXIFS(Documents!$E$2:$E$619,Documents!$A$2:$A$619,$A19,Documents!$C$2:$C$619,"spa_menu")),"")</f>
        <v/>
      </c>
      <c r="J19">
        <f>IFERROR(IF(MAXIFS(Documents!$E$2:$E$619,Documents!$A$2:$A$619,$A19,Documents!$C$2:$C$619,"dining_menu")=0,"",MAXIFS(Documents!$E$2:$E$619,Documents!$A$2:$A$619,$A19,Documents!$C$2:$C$619,"dining_menu")),"")</f>
        <v/>
      </c>
      <c r="K19">
        <f>IFERROR(IF(MAXIFS(Documents!$E$2:$E$619,Documents!$A$2:$A$619,$A19,Documents!$C$2:$C$619,"dive_prices")=0,"",MAXIFS(Documents!$E$2:$E$619,Documents!$A$2:$A$619,$A19,Documents!$C$2:$C$619,"dive_prices")),"")</f>
        <v/>
      </c>
      <c r="L19">
        <f>IFERROR(IF(MAXIFS(Documents!$E$2:$E$619,Documents!$A$2:$A$619,$A19,Documents!$C$2:$C$619,"excursions")=0,"",MAXIFS(Documents!$E$2:$E$619,Documents!$A$2:$A$619,$A19,Documents!$C$2:$C$619,"excursions")),"")</f>
        <v/>
      </c>
      <c r="M19">
        <f>IFERROR(IF(MAXIFS(Documents!$E$2:$E$619,Documents!$A$2:$A$619,$A19,Documents!$C$2:$C$619,"kids")=0,"",MAXIFS(Documents!$E$2:$E$619,Documents!$A$2:$A$619,$A19,Documents!$C$2:$C$619,"kids")),"")</f>
        <v/>
      </c>
      <c r="N19">
        <f>IFERROR(IF(MAXIFS(Documents!$E$2:$E$619,Documents!$A$2:$A$619,$A19,Documents!$C$2:$C$619,"villa_plans")=0,"",MAXIFS(Documents!$E$2:$E$619,Documents!$A$2:$A$619,$A19,Documents!$C$2:$C$619,"villa_plans")),"")</f>
        <v/>
      </c>
      <c r="O19">
        <f>IFERROR(IF(MAXIFS(Documents!$E$2:$E$619,Documents!$A$2:$A$619,$A19,Documents!$C$2:$C$619,"all_inclusive")=0,"",MAXIFS(Documents!$E$2:$E$619,Documents!$A$2:$A$619,$A19,Documents!$C$2:$C$619,"all_inclusive")),"")</f>
        <v/>
      </c>
      <c r="P19">
        <f>IFERROR(IF(MAXIFS(Documents!$E$2:$E$619,Documents!$A$2:$A$619,$A19,Documents!$C$2:$C$619,"sustainability")=0,"",MAXIFS(Documents!$E$2:$E$619,Documents!$A$2:$A$619,$A19,Documents!$C$2:$C$619,"sustainability")),"")</f>
        <v/>
      </c>
      <c r="Q19">
        <f>IFERROR(IF(MAXIFS(Documents!$E$2:$E$619,Documents!$A$2:$A$619,$A19,Documents!$C$2:$C$619,"calendar")=0,"",MAXIFS(Documents!$E$2:$E$619,Documents!$A$2:$A$619,$A19,Documents!$C$2:$C$619,"calendar")),"")</f>
        <v/>
      </c>
      <c r="R19">
        <f>IFERROR(IF(MAXIFS(Documents!$E$2:$E$619,Documents!$A$2:$A$619,$A19,Documents!$C$2:$C$619,"brochure")=0,"",MAXIFS(Documents!$E$2:$E$619,Documents!$A$2:$A$619,$A19,Documents!$C$2:$C$619,"brochure")),"")</f>
        <v/>
      </c>
      <c r="S19">
        <f>IFERROR(IF(MAXIFS(Documents!$E$2:$E$619,Documents!$A$2:$A$619,$A19,Documents!$C$2:$C$619,"press_kit")=0,"",MAXIFS(Documents!$E$2:$E$619,Documents!$A$2:$A$619,$A19,Documents!$C$2:$C$619,"press_kit")),"")</f>
        <v/>
      </c>
      <c r="T19">
        <f>IFERROR(IF(MAXIFS(Documents!$E$2:$E$619,Documents!$A$2:$A$619,$A19,Documents!$C$2:$C$619,"other")=0,"",MAXIFS(Documents!$E$2:$E$619,Documents!$A$2:$A$619,$A19,Documents!$C$2:$C$619,"other")),"")</f>
        <v/>
      </c>
      <c r="U19">
        <f>IFERROR(IF(MAXIFS(Documents!$E$2:$E$619,Documents!$A$2:$A$619,$A19,Documents!$C$2:$C$619,"obsolete")=0,"",MAXIFS(Documents!$E$2:$E$619,Documents!$A$2:$A$619,$A19,Documents!$C$2:$C$619,"obsolete")),"")</f>
        <v/>
      </c>
      <c r="V19">
        <f>COUNTIFS(Documents!$A$2:$A$619,$A19)</f>
        <v/>
      </c>
      <c r="W19">
        <f>COUNTIFS(Documents!$A$2:$A$619,$A19,Documents!$R$2:$R$619,"current")</f>
        <v/>
      </c>
      <c r="X19">
        <f>HYPERLINK("https://www.neoscapesmaldives.com/wp-content/uploads/JW-Marriott-Maldives-Resort-Spa-Factsheet-2023.pdf","2023_JW-Marriott-Maldives-Resort-Spa-Fac")</f>
        <v/>
      </c>
      <c r="Y19" t="inlineStr">
        <is>
          <t>wedding, events</t>
        </is>
      </c>
      <c r="Z19" t="inlineStr"/>
    </row>
    <row r="20">
      <c r="A20" t="n">
        <v>19</v>
      </c>
      <c r="B20" t="inlineStr">
        <is>
          <t>The Residence Maldives</t>
        </is>
      </c>
      <c r="C20" t="inlineStr">
        <is>
          <t>ok</t>
        </is>
      </c>
      <c r="D20">
        <f>IFERROR(IF(MAXIFS(Documents!$E$2:$E$619,Documents!$A$2:$A$619,$A20,Documents!$C$2:$C$619,"factsheet")=0,"",MAXIFS(Documents!$E$2:$E$619,Documents!$A$2:$A$619,$A20,Documents!$C$2:$C$619,"factsheet")),"")</f>
        <v/>
      </c>
      <c r="E20">
        <f>IFERROR(IF(MAXIFS(Documents!$E$2:$E$619,Documents!$A$2:$A$619,$A20,Documents!$C$2:$C$619,"wedding")=0,"",MAXIFS(Documents!$E$2:$E$619,Documents!$A$2:$A$619,$A20,Documents!$C$2:$C$619,"wedding")),"")</f>
        <v/>
      </c>
      <c r="F20">
        <f>IFERROR(IF(MAXIFS(Documents!$E$2:$E$619,Documents!$A$2:$A$619,$A20,Documents!$C$2:$C$619,"events")=0,"",MAXIFS(Documents!$E$2:$E$619,Documents!$A$2:$A$619,$A20,Documents!$C$2:$C$619,"events")),"")</f>
        <v/>
      </c>
      <c r="G20">
        <f>IFERROR(IF(MAXIFS(Documents!$E$2:$E$619,Documents!$A$2:$A$619,$A20,Documents!$C$2:$C$619,"map")=0,"",MAXIFS(Documents!$E$2:$E$619,Documents!$A$2:$A$619,$A20,Documents!$C$2:$C$619,"map")),"")</f>
        <v/>
      </c>
      <c r="H20">
        <f>IFERROR(IF(MAXIFS(Documents!$E$2:$E$619,Documents!$A$2:$A$619,$A20,Documents!$C$2:$C$619,"dive_map")=0,"",MAXIFS(Documents!$E$2:$E$619,Documents!$A$2:$A$619,$A20,Documents!$C$2:$C$619,"dive_map")),"")</f>
        <v/>
      </c>
      <c r="I20">
        <f>IFERROR(IF(MAXIFS(Documents!$E$2:$E$619,Documents!$A$2:$A$619,$A20,Documents!$C$2:$C$619,"spa_menu")=0,"",MAXIFS(Documents!$E$2:$E$619,Documents!$A$2:$A$619,$A20,Documents!$C$2:$C$619,"spa_menu")),"")</f>
        <v/>
      </c>
      <c r="J20">
        <f>IFERROR(IF(MAXIFS(Documents!$E$2:$E$619,Documents!$A$2:$A$619,$A20,Documents!$C$2:$C$619,"dining_menu")=0,"",MAXIFS(Documents!$E$2:$E$619,Documents!$A$2:$A$619,$A20,Documents!$C$2:$C$619,"dining_menu")),"")</f>
        <v/>
      </c>
      <c r="K20">
        <f>IFERROR(IF(MAXIFS(Documents!$E$2:$E$619,Documents!$A$2:$A$619,$A20,Documents!$C$2:$C$619,"dive_prices")=0,"",MAXIFS(Documents!$E$2:$E$619,Documents!$A$2:$A$619,$A20,Documents!$C$2:$C$619,"dive_prices")),"")</f>
        <v/>
      </c>
      <c r="L20">
        <f>IFERROR(IF(MAXIFS(Documents!$E$2:$E$619,Documents!$A$2:$A$619,$A20,Documents!$C$2:$C$619,"excursions")=0,"",MAXIFS(Documents!$E$2:$E$619,Documents!$A$2:$A$619,$A20,Documents!$C$2:$C$619,"excursions")),"")</f>
        <v/>
      </c>
      <c r="M20">
        <f>IFERROR(IF(MAXIFS(Documents!$E$2:$E$619,Documents!$A$2:$A$619,$A20,Documents!$C$2:$C$619,"kids")=0,"",MAXIFS(Documents!$E$2:$E$619,Documents!$A$2:$A$619,$A20,Documents!$C$2:$C$619,"kids")),"")</f>
        <v/>
      </c>
      <c r="N20">
        <f>IFERROR(IF(MAXIFS(Documents!$E$2:$E$619,Documents!$A$2:$A$619,$A20,Documents!$C$2:$C$619,"villa_plans")=0,"",MAXIFS(Documents!$E$2:$E$619,Documents!$A$2:$A$619,$A20,Documents!$C$2:$C$619,"villa_plans")),"")</f>
        <v/>
      </c>
      <c r="O20">
        <f>IFERROR(IF(MAXIFS(Documents!$E$2:$E$619,Documents!$A$2:$A$619,$A20,Documents!$C$2:$C$619,"all_inclusive")=0,"",MAXIFS(Documents!$E$2:$E$619,Documents!$A$2:$A$619,$A20,Documents!$C$2:$C$619,"all_inclusive")),"")</f>
        <v/>
      </c>
      <c r="P20">
        <f>IFERROR(IF(MAXIFS(Documents!$E$2:$E$619,Documents!$A$2:$A$619,$A20,Documents!$C$2:$C$619,"sustainability")=0,"",MAXIFS(Documents!$E$2:$E$619,Documents!$A$2:$A$619,$A20,Documents!$C$2:$C$619,"sustainability")),"")</f>
        <v/>
      </c>
      <c r="Q20">
        <f>IFERROR(IF(MAXIFS(Documents!$E$2:$E$619,Documents!$A$2:$A$619,$A20,Documents!$C$2:$C$619,"calendar")=0,"",MAXIFS(Documents!$E$2:$E$619,Documents!$A$2:$A$619,$A20,Documents!$C$2:$C$619,"calendar")),"")</f>
        <v/>
      </c>
      <c r="R20">
        <f>IFERROR(IF(MAXIFS(Documents!$E$2:$E$619,Documents!$A$2:$A$619,$A20,Documents!$C$2:$C$619,"brochure")=0,"",MAXIFS(Documents!$E$2:$E$619,Documents!$A$2:$A$619,$A20,Documents!$C$2:$C$619,"brochure")),"")</f>
        <v/>
      </c>
      <c r="S20">
        <f>IFERROR(IF(MAXIFS(Documents!$E$2:$E$619,Documents!$A$2:$A$619,$A20,Documents!$C$2:$C$619,"press_kit")=0,"",MAXIFS(Documents!$E$2:$E$619,Documents!$A$2:$A$619,$A20,Documents!$C$2:$C$619,"press_kit")),"")</f>
        <v/>
      </c>
      <c r="T20">
        <f>IFERROR(IF(MAXIFS(Documents!$E$2:$E$619,Documents!$A$2:$A$619,$A20,Documents!$C$2:$C$619,"other")=0,"",MAXIFS(Documents!$E$2:$E$619,Documents!$A$2:$A$619,$A20,Documents!$C$2:$C$619,"other")),"")</f>
        <v/>
      </c>
      <c r="U20">
        <f>IFERROR(IF(MAXIFS(Documents!$E$2:$E$619,Documents!$A$2:$A$619,$A20,Documents!$C$2:$C$619,"obsolete")=0,"",MAXIFS(Documents!$E$2:$E$619,Documents!$A$2:$A$619,$A20,Documents!$C$2:$C$619,"obsolete")),"")</f>
        <v/>
      </c>
      <c r="V20">
        <f>COUNTIFS(Documents!$A$2:$A$619,$A20)</f>
        <v/>
      </c>
      <c r="W20">
        <f>COUNTIFS(Documents!$A$2:$A$619,$A20,Documents!$R$2:$R$619,"current")</f>
        <v/>
      </c>
      <c r="X20" t="inlineStr"/>
      <c r="Y20" t="inlineStr">
        <is>
          <t>factsheet</t>
        </is>
      </c>
      <c r="Z20" t="inlineStr"/>
    </row>
    <row r="21">
      <c r="A21" t="n">
        <v>20</v>
      </c>
      <c r="B21" t="inlineStr">
        <is>
          <t>The Residence Maldives At Dhigurah</t>
        </is>
      </c>
      <c r="C21" t="inlineStr">
        <is>
          <t>ok</t>
        </is>
      </c>
      <c r="D21">
        <f>IFERROR(IF(MAXIFS(Documents!$E$2:$E$619,Documents!$A$2:$A$619,$A21,Documents!$C$2:$C$619,"factsheet")=0,"",MAXIFS(Documents!$E$2:$E$619,Documents!$A$2:$A$619,$A21,Documents!$C$2:$C$619,"factsheet")),"")</f>
        <v/>
      </c>
      <c r="E21">
        <f>IFERROR(IF(MAXIFS(Documents!$E$2:$E$619,Documents!$A$2:$A$619,$A21,Documents!$C$2:$C$619,"wedding")=0,"",MAXIFS(Documents!$E$2:$E$619,Documents!$A$2:$A$619,$A21,Documents!$C$2:$C$619,"wedding")),"")</f>
        <v/>
      </c>
      <c r="F21">
        <f>IFERROR(IF(MAXIFS(Documents!$E$2:$E$619,Documents!$A$2:$A$619,$A21,Documents!$C$2:$C$619,"events")=0,"",MAXIFS(Documents!$E$2:$E$619,Documents!$A$2:$A$619,$A21,Documents!$C$2:$C$619,"events")),"")</f>
        <v/>
      </c>
      <c r="G21">
        <f>IFERROR(IF(MAXIFS(Documents!$E$2:$E$619,Documents!$A$2:$A$619,$A21,Documents!$C$2:$C$619,"map")=0,"",MAXIFS(Documents!$E$2:$E$619,Documents!$A$2:$A$619,$A21,Documents!$C$2:$C$619,"map")),"")</f>
        <v/>
      </c>
      <c r="H21">
        <f>IFERROR(IF(MAXIFS(Documents!$E$2:$E$619,Documents!$A$2:$A$619,$A21,Documents!$C$2:$C$619,"dive_map")=0,"",MAXIFS(Documents!$E$2:$E$619,Documents!$A$2:$A$619,$A21,Documents!$C$2:$C$619,"dive_map")),"")</f>
        <v/>
      </c>
      <c r="I21">
        <f>IFERROR(IF(MAXIFS(Documents!$E$2:$E$619,Documents!$A$2:$A$619,$A21,Documents!$C$2:$C$619,"spa_menu")=0,"",MAXIFS(Documents!$E$2:$E$619,Documents!$A$2:$A$619,$A21,Documents!$C$2:$C$619,"spa_menu")),"")</f>
        <v/>
      </c>
      <c r="J21">
        <f>IFERROR(IF(MAXIFS(Documents!$E$2:$E$619,Documents!$A$2:$A$619,$A21,Documents!$C$2:$C$619,"dining_menu")=0,"",MAXIFS(Documents!$E$2:$E$619,Documents!$A$2:$A$619,$A21,Documents!$C$2:$C$619,"dining_menu")),"")</f>
        <v/>
      </c>
      <c r="K21">
        <f>IFERROR(IF(MAXIFS(Documents!$E$2:$E$619,Documents!$A$2:$A$619,$A21,Documents!$C$2:$C$619,"dive_prices")=0,"",MAXIFS(Documents!$E$2:$E$619,Documents!$A$2:$A$619,$A21,Documents!$C$2:$C$619,"dive_prices")),"")</f>
        <v/>
      </c>
      <c r="L21">
        <f>IFERROR(IF(MAXIFS(Documents!$E$2:$E$619,Documents!$A$2:$A$619,$A21,Documents!$C$2:$C$619,"excursions")=0,"",MAXIFS(Documents!$E$2:$E$619,Documents!$A$2:$A$619,$A21,Documents!$C$2:$C$619,"excursions")),"")</f>
        <v/>
      </c>
      <c r="M21">
        <f>IFERROR(IF(MAXIFS(Documents!$E$2:$E$619,Documents!$A$2:$A$619,$A21,Documents!$C$2:$C$619,"kids")=0,"",MAXIFS(Documents!$E$2:$E$619,Documents!$A$2:$A$619,$A21,Documents!$C$2:$C$619,"kids")),"")</f>
        <v/>
      </c>
      <c r="N21">
        <f>IFERROR(IF(MAXIFS(Documents!$E$2:$E$619,Documents!$A$2:$A$619,$A21,Documents!$C$2:$C$619,"villa_plans")=0,"",MAXIFS(Documents!$E$2:$E$619,Documents!$A$2:$A$619,$A21,Documents!$C$2:$C$619,"villa_plans")),"")</f>
        <v/>
      </c>
      <c r="O21">
        <f>IFERROR(IF(MAXIFS(Documents!$E$2:$E$619,Documents!$A$2:$A$619,$A21,Documents!$C$2:$C$619,"all_inclusive")=0,"",MAXIFS(Documents!$E$2:$E$619,Documents!$A$2:$A$619,$A21,Documents!$C$2:$C$619,"all_inclusive")),"")</f>
        <v/>
      </c>
      <c r="P21">
        <f>IFERROR(IF(MAXIFS(Documents!$E$2:$E$619,Documents!$A$2:$A$619,$A21,Documents!$C$2:$C$619,"sustainability")=0,"",MAXIFS(Documents!$E$2:$E$619,Documents!$A$2:$A$619,$A21,Documents!$C$2:$C$619,"sustainability")),"")</f>
        <v/>
      </c>
      <c r="Q21">
        <f>IFERROR(IF(MAXIFS(Documents!$E$2:$E$619,Documents!$A$2:$A$619,$A21,Documents!$C$2:$C$619,"calendar")=0,"",MAXIFS(Documents!$E$2:$E$619,Documents!$A$2:$A$619,$A21,Documents!$C$2:$C$619,"calendar")),"")</f>
        <v/>
      </c>
      <c r="R21">
        <f>IFERROR(IF(MAXIFS(Documents!$E$2:$E$619,Documents!$A$2:$A$619,$A21,Documents!$C$2:$C$619,"brochure")=0,"",MAXIFS(Documents!$E$2:$E$619,Documents!$A$2:$A$619,$A21,Documents!$C$2:$C$619,"brochure")),"")</f>
        <v/>
      </c>
      <c r="S21">
        <f>IFERROR(IF(MAXIFS(Documents!$E$2:$E$619,Documents!$A$2:$A$619,$A21,Documents!$C$2:$C$619,"press_kit")=0,"",MAXIFS(Documents!$E$2:$E$619,Documents!$A$2:$A$619,$A21,Documents!$C$2:$C$619,"press_kit")),"")</f>
        <v/>
      </c>
      <c r="T21">
        <f>IFERROR(IF(MAXIFS(Documents!$E$2:$E$619,Documents!$A$2:$A$619,$A21,Documents!$C$2:$C$619,"other")=0,"",MAXIFS(Documents!$E$2:$E$619,Documents!$A$2:$A$619,$A21,Documents!$C$2:$C$619,"other")),"")</f>
        <v/>
      </c>
      <c r="U21">
        <f>IFERROR(IF(MAXIFS(Documents!$E$2:$E$619,Documents!$A$2:$A$619,$A21,Documents!$C$2:$C$619,"obsolete")=0,"",MAXIFS(Documents!$E$2:$E$619,Documents!$A$2:$A$619,$A21,Documents!$C$2:$C$619,"obsolete")),"")</f>
        <v/>
      </c>
      <c r="V21">
        <f>COUNTIFS(Documents!$A$2:$A$619,$A21)</f>
        <v/>
      </c>
      <c r="W21">
        <f>COUNTIFS(Documents!$A$2:$A$619,$A21,Documents!$R$2:$R$619,"current")</f>
        <v/>
      </c>
      <c r="X21" t="inlineStr"/>
      <c r="Y21" t="inlineStr">
        <is>
          <t>factsheet, events</t>
        </is>
      </c>
      <c r="Z21" t="inlineStr"/>
    </row>
    <row r="22">
      <c r="A22" t="n">
        <v>21</v>
      </c>
      <c r="B22" t="inlineStr">
        <is>
          <t>Brennia Kottefaru</t>
        </is>
      </c>
      <c r="C22" t="inlineStr">
        <is>
          <t>not crawled</t>
        </is>
      </c>
      <c r="D22">
        <f>IFERROR(IF(MAXIFS(Documents!$E$2:$E$619,Documents!$A$2:$A$619,$A22,Documents!$C$2:$C$619,"factsheet")=0,"",MAXIFS(Documents!$E$2:$E$619,Documents!$A$2:$A$619,$A22,Documents!$C$2:$C$619,"factsheet")),"")</f>
        <v/>
      </c>
      <c r="E22">
        <f>IFERROR(IF(MAXIFS(Documents!$E$2:$E$619,Documents!$A$2:$A$619,$A22,Documents!$C$2:$C$619,"wedding")=0,"",MAXIFS(Documents!$E$2:$E$619,Documents!$A$2:$A$619,$A22,Documents!$C$2:$C$619,"wedding")),"")</f>
        <v/>
      </c>
      <c r="F22">
        <f>IFERROR(IF(MAXIFS(Documents!$E$2:$E$619,Documents!$A$2:$A$619,$A22,Documents!$C$2:$C$619,"events")=0,"",MAXIFS(Documents!$E$2:$E$619,Documents!$A$2:$A$619,$A22,Documents!$C$2:$C$619,"events")),"")</f>
        <v/>
      </c>
      <c r="G22">
        <f>IFERROR(IF(MAXIFS(Documents!$E$2:$E$619,Documents!$A$2:$A$619,$A22,Documents!$C$2:$C$619,"map")=0,"",MAXIFS(Documents!$E$2:$E$619,Documents!$A$2:$A$619,$A22,Documents!$C$2:$C$619,"map")),"")</f>
        <v/>
      </c>
      <c r="H22">
        <f>IFERROR(IF(MAXIFS(Documents!$E$2:$E$619,Documents!$A$2:$A$619,$A22,Documents!$C$2:$C$619,"dive_map")=0,"",MAXIFS(Documents!$E$2:$E$619,Documents!$A$2:$A$619,$A22,Documents!$C$2:$C$619,"dive_map")),"")</f>
        <v/>
      </c>
      <c r="I22">
        <f>IFERROR(IF(MAXIFS(Documents!$E$2:$E$619,Documents!$A$2:$A$619,$A22,Documents!$C$2:$C$619,"spa_menu")=0,"",MAXIFS(Documents!$E$2:$E$619,Documents!$A$2:$A$619,$A22,Documents!$C$2:$C$619,"spa_menu")),"")</f>
        <v/>
      </c>
      <c r="J22">
        <f>IFERROR(IF(MAXIFS(Documents!$E$2:$E$619,Documents!$A$2:$A$619,$A22,Documents!$C$2:$C$619,"dining_menu")=0,"",MAXIFS(Documents!$E$2:$E$619,Documents!$A$2:$A$619,$A22,Documents!$C$2:$C$619,"dining_menu")),"")</f>
        <v/>
      </c>
      <c r="K22">
        <f>IFERROR(IF(MAXIFS(Documents!$E$2:$E$619,Documents!$A$2:$A$619,$A22,Documents!$C$2:$C$619,"dive_prices")=0,"",MAXIFS(Documents!$E$2:$E$619,Documents!$A$2:$A$619,$A22,Documents!$C$2:$C$619,"dive_prices")),"")</f>
        <v/>
      </c>
      <c r="L22">
        <f>IFERROR(IF(MAXIFS(Documents!$E$2:$E$619,Documents!$A$2:$A$619,$A22,Documents!$C$2:$C$619,"excursions")=0,"",MAXIFS(Documents!$E$2:$E$619,Documents!$A$2:$A$619,$A22,Documents!$C$2:$C$619,"excursions")),"")</f>
        <v/>
      </c>
      <c r="M22">
        <f>IFERROR(IF(MAXIFS(Documents!$E$2:$E$619,Documents!$A$2:$A$619,$A22,Documents!$C$2:$C$619,"kids")=0,"",MAXIFS(Documents!$E$2:$E$619,Documents!$A$2:$A$619,$A22,Documents!$C$2:$C$619,"kids")),"")</f>
        <v/>
      </c>
      <c r="N22">
        <f>IFERROR(IF(MAXIFS(Documents!$E$2:$E$619,Documents!$A$2:$A$619,$A22,Documents!$C$2:$C$619,"villa_plans")=0,"",MAXIFS(Documents!$E$2:$E$619,Documents!$A$2:$A$619,$A22,Documents!$C$2:$C$619,"villa_plans")),"")</f>
        <v/>
      </c>
      <c r="O22">
        <f>IFERROR(IF(MAXIFS(Documents!$E$2:$E$619,Documents!$A$2:$A$619,$A22,Documents!$C$2:$C$619,"all_inclusive")=0,"",MAXIFS(Documents!$E$2:$E$619,Documents!$A$2:$A$619,$A22,Documents!$C$2:$C$619,"all_inclusive")),"")</f>
        <v/>
      </c>
      <c r="P22">
        <f>IFERROR(IF(MAXIFS(Documents!$E$2:$E$619,Documents!$A$2:$A$619,$A22,Documents!$C$2:$C$619,"sustainability")=0,"",MAXIFS(Documents!$E$2:$E$619,Documents!$A$2:$A$619,$A22,Documents!$C$2:$C$619,"sustainability")),"")</f>
        <v/>
      </c>
      <c r="Q22">
        <f>IFERROR(IF(MAXIFS(Documents!$E$2:$E$619,Documents!$A$2:$A$619,$A22,Documents!$C$2:$C$619,"calendar")=0,"",MAXIFS(Documents!$E$2:$E$619,Documents!$A$2:$A$619,$A22,Documents!$C$2:$C$619,"calendar")),"")</f>
        <v/>
      </c>
      <c r="R22">
        <f>IFERROR(IF(MAXIFS(Documents!$E$2:$E$619,Documents!$A$2:$A$619,$A22,Documents!$C$2:$C$619,"brochure")=0,"",MAXIFS(Documents!$E$2:$E$619,Documents!$A$2:$A$619,$A22,Documents!$C$2:$C$619,"brochure")),"")</f>
        <v/>
      </c>
      <c r="S22">
        <f>IFERROR(IF(MAXIFS(Documents!$E$2:$E$619,Documents!$A$2:$A$619,$A22,Documents!$C$2:$C$619,"press_kit")=0,"",MAXIFS(Documents!$E$2:$E$619,Documents!$A$2:$A$619,$A22,Documents!$C$2:$C$619,"press_kit")),"")</f>
        <v/>
      </c>
      <c r="T22">
        <f>IFERROR(IF(MAXIFS(Documents!$E$2:$E$619,Documents!$A$2:$A$619,$A22,Documents!$C$2:$C$619,"other")=0,"",MAXIFS(Documents!$E$2:$E$619,Documents!$A$2:$A$619,$A22,Documents!$C$2:$C$619,"other")),"")</f>
        <v/>
      </c>
      <c r="U22">
        <f>IFERROR(IF(MAXIFS(Documents!$E$2:$E$619,Documents!$A$2:$A$619,$A22,Documents!$C$2:$C$619,"obsolete")=0,"",MAXIFS(Documents!$E$2:$E$619,Documents!$A$2:$A$619,$A22,Documents!$C$2:$C$619,"obsolete")),"")</f>
        <v/>
      </c>
      <c r="V22">
        <f>COUNTIFS(Documents!$A$2:$A$619,$A22)</f>
        <v/>
      </c>
      <c r="W22">
        <f>COUNTIFS(Documents!$A$2:$A$619,$A22,Documents!$R$2:$R$619,"current")</f>
        <v/>
      </c>
      <c r="X22">
        <f>HYPERLINK("https://www.neoscapesmaldives.com/wp-content/uploads/English-Fact-Sheet-Resort-Map.pdf","2025_English-Fact-Sheet-Resort-Map.pdf")</f>
        <v/>
      </c>
      <c r="Y22" t="inlineStr">
        <is>
          <t>wedding, events</t>
        </is>
      </c>
      <c r="Z22" t="inlineStr"/>
    </row>
    <row r="23">
      <c r="A23" t="n">
        <v>22</v>
      </c>
      <c r="B23" t="inlineStr">
        <is>
          <t>Barceló Whale Lagoon Maldives</t>
        </is>
      </c>
      <c r="C23" t="inlineStr">
        <is>
          <t>unverified</t>
        </is>
      </c>
      <c r="D23">
        <f>IFERROR(IF(MAXIFS(Documents!$E$2:$E$619,Documents!$A$2:$A$619,$A23,Documents!$C$2:$C$619,"factsheet")=0,"",MAXIFS(Documents!$E$2:$E$619,Documents!$A$2:$A$619,$A23,Documents!$C$2:$C$619,"factsheet")),"")</f>
        <v/>
      </c>
      <c r="E23">
        <f>IFERROR(IF(MAXIFS(Documents!$E$2:$E$619,Documents!$A$2:$A$619,$A23,Documents!$C$2:$C$619,"wedding")=0,"",MAXIFS(Documents!$E$2:$E$619,Documents!$A$2:$A$619,$A23,Documents!$C$2:$C$619,"wedding")),"")</f>
        <v/>
      </c>
      <c r="F23">
        <f>IFERROR(IF(MAXIFS(Documents!$E$2:$E$619,Documents!$A$2:$A$619,$A23,Documents!$C$2:$C$619,"events")=0,"",MAXIFS(Documents!$E$2:$E$619,Documents!$A$2:$A$619,$A23,Documents!$C$2:$C$619,"events")),"")</f>
        <v/>
      </c>
      <c r="G23">
        <f>IFERROR(IF(MAXIFS(Documents!$E$2:$E$619,Documents!$A$2:$A$619,$A23,Documents!$C$2:$C$619,"map")=0,"",MAXIFS(Documents!$E$2:$E$619,Documents!$A$2:$A$619,$A23,Documents!$C$2:$C$619,"map")),"")</f>
        <v/>
      </c>
      <c r="H23">
        <f>IFERROR(IF(MAXIFS(Documents!$E$2:$E$619,Documents!$A$2:$A$619,$A23,Documents!$C$2:$C$619,"dive_map")=0,"",MAXIFS(Documents!$E$2:$E$619,Documents!$A$2:$A$619,$A23,Documents!$C$2:$C$619,"dive_map")),"")</f>
        <v/>
      </c>
      <c r="I23">
        <f>IFERROR(IF(MAXIFS(Documents!$E$2:$E$619,Documents!$A$2:$A$619,$A23,Documents!$C$2:$C$619,"spa_menu")=0,"",MAXIFS(Documents!$E$2:$E$619,Documents!$A$2:$A$619,$A23,Documents!$C$2:$C$619,"spa_menu")),"")</f>
        <v/>
      </c>
      <c r="J23">
        <f>IFERROR(IF(MAXIFS(Documents!$E$2:$E$619,Documents!$A$2:$A$619,$A23,Documents!$C$2:$C$619,"dining_menu")=0,"",MAXIFS(Documents!$E$2:$E$619,Documents!$A$2:$A$619,$A23,Documents!$C$2:$C$619,"dining_menu")),"")</f>
        <v/>
      </c>
      <c r="K23">
        <f>IFERROR(IF(MAXIFS(Documents!$E$2:$E$619,Documents!$A$2:$A$619,$A23,Documents!$C$2:$C$619,"dive_prices")=0,"",MAXIFS(Documents!$E$2:$E$619,Documents!$A$2:$A$619,$A23,Documents!$C$2:$C$619,"dive_prices")),"")</f>
        <v/>
      </c>
      <c r="L23">
        <f>IFERROR(IF(MAXIFS(Documents!$E$2:$E$619,Documents!$A$2:$A$619,$A23,Documents!$C$2:$C$619,"excursions")=0,"",MAXIFS(Documents!$E$2:$E$619,Documents!$A$2:$A$619,$A23,Documents!$C$2:$C$619,"excursions")),"")</f>
        <v/>
      </c>
      <c r="M23">
        <f>IFERROR(IF(MAXIFS(Documents!$E$2:$E$619,Documents!$A$2:$A$619,$A23,Documents!$C$2:$C$619,"kids")=0,"",MAXIFS(Documents!$E$2:$E$619,Documents!$A$2:$A$619,$A23,Documents!$C$2:$C$619,"kids")),"")</f>
        <v/>
      </c>
      <c r="N23">
        <f>IFERROR(IF(MAXIFS(Documents!$E$2:$E$619,Documents!$A$2:$A$619,$A23,Documents!$C$2:$C$619,"villa_plans")=0,"",MAXIFS(Documents!$E$2:$E$619,Documents!$A$2:$A$619,$A23,Documents!$C$2:$C$619,"villa_plans")),"")</f>
        <v/>
      </c>
      <c r="O23">
        <f>IFERROR(IF(MAXIFS(Documents!$E$2:$E$619,Documents!$A$2:$A$619,$A23,Documents!$C$2:$C$619,"all_inclusive")=0,"",MAXIFS(Documents!$E$2:$E$619,Documents!$A$2:$A$619,$A23,Documents!$C$2:$C$619,"all_inclusive")),"")</f>
        <v/>
      </c>
      <c r="P23">
        <f>IFERROR(IF(MAXIFS(Documents!$E$2:$E$619,Documents!$A$2:$A$619,$A23,Documents!$C$2:$C$619,"sustainability")=0,"",MAXIFS(Documents!$E$2:$E$619,Documents!$A$2:$A$619,$A23,Documents!$C$2:$C$619,"sustainability")),"")</f>
        <v/>
      </c>
      <c r="Q23">
        <f>IFERROR(IF(MAXIFS(Documents!$E$2:$E$619,Documents!$A$2:$A$619,$A23,Documents!$C$2:$C$619,"calendar")=0,"",MAXIFS(Documents!$E$2:$E$619,Documents!$A$2:$A$619,$A23,Documents!$C$2:$C$619,"calendar")),"")</f>
        <v/>
      </c>
      <c r="R23">
        <f>IFERROR(IF(MAXIFS(Documents!$E$2:$E$619,Documents!$A$2:$A$619,$A23,Documents!$C$2:$C$619,"brochure")=0,"",MAXIFS(Documents!$E$2:$E$619,Documents!$A$2:$A$619,$A23,Documents!$C$2:$C$619,"brochure")),"")</f>
        <v/>
      </c>
      <c r="S23">
        <f>IFERROR(IF(MAXIFS(Documents!$E$2:$E$619,Documents!$A$2:$A$619,$A23,Documents!$C$2:$C$619,"press_kit")=0,"",MAXIFS(Documents!$E$2:$E$619,Documents!$A$2:$A$619,$A23,Documents!$C$2:$C$619,"press_kit")),"")</f>
        <v/>
      </c>
      <c r="T23">
        <f>IFERROR(IF(MAXIFS(Documents!$E$2:$E$619,Documents!$A$2:$A$619,$A23,Documents!$C$2:$C$619,"other")=0,"",MAXIFS(Documents!$E$2:$E$619,Documents!$A$2:$A$619,$A23,Documents!$C$2:$C$619,"other")),"")</f>
        <v/>
      </c>
      <c r="U23">
        <f>IFERROR(IF(MAXIFS(Documents!$E$2:$E$619,Documents!$A$2:$A$619,$A23,Documents!$C$2:$C$619,"obsolete")=0,"",MAXIFS(Documents!$E$2:$E$619,Documents!$A$2:$A$619,$A23,Documents!$C$2:$C$619,"obsolete")),"")</f>
        <v/>
      </c>
      <c r="V23">
        <f>COUNTIFS(Documents!$A$2:$A$619,$A23)</f>
        <v/>
      </c>
      <c r="W23">
        <f>COUNTIFS(Documents!$A$2:$A$619,$A23,Documents!$R$2:$R$619,"current")</f>
        <v/>
      </c>
      <c r="X23">
        <f>HYPERLINK("https://www.neoscapesmaldives.com/wp-content/uploads/Factsheet_MWLM_March2026_Digital-updated.pdf","2026_Factsheet_MWLM_March2026_Digital-up")</f>
        <v/>
      </c>
      <c r="Y23" t="inlineStr">
        <is>
          <t>wedding, events</t>
        </is>
      </c>
      <c r="Z23" t="inlineStr">
        <is>
          <t>Meliá Whale Lagoon Maldives</t>
        </is>
      </c>
    </row>
    <row r="24">
      <c r="A24" t="n">
        <v>23</v>
      </c>
      <c r="B24" t="inlineStr">
        <is>
          <t>Nooe Maldives Kunavashi</t>
        </is>
      </c>
      <c r="C24" t="inlineStr">
        <is>
          <t>unreachable</t>
        </is>
      </c>
      <c r="D24">
        <f>IFERROR(IF(MAXIFS(Documents!$E$2:$E$619,Documents!$A$2:$A$619,$A24,Documents!$C$2:$C$619,"factsheet")=0,"",MAXIFS(Documents!$E$2:$E$619,Documents!$A$2:$A$619,$A24,Documents!$C$2:$C$619,"factsheet")),"")</f>
        <v/>
      </c>
      <c r="E24">
        <f>IFERROR(IF(MAXIFS(Documents!$E$2:$E$619,Documents!$A$2:$A$619,$A24,Documents!$C$2:$C$619,"wedding")=0,"",MAXIFS(Documents!$E$2:$E$619,Documents!$A$2:$A$619,$A24,Documents!$C$2:$C$619,"wedding")),"")</f>
        <v/>
      </c>
      <c r="F24">
        <f>IFERROR(IF(MAXIFS(Documents!$E$2:$E$619,Documents!$A$2:$A$619,$A24,Documents!$C$2:$C$619,"events")=0,"",MAXIFS(Documents!$E$2:$E$619,Documents!$A$2:$A$619,$A24,Documents!$C$2:$C$619,"events")),"")</f>
        <v/>
      </c>
      <c r="G24">
        <f>IFERROR(IF(MAXIFS(Documents!$E$2:$E$619,Documents!$A$2:$A$619,$A24,Documents!$C$2:$C$619,"map")=0,"",MAXIFS(Documents!$E$2:$E$619,Documents!$A$2:$A$619,$A24,Documents!$C$2:$C$619,"map")),"")</f>
        <v/>
      </c>
      <c r="H24">
        <f>IFERROR(IF(MAXIFS(Documents!$E$2:$E$619,Documents!$A$2:$A$619,$A24,Documents!$C$2:$C$619,"dive_map")=0,"",MAXIFS(Documents!$E$2:$E$619,Documents!$A$2:$A$619,$A24,Documents!$C$2:$C$619,"dive_map")),"")</f>
        <v/>
      </c>
      <c r="I24">
        <f>IFERROR(IF(MAXIFS(Documents!$E$2:$E$619,Documents!$A$2:$A$619,$A24,Documents!$C$2:$C$619,"spa_menu")=0,"",MAXIFS(Documents!$E$2:$E$619,Documents!$A$2:$A$619,$A24,Documents!$C$2:$C$619,"spa_menu")),"")</f>
        <v/>
      </c>
      <c r="J24">
        <f>IFERROR(IF(MAXIFS(Documents!$E$2:$E$619,Documents!$A$2:$A$619,$A24,Documents!$C$2:$C$619,"dining_menu")=0,"",MAXIFS(Documents!$E$2:$E$619,Documents!$A$2:$A$619,$A24,Documents!$C$2:$C$619,"dining_menu")),"")</f>
        <v/>
      </c>
      <c r="K24">
        <f>IFERROR(IF(MAXIFS(Documents!$E$2:$E$619,Documents!$A$2:$A$619,$A24,Documents!$C$2:$C$619,"dive_prices")=0,"",MAXIFS(Documents!$E$2:$E$619,Documents!$A$2:$A$619,$A24,Documents!$C$2:$C$619,"dive_prices")),"")</f>
        <v/>
      </c>
      <c r="L24">
        <f>IFERROR(IF(MAXIFS(Documents!$E$2:$E$619,Documents!$A$2:$A$619,$A24,Documents!$C$2:$C$619,"excursions")=0,"",MAXIFS(Documents!$E$2:$E$619,Documents!$A$2:$A$619,$A24,Documents!$C$2:$C$619,"excursions")),"")</f>
        <v/>
      </c>
      <c r="M24">
        <f>IFERROR(IF(MAXIFS(Documents!$E$2:$E$619,Documents!$A$2:$A$619,$A24,Documents!$C$2:$C$619,"kids")=0,"",MAXIFS(Documents!$E$2:$E$619,Documents!$A$2:$A$619,$A24,Documents!$C$2:$C$619,"kids")),"")</f>
        <v/>
      </c>
      <c r="N24">
        <f>IFERROR(IF(MAXIFS(Documents!$E$2:$E$619,Documents!$A$2:$A$619,$A24,Documents!$C$2:$C$619,"villa_plans")=0,"",MAXIFS(Documents!$E$2:$E$619,Documents!$A$2:$A$619,$A24,Documents!$C$2:$C$619,"villa_plans")),"")</f>
        <v/>
      </c>
      <c r="O24">
        <f>IFERROR(IF(MAXIFS(Documents!$E$2:$E$619,Documents!$A$2:$A$619,$A24,Documents!$C$2:$C$619,"all_inclusive")=0,"",MAXIFS(Documents!$E$2:$E$619,Documents!$A$2:$A$619,$A24,Documents!$C$2:$C$619,"all_inclusive")),"")</f>
        <v/>
      </c>
      <c r="P24">
        <f>IFERROR(IF(MAXIFS(Documents!$E$2:$E$619,Documents!$A$2:$A$619,$A24,Documents!$C$2:$C$619,"sustainability")=0,"",MAXIFS(Documents!$E$2:$E$619,Documents!$A$2:$A$619,$A24,Documents!$C$2:$C$619,"sustainability")),"")</f>
        <v/>
      </c>
      <c r="Q24">
        <f>IFERROR(IF(MAXIFS(Documents!$E$2:$E$619,Documents!$A$2:$A$619,$A24,Documents!$C$2:$C$619,"calendar")=0,"",MAXIFS(Documents!$E$2:$E$619,Documents!$A$2:$A$619,$A24,Documents!$C$2:$C$619,"calendar")),"")</f>
        <v/>
      </c>
      <c r="R24">
        <f>IFERROR(IF(MAXIFS(Documents!$E$2:$E$619,Documents!$A$2:$A$619,$A24,Documents!$C$2:$C$619,"brochure")=0,"",MAXIFS(Documents!$E$2:$E$619,Documents!$A$2:$A$619,$A24,Documents!$C$2:$C$619,"brochure")),"")</f>
        <v/>
      </c>
      <c r="S24">
        <f>IFERROR(IF(MAXIFS(Documents!$E$2:$E$619,Documents!$A$2:$A$619,$A24,Documents!$C$2:$C$619,"press_kit")=0,"",MAXIFS(Documents!$E$2:$E$619,Documents!$A$2:$A$619,$A24,Documents!$C$2:$C$619,"press_kit")),"")</f>
        <v/>
      </c>
      <c r="T24">
        <f>IFERROR(IF(MAXIFS(Documents!$E$2:$E$619,Documents!$A$2:$A$619,$A24,Documents!$C$2:$C$619,"other")=0,"",MAXIFS(Documents!$E$2:$E$619,Documents!$A$2:$A$619,$A24,Documents!$C$2:$C$619,"other")),"")</f>
        <v/>
      </c>
      <c r="U24">
        <f>IFERROR(IF(MAXIFS(Documents!$E$2:$E$619,Documents!$A$2:$A$619,$A24,Documents!$C$2:$C$619,"obsolete")=0,"",MAXIFS(Documents!$E$2:$E$619,Documents!$A$2:$A$619,$A24,Documents!$C$2:$C$619,"obsolete")),"")</f>
        <v/>
      </c>
      <c r="V24">
        <f>COUNTIFS(Documents!$A$2:$A$619,$A24)</f>
        <v/>
      </c>
      <c r="W24">
        <f>COUNTIFS(Documents!$A$2:$A$619,$A24,Documents!$R$2:$R$619,"current")</f>
        <v/>
      </c>
      <c r="X24">
        <f>HYPERLINK("https://www.neoscapesmaldives.com/wp-content/uploads/NOOE-Maldives-Kunaavashi_Fact-Sheet-2024.pdf","2024_NOOE-Maldives-Kunaavashi_Fact-Sheet")</f>
        <v/>
      </c>
      <c r="Y24" t="inlineStr">
        <is>
          <t>wedding, events</t>
        </is>
      </c>
      <c r="Z24" t="inlineStr"/>
    </row>
    <row r="25">
      <c r="A25" t="n">
        <v>24</v>
      </c>
      <c r="B25" t="inlineStr">
        <is>
          <t>Canareef Resort Maldives</t>
        </is>
      </c>
      <c r="C25" t="inlineStr">
        <is>
          <t>ok</t>
        </is>
      </c>
      <c r="D25">
        <f>IFERROR(IF(MAXIFS(Documents!$E$2:$E$619,Documents!$A$2:$A$619,$A25,Documents!$C$2:$C$619,"factsheet")=0,"",MAXIFS(Documents!$E$2:$E$619,Documents!$A$2:$A$619,$A25,Documents!$C$2:$C$619,"factsheet")),"")</f>
        <v/>
      </c>
      <c r="E25">
        <f>IFERROR(IF(MAXIFS(Documents!$E$2:$E$619,Documents!$A$2:$A$619,$A25,Documents!$C$2:$C$619,"wedding")=0,"",MAXIFS(Documents!$E$2:$E$619,Documents!$A$2:$A$619,$A25,Documents!$C$2:$C$619,"wedding")),"")</f>
        <v/>
      </c>
      <c r="F25">
        <f>IFERROR(IF(MAXIFS(Documents!$E$2:$E$619,Documents!$A$2:$A$619,$A25,Documents!$C$2:$C$619,"events")=0,"",MAXIFS(Documents!$E$2:$E$619,Documents!$A$2:$A$619,$A25,Documents!$C$2:$C$619,"events")),"")</f>
        <v/>
      </c>
      <c r="G25">
        <f>IFERROR(IF(MAXIFS(Documents!$E$2:$E$619,Documents!$A$2:$A$619,$A25,Documents!$C$2:$C$619,"map")=0,"",MAXIFS(Documents!$E$2:$E$619,Documents!$A$2:$A$619,$A25,Documents!$C$2:$C$619,"map")),"")</f>
        <v/>
      </c>
      <c r="H25">
        <f>IFERROR(IF(MAXIFS(Documents!$E$2:$E$619,Documents!$A$2:$A$619,$A25,Documents!$C$2:$C$619,"dive_map")=0,"",MAXIFS(Documents!$E$2:$E$619,Documents!$A$2:$A$619,$A25,Documents!$C$2:$C$619,"dive_map")),"")</f>
        <v/>
      </c>
      <c r="I25">
        <f>IFERROR(IF(MAXIFS(Documents!$E$2:$E$619,Documents!$A$2:$A$619,$A25,Documents!$C$2:$C$619,"spa_menu")=0,"",MAXIFS(Documents!$E$2:$E$619,Documents!$A$2:$A$619,$A25,Documents!$C$2:$C$619,"spa_menu")),"")</f>
        <v/>
      </c>
      <c r="J25">
        <f>IFERROR(IF(MAXIFS(Documents!$E$2:$E$619,Documents!$A$2:$A$619,$A25,Documents!$C$2:$C$619,"dining_menu")=0,"",MAXIFS(Documents!$E$2:$E$619,Documents!$A$2:$A$619,$A25,Documents!$C$2:$C$619,"dining_menu")),"")</f>
        <v/>
      </c>
      <c r="K25">
        <f>IFERROR(IF(MAXIFS(Documents!$E$2:$E$619,Documents!$A$2:$A$619,$A25,Documents!$C$2:$C$619,"dive_prices")=0,"",MAXIFS(Documents!$E$2:$E$619,Documents!$A$2:$A$619,$A25,Documents!$C$2:$C$619,"dive_prices")),"")</f>
        <v/>
      </c>
      <c r="L25">
        <f>IFERROR(IF(MAXIFS(Documents!$E$2:$E$619,Documents!$A$2:$A$619,$A25,Documents!$C$2:$C$619,"excursions")=0,"",MAXIFS(Documents!$E$2:$E$619,Documents!$A$2:$A$619,$A25,Documents!$C$2:$C$619,"excursions")),"")</f>
        <v/>
      </c>
      <c r="M25">
        <f>IFERROR(IF(MAXIFS(Documents!$E$2:$E$619,Documents!$A$2:$A$619,$A25,Documents!$C$2:$C$619,"kids")=0,"",MAXIFS(Documents!$E$2:$E$619,Documents!$A$2:$A$619,$A25,Documents!$C$2:$C$619,"kids")),"")</f>
        <v/>
      </c>
      <c r="N25">
        <f>IFERROR(IF(MAXIFS(Documents!$E$2:$E$619,Documents!$A$2:$A$619,$A25,Documents!$C$2:$C$619,"villa_plans")=0,"",MAXIFS(Documents!$E$2:$E$619,Documents!$A$2:$A$619,$A25,Documents!$C$2:$C$619,"villa_plans")),"")</f>
        <v/>
      </c>
      <c r="O25">
        <f>IFERROR(IF(MAXIFS(Documents!$E$2:$E$619,Documents!$A$2:$A$619,$A25,Documents!$C$2:$C$619,"all_inclusive")=0,"",MAXIFS(Documents!$E$2:$E$619,Documents!$A$2:$A$619,$A25,Documents!$C$2:$C$619,"all_inclusive")),"")</f>
        <v/>
      </c>
      <c r="P25">
        <f>IFERROR(IF(MAXIFS(Documents!$E$2:$E$619,Documents!$A$2:$A$619,$A25,Documents!$C$2:$C$619,"sustainability")=0,"",MAXIFS(Documents!$E$2:$E$619,Documents!$A$2:$A$619,$A25,Documents!$C$2:$C$619,"sustainability")),"")</f>
        <v/>
      </c>
      <c r="Q25">
        <f>IFERROR(IF(MAXIFS(Documents!$E$2:$E$619,Documents!$A$2:$A$619,$A25,Documents!$C$2:$C$619,"calendar")=0,"",MAXIFS(Documents!$E$2:$E$619,Documents!$A$2:$A$619,$A25,Documents!$C$2:$C$619,"calendar")),"")</f>
        <v/>
      </c>
      <c r="R25">
        <f>IFERROR(IF(MAXIFS(Documents!$E$2:$E$619,Documents!$A$2:$A$619,$A25,Documents!$C$2:$C$619,"brochure")=0,"",MAXIFS(Documents!$E$2:$E$619,Documents!$A$2:$A$619,$A25,Documents!$C$2:$C$619,"brochure")),"")</f>
        <v/>
      </c>
      <c r="S25">
        <f>IFERROR(IF(MAXIFS(Documents!$E$2:$E$619,Documents!$A$2:$A$619,$A25,Documents!$C$2:$C$619,"press_kit")=0,"",MAXIFS(Documents!$E$2:$E$619,Documents!$A$2:$A$619,$A25,Documents!$C$2:$C$619,"press_kit")),"")</f>
        <v/>
      </c>
      <c r="T25">
        <f>IFERROR(IF(MAXIFS(Documents!$E$2:$E$619,Documents!$A$2:$A$619,$A25,Documents!$C$2:$C$619,"other")=0,"",MAXIFS(Documents!$E$2:$E$619,Documents!$A$2:$A$619,$A25,Documents!$C$2:$C$619,"other")),"")</f>
        <v/>
      </c>
      <c r="U25">
        <f>IFERROR(IF(MAXIFS(Documents!$E$2:$E$619,Documents!$A$2:$A$619,$A25,Documents!$C$2:$C$619,"obsolete")=0,"",MAXIFS(Documents!$E$2:$E$619,Documents!$A$2:$A$619,$A25,Documents!$C$2:$C$619,"obsolete")),"")</f>
        <v/>
      </c>
      <c r="V25">
        <f>COUNTIFS(Documents!$A$2:$A$619,$A25)</f>
        <v/>
      </c>
      <c r="W25">
        <f>COUNTIFS(Documents!$A$2:$A$619,$A25,Documents!$R$2:$R$619,"current")</f>
        <v/>
      </c>
      <c r="X25" t="inlineStr"/>
      <c r="Y25" t="inlineStr">
        <is>
          <t>factsheet, wedding, events</t>
        </is>
      </c>
      <c r="Z25" t="inlineStr"/>
    </row>
    <row r="26">
      <c r="A26" t="n">
        <v>25</v>
      </c>
      <c r="B26" t="inlineStr">
        <is>
          <t>Raffles Maldives Meradhoo Resort</t>
        </is>
      </c>
      <c r="C26" t="inlineStr">
        <is>
          <t>blocked</t>
        </is>
      </c>
      <c r="D26">
        <f>IFERROR(IF(MAXIFS(Documents!$E$2:$E$619,Documents!$A$2:$A$619,$A26,Documents!$C$2:$C$619,"factsheet")=0,"",MAXIFS(Documents!$E$2:$E$619,Documents!$A$2:$A$619,$A26,Documents!$C$2:$C$619,"factsheet")),"")</f>
        <v/>
      </c>
      <c r="E26">
        <f>IFERROR(IF(MAXIFS(Documents!$E$2:$E$619,Documents!$A$2:$A$619,$A26,Documents!$C$2:$C$619,"wedding")=0,"",MAXIFS(Documents!$E$2:$E$619,Documents!$A$2:$A$619,$A26,Documents!$C$2:$C$619,"wedding")),"")</f>
        <v/>
      </c>
      <c r="F26">
        <f>IFERROR(IF(MAXIFS(Documents!$E$2:$E$619,Documents!$A$2:$A$619,$A26,Documents!$C$2:$C$619,"events")=0,"",MAXIFS(Documents!$E$2:$E$619,Documents!$A$2:$A$619,$A26,Documents!$C$2:$C$619,"events")),"")</f>
        <v/>
      </c>
      <c r="G26">
        <f>IFERROR(IF(MAXIFS(Documents!$E$2:$E$619,Documents!$A$2:$A$619,$A26,Documents!$C$2:$C$619,"map")=0,"",MAXIFS(Documents!$E$2:$E$619,Documents!$A$2:$A$619,$A26,Documents!$C$2:$C$619,"map")),"")</f>
        <v/>
      </c>
      <c r="H26">
        <f>IFERROR(IF(MAXIFS(Documents!$E$2:$E$619,Documents!$A$2:$A$619,$A26,Documents!$C$2:$C$619,"dive_map")=0,"",MAXIFS(Documents!$E$2:$E$619,Documents!$A$2:$A$619,$A26,Documents!$C$2:$C$619,"dive_map")),"")</f>
        <v/>
      </c>
      <c r="I26">
        <f>IFERROR(IF(MAXIFS(Documents!$E$2:$E$619,Documents!$A$2:$A$619,$A26,Documents!$C$2:$C$619,"spa_menu")=0,"",MAXIFS(Documents!$E$2:$E$619,Documents!$A$2:$A$619,$A26,Documents!$C$2:$C$619,"spa_menu")),"")</f>
        <v/>
      </c>
      <c r="J26">
        <f>IFERROR(IF(MAXIFS(Documents!$E$2:$E$619,Documents!$A$2:$A$619,$A26,Documents!$C$2:$C$619,"dining_menu")=0,"",MAXIFS(Documents!$E$2:$E$619,Documents!$A$2:$A$619,$A26,Documents!$C$2:$C$619,"dining_menu")),"")</f>
        <v/>
      </c>
      <c r="K26">
        <f>IFERROR(IF(MAXIFS(Documents!$E$2:$E$619,Documents!$A$2:$A$619,$A26,Documents!$C$2:$C$619,"dive_prices")=0,"",MAXIFS(Documents!$E$2:$E$619,Documents!$A$2:$A$619,$A26,Documents!$C$2:$C$619,"dive_prices")),"")</f>
        <v/>
      </c>
      <c r="L26">
        <f>IFERROR(IF(MAXIFS(Documents!$E$2:$E$619,Documents!$A$2:$A$619,$A26,Documents!$C$2:$C$619,"excursions")=0,"",MAXIFS(Documents!$E$2:$E$619,Documents!$A$2:$A$619,$A26,Documents!$C$2:$C$619,"excursions")),"")</f>
        <v/>
      </c>
      <c r="M26">
        <f>IFERROR(IF(MAXIFS(Documents!$E$2:$E$619,Documents!$A$2:$A$619,$A26,Documents!$C$2:$C$619,"kids")=0,"",MAXIFS(Documents!$E$2:$E$619,Documents!$A$2:$A$619,$A26,Documents!$C$2:$C$619,"kids")),"")</f>
        <v/>
      </c>
      <c r="N26">
        <f>IFERROR(IF(MAXIFS(Documents!$E$2:$E$619,Documents!$A$2:$A$619,$A26,Documents!$C$2:$C$619,"villa_plans")=0,"",MAXIFS(Documents!$E$2:$E$619,Documents!$A$2:$A$619,$A26,Documents!$C$2:$C$619,"villa_plans")),"")</f>
        <v/>
      </c>
      <c r="O26">
        <f>IFERROR(IF(MAXIFS(Documents!$E$2:$E$619,Documents!$A$2:$A$619,$A26,Documents!$C$2:$C$619,"all_inclusive")=0,"",MAXIFS(Documents!$E$2:$E$619,Documents!$A$2:$A$619,$A26,Documents!$C$2:$C$619,"all_inclusive")),"")</f>
        <v/>
      </c>
      <c r="P26">
        <f>IFERROR(IF(MAXIFS(Documents!$E$2:$E$619,Documents!$A$2:$A$619,$A26,Documents!$C$2:$C$619,"sustainability")=0,"",MAXIFS(Documents!$E$2:$E$619,Documents!$A$2:$A$619,$A26,Documents!$C$2:$C$619,"sustainability")),"")</f>
        <v/>
      </c>
      <c r="Q26">
        <f>IFERROR(IF(MAXIFS(Documents!$E$2:$E$619,Documents!$A$2:$A$619,$A26,Documents!$C$2:$C$619,"calendar")=0,"",MAXIFS(Documents!$E$2:$E$619,Documents!$A$2:$A$619,$A26,Documents!$C$2:$C$619,"calendar")),"")</f>
        <v/>
      </c>
      <c r="R26">
        <f>IFERROR(IF(MAXIFS(Documents!$E$2:$E$619,Documents!$A$2:$A$619,$A26,Documents!$C$2:$C$619,"brochure")=0,"",MAXIFS(Documents!$E$2:$E$619,Documents!$A$2:$A$619,$A26,Documents!$C$2:$C$619,"brochure")),"")</f>
        <v/>
      </c>
      <c r="S26">
        <f>IFERROR(IF(MAXIFS(Documents!$E$2:$E$619,Documents!$A$2:$A$619,$A26,Documents!$C$2:$C$619,"press_kit")=0,"",MAXIFS(Documents!$E$2:$E$619,Documents!$A$2:$A$619,$A26,Documents!$C$2:$C$619,"press_kit")),"")</f>
        <v/>
      </c>
      <c r="T26">
        <f>IFERROR(IF(MAXIFS(Documents!$E$2:$E$619,Documents!$A$2:$A$619,$A26,Documents!$C$2:$C$619,"other")=0,"",MAXIFS(Documents!$E$2:$E$619,Documents!$A$2:$A$619,$A26,Documents!$C$2:$C$619,"other")),"")</f>
        <v/>
      </c>
      <c r="U26">
        <f>IFERROR(IF(MAXIFS(Documents!$E$2:$E$619,Documents!$A$2:$A$619,$A26,Documents!$C$2:$C$619,"obsolete")=0,"",MAXIFS(Documents!$E$2:$E$619,Documents!$A$2:$A$619,$A26,Documents!$C$2:$C$619,"obsolete")),"")</f>
        <v/>
      </c>
      <c r="V26">
        <f>COUNTIFS(Documents!$A$2:$A$619,$A26)</f>
        <v/>
      </c>
      <c r="W26">
        <f>COUNTIFS(Documents!$A$2:$A$619,$A26,Documents!$R$2:$R$619,"current")</f>
        <v/>
      </c>
      <c r="X26">
        <f>HYPERLINK("https://www.neoscapesmaldives.com/wp-content/uploads/Halcyon-Maldives-Factsheet-2026.pdf","2026_Halcyon-Maldives-Factsheet-2026.pdf")</f>
        <v/>
      </c>
      <c r="Y26" t="inlineStr">
        <is>
          <t>wedding, events</t>
        </is>
      </c>
      <c r="Z26" t="inlineStr">
        <is>
          <t>Halcyon Maldives</t>
        </is>
      </c>
    </row>
    <row r="27">
      <c r="A27" t="n">
        <v>26</v>
      </c>
      <c r="B27" t="inlineStr">
        <is>
          <t>Centara Ras Fushi Resort &amp; Spa</t>
        </is>
      </c>
      <c r="C27" t="inlineStr">
        <is>
          <t>not crawled</t>
        </is>
      </c>
      <c r="D27">
        <f>IFERROR(IF(MAXIFS(Documents!$E$2:$E$619,Documents!$A$2:$A$619,$A27,Documents!$C$2:$C$619,"factsheet")=0,"",MAXIFS(Documents!$E$2:$E$619,Documents!$A$2:$A$619,$A27,Documents!$C$2:$C$619,"factsheet")),"")</f>
        <v/>
      </c>
      <c r="E27">
        <f>IFERROR(IF(MAXIFS(Documents!$E$2:$E$619,Documents!$A$2:$A$619,$A27,Documents!$C$2:$C$619,"wedding")=0,"",MAXIFS(Documents!$E$2:$E$619,Documents!$A$2:$A$619,$A27,Documents!$C$2:$C$619,"wedding")),"")</f>
        <v/>
      </c>
      <c r="F27">
        <f>IFERROR(IF(MAXIFS(Documents!$E$2:$E$619,Documents!$A$2:$A$619,$A27,Documents!$C$2:$C$619,"events")=0,"",MAXIFS(Documents!$E$2:$E$619,Documents!$A$2:$A$619,$A27,Documents!$C$2:$C$619,"events")),"")</f>
        <v/>
      </c>
      <c r="G27">
        <f>IFERROR(IF(MAXIFS(Documents!$E$2:$E$619,Documents!$A$2:$A$619,$A27,Documents!$C$2:$C$619,"map")=0,"",MAXIFS(Documents!$E$2:$E$619,Documents!$A$2:$A$619,$A27,Documents!$C$2:$C$619,"map")),"")</f>
        <v/>
      </c>
      <c r="H27">
        <f>IFERROR(IF(MAXIFS(Documents!$E$2:$E$619,Documents!$A$2:$A$619,$A27,Documents!$C$2:$C$619,"dive_map")=0,"",MAXIFS(Documents!$E$2:$E$619,Documents!$A$2:$A$619,$A27,Documents!$C$2:$C$619,"dive_map")),"")</f>
        <v/>
      </c>
      <c r="I27">
        <f>IFERROR(IF(MAXIFS(Documents!$E$2:$E$619,Documents!$A$2:$A$619,$A27,Documents!$C$2:$C$619,"spa_menu")=0,"",MAXIFS(Documents!$E$2:$E$619,Documents!$A$2:$A$619,$A27,Documents!$C$2:$C$619,"spa_menu")),"")</f>
        <v/>
      </c>
      <c r="J27">
        <f>IFERROR(IF(MAXIFS(Documents!$E$2:$E$619,Documents!$A$2:$A$619,$A27,Documents!$C$2:$C$619,"dining_menu")=0,"",MAXIFS(Documents!$E$2:$E$619,Documents!$A$2:$A$619,$A27,Documents!$C$2:$C$619,"dining_menu")),"")</f>
        <v/>
      </c>
      <c r="K27">
        <f>IFERROR(IF(MAXIFS(Documents!$E$2:$E$619,Documents!$A$2:$A$619,$A27,Documents!$C$2:$C$619,"dive_prices")=0,"",MAXIFS(Documents!$E$2:$E$619,Documents!$A$2:$A$619,$A27,Documents!$C$2:$C$619,"dive_prices")),"")</f>
        <v/>
      </c>
      <c r="L27">
        <f>IFERROR(IF(MAXIFS(Documents!$E$2:$E$619,Documents!$A$2:$A$619,$A27,Documents!$C$2:$C$619,"excursions")=0,"",MAXIFS(Documents!$E$2:$E$619,Documents!$A$2:$A$619,$A27,Documents!$C$2:$C$619,"excursions")),"")</f>
        <v/>
      </c>
      <c r="M27">
        <f>IFERROR(IF(MAXIFS(Documents!$E$2:$E$619,Documents!$A$2:$A$619,$A27,Documents!$C$2:$C$619,"kids")=0,"",MAXIFS(Documents!$E$2:$E$619,Documents!$A$2:$A$619,$A27,Documents!$C$2:$C$619,"kids")),"")</f>
        <v/>
      </c>
      <c r="N27">
        <f>IFERROR(IF(MAXIFS(Documents!$E$2:$E$619,Documents!$A$2:$A$619,$A27,Documents!$C$2:$C$619,"villa_plans")=0,"",MAXIFS(Documents!$E$2:$E$619,Documents!$A$2:$A$619,$A27,Documents!$C$2:$C$619,"villa_plans")),"")</f>
        <v/>
      </c>
      <c r="O27">
        <f>IFERROR(IF(MAXIFS(Documents!$E$2:$E$619,Documents!$A$2:$A$619,$A27,Documents!$C$2:$C$619,"all_inclusive")=0,"",MAXIFS(Documents!$E$2:$E$619,Documents!$A$2:$A$619,$A27,Documents!$C$2:$C$619,"all_inclusive")),"")</f>
        <v/>
      </c>
      <c r="P27">
        <f>IFERROR(IF(MAXIFS(Documents!$E$2:$E$619,Documents!$A$2:$A$619,$A27,Documents!$C$2:$C$619,"sustainability")=0,"",MAXIFS(Documents!$E$2:$E$619,Documents!$A$2:$A$619,$A27,Documents!$C$2:$C$619,"sustainability")),"")</f>
        <v/>
      </c>
      <c r="Q27">
        <f>IFERROR(IF(MAXIFS(Documents!$E$2:$E$619,Documents!$A$2:$A$619,$A27,Documents!$C$2:$C$619,"calendar")=0,"",MAXIFS(Documents!$E$2:$E$619,Documents!$A$2:$A$619,$A27,Documents!$C$2:$C$619,"calendar")),"")</f>
        <v/>
      </c>
      <c r="R27">
        <f>IFERROR(IF(MAXIFS(Documents!$E$2:$E$619,Documents!$A$2:$A$619,$A27,Documents!$C$2:$C$619,"brochure")=0,"",MAXIFS(Documents!$E$2:$E$619,Documents!$A$2:$A$619,$A27,Documents!$C$2:$C$619,"brochure")),"")</f>
        <v/>
      </c>
      <c r="S27">
        <f>IFERROR(IF(MAXIFS(Documents!$E$2:$E$619,Documents!$A$2:$A$619,$A27,Documents!$C$2:$C$619,"press_kit")=0,"",MAXIFS(Documents!$E$2:$E$619,Documents!$A$2:$A$619,$A27,Documents!$C$2:$C$619,"press_kit")),"")</f>
        <v/>
      </c>
      <c r="T27">
        <f>IFERROR(IF(MAXIFS(Documents!$E$2:$E$619,Documents!$A$2:$A$619,$A27,Documents!$C$2:$C$619,"other")=0,"",MAXIFS(Documents!$E$2:$E$619,Documents!$A$2:$A$619,$A27,Documents!$C$2:$C$619,"other")),"")</f>
        <v/>
      </c>
      <c r="U27">
        <f>IFERROR(IF(MAXIFS(Documents!$E$2:$E$619,Documents!$A$2:$A$619,$A27,Documents!$C$2:$C$619,"obsolete")=0,"",MAXIFS(Documents!$E$2:$E$619,Documents!$A$2:$A$619,$A27,Documents!$C$2:$C$619,"obsolete")),"")</f>
        <v/>
      </c>
      <c r="V27">
        <f>COUNTIFS(Documents!$A$2:$A$619,$A27)</f>
        <v/>
      </c>
      <c r="W27">
        <f>COUNTIFS(Documents!$A$2:$A$619,$A27,Documents!$R$2:$R$619,"current")</f>
        <v/>
      </c>
      <c r="X27">
        <f>HYPERLINK("https://neoscapesmaldives.com/wp-content/uploads/crf-factsheet-en.pdf","2019_crf-factsheet-en.pdf")</f>
        <v/>
      </c>
      <c r="Y27" t="inlineStr">
        <is>
          <t>wedding, events</t>
        </is>
      </c>
      <c r="Z27" t="inlineStr"/>
    </row>
    <row r="28">
      <c r="A28" t="n">
        <v>27</v>
      </c>
      <c r="B28" t="inlineStr">
        <is>
          <t>Grand Park Kodhipparu Maldives</t>
        </is>
      </c>
      <c r="C28" t="inlineStr">
        <is>
          <t>ok</t>
        </is>
      </c>
      <c r="D28">
        <f>IFERROR(IF(MAXIFS(Documents!$E$2:$E$619,Documents!$A$2:$A$619,$A28,Documents!$C$2:$C$619,"factsheet")=0,"",MAXIFS(Documents!$E$2:$E$619,Documents!$A$2:$A$619,$A28,Documents!$C$2:$C$619,"factsheet")),"")</f>
        <v/>
      </c>
      <c r="E28">
        <f>IFERROR(IF(MAXIFS(Documents!$E$2:$E$619,Documents!$A$2:$A$619,$A28,Documents!$C$2:$C$619,"wedding")=0,"",MAXIFS(Documents!$E$2:$E$619,Documents!$A$2:$A$619,$A28,Documents!$C$2:$C$619,"wedding")),"")</f>
        <v/>
      </c>
      <c r="F28">
        <f>IFERROR(IF(MAXIFS(Documents!$E$2:$E$619,Documents!$A$2:$A$619,$A28,Documents!$C$2:$C$619,"events")=0,"",MAXIFS(Documents!$E$2:$E$619,Documents!$A$2:$A$619,$A28,Documents!$C$2:$C$619,"events")),"")</f>
        <v/>
      </c>
      <c r="G28">
        <f>IFERROR(IF(MAXIFS(Documents!$E$2:$E$619,Documents!$A$2:$A$619,$A28,Documents!$C$2:$C$619,"map")=0,"",MAXIFS(Documents!$E$2:$E$619,Documents!$A$2:$A$619,$A28,Documents!$C$2:$C$619,"map")),"")</f>
        <v/>
      </c>
      <c r="H28">
        <f>IFERROR(IF(MAXIFS(Documents!$E$2:$E$619,Documents!$A$2:$A$619,$A28,Documents!$C$2:$C$619,"dive_map")=0,"",MAXIFS(Documents!$E$2:$E$619,Documents!$A$2:$A$619,$A28,Documents!$C$2:$C$619,"dive_map")),"")</f>
        <v/>
      </c>
      <c r="I28">
        <f>IFERROR(IF(MAXIFS(Documents!$E$2:$E$619,Documents!$A$2:$A$619,$A28,Documents!$C$2:$C$619,"spa_menu")=0,"",MAXIFS(Documents!$E$2:$E$619,Documents!$A$2:$A$619,$A28,Documents!$C$2:$C$619,"spa_menu")),"")</f>
        <v/>
      </c>
      <c r="J28">
        <f>IFERROR(IF(MAXIFS(Documents!$E$2:$E$619,Documents!$A$2:$A$619,$A28,Documents!$C$2:$C$619,"dining_menu")=0,"",MAXIFS(Documents!$E$2:$E$619,Documents!$A$2:$A$619,$A28,Documents!$C$2:$C$619,"dining_menu")),"")</f>
        <v/>
      </c>
      <c r="K28">
        <f>IFERROR(IF(MAXIFS(Documents!$E$2:$E$619,Documents!$A$2:$A$619,$A28,Documents!$C$2:$C$619,"dive_prices")=0,"",MAXIFS(Documents!$E$2:$E$619,Documents!$A$2:$A$619,$A28,Documents!$C$2:$C$619,"dive_prices")),"")</f>
        <v/>
      </c>
      <c r="L28">
        <f>IFERROR(IF(MAXIFS(Documents!$E$2:$E$619,Documents!$A$2:$A$619,$A28,Documents!$C$2:$C$619,"excursions")=0,"",MAXIFS(Documents!$E$2:$E$619,Documents!$A$2:$A$619,$A28,Documents!$C$2:$C$619,"excursions")),"")</f>
        <v/>
      </c>
      <c r="M28">
        <f>IFERROR(IF(MAXIFS(Documents!$E$2:$E$619,Documents!$A$2:$A$619,$A28,Documents!$C$2:$C$619,"kids")=0,"",MAXIFS(Documents!$E$2:$E$619,Documents!$A$2:$A$619,$A28,Documents!$C$2:$C$619,"kids")),"")</f>
        <v/>
      </c>
      <c r="N28">
        <f>IFERROR(IF(MAXIFS(Documents!$E$2:$E$619,Documents!$A$2:$A$619,$A28,Documents!$C$2:$C$619,"villa_plans")=0,"",MAXIFS(Documents!$E$2:$E$619,Documents!$A$2:$A$619,$A28,Documents!$C$2:$C$619,"villa_plans")),"")</f>
        <v/>
      </c>
      <c r="O28">
        <f>IFERROR(IF(MAXIFS(Documents!$E$2:$E$619,Documents!$A$2:$A$619,$A28,Documents!$C$2:$C$619,"all_inclusive")=0,"",MAXIFS(Documents!$E$2:$E$619,Documents!$A$2:$A$619,$A28,Documents!$C$2:$C$619,"all_inclusive")),"")</f>
        <v/>
      </c>
      <c r="P28">
        <f>IFERROR(IF(MAXIFS(Documents!$E$2:$E$619,Documents!$A$2:$A$619,$A28,Documents!$C$2:$C$619,"sustainability")=0,"",MAXIFS(Documents!$E$2:$E$619,Documents!$A$2:$A$619,$A28,Documents!$C$2:$C$619,"sustainability")),"")</f>
        <v/>
      </c>
      <c r="Q28">
        <f>IFERROR(IF(MAXIFS(Documents!$E$2:$E$619,Documents!$A$2:$A$619,$A28,Documents!$C$2:$C$619,"calendar")=0,"",MAXIFS(Documents!$E$2:$E$619,Documents!$A$2:$A$619,$A28,Documents!$C$2:$C$619,"calendar")),"")</f>
        <v/>
      </c>
      <c r="R28">
        <f>IFERROR(IF(MAXIFS(Documents!$E$2:$E$619,Documents!$A$2:$A$619,$A28,Documents!$C$2:$C$619,"brochure")=0,"",MAXIFS(Documents!$E$2:$E$619,Documents!$A$2:$A$619,$A28,Documents!$C$2:$C$619,"brochure")),"")</f>
        <v/>
      </c>
      <c r="S28">
        <f>IFERROR(IF(MAXIFS(Documents!$E$2:$E$619,Documents!$A$2:$A$619,$A28,Documents!$C$2:$C$619,"press_kit")=0,"",MAXIFS(Documents!$E$2:$E$619,Documents!$A$2:$A$619,$A28,Documents!$C$2:$C$619,"press_kit")),"")</f>
        <v/>
      </c>
      <c r="T28">
        <f>IFERROR(IF(MAXIFS(Documents!$E$2:$E$619,Documents!$A$2:$A$619,$A28,Documents!$C$2:$C$619,"other")=0,"",MAXIFS(Documents!$E$2:$E$619,Documents!$A$2:$A$619,$A28,Documents!$C$2:$C$619,"other")),"")</f>
        <v/>
      </c>
      <c r="U28">
        <f>IFERROR(IF(MAXIFS(Documents!$E$2:$E$619,Documents!$A$2:$A$619,$A28,Documents!$C$2:$C$619,"obsolete")=0,"",MAXIFS(Documents!$E$2:$E$619,Documents!$A$2:$A$619,$A28,Documents!$C$2:$C$619,"obsolete")),"")</f>
        <v/>
      </c>
      <c r="V28">
        <f>COUNTIFS(Documents!$A$2:$A$619,$A28)</f>
        <v/>
      </c>
      <c r="W28">
        <f>COUNTIFS(Documents!$A$2:$A$619,$A28,Documents!$R$2:$R$619,"current")</f>
        <v/>
      </c>
      <c r="X28">
        <f>HYPERLINK("https://www.neoscapesmaldives.com/wp-content/uploads/GPKD-Resort-Factsheet-2022.pdf","2022_GPKD-Resort-Factsheet-2022.pdf")</f>
        <v/>
      </c>
      <c r="Y28" t="inlineStr">
        <is>
          <t>wedding, events</t>
        </is>
      </c>
      <c r="Z28" t="inlineStr"/>
    </row>
    <row r="29">
      <c r="A29" t="n">
        <v>28</v>
      </c>
      <c r="B29" t="inlineStr">
        <is>
          <t>Kudadoo Maldives Private island</t>
        </is>
      </c>
      <c r="C29" t="inlineStr">
        <is>
          <t>not crawled</t>
        </is>
      </c>
      <c r="D29">
        <f>IFERROR(IF(MAXIFS(Documents!$E$2:$E$619,Documents!$A$2:$A$619,$A29,Documents!$C$2:$C$619,"factsheet")=0,"",MAXIFS(Documents!$E$2:$E$619,Documents!$A$2:$A$619,$A29,Documents!$C$2:$C$619,"factsheet")),"")</f>
        <v/>
      </c>
      <c r="E29">
        <f>IFERROR(IF(MAXIFS(Documents!$E$2:$E$619,Documents!$A$2:$A$619,$A29,Documents!$C$2:$C$619,"wedding")=0,"",MAXIFS(Documents!$E$2:$E$619,Documents!$A$2:$A$619,$A29,Documents!$C$2:$C$619,"wedding")),"")</f>
        <v/>
      </c>
      <c r="F29">
        <f>IFERROR(IF(MAXIFS(Documents!$E$2:$E$619,Documents!$A$2:$A$619,$A29,Documents!$C$2:$C$619,"events")=0,"",MAXIFS(Documents!$E$2:$E$619,Documents!$A$2:$A$619,$A29,Documents!$C$2:$C$619,"events")),"")</f>
        <v/>
      </c>
      <c r="G29">
        <f>IFERROR(IF(MAXIFS(Documents!$E$2:$E$619,Documents!$A$2:$A$619,$A29,Documents!$C$2:$C$619,"map")=0,"",MAXIFS(Documents!$E$2:$E$619,Documents!$A$2:$A$619,$A29,Documents!$C$2:$C$619,"map")),"")</f>
        <v/>
      </c>
      <c r="H29">
        <f>IFERROR(IF(MAXIFS(Documents!$E$2:$E$619,Documents!$A$2:$A$619,$A29,Documents!$C$2:$C$619,"dive_map")=0,"",MAXIFS(Documents!$E$2:$E$619,Documents!$A$2:$A$619,$A29,Documents!$C$2:$C$619,"dive_map")),"")</f>
        <v/>
      </c>
      <c r="I29">
        <f>IFERROR(IF(MAXIFS(Documents!$E$2:$E$619,Documents!$A$2:$A$619,$A29,Documents!$C$2:$C$619,"spa_menu")=0,"",MAXIFS(Documents!$E$2:$E$619,Documents!$A$2:$A$619,$A29,Documents!$C$2:$C$619,"spa_menu")),"")</f>
        <v/>
      </c>
      <c r="J29">
        <f>IFERROR(IF(MAXIFS(Documents!$E$2:$E$619,Documents!$A$2:$A$619,$A29,Documents!$C$2:$C$619,"dining_menu")=0,"",MAXIFS(Documents!$E$2:$E$619,Documents!$A$2:$A$619,$A29,Documents!$C$2:$C$619,"dining_menu")),"")</f>
        <v/>
      </c>
      <c r="K29">
        <f>IFERROR(IF(MAXIFS(Documents!$E$2:$E$619,Documents!$A$2:$A$619,$A29,Documents!$C$2:$C$619,"dive_prices")=0,"",MAXIFS(Documents!$E$2:$E$619,Documents!$A$2:$A$619,$A29,Documents!$C$2:$C$619,"dive_prices")),"")</f>
        <v/>
      </c>
      <c r="L29">
        <f>IFERROR(IF(MAXIFS(Documents!$E$2:$E$619,Documents!$A$2:$A$619,$A29,Documents!$C$2:$C$619,"excursions")=0,"",MAXIFS(Documents!$E$2:$E$619,Documents!$A$2:$A$619,$A29,Documents!$C$2:$C$619,"excursions")),"")</f>
        <v/>
      </c>
      <c r="M29">
        <f>IFERROR(IF(MAXIFS(Documents!$E$2:$E$619,Documents!$A$2:$A$619,$A29,Documents!$C$2:$C$619,"kids")=0,"",MAXIFS(Documents!$E$2:$E$619,Documents!$A$2:$A$619,$A29,Documents!$C$2:$C$619,"kids")),"")</f>
        <v/>
      </c>
      <c r="N29">
        <f>IFERROR(IF(MAXIFS(Documents!$E$2:$E$619,Documents!$A$2:$A$619,$A29,Documents!$C$2:$C$619,"villa_plans")=0,"",MAXIFS(Documents!$E$2:$E$619,Documents!$A$2:$A$619,$A29,Documents!$C$2:$C$619,"villa_plans")),"")</f>
        <v/>
      </c>
      <c r="O29">
        <f>IFERROR(IF(MAXIFS(Documents!$E$2:$E$619,Documents!$A$2:$A$619,$A29,Documents!$C$2:$C$619,"all_inclusive")=0,"",MAXIFS(Documents!$E$2:$E$619,Documents!$A$2:$A$619,$A29,Documents!$C$2:$C$619,"all_inclusive")),"")</f>
        <v/>
      </c>
      <c r="P29">
        <f>IFERROR(IF(MAXIFS(Documents!$E$2:$E$619,Documents!$A$2:$A$619,$A29,Documents!$C$2:$C$619,"sustainability")=0,"",MAXIFS(Documents!$E$2:$E$619,Documents!$A$2:$A$619,$A29,Documents!$C$2:$C$619,"sustainability")),"")</f>
        <v/>
      </c>
      <c r="Q29">
        <f>IFERROR(IF(MAXIFS(Documents!$E$2:$E$619,Documents!$A$2:$A$619,$A29,Documents!$C$2:$C$619,"calendar")=0,"",MAXIFS(Documents!$E$2:$E$619,Documents!$A$2:$A$619,$A29,Documents!$C$2:$C$619,"calendar")),"")</f>
        <v/>
      </c>
      <c r="R29">
        <f>IFERROR(IF(MAXIFS(Documents!$E$2:$E$619,Documents!$A$2:$A$619,$A29,Documents!$C$2:$C$619,"brochure")=0,"",MAXIFS(Documents!$E$2:$E$619,Documents!$A$2:$A$619,$A29,Documents!$C$2:$C$619,"brochure")),"")</f>
        <v/>
      </c>
      <c r="S29">
        <f>IFERROR(IF(MAXIFS(Documents!$E$2:$E$619,Documents!$A$2:$A$619,$A29,Documents!$C$2:$C$619,"press_kit")=0,"",MAXIFS(Documents!$E$2:$E$619,Documents!$A$2:$A$619,$A29,Documents!$C$2:$C$619,"press_kit")),"")</f>
        <v/>
      </c>
      <c r="T29">
        <f>IFERROR(IF(MAXIFS(Documents!$E$2:$E$619,Documents!$A$2:$A$619,$A29,Documents!$C$2:$C$619,"other")=0,"",MAXIFS(Documents!$E$2:$E$619,Documents!$A$2:$A$619,$A29,Documents!$C$2:$C$619,"other")),"")</f>
        <v/>
      </c>
      <c r="U29">
        <f>IFERROR(IF(MAXIFS(Documents!$E$2:$E$619,Documents!$A$2:$A$619,$A29,Documents!$C$2:$C$619,"obsolete")=0,"",MAXIFS(Documents!$E$2:$E$619,Documents!$A$2:$A$619,$A29,Documents!$C$2:$C$619,"obsolete")),"")</f>
        <v/>
      </c>
      <c r="V29">
        <f>COUNTIFS(Documents!$A$2:$A$619,$A29)</f>
        <v/>
      </c>
      <c r="W29">
        <f>COUNTIFS(Documents!$A$2:$A$619,$A29,Documents!$R$2:$R$619,"current")</f>
        <v/>
      </c>
      <c r="X29">
        <f>HYPERLINK("https://sales.crownandchamparesorts.com/wp-content/uploads/2025/12/KudadooFactsheet110125103126Ver0526255.pdf","2025_KudadooFactsheet110125103126Ver0526")</f>
        <v/>
      </c>
      <c r="Y29" t="inlineStr">
        <is>
          <t>wedding, events</t>
        </is>
      </c>
      <c r="Z29" t="inlineStr"/>
    </row>
    <row r="30">
      <c r="A30" t="n">
        <v>29</v>
      </c>
      <c r="B30" t="inlineStr">
        <is>
          <t>Dheruhfinolhu by Jawakara Islands Maldives</t>
        </is>
      </c>
      <c r="C30" t="inlineStr">
        <is>
          <t>not crawled</t>
        </is>
      </c>
      <c r="D30">
        <f>IFERROR(IF(MAXIFS(Documents!$E$2:$E$619,Documents!$A$2:$A$619,$A30,Documents!$C$2:$C$619,"factsheet")=0,"",MAXIFS(Documents!$E$2:$E$619,Documents!$A$2:$A$619,$A30,Documents!$C$2:$C$619,"factsheet")),"")</f>
        <v/>
      </c>
      <c r="E30">
        <f>IFERROR(IF(MAXIFS(Documents!$E$2:$E$619,Documents!$A$2:$A$619,$A30,Documents!$C$2:$C$619,"wedding")=0,"",MAXIFS(Documents!$E$2:$E$619,Documents!$A$2:$A$619,$A30,Documents!$C$2:$C$619,"wedding")),"")</f>
        <v/>
      </c>
      <c r="F30">
        <f>IFERROR(IF(MAXIFS(Documents!$E$2:$E$619,Documents!$A$2:$A$619,$A30,Documents!$C$2:$C$619,"events")=0,"",MAXIFS(Documents!$E$2:$E$619,Documents!$A$2:$A$619,$A30,Documents!$C$2:$C$619,"events")),"")</f>
        <v/>
      </c>
      <c r="G30">
        <f>IFERROR(IF(MAXIFS(Documents!$E$2:$E$619,Documents!$A$2:$A$619,$A30,Documents!$C$2:$C$619,"map")=0,"",MAXIFS(Documents!$E$2:$E$619,Documents!$A$2:$A$619,$A30,Documents!$C$2:$C$619,"map")),"")</f>
        <v/>
      </c>
      <c r="H30">
        <f>IFERROR(IF(MAXIFS(Documents!$E$2:$E$619,Documents!$A$2:$A$619,$A30,Documents!$C$2:$C$619,"dive_map")=0,"",MAXIFS(Documents!$E$2:$E$619,Documents!$A$2:$A$619,$A30,Documents!$C$2:$C$619,"dive_map")),"")</f>
        <v/>
      </c>
      <c r="I30">
        <f>IFERROR(IF(MAXIFS(Documents!$E$2:$E$619,Documents!$A$2:$A$619,$A30,Documents!$C$2:$C$619,"spa_menu")=0,"",MAXIFS(Documents!$E$2:$E$619,Documents!$A$2:$A$619,$A30,Documents!$C$2:$C$619,"spa_menu")),"")</f>
        <v/>
      </c>
      <c r="J30">
        <f>IFERROR(IF(MAXIFS(Documents!$E$2:$E$619,Documents!$A$2:$A$619,$A30,Documents!$C$2:$C$619,"dining_menu")=0,"",MAXIFS(Documents!$E$2:$E$619,Documents!$A$2:$A$619,$A30,Documents!$C$2:$C$619,"dining_menu")),"")</f>
        <v/>
      </c>
      <c r="K30">
        <f>IFERROR(IF(MAXIFS(Documents!$E$2:$E$619,Documents!$A$2:$A$619,$A30,Documents!$C$2:$C$619,"dive_prices")=0,"",MAXIFS(Documents!$E$2:$E$619,Documents!$A$2:$A$619,$A30,Documents!$C$2:$C$619,"dive_prices")),"")</f>
        <v/>
      </c>
      <c r="L30">
        <f>IFERROR(IF(MAXIFS(Documents!$E$2:$E$619,Documents!$A$2:$A$619,$A30,Documents!$C$2:$C$619,"excursions")=0,"",MAXIFS(Documents!$E$2:$E$619,Documents!$A$2:$A$619,$A30,Documents!$C$2:$C$619,"excursions")),"")</f>
        <v/>
      </c>
      <c r="M30">
        <f>IFERROR(IF(MAXIFS(Documents!$E$2:$E$619,Documents!$A$2:$A$619,$A30,Documents!$C$2:$C$619,"kids")=0,"",MAXIFS(Documents!$E$2:$E$619,Documents!$A$2:$A$619,$A30,Documents!$C$2:$C$619,"kids")),"")</f>
        <v/>
      </c>
      <c r="N30">
        <f>IFERROR(IF(MAXIFS(Documents!$E$2:$E$619,Documents!$A$2:$A$619,$A30,Documents!$C$2:$C$619,"villa_plans")=0,"",MAXIFS(Documents!$E$2:$E$619,Documents!$A$2:$A$619,$A30,Documents!$C$2:$C$619,"villa_plans")),"")</f>
        <v/>
      </c>
      <c r="O30">
        <f>IFERROR(IF(MAXIFS(Documents!$E$2:$E$619,Documents!$A$2:$A$619,$A30,Documents!$C$2:$C$619,"all_inclusive")=0,"",MAXIFS(Documents!$E$2:$E$619,Documents!$A$2:$A$619,$A30,Documents!$C$2:$C$619,"all_inclusive")),"")</f>
        <v/>
      </c>
      <c r="P30">
        <f>IFERROR(IF(MAXIFS(Documents!$E$2:$E$619,Documents!$A$2:$A$619,$A30,Documents!$C$2:$C$619,"sustainability")=0,"",MAXIFS(Documents!$E$2:$E$619,Documents!$A$2:$A$619,$A30,Documents!$C$2:$C$619,"sustainability")),"")</f>
        <v/>
      </c>
      <c r="Q30">
        <f>IFERROR(IF(MAXIFS(Documents!$E$2:$E$619,Documents!$A$2:$A$619,$A30,Documents!$C$2:$C$619,"calendar")=0,"",MAXIFS(Documents!$E$2:$E$619,Documents!$A$2:$A$619,$A30,Documents!$C$2:$C$619,"calendar")),"")</f>
        <v/>
      </c>
      <c r="R30">
        <f>IFERROR(IF(MAXIFS(Documents!$E$2:$E$619,Documents!$A$2:$A$619,$A30,Documents!$C$2:$C$619,"brochure")=0,"",MAXIFS(Documents!$E$2:$E$619,Documents!$A$2:$A$619,$A30,Documents!$C$2:$C$619,"brochure")),"")</f>
        <v/>
      </c>
      <c r="S30">
        <f>IFERROR(IF(MAXIFS(Documents!$E$2:$E$619,Documents!$A$2:$A$619,$A30,Documents!$C$2:$C$619,"press_kit")=0,"",MAXIFS(Documents!$E$2:$E$619,Documents!$A$2:$A$619,$A30,Documents!$C$2:$C$619,"press_kit")),"")</f>
        <v/>
      </c>
      <c r="T30">
        <f>IFERROR(IF(MAXIFS(Documents!$E$2:$E$619,Documents!$A$2:$A$619,$A30,Documents!$C$2:$C$619,"other")=0,"",MAXIFS(Documents!$E$2:$E$619,Documents!$A$2:$A$619,$A30,Documents!$C$2:$C$619,"other")),"")</f>
        <v/>
      </c>
      <c r="U30">
        <f>IFERROR(IF(MAXIFS(Documents!$E$2:$E$619,Documents!$A$2:$A$619,$A30,Documents!$C$2:$C$619,"obsolete")=0,"",MAXIFS(Documents!$E$2:$E$619,Documents!$A$2:$A$619,$A30,Documents!$C$2:$C$619,"obsolete")),"")</f>
        <v/>
      </c>
      <c r="V30">
        <f>COUNTIFS(Documents!$A$2:$A$619,$A30)</f>
        <v/>
      </c>
      <c r="W30">
        <f>COUNTIFS(Documents!$A$2:$A$619,$A30,Documents!$R$2:$R$619,"current")</f>
        <v/>
      </c>
      <c r="X30">
        <f>HYPERLINK("https://sales.crownandchamparesorts.com/wp-content/uploads/2026/04/NalaMaldivesFactsheet011125311026Ver030426.pdf","2025_NalaMaldivesFactsheet011125311026Ve")</f>
        <v/>
      </c>
      <c r="Y30" t="inlineStr">
        <is>
          <t>wedding, events</t>
        </is>
      </c>
      <c r="Z30" t="inlineStr">
        <is>
          <t>Jawakara Islands (shared documents)</t>
        </is>
      </c>
    </row>
    <row r="31">
      <c r="A31" t="n">
        <v>30</v>
      </c>
      <c r="B31" t="inlineStr">
        <is>
          <t>Hurawalhi Island Resort</t>
        </is>
      </c>
      <c r="C31" t="inlineStr">
        <is>
          <t>not crawled</t>
        </is>
      </c>
      <c r="D31">
        <f>IFERROR(IF(MAXIFS(Documents!$E$2:$E$619,Documents!$A$2:$A$619,$A31,Documents!$C$2:$C$619,"factsheet")=0,"",MAXIFS(Documents!$E$2:$E$619,Documents!$A$2:$A$619,$A31,Documents!$C$2:$C$619,"factsheet")),"")</f>
        <v/>
      </c>
      <c r="E31">
        <f>IFERROR(IF(MAXIFS(Documents!$E$2:$E$619,Documents!$A$2:$A$619,$A31,Documents!$C$2:$C$619,"wedding")=0,"",MAXIFS(Documents!$E$2:$E$619,Documents!$A$2:$A$619,$A31,Documents!$C$2:$C$619,"wedding")),"")</f>
        <v/>
      </c>
      <c r="F31">
        <f>IFERROR(IF(MAXIFS(Documents!$E$2:$E$619,Documents!$A$2:$A$619,$A31,Documents!$C$2:$C$619,"events")=0,"",MAXIFS(Documents!$E$2:$E$619,Documents!$A$2:$A$619,$A31,Documents!$C$2:$C$619,"events")),"")</f>
        <v/>
      </c>
      <c r="G31">
        <f>IFERROR(IF(MAXIFS(Documents!$E$2:$E$619,Documents!$A$2:$A$619,$A31,Documents!$C$2:$C$619,"map")=0,"",MAXIFS(Documents!$E$2:$E$619,Documents!$A$2:$A$619,$A31,Documents!$C$2:$C$619,"map")),"")</f>
        <v/>
      </c>
      <c r="H31">
        <f>IFERROR(IF(MAXIFS(Documents!$E$2:$E$619,Documents!$A$2:$A$619,$A31,Documents!$C$2:$C$619,"dive_map")=0,"",MAXIFS(Documents!$E$2:$E$619,Documents!$A$2:$A$619,$A31,Documents!$C$2:$C$619,"dive_map")),"")</f>
        <v/>
      </c>
      <c r="I31">
        <f>IFERROR(IF(MAXIFS(Documents!$E$2:$E$619,Documents!$A$2:$A$619,$A31,Documents!$C$2:$C$619,"spa_menu")=0,"",MAXIFS(Documents!$E$2:$E$619,Documents!$A$2:$A$619,$A31,Documents!$C$2:$C$619,"spa_menu")),"")</f>
        <v/>
      </c>
      <c r="J31">
        <f>IFERROR(IF(MAXIFS(Documents!$E$2:$E$619,Documents!$A$2:$A$619,$A31,Documents!$C$2:$C$619,"dining_menu")=0,"",MAXIFS(Documents!$E$2:$E$619,Documents!$A$2:$A$619,$A31,Documents!$C$2:$C$619,"dining_menu")),"")</f>
        <v/>
      </c>
      <c r="K31">
        <f>IFERROR(IF(MAXIFS(Documents!$E$2:$E$619,Documents!$A$2:$A$619,$A31,Documents!$C$2:$C$619,"dive_prices")=0,"",MAXIFS(Documents!$E$2:$E$619,Documents!$A$2:$A$619,$A31,Documents!$C$2:$C$619,"dive_prices")),"")</f>
        <v/>
      </c>
      <c r="L31">
        <f>IFERROR(IF(MAXIFS(Documents!$E$2:$E$619,Documents!$A$2:$A$619,$A31,Documents!$C$2:$C$619,"excursions")=0,"",MAXIFS(Documents!$E$2:$E$619,Documents!$A$2:$A$619,$A31,Documents!$C$2:$C$619,"excursions")),"")</f>
        <v/>
      </c>
      <c r="M31">
        <f>IFERROR(IF(MAXIFS(Documents!$E$2:$E$619,Documents!$A$2:$A$619,$A31,Documents!$C$2:$C$619,"kids")=0,"",MAXIFS(Documents!$E$2:$E$619,Documents!$A$2:$A$619,$A31,Documents!$C$2:$C$619,"kids")),"")</f>
        <v/>
      </c>
      <c r="N31">
        <f>IFERROR(IF(MAXIFS(Documents!$E$2:$E$619,Documents!$A$2:$A$619,$A31,Documents!$C$2:$C$619,"villa_plans")=0,"",MAXIFS(Documents!$E$2:$E$619,Documents!$A$2:$A$619,$A31,Documents!$C$2:$C$619,"villa_plans")),"")</f>
        <v/>
      </c>
      <c r="O31">
        <f>IFERROR(IF(MAXIFS(Documents!$E$2:$E$619,Documents!$A$2:$A$619,$A31,Documents!$C$2:$C$619,"all_inclusive")=0,"",MAXIFS(Documents!$E$2:$E$619,Documents!$A$2:$A$619,$A31,Documents!$C$2:$C$619,"all_inclusive")),"")</f>
        <v/>
      </c>
      <c r="P31">
        <f>IFERROR(IF(MAXIFS(Documents!$E$2:$E$619,Documents!$A$2:$A$619,$A31,Documents!$C$2:$C$619,"sustainability")=0,"",MAXIFS(Documents!$E$2:$E$619,Documents!$A$2:$A$619,$A31,Documents!$C$2:$C$619,"sustainability")),"")</f>
        <v/>
      </c>
      <c r="Q31">
        <f>IFERROR(IF(MAXIFS(Documents!$E$2:$E$619,Documents!$A$2:$A$619,$A31,Documents!$C$2:$C$619,"calendar")=0,"",MAXIFS(Documents!$E$2:$E$619,Documents!$A$2:$A$619,$A31,Documents!$C$2:$C$619,"calendar")),"")</f>
        <v/>
      </c>
      <c r="R31">
        <f>IFERROR(IF(MAXIFS(Documents!$E$2:$E$619,Documents!$A$2:$A$619,$A31,Documents!$C$2:$C$619,"brochure")=0,"",MAXIFS(Documents!$E$2:$E$619,Documents!$A$2:$A$619,$A31,Documents!$C$2:$C$619,"brochure")),"")</f>
        <v/>
      </c>
      <c r="S31">
        <f>IFERROR(IF(MAXIFS(Documents!$E$2:$E$619,Documents!$A$2:$A$619,$A31,Documents!$C$2:$C$619,"press_kit")=0,"",MAXIFS(Documents!$E$2:$E$619,Documents!$A$2:$A$619,$A31,Documents!$C$2:$C$619,"press_kit")),"")</f>
        <v/>
      </c>
      <c r="T31">
        <f>IFERROR(IF(MAXIFS(Documents!$E$2:$E$619,Documents!$A$2:$A$619,$A31,Documents!$C$2:$C$619,"other")=0,"",MAXIFS(Documents!$E$2:$E$619,Documents!$A$2:$A$619,$A31,Documents!$C$2:$C$619,"other")),"")</f>
        <v/>
      </c>
      <c r="U31">
        <f>IFERROR(IF(MAXIFS(Documents!$E$2:$E$619,Documents!$A$2:$A$619,$A31,Documents!$C$2:$C$619,"obsolete")=0,"",MAXIFS(Documents!$E$2:$E$619,Documents!$A$2:$A$619,$A31,Documents!$C$2:$C$619,"obsolete")),"")</f>
        <v/>
      </c>
      <c r="V31">
        <f>COUNTIFS(Documents!$A$2:$A$619,$A31)</f>
        <v/>
      </c>
      <c r="W31">
        <f>COUNTIFS(Documents!$A$2:$A$619,$A31,Documents!$R$2:$R$619,"current")</f>
        <v/>
      </c>
      <c r="X31">
        <f>HYPERLINK("https://sales.crownandchamparesorts.com/wp-content/uploads/2023/08/FactSheetHurawalhi110123103124Ver030123.pdf","2023_FactSheetHurawalhi110123103124Ver03")</f>
        <v/>
      </c>
      <c r="Y31" t="inlineStr">
        <is>
          <t>events</t>
        </is>
      </c>
      <c r="Z31" t="inlineStr"/>
    </row>
    <row r="32">
      <c r="A32" t="n">
        <v>31</v>
      </c>
      <c r="B32" t="inlineStr">
        <is>
          <t>Innahura Maldives Resort</t>
        </is>
      </c>
      <c r="C32" t="inlineStr">
        <is>
          <t>not crawled</t>
        </is>
      </c>
      <c r="D32">
        <f>IFERROR(IF(MAXIFS(Documents!$E$2:$E$619,Documents!$A$2:$A$619,$A32,Documents!$C$2:$C$619,"factsheet")=0,"",MAXIFS(Documents!$E$2:$E$619,Documents!$A$2:$A$619,$A32,Documents!$C$2:$C$619,"factsheet")),"")</f>
        <v/>
      </c>
      <c r="E32">
        <f>IFERROR(IF(MAXIFS(Documents!$E$2:$E$619,Documents!$A$2:$A$619,$A32,Documents!$C$2:$C$619,"wedding")=0,"",MAXIFS(Documents!$E$2:$E$619,Documents!$A$2:$A$619,$A32,Documents!$C$2:$C$619,"wedding")),"")</f>
        <v/>
      </c>
      <c r="F32">
        <f>IFERROR(IF(MAXIFS(Documents!$E$2:$E$619,Documents!$A$2:$A$619,$A32,Documents!$C$2:$C$619,"events")=0,"",MAXIFS(Documents!$E$2:$E$619,Documents!$A$2:$A$619,$A32,Documents!$C$2:$C$619,"events")),"")</f>
        <v/>
      </c>
      <c r="G32">
        <f>IFERROR(IF(MAXIFS(Documents!$E$2:$E$619,Documents!$A$2:$A$619,$A32,Documents!$C$2:$C$619,"map")=0,"",MAXIFS(Documents!$E$2:$E$619,Documents!$A$2:$A$619,$A32,Documents!$C$2:$C$619,"map")),"")</f>
        <v/>
      </c>
      <c r="H32">
        <f>IFERROR(IF(MAXIFS(Documents!$E$2:$E$619,Documents!$A$2:$A$619,$A32,Documents!$C$2:$C$619,"dive_map")=0,"",MAXIFS(Documents!$E$2:$E$619,Documents!$A$2:$A$619,$A32,Documents!$C$2:$C$619,"dive_map")),"")</f>
        <v/>
      </c>
      <c r="I32">
        <f>IFERROR(IF(MAXIFS(Documents!$E$2:$E$619,Documents!$A$2:$A$619,$A32,Documents!$C$2:$C$619,"spa_menu")=0,"",MAXIFS(Documents!$E$2:$E$619,Documents!$A$2:$A$619,$A32,Documents!$C$2:$C$619,"spa_menu")),"")</f>
        <v/>
      </c>
      <c r="J32">
        <f>IFERROR(IF(MAXIFS(Documents!$E$2:$E$619,Documents!$A$2:$A$619,$A32,Documents!$C$2:$C$619,"dining_menu")=0,"",MAXIFS(Documents!$E$2:$E$619,Documents!$A$2:$A$619,$A32,Documents!$C$2:$C$619,"dining_menu")),"")</f>
        <v/>
      </c>
      <c r="K32">
        <f>IFERROR(IF(MAXIFS(Documents!$E$2:$E$619,Documents!$A$2:$A$619,$A32,Documents!$C$2:$C$619,"dive_prices")=0,"",MAXIFS(Documents!$E$2:$E$619,Documents!$A$2:$A$619,$A32,Documents!$C$2:$C$619,"dive_prices")),"")</f>
        <v/>
      </c>
      <c r="L32">
        <f>IFERROR(IF(MAXIFS(Documents!$E$2:$E$619,Documents!$A$2:$A$619,$A32,Documents!$C$2:$C$619,"excursions")=0,"",MAXIFS(Documents!$E$2:$E$619,Documents!$A$2:$A$619,$A32,Documents!$C$2:$C$619,"excursions")),"")</f>
        <v/>
      </c>
      <c r="M32">
        <f>IFERROR(IF(MAXIFS(Documents!$E$2:$E$619,Documents!$A$2:$A$619,$A32,Documents!$C$2:$C$619,"kids")=0,"",MAXIFS(Documents!$E$2:$E$619,Documents!$A$2:$A$619,$A32,Documents!$C$2:$C$619,"kids")),"")</f>
        <v/>
      </c>
      <c r="N32">
        <f>IFERROR(IF(MAXIFS(Documents!$E$2:$E$619,Documents!$A$2:$A$619,$A32,Documents!$C$2:$C$619,"villa_plans")=0,"",MAXIFS(Documents!$E$2:$E$619,Documents!$A$2:$A$619,$A32,Documents!$C$2:$C$619,"villa_plans")),"")</f>
        <v/>
      </c>
      <c r="O32">
        <f>IFERROR(IF(MAXIFS(Documents!$E$2:$E$619,Documents!$A$2:$A$619,$A32,Documents!$C$2:$C$619,"all_inclusive")=0,"",MAXIFS(Documents!$E$2:$E$619,Documents!$A$2:$A$619,$A32,Documents!$C$2:$C$619,"all_inclusive")),"")</f>
        <v/>
      </c>
      <c r="P32">
        <f>IFERROR(IF(MAXIFS(Documents!$E$2:$E$619,Documents!$A$2:$A$619,$A32,Documents!$C$2:$C$619,"sustainability")=0,"",MAXIFS(Documents!$E$2:$E$619,Documents!$A$2:$A$619,$A32,Documents!$C$2:$C$619,"sustainability")),"")</f>
        <v/>
      </c>
      <c r="Q32">
        <f>IFERROR(IF(MAXIFS(Documents!$E$2:$E$619,Documents!$A$2:$A$619,$A32,Documents!$C$2:$C$619,"calendar")=0,"",MAXIFS(Documents!$E$2:$E$619,Documents!$A$2:$A$619,$A32,Documents!$C$2:$C$619,"calendar")),"")</f>
        <v/>
      </c>
      <c r="R32">
        <f>IFERROR(IF(MAXIFS(Documents!$E$2:$E$619,Documents!$A$2:$A$619,$A32,Documents!$C$2:$C$619,"brochure")=0,"",MAXIFS(Documents!$E$2:$E$619,Documents!$A$2:$A$619,$A32,Documents!$C$2:$C$619,"brochure")),"")</f>
        <v/>
      </c>
      <c r="S32">
        <f>IFERROR(IF(MAXIFS(Documents!$E$2:$E$619,Documents!$A$2:$A$619,$A32,Documents!$C$2:$C$619,"press_kit")=0,"",MAXIFS(Documents!$E$2:$E$619,Documents!$A$2:$A$619,$A32,Documents!$C$2:$C$619,"press_kit")),"")</f>
        <v/>
      </c>
      <c r="T32">
        <f>IFERROR(IF(MAXIFS(Documents!$E$2:$E$619,Documents!$A$2:$A$619,$A32,Documents!$C$2:$C$619,"other")=0,"",MAXIFS(Documents!$E$2:$E$619,Documents!$A$2:$A$619,$A32,Documents!$C$2:$C$619,"other")),"")</f>
        <v/>
      </c>
      <c r="U32">
        <f>IFERROR(IF(MAXIFS(Documents!$E$2:$E$619,Documents!$A$2:$A$619,$A32,Documents!$C$2:$C$619,"obsolete")=0,"",MAXIFS(Documents!$E$2:$E$619,Documents!$A$2:$A$619,$A32,Documents!$C$2:$C$619,"obsolete")),"")</f>
        <v/>
      </c>
      <c r="V32">
        <f>COUNTIFS(Documents!$A$2:$A$619,$A32)</f>
        <v/>
      </c>
      <c r="W32">
        <f>COUNTIFS(Documents!$A$2:$A$619,$A32,Documents!$R$2:$R$619,"current")</f>
        <v/>
      </c>
      <c r="X32">
        <f>HYPERLINK("https://sales.crownandchamparesorts.com/wp-content/uploads/2023/08/FactSheetInnahura110121103122Ver110121.pdf","2021_FactSheetInnahura110121103122Ver110")</f>
        <v/>
      </c>
      <c r="Y32" t="inlineStr">
        <is>
          <t>wedding, events</t>
        </is>
      </c>
      <c r="Z32" t="inlineStr"/>
    </row>
    <row r="33">
      <c r="A33" t="n">
        <v>32</v>
      </c>
      <c r="B33" t="inlineStr">
        <is>
          <t>Cocoon Maldives</t>
        </is>
      </c>
      <c r="C33" t="inlineStr">
        <is>
          <t>not crawled</t>
        </is>
      </c>
      <c r="D33">
        <f>IFERROR(IF(MAXIFS(Documents!$E$2:$E$619,Documents!$A$2:$A$619,$A33,Documents!$C$2:$C$619,"factsheet")=0,"",MAXIFS(Documents!$E$2:$E$619,Documents!$A$2:$A$619,$A33,Documents!$C$2:$C$619,"factsheet")),"")</f>
        <v/>
      </c>
      <c r="E33">
        <f>IFERROR(IF(MAXIFS(Documents!$E$2:$E$619,Documents!$A$2:$A$619,$A33,Documents!$C$2:$C$619,"wedding")=0,"",MAXIFS(Documents!$E$2:$E$619,Documents!$A$2:$A$619,$A33,Documents!$C$2:$C$619,"wedding")),"")</f>
        <v/>
      </c>
      <c r="F33">
        <f>IFERROR(IF(MAXIFS(Documents!$E$2:$E$619,Documents!$A$2:$A$619,$A33,Documents!$C$2:$C$619,"events")=0,"",MAXIFS(Documents!$E$2:$E$619,Documents!$A$2:$A$619,$A33,Documents!$C$2:$C$619,"events")),"")</f>
        <v/>
      </c>
      <c r="G33">
        <f>IFERROR(IF(MAXIFS(Documents!$E$2:$E$619,Documents!$A$2:$A$619,$A33,Documents!$C$2:$C$619,"map")=0,"",MAXIFS(Documents!$E$2:$E$619,Documents!$A$2:$A$619,$A33,Documents!$C$2:$C$619,"map")),"")</f>
        <v/>
      </c>
      <c r="H33">
        <f>IFERROR(IF(MAXIFS(Documents!$E$2:$E$619,Documents!$A$2:$A$619,$A33,Documents!$C$2:$C$619,"dive_map")=0,"",MAXIFS(Documents!$E$2:$E$619,Documents!$A$2:$A$619,$A33,Documents!$C$2:$C$619,"dive_map")),"")</f>
        <v/>
      </c>
      <c r="I33">
        <f>IFERROR(IF(MAXIFS(Documents!$E$2:$E$619,Documents!$A$2:$A$619,$A33,Documents!$C$2:$C$619,"spa_menu")=0,"",MAXIFS(Documents!$E$2:$E$619,Documents!$A$2:$A$619,$A33,Documents!$C$2:$C$619,"spa_menu")),"")</f>
        <v/>
      </c>
      <c r="J33">
        <f>IFERROR(IF(MAXIFS(Documents!$E$2:$E$619,Documents!$A$2:$A$619,$A33,Documents!$C$2:$C$619,"dining_menu")=0,"",MAXIFS(Documents!$E$2:$E$619,Documents!$A$2:$A$619,$A33,Documents!$C$2:$C$619,"dining_menu")),"")</f>
        <v/>
      </c>
      <c r="K33">
        <f>IFERROR(IF(MAXIFS(Documents!$E$2:$E$619,Documents!$A$2:$A$619,$A33,Documents!$C$2:$C$619,"dive_prices")=0,"",MAXIFS(Documents!$E$2:$E$619,Documents!$A$2:$A$619,$A33,Documents!$C$2:$C$619,"dive_prices")),"")</f>
        <v/>
      </c>
      <c r="L33">
        <f>IFERROR(IF(MAXIFS(Documents!$E$2:$E$619,Documents!$A$2:$A$619,$A33,Documents!$C$2:$C$619,"excursions")=0,"",MAXIFS(Documents!$E$2:$E$619,Documents!$A$2:$A$619,$A33,Documents!$C$2:$C$619,"excursions")),"")</f>
        <v/>
      </c>
      <c r="M33">
        <f>IFERROR(IF(MAXIFS(Documents!$E$2:$E$619,Documents!$A$2:$A$619,$A33,Documents!$C$2:$C$619,"kids")=0,"",MAXIFS(Documents!$E$2:$E$619,Documents!$A$2:$A$619,$A33,Documents!$C$2:$C$619,"kids")),"")</f>
        <v/>
      </c>
      <c r="N33">
        <f>IFERROR(IF(MAXIFS(Documents!$E$2:$E$619,Documents!$A$2:$A$619,$A33,Documents!$C$2:$C$619,"villa_plans")=0,"",MAXIFS(Documents!$E$2:$E$619,Documents!$A$2:$A$619,$A33,Documents!$C$2:$C$619,"villa_plans")),"")</f>
        <v/>
      </c>
      <c r="O33">
        <f>IFERROR(IF(MAXIFS(Documents!$E$2:$E$619,Documents!$A$2:$A$619,$A33,Documents!$C$2:$C$619,"all_inclusive")=0,"",MAXIFS(Documents!$E$2:$E$619,Documents!$A$2:$A$619,$A33,Documents!$C$2:$C$619,"all_inclusive")),"")</f>
        <v/>
      </c>
      <c r="P33">
        <f>IFERROR(IF(MAXIFS(Documents!$E$2:$E$619,Documents!$A$2:$A$619,$A33,Documents!$C$2:$C$619,"sustainability")=0,"",MAXIFS(Documents!$E$2:$E$619,Documents!$A$2:$A$619,$A33,Documents!$C$2:$C$619,"sustainability")),"")</f>
        <v/>
      </c>
      <c r="Q33">
        <f>IFERROR(IF(MAXIFS(Documents!$E$2:$E$619,Documents!$A$2:$A$619,$A33,Documents!$C$2:$C$619,"calendar")=0,"",MAXIFS(Documents!$E$2:$E$619,Documents!$A$2:$A$619,$A33,Documents!$C$2:$C$619,"calendar")),"")</f>
        <v/>
      </c>
      <c r="R33">
        <f>IFERROR(IF(MAXIFS(Documents!$E$2:$E$619,Documents!$A$2:$A$619,$A33,Documents!$C$2:$C$619,"brochure")=0,"",MAXIFS(Documents!$E$2:$E$619,Documents!$A$2:$A$619,$A33,Documents!$C$2:$C$619,"brochure")),"")</f>
        <v/>
      </c>
      <c r="S33">
        <f>IFERROR(IF(MAXIFS(Documents!$E$2:$E$619,Documents!$A$2:$A$619,$A33,Documents!$C$2:$C$619,"press_kit")=0,"",MAXIFS(Documents!$E$2:$E$619,Documents!$A$2:$A$619,$A33,Documents!$C$2:$C$619,"press_kit")),"")</f>
        <v/>
      </c>
      <c r="T33">
        <f>IFERROR(IF(MAXIFS(Documents!$E$2:$E$619,Documents!$A$2:$A$619,$A33,Documents!$C$2:$C$619,"other")=0,"",MAXIFS(Documents!$E$2:$E$619,Documents!$A$2:$A$619,$A33,Documents!$C$2:$C$619,"other")),"")</f>
        <v/>
      </c>
      <c r="U33">
        <f>IFERROR(IF(MAXIFS(Documents!$E$2:$E$619,Documents!$A$2:$A$619,$A33,Documents!$C$2:$C$619,"obsolete")=0,"",MAXIFS(Documents!$E$2:$E$619,Documents!$A$2:$A$619,$A33,Documents!$C$2:$C$619,"obsolete")),"")</f>
        <v/>
      </c>
      <c r="V33">
        <f>COUNTIFS(Documents!$A$2:$A$619,$A33)</f>
        <v/>
      </c>
      <c r="W33">
        <f>COUNTIFS(Documents!$A$2:$A$619,$A33,Documents!$R$2:$R$619,"current")</f>
        <v/>
      </c>
      <c r="X33">
        <f>HYPERLINK("https://www.neoscapesmaldives.com/wp-content/uploads/Cocoon-Maldives-_-Fact-Sheet.pdf","2025_Cocoon-Maldives-_-Fact-Sheet.pdf")</f>
        <v/>
      </c>
      <c r="Y33" t="inlineStr">
        <is>
          <t>wedding, events</t>
        </is>
      </c>
      <c r="Z33" t="inlineStr"/>
    </row>
    <row r="34">
      <c r="A34" t="n">
        <v>33</v>
      </c>
      <c r="B34" t="inlineStr">
        <is>
          <t>Dhigali Maldives</t>
        </is>
      </c>
      <c r="C34" t="inlineStr">
        <is>
          <t>not crawled</t>
        </is>
      </c>
      <c r="D34">
        <f>IFERROR(IF(MAXIFS(Documents!$E$2:$E$619,Documents!$A$2:$A$619,$A34,Documents!$C$2:$C$619,"factsheet")=0,"",MAXIFS(Documents!$E$2:$E$619,Documents!$A$2:$A$619,$A34,Documents!$C$2:$C$619,"factsheet")),"")</f>
        <v/>
      </c>
      <c r="E34">
        <f>IFERROR(IF(MAXIFS(Documents!$E$2:$E$619,Documents!$A$2:$A$619,$A34,Documents!$C$2:$C$619,"wedding")=0,"",MAXIFS(Documents!$E$2:$E$619,Documents!$A$2:$A$619,$A34,Documents!$C$2:$C$619,"wedding")),"")</f>
        <v/>
      </c>
      <c r="F34">
        <f>IFERROR(IF(MAXIFS(Documents!$E$2:$E$619,Documents!$A$2:$A$619,$A34,Documents!$C$2:$C$619,"events")=0,"",MAXIFS(Documents!$E$2:$E$619,Documents!$A$2:$A$619,$A34,Documents!$C$2:$C$619,"events")),"")</f>
        <v/>
      </c>
      <c r="G34">
        <f>IFERROR(IF(MAXIFS(Documents!$E$2:$E$619,Documents!$A$2:$A$619,$A34,Documents!$C$2:$C$619,"map")=0,"",MAXIFS(Documents!$E$2:$E$619,Documents!$A$2:$A$619,$A34,Documents!$C$2:$C$619,"map")),"")</f>
        <v/>
      </c>
      <c r="H34">
        <f>IFERROR(IF(MAXIFS(Documents!$E$2:$E$619,Documents!$A$2:$A$619,$A34,Documents!$C$2:$C$619,"dive_map")=0,"",MAXIFS(Documents!$E$2:$E$619,Documents!$A$2:$A$619,$A34,Documents!$C$2:$C$619,"dive_map")),"")</f>
        <v/>
      </c>
      <c r="I34">
        <f>IFERROR(IF(MAXIFS(Documents!$E$2:$E$619,Documents!$A$2:$A$619,$A34,Documents!$C$2:$C$619,"spa_menu")=0,"",MAXIFS(Documents!$E$2:$E$619,Documents!$A$2:$A$619,$A34,Documents!$C$2:$C$619,"spa_menu")),"")</f>
        <v/>
      </c>
      <c r="J34">
        <f>IFERROR(IF(MAXIFS(Documents!$E$2:$E$619,Documents!$A$2:$A$619,$A34,Documents!$C$2:$C$619,"dining_menu")=0,"",MAXIFS(Documents!$E$2:$E$619,Documents!$A$2:$A$619,$A34,Documents!$C$2:$C$619,"dining_menu")),"")</f>
        <v/>
      </c>
      <c r="K34">
        <f>IFERROR(IF(MAXIFS(Documents!$E$2:$E$619,Documents!$A$2:$A$619,$A34,Documents!$C$2:$C$619,"dive_prices")=0,"",MAXIFS(Documents!$E$2:$E$619,Documents!$A$2:$A$619,$A34,Documents!$C$2:$C$619,"dive_prices")),"")</f>
        <v/>
      </c>
      <c r="L34">
        <f>IFERROR(IF(MAXIFS(Documents!$E$2:$E$619,Documents!$A$2:$A$619,$A34,Documents!$C$2:$C$619,"excursions")=0,"",MAXIFS(Documents!$E$2:$E$619,Documents!$A$2:$A$619,$A34,Documents!$C$2:$C$619,"excursions")),"")</f>
        <v/>
      </c>
      <c r="M34">
        <f>IFERROR(IF(MAXIFS(Documents!$E$2:$E$619,Documents!$A$2:$A$619,$A34,Documents!$C$2:$C$619,"kids")=0,"",MAXIFS(Documents!$E$2:$E$619,Documents!$A$2:$A$619,$A34,Documents!$C$2:$C$619,"kids")),"")</f>
        <v/>
      </c>
      <c r="N34">
        <f>IFERROR(IF(MAXIFS(Documents!$E$2:$E$619,Documents!$A$2:$A$619,$A34,Documents!$C$2:$C$619,"villa_plans")=0,"",MAXIFS(Documents!$E$2:$E$619,Documents!$A$2:$A$619,$A34,Documents!$C$2:$C$619,"villa_plans")),"")</f>
        <v/>
      </c>
      <c r="O34">
        <f>IFERROR(IF(MAXIFS(Documents!$E$2:$E$619,Documents!$A$2:$A$619,$A34,Documents!$C$2:$C$619,"all_inclusive")=0,"",MAXIFS(Documents!$E$2:$E$619,Documents!$A$2:$A$619,$A34,Documents!$C$2:$C$619,"all_inclusive")),"")</f>
        <v/>
      </c>
      <c r="P34">
        <f>IFERROR(IF(MAXIFS(Documents!$E$2:$E$619,Documents!$A$2:$A$619,$A34,Documents!$C$2:$C$619,"sustainability")=0,"",MAXIFS(Documents!$E$2:$E$619,Documents!$A$2:$A$619,$A34,Documents!$C$2:$C$619,"sustainability")),"")</f>
        <v/>
      </c>
      <c r="Q34">
        <f>IFERROR(IF(MAXIFS(Documents!$E$2:$E$619,Documents!$A$2:$A$619,$A34,Documents!$C$2:$C$619,"calendar")=0,"",MAXIFS(Documents!$E$2:$E$619,Documents!$A$2:$A$619,$A34,Documents!$C$2:$C$619,"calendar")),"")</f>
        <v/>
      </c>
      <c r="R34">
        <f>IFERROR(IF(MAXIFS(Documents!$E$2:$E$619,Documents!$A$2:$A$619,$A34,Documents!$C$2:$C$619,"brochure")=0,"",MAXIFS(Documents!$E$2:$E$619,Documents!$A$2:$A$619,$A34,Documents!$C$2:$C$619,"brochure")),"")</f>
        <v/>
      </c>
      <c r="S34">
        <f>IFERROR(IF(MAXIFS(Documents!$E$2:$E$619,Documents!$A$2:$A$619,$A34,Documents!$C$2:$C$619,"press_kit")=0,"",MAXIFS(Documents!$E$2:$E$619,Documents!$A$2:$A$619,$A34,Documents!$C$2:$C$619,"press_kit")),"")</f>
        <v/>
      </c>
      <c r="T34">
        <f>IFERROR(IF(MAXIFS(Documents!$E$2:$E$619,Documents!$A$2:$A$619,$A34,Documents!$C$2:$C$619,"other")=0,"",MAXIFS(Documents!$E$2:$E$619,Documents!$A$2:$A$619,$A34,Documents!$C$2:$C$619,"other")),"")</f>
        <v/>
      </c>
      <c r="U34">
        <f>IFERROR(IF(MAXIFS(Documents!$E$2:$E$619,Documents!$A$2:$A$619,$A34,Documents!$C$2:$C$619,"obsolete")=0,"",MAXIFS(Documents!$E$2:$E$619,Documents!$A$2:$A$619,$A34,Documents!$C$2:$C$619,"obsolete")),"")</f>
        <v/>
      </c>
      <c r="V34">
        <f>COUNTIFS(Documents!$A$2:$A$619,$A34)</f>
        <v/>
      </c>
      <c r="W34">
        <f>COUNTIFS(Documents!$A$2:$A$619,$A34,Documents!$R$2:$R$619,"current")</f>
        <v/>
      </c>
      <c r="X34">
        <f>HYPERLINK("https://www.neoscapesmaldives.com/wp-content/uploads/Dhigali_Factsheet-03-15-2022.pdf","2022_Dhigali_Factsheet-03-15-2022.pdf")</f>
        <v/>
      </c>
      <c r="Y34" t="inlineStr">
        <is>
          <t>wedding, events</t>
        </is>
      </c>
      <c r="Z34" t="inlineStr">
        <is>
          <t>NIVA Dhigali</t>
        </is>
      </c>
    </row>
    <row r="35">
      <c r="A35" t="n">
        <v>34</v>
      </c>
      <c r="B35" t="inlineStr">
        <is>
          <t>Adaaran Select Meedhupparu</t>
        </is>
      </c>
      <c r="C35" t="inlineStr">
        <is>
          <t>not crawled</t>
        </is>
      </c>
      <c r="D35">
        <f>IFERROR(IF(MAXIFS(Documents!$E$2:$E$619,Documents!$A$2:$A$619,$A35,Documents!$C$2:$C$619,"factsheet")=0,"",MAXIFS(Documents!$E$2:$E$619,Documents!$A$2:$A$619,$A35,Documents!$C$2:$C$619,"factsheet")),"")</f>
        <v/>
      </c>
      <c r="E35">
        <f>IFERROR(IF(MAXIFS(Documents!$E$2:$E$619,Documents!$A$2:$A$619,$A35,Documents!$C$2:$C$619,"wedding")=0,"",MAXIFS(Documents!$E$2:$E$619,Documents!$A$2:$A$619,$A35,Documents!$C$2:$C$619,"wedding")),"")</f>
        <v/>
      </c>
      <c r="F35">
        <f>IFERROR(IF(MAXIFS(Documents!$E$2:$E$619,Documents!$A$2:$A$619,$A35,Documents!$C$2:$C$619,"events")=0,"",MAXIFS(Documents!$E$2:$E$619,Documents!$A$2:$A$619,$A35,Documents!$C$2:$C$619,"events")),"")</f>
        <v/>
      </c>
      <c r="G35">
        <f>IFERROR(IF(MAXIFS(Documents!$E$2:$E$619,Documents!$A$2:$A$619,$A35,Documents!$C$2:$C$619,"map")=0,"",MAXIFS(Documents!$E$2:$E$619,Documents!$A$2:$A$619,$A35,Documents!$C$2:$C$619,"map")),"")</f>
        <v/>
      </c>
      <c r="H35">
        <f>IFERROR(IF(MAXIFS(Documents!$E$2:$E$619,Documents!$A$2:$A$619,$A35,Documents!$C$2:$C$619,"dive_map")=0,"",MAXIFS(Documents!$E$2:$E$619,Documents!$A$2:$A$619,$A35,Documents!$C$2:$C$619,"dive_map")),"")</f>
        <v/>
      </c>
      <c r="I35">
        <f>IFERROR(IF(MAXIFS(Documents!$E$2:$E$619,Documents!$A$2:$A$619,$A35,Documents!$C$2:$C$619,"spa_menu")=0,"",MAXIFS(Documents!$E$2:$E$619,Documents!$A$2:$A$619,$A35,Documents!$C$2:$C$619,"spa_menu")),"")</f>
        <v/>
      </c>
      <c r="J35">
        <f>IFERROR(IF(MAXIFS(Documents!$E$2:$E$619,Documents!$A$2:$A$619,$A35,Documents!$C$2:$C$619,"dining_menu")=0,"",MAXIFS(Documents!$E$2:$E$619,Documents!$A$2:$A$619,$A35,Documents!$C$2:$C$619,"dining_menu")),"")</f>
        <v/>
      </c>
      <c r="K35">
        <f>IFERROR(IF(MAXIFS(Documents!$E$2:$E$619,Documents!$A$2:$A$619,$A35,Documents!$C$2:$C$619,"dive_prices")=0,"",MAXIFS(Documents!$E$2:$E$619,Documents!$A$2:$A$619,$A35,Documents!$C$2:$C$619,"dive_prices")),"")</f>
        <v/>
      </c>
      <c r="L35">
        <f>IFERROR(IF(MAXIFS(Documents!$E$2:$E$619,Documents!$A$2:$A$619,$A35,Documents!$C$2:$C$619,"excursions")=0,"",MAXIFS(Documents!$E$2:$E$619,Documents!$A$2:$A$619,$A35,Documents!$C$2:$C$619,"excursions")),"")</f>
        <v/>
      </c>
      <c r="M35">
        <f>IFERROR(IF(MAXIFS(Documents!$E$2:$E$619,Documents!$A$2:$A$619,$A35,Documents!$C$2:$C$619,"kids")=0,"",MAXIFS(Documents!$E$2:$E$619,Documents!$A$2:$A$619,$A35,Documents!$C$2:$C$619,"kids")),"")</f>
        <v/>
      </c>
      <c r="N35">
        <f>IFERROR(IF(MAXIFS(Documents!$E$2:$E$619,Documents!$A$2:$A$619,$A35,Documents!$C$2:$C$619,"villa_plans")=0,"",MAXIFS(Documents!$E$2:$E$619,Documents!$A$2:$A$619,$A35,Documents!$C$2:$C$619,"villa_plans")),"")</f>
        <v/>
      </c>
      <c r="O35">
        <f>IFERROR(IF(MAXIFS(Documents!$E$2:$E$619,Documents!$A$2:$A$619,$A35,Documents!$C$2:$C$619,"all_inclusive")=0,"",MAXIFS(Documents!$E$2:$E$619,Documents!$A$2:$A$619,$A35,Documents!$C$2:$C$619,"all_inclusive")),"")</f>
        <v/>
      </c>
      <c r="P35">
        <f>IFERROR(IF(MAXIFS(Documents!$E$2:$E$619,Documents!$A$2:$A$619,$A35,Documents!$C$2:$C$619,"sustainability")=0,"",MAXIFS(Documents!$E$2:$E$619,Documents!$A$2:$A$619,$A35,Documents!$C$2:$C$619,"sustainability")),"")</f>
        <v/>
      </c>
      <c r="Q35">
        <f>IFERROR(IF(MAXIFS(Documents!$E$2:$E$619,Documents!$A$2:$A$619,$A35,Documents!$C$2:$C$619,"calendar")=0,"",MAXIFS(Documents!$E$2:$E$619,Documents!$A$2:$A$619,$A35,Documents!$C$2:$C$619,"calendar")),"")</f>
        <v/>
      </c>
      <c r="R35">
        <f>IFERROR(IF(MAXIFS(Documents!$E$2:$E$619,Documents!$A$2:$A$619,$A35,Documents!$C$2:$C$619,"brochure")=0,"",MAXIFS(Documents!$E$2:$E$619,Documents!$A$2:$A$619,$A35,Documents!$C$2:$C$619,"brochure")),"")</f>
        <v/>
      </c>
      <c r="S35">
        <f>IFERROR(IF(MAXIFS(Documents!$E$2:$E$619,Documents!$A$2:$A$619,$A35,Documents!$C$2:$C$619,"press_kit")=0,"",MAXIFS(Documents!$E$2:$E$619,Documents!$A$2:$A$619,$A35,Documents!$C$2:$C$619,"press_kit")),"")</f>
        <v/>
      </c>
      <c r="T35">
        <f>IFERROR(IF(MAXIFS(Documents!$E$2:$E$619,Documents!$A$2:$A$619,$A35,Documents!$C$2:$C$619,"other")=0,"",MAXIFS(Documents!$E$2:$E$619,Documents!$A$2:$A$619,$A35,Documents!$C$2:$C$619,"other")),"")</f>
        <v/>
      </c>
      <c r="U35">
        <f>IFERROR(IF(MAXIFS(Documents!$E$2:$E$619,Documents!$A$2:$A$619,$A35,Documents!$C$2:$C$619,"obsolete")=0,"",MAXIFS(Documents!$E$2:$E$619,Documents!$A$2:$A$619,$A35,Documents!$C$2:$C$619,"obsolete")),"")</f>
        <v/>
      </c>
      <c r="V35">
        <f>COUNTIFS(Documents!$A$2:$A$619,$A35)</f>
        <v/>
      </c>
      <c r="W35">
        <f>COUNTIFS(Documents!$A$2:$A$619,$A35,Documents!$R$2:$R$619,"current")</f>
        <v/>
      </c>
      <c r="X35" t="inlineStr"/>
      <c r="Y35" t="inlineStr">
        <is>
          <t>factsheet, wedding, events</t>
        </is>
      </c>
      <c r="Z35" t="inlineStr"/>
    </row>
    <row r="36">
      <c r="A36" t="n">
        <v>35</v>
      </c>
      <c r="B36" t="inlineStr">
        <is>
          <t>Heritance Aarah</t>
        </is>
      </c>
      <c r="C36" t="inlineStr">
        <is>
          <t>not crawled</t>
        </is>
      </c>
      <c r="D36">
        <f>IFERROR(IF(MAXIFS(Documents!$E$2:$E$619,Documents!$A$2:$A$619,$A36,Documents!$C$2:$C$619,"factsheet")=0,"",MAXIFS(Documents!$E$2:$E$619,Documents!$A$2:$A$619,$A36,Documents!$C$2:$C$619,"factsheet")),"")</f>
        <v/>
      </c>
      <c r="E36">
        <f>IFERROR(IF(MAXIFS(Documents!$E$2:$E$619,Documents!$A$2:$A$619,$A36,Documents!$C$2:$C$619,"wedding")=0,"",MAXIFS(Documents!$E$2:$E$619,Documents!$A$2:$A$619,$A36,Documents!$C$2:$C$619,"wedding")),"")</f>
        <v/>
      </c>
      <c r="F36">
        <f>IFERROR(IF(MAXIFS(Documents!$E$2:$E$619,Documents!$A$2:$A$619,$A36,Documents!$C$2:$C$619,"events")=0,"",MAXIFS(Documents!$E$2:$E$619,Documents!$A$2:$A$619,$A36,Documents!$C$2:$C$619,"events")),"")</f>
        <v/>
      </c>
      <c r="G36">
        <f>IFERROR(IF(MAXIFS(Documents!$E$2:$E$619,Documents!$A$2:$A$619,$A36,Documents!$C$2:$C$619,"map")=0,"",MAXIFS(Documents!$E$2:$E$619,Documents!$A$2:$A$619,$A36,Documents!$C$2:$C$619,"map")),"")</f>
        <v/>
      </c>
      <c r="H36">
        <f>IFERROR(IF(MAXIFS(Documents!$E$2:$E$619,Documents!$A$2:$A$619,$A36,Documents!$C$2:$C$619,"dive_map")=0,"",MAXIFS(Documents!$E$2:$E$619,Documents!$A$2:$A$619,$A36,Documents!$C$2:$C$619,"dive_map")),"")</f>
        <v/>
      </c>
      <c r="I36">
        <f>IFERROR(IF(MAXIFS(Documents!$E$2:$E$619,Documents!$A$2:$A$619,$A36,Documents!$C$2:$C$619,"spa_menu")=0,"",MAXIFS(Documents!$E$2:$E$619,Documents!$A$2:$A$619,$A36,Documents!$C$2:$C$619,"spa_menu")),"")</f>
        <v/>
      </c>
      <c r="J36">
        <f>IFERROR(IF(MAXIFS(Documents!$E$2:$E$619,Documents!$A$2:$A$619,$A36,Documents!$C$2:$C$619,"dining_menu")=0,"",MAXIFS(Documents!$E$2:$E$619,Documents!$A$2:$A$619,$A36,Documents!$C$2:$C$619,"dining_menu")),"")</f>
        <v/>
      </c>
      <c r="K36">
        <f>IFERROR(IF(MAXIFS(Documents!$E$2:$E$619,Documents!$A$2:$A$619,$A36,Documents!$C$2:$C$619,"dive_prices")=0,"",MAXIFS(Documents!$E$2:$E$619,Documents!$A$2:$A$619,$A36,Documents!$C$2:$C$619,"dive_prices")),"")</f>
        <v/>
      </c>
      <c r="L36">
        <f>IFERROR(IF(MAXIFS(Documents!$E$2:$E$619,Documents!$A$2:$A$619,$A36,Documents!$C$2:$C$619,"excursions")=0,"",MAXIFS(Documents!$E$2:$E$619,Documents!$A$2:$A$619,$A36,Documents!$C$2:$C$619,"excursions")),"")</f>
        <v/>
      </c>
      <c r="M36">
        <f>IFERROR(IF(MAXIFS(Documents!$E$2:$E$619,Documents!$A$2:$A$619,$A36,Documents!$C$2:$C$619,"kids")=0,"",MAXIFS(Documents!$E$2:$E$619,Documents!$A$2:$A$619,$A36,Documents!$C$2:$C$619,"kids")),"")</f>
        <v/>
      </c>
      <c r="N36">
        <f>IFERROR(IF(MAXIFS(Documents!$E$2:$E$619,Documents!$A$2:$A$619,$A36,Documents!$C$2:$C$619,"villa_plans")=0,"",MAXIFS(Documents!$E$2:$E$619,Documents!$A$2:$A$619,$A36,Documents!$C$2:$C$619,"villa_plans")),"")</f>
        <v/>
      </c>
      <c r="O36">
        <f>IFERROR(IF(MAXIFS(Documents!$E$2:$E$619,Documents!$A$2:$A$619,$A36,Documents!$C$2:$C$619,"all_inclusive")=0,"",MAXIFS(Documents!$E$2:$E$619,Documents!$A$2:$A$619,$A36,Documents!$C$2:$C$619,"all_inclusive")),"")</f>
        <v/>
      </c>
      <c r="P36">
        <f>IFERROR(IF(MAXIFS(Documents!$E$2:$E$619,Documents!$A$2:$A$619,$A36,Documents!$C$2:$C$619,"sustainability")=0,"",MAXIFS(Documents!$E$2:$E$619,Documents!$A$2:$A$619,$A36,Documents!$C$2:$C$619,"sustainability")),"")</f>
        <v/>
      </c>
      <c r="Q36">
        <f>IFERROR(IF(MAXIFS(Documents!$E$2:$E$619,Documents!$A$2:$A$619,$A36,Documents!$C$2:$C$619,"calendar")=0,"",MAXIFS(Documents!$E$2:$E$619,Documents!$A$2:$A$619,$A36,Documents!$C$2:$C$619,"calendar")),"")</f>
        <v/>
      </c>
      <c r="R36">
        <f>IFERROR(IF(MAXIFS(Documents!$E$2:$E$619,Documents!$A$2:$A$619,$A36,Documents!$C$2:$C$619,"brochure")=0,"",MAXIFS(Documents!$E$2:$E$619,Documents!$A$2:$A$619,$A36,Documents!$C$2:$C$619,"brochure")),"")</f>
        <v/>
      </c>
      <c r="S36">
        <f>IFERROR(IF(MAXIFS(Documents!$E$2:$E$619,Documents!$A$2:$A$619,$A36,Documents!$C$2:$C$619,"press_kit")=0,"",MAXIFS(Documents!$E$2:$E$619,Documents!$A$2:$A$619,$A36,Documents!$C$2:$C$619,"press_kit")),"")</f>
        <v/>
      </c>
      <c r="T36">
        <f>IFERROR(IF(MAXIFS(Documents!$E$2:$E$619,Documents!$A$2:$A$619,$A36,Documents!$C$2:$C$619,"other")=0,"",MAXIFS(Documents!$E$2:$E$619,Documents!$A$2:$A$619,$A36,Documents!$C$2:$C$619,"other")),"")</f>
        <v/>
      </c>
      <c r="U36">
        <f>IFERROR(IF(MAXIFS(Documents!$E$2:$E$619,Documents!$A$2:$A$619,$A36,Documents!$C$2:$C$619,"obsolete")=0,"",MAXIFS(Documents!$E$2:$E$619,Documents!$A$2:$A$619,$A36,Documents!$C$2:$C$619,"obsolete")),"")</f>
        <v/>
      </c>
      <c r="V36">
        <f>COUNTIFS(Documents!$A$2:$A$619,$A36)</f>
        <v/>
      </c>
      <c r="W36">
        <f>COUNTIFS(Documents!$A$2:$A$619,$A36,Documents!$R$2:$R$619,"current")</f>
        <v/>
      </c>
      <c r="X36">
        <f>HYPERLINK("https://www.neoscapesmaldives.com/wp-content/uploads/Heritance-Aarah-Fact-Sheet_Dec-V2.pdf","2020_Heritance-Aarah-Fact-Sheet_Dec-V2.p")</f>
        <v/>
      </c>
      <c r="Y36" t="inlineStr">
        <is>
          <t>wedding, events</t>
        </is>
      </c>
      <c r="Z36" t="inlineStr"/>
    </row>
    <row r="37">
      <c r="A37" t="n">
        <v>36</v>
      </c>
      <c r="B37" t="inlineStr">
        <is>
          <t>Coastline Residences</t>
        </is>
      </c>
      <c r="C37" t="inlineStr">
        <is>
          <t>not crawled</t>
        </is>
      </c>
      <c r="D37">
        <f>IFERROR(IF(MAXIFS(Documents!$E$2:$E$619,Documents!$A$2:$A$619,$A37,Documents!$C$2:$C$619,"factsheet")=0,"",MAXIFS(Documents!$E$2:$E$619,Documents!$A$2:$A$619,$A37,Documents!$C$2:$C$619,"factsheet")),"")</f>
        <v/>
      </c>
      <c r="E37">
        <f>IFERROR(IF(MAXIFS(Documents!$E$2:$E$619,Documents!$A$2:$A$619,$A37,Documents!$C$2:$C$619,"wedding")=0,"",MAXIFS(Documents!$E$2:$E$619,Documents!$A$2:$A$619,$A37,Documents!$C$2:$C$619,"wedding")),"")</f>
        <v/>
      </c>
      <c r="F37">
        <f>IFERROR(IF(MAXIFS(Documents!$E$2:$E$619,Documents!$A$2:$A$619,$A37,Documents!$C$2:$C$619,"events")=0,"",MAXIFS(Documents!$E$2:$E$619,Documents!$A$2:$A$619,$A37,Documents!$C$2:$C$619,"events")),"")</f>
        <v/>
      </c>
      <c r="G37">
        <f>IFERROR(IF(MAXIFS(Documents!$E$2:$E$619,Documents!$A$2:$A$619,$A37,Documents!$C$2:$C$619,"map")=0,"",MAXIFS(Documents!$E$2:$E$619,Documents!$A$2:$A$619,$A37,Documents!$C$2:$C$619,"map")),"")</f>
        <v/>
      </c>
      <c r="H37">
        <f>IFERROR(IF(MAXIFS(Documents!$E$2:$E$619,Documents!$A$2:$A$619,$A37,Documents!$C$2:$C$619,"dive_map")=0,"",MAXIFS(Documents!$E$2:$E$619,Documents!$A$2:$A$619,$A37,Documents!$C$2:$C$619,"dive_map")),"")</f>
        <v/>
      </c>
      <c r="I37">
        <f>IFERROR(IF(MAXIFS(Documents!$E$2:$E$619,Documents!$A$2:$A$619,$A37,Documents!$C$2:$C$619,"spa_menu")=0,"",MAXIFS(Documents!$E$2:$E$619,Documents!$A$2:$A$619,$A37,Documents!$C$2:$C$619,"spa_menu")),"")</f>
        <v/>
      </c>
      <c r="J37">
        <f>IFERROR(IF(MAXIFS(Documents!$E$2:$E$619,Documents!$A$2:$A$619,$A37,Documents!$C$2:$C$619,"dining_menu")=0,"",MAXIFS(Documents!$E$2:$E$619,Documents!$A$2:$A$619,$A37,Documents!$C$2:$C$619,"dining_menu")),"")</f>
        <v/>
      </c>
      <c r="K37">
        <f>IFERROR(IF(MAXIFS(Documents!$E$2:$E$619,Documents!$A$2:$A$619,$A37,Documents!$C$2:$C$619,"dive_prices")=0,"",MAXIFS(Documents!$E$2:$E$619,Documents!$A$2:$A$619,$A37,Documents!$C$2:$C$619,"dive_prices")),"")</f>
        <v/>
      </c>
      <c r="L37">
        <f>IFERROR(IF(MAXIFS(Documents!$E$2:$E$619,Documents!$A$2:$A$619,$A37,Documents!$C$2:$C$619,"excursions")=0,"",MAXIFS(Documents!$E$2:$E$619,Documents!$A$2:$A$619,$A37,Documents!$C$2:$C$619,"excursions")),"")</f>
        <v/>
      </c>
      <c r="M37">
        <f>IFERROR(IF(MAXIFS(Documents!$E$2:$E$619,Documents!$A$2:$A$619,$A37,Documents!$C$2:$C$619,"kids")=0,"",MAXIFS(Documents!$E$2:$E$619,Documents!$A$2:$A$619,$A37,Documents!$C$2:$C$619,"kids")),"")</f>
        <v/>
      </c>
      <c r="N37">
        <f>IFERROR(IF(MAXIFS(Documents!$E$2:$E$619,Documents!$A$2:$A$619,$A37,Documents!$C$2:$C$619,"villa_plans")=0,"",MAXIFS(Documents!$E$2:$E$619,Documents!$A$2:$A$619,$A37,Documents!$C$2:$C$619,"villa_plans")),"")</f>
        <v/>
      </c>
      <c r="O37">
        <f>IFERROR(IF(MAXIFS(Documents!$E$2:$E$619,Documents!$A$2:$A$619,$A37,Documents!$C$2:$C$619,"all_inclusive")=0,"",MAXIFS(Documents!$E$2:$E$619,Documents!$A$2:$A$619,$A37,Documents!$C$2:$C$619,"all_inclusive")),"")</f>
        <v/>
      </c>
      <c r="P37">
        <f>IFERROR(IF(MAXIFS(Documents!$E$2:$E$619,Documents!$A$2:$A$619,$A37,Documents!$C$2:$C$619,"sustainability")=0,"",MAXIFS(Documents!$E$2:$E$619,Documents!$A$2:$A$619,$A37,Documents!$C$2:$C$619,"sustainability")),"")</f>
        <v/>
      </c>
      <c r="Q37">
        <f>IFERROR(IF(MAXIFS(Documents!$E$2:$E$619,Documents!$A$2:$A$619,$A37,Documents!$C$2:$C$619,"calendar")=0,"",MAXIFS(Documents!$E$2:$E$619,Documents!$A$2:$A$619,$A37,Documents!$C$2:$C$619,"calendar")),"")</f>
        <v/>
      </c>
      <c r="R37">
        <f>IFERROR(IF(MAXIFS(Documents!$E$2:$E$619,Documents!$A$2:$A$619,$A37,Documents!$C$2:$C$619,"brochure")=0,"",MAXIFS(Documents!$E$2:$E$619,Documents!$A$2:$A$619,$A37,Documents!$C$2:$C$619,"brochure")),"")</f>
        <v/>
      </c>
      <c r="S37">
        <f>IFERROR(IF(MAXIFS(Documents!$E$2:$E$619,Documents!$A$2:$A$619,$A37,Documents!$C$2:$C$619,"press_kit")=0,"",MAXIFS(Documents!$E$2:$E$619,Documents!$A$2:$A$619,$A37,Documents!$C$2:$C$619,"press_kit")),"")</f>
        <v/>
      </c>
      <c r="T37">
        <f>IFERROR(IF(MAXIFS(Documents!$E$2:$E$619,Documents!$A$2:$A$619,$A37,Documents!$C$2:$C$619,"other")=0,"",MAXIFS(Documents!$E$2:$E$619,Documents!$A$2:$A$619,$A37,Documents!$C$2:$C$619,"other")),"")</f>
        <v/>
      </c>
      <c r="U37">
        <f>IFERROR(IF(MAXIFS(Documents!$E$2:$E$619,Documents!$A$2:$A$619,$A37,Documents!$C$2:$C$619,"obsolete")=0,"",MAXIFS(Documents!$E$2:$E$619,Documents!$A$2:$A$619,$A37,Documents!$C$2:$C$619,"obsolete")),"")</f>
        <v/>
      </c>
      <c r="V37">
        <f>COUNTIFS(Documents!$A$2:$A$619,$A37)</f>
        <v/>
      </c>
      <c r="W37">
        <f>COUNTIFS(Documents!$A$2:$A$619,$A37,Documents!$R$2:$R$619,"current")</f>
        <v/>
      </c>
      <c r="X37" t="inlineStr"/>
      <c r="Y37" t="inlineStr">
        <is>
          <t>factsheet, wedding, events</t>
        </is>
      </c>
      <c r="Z37" t="inlineStr"/>
    </row>
    <row r="38">
      <c r="A38" t="n">
        <v>37</v>
      </c>
      <c r="B38" t="inlineStr">
        <is>
          <t>The Ritz Carlton Maldives Fari Islands</t>
        </is>
      </c>
      <c r="C38" t="inlineStr">
        <is>
          <t>not crawled</t>
        </is>
      </c>
      <c r="D38">
        <f>IFERROR(IF(MAXIFS(Documents!$E$2:$E$619,Documents!$A$2:$A$619,$A38,Documents!$C$2:$C$619,"factsheet")=0,"",MAXIFS(Documents!$E$2:$E$619,Documents!$A$2:$A$619,$A38,Documents!$C$2:$C$619,"factsheet")),"")</f>
        <v/>
      </c>
      <c r="E38">
        <f>IFERROR(IF(MAXIFS(Documents!$E$2:$E$619,Documents!$A$2:$A$619,$A38,Documents!$C$2:$C$619,"wedding")=0,"",MAXIFS(Documents!$E$2:$E$619,Documents!$A$2:$A$619,$A38,Documents!$C$2:$C$619,"wedding")),"")</f>
        <v/>
      </c>
      <c r="F38">
        <f>IFERROR(IF(MAXIFS(Documents!$E$2:$E$619,Documents!$A$2:$A$619,$A38,Documents!$C$2:$C$619,"events")=0,"",MAXIFS(Documents!$E$2:$E$619,Documents!$A$2:$A$619,$A38,Documents!$C$2:$C$619,"events")),"")</f>
        <v/>
      </c>
      <c r="G38">
        <f>IFERROR(IF(MAXIFS(Documents!$E$2:$E$619,Documents!$A$2:$A$619,$A38,Documents!$C$2:$C$619,"map")=0,"",MAXIFS(Documents!$E$2:$E$619,Documents!$A$2:$A$619,$A38,Documents!$C$2:$C$619,"map")),"")</f>
        <v/>
      </c>
      <c r="H38">
        <f>IFERROR(IF(MAXIFS(Documents!$E$2:$E$619,Documents!$A$2:$A$619,$A38,Documents!$C$2:$C$619,"dive_map")=0,"",MAXIFS(Documents!$E$2:$E$619,Documents!$A$2:$A$619,$A38,Documents!$C$2:$C$619,"dive_map")),"")</f>
        <v/>
      </c>
      <c r="I38">
        <f>IFERROR(IF(MAXIFS(Documents!$E$2:$E$619,Documents!$A$2:$A$619,$A38,Documents!$C$2:$C$619,"spa_menu")=0,"",MAXIFS(Documents!$E$2:$E$619,Documents!$A$2:$A$619,$A38,Documents!$C$2:$C$619,"spa_menu")),"")</f>
        <v/>
      </c>
      <c r="J38">
        <f>IFERROR(IF(MAXIFS(Documents!$E$2:$E$619,Documents!$A$2:$A$619,$A38,Documents!$C$2:$C$619,"dining_menu")=0,"",MAXIFS(Documents!$E$2:$E$619,Documents!$A$2:$A$619,$A38,Documents!$C$2:$C$619,"dining_menu")),"")</f>
        <v/>
      </c>
      <c r="K38">
        <f>IFERROR(IF(MAXIFS(Documents!$E$2:$E$619,Documents!$A$2:$A$619,$A38,Documents!$C$2:$C$619,"dive_prices")=0,"",MAXIFS(Documents!$E$2:$E$619,Documents!$A$2:$A$619,$A38,Documents!$C$2:$C$619,"dive_prices")),"")</f>
        <v/>
      </c>
      <c r="L38">
        <f>IFERROR(IF(MAXIFS(Documents!$E$2:$E$619,Documents!$A$2:$A$619,$A38,Documents!$C$2:$C$619,"excursions")=0,"",MAXIFS(Documents!$E$2:$E$619,Documents!$A$2:$A$619,$A38,Documents!$C$2:$C$619,"excursions")),"")</f>
        <v/>
      </c>
      <c r="M38">
        <f>IFERROR(IF(MAXIFS(Documents!$E$2:$E$619,Documents!$A$2:$A$619,$A38,Documents!$C$2:$C$619,"kids")=0,"",MAXIFS(Documents!$E$2:$E$619,Documents!$A$2:$A$619,$A38,Documents!$C$2:$C$619,"kids")),"")</f>
        <v/>
      </c>
      <c r="N38">
        <f>IFERROR(IF(MAXIFS(Documents!$E$2:$E$619,Documents!$A$2:$A$619,$A38,Documents!$C$2:$C$619,"villa_plans")=0,"",MAXIFS(Documents!$E$2:$E$619,Documents!$A$2:$A$619,$A38,Documents!$C$2:$C$619,"villa_plans")),"")</f>
        <v/>
      </c>
      <c r="O38">
        <f>IFERROR(IF(MAXIFS(Documents!$E$2:$E$619,Documents!$A$2:$A$619,$A38,Documents!$C$2:$C$619,"all_inclusive")=0,"",MAXIFS(Documents!$E$2:$E$619,Documents!$A$2:$A$619,$A38,Documents!$C$2:$C$619,"all_inclusive")),"")</f>
        <v/>
      </c>
      <c r="P38">
        <f>IFERROR(IF(MAXIFS(Documents!$E$2:$E$619,Documents!$A$2:$A$619,$A38,Documents!$C$2:$C$619,"sustainability")=0,"",MAXIFS(Documents!$E$2:$E$619,Documents!$A$2:$A$619,$A38,Documents!$C$2:$C$619,"sustainability")),"")</f>
        <v/>
      </c>
      <c r="Q38">
        <f>IFERROR(IF(MAXIFS(Documents!$E$2:$E$619,Documents!$A$2:$A$619,$A38,Documents!$C$2:$C$619,"calendar")=0,"",MAXIFS(Documents!$E$2:$E$619,Documents!$A$2:$A$619,$A38,Documents!$C$2:$C$619,"calendar")),"")</f>
        <v/>
      </c>
      <c r="R38">
        <f>IFERROR(IF(MAXIFS(Documents!$E$2:$E$619,Documents!$A$2:$A$619,$A38,Documents!$C$2:$C$619,"brochure")=0,"",MAXIFS(Documents!$E$2:$E$619,Documents!$A$2:$A$619,$A38,Documents!$C$2:$C$619,"brochure")),"")</f>
        <v/>
      </c>
      <c r="S38">
        <f>IFERROR(IF(MAXIFS(Documents!$E$2:$E$619,Documents!$A$2:$A$619,$A38,Documents!$C$2:$C$619,"press_kit")=0,"",MAXIFS(Documents!$E$2:$E$619,Documents!$A$2:$A$619,$A38,Documents!$C$2:$C$619,"press_kit")),"")</f>
        <v/>
      </c>
      <c r="T38">
        <f>IFERROR(IF(MAXIFS(Documents!$E$2:$E$619,Documents!$A$2:$A$619,$A38,Documents!$C$2:$C$619,"other")=0,"",MAXIFS(Documents!$E$2:$E$619,Documents!$A$2:$A$619,$A38,Documents!$C$2:$C$619,"other")),"")</f>
        <v/>
      </c>
      <c r="U38">
        <f>IFERROR(IF(MAXIFS(Documents!$E$2:$E$619,Documents!$A$2:$A$619,$A38,Documents!$C$2:$C$619,"obsolete")=0,"",MAXIFS(Documents!$E$2:$E$619,Documents!$A$2:$A$619,$A38,Documents!$C$2:$C$619,"obsolete")),"")</f>
        <v/>
      </c>
      <c r="V38">
        <f>COUNTIFS(Documents!$A$2:$A$619,$A38)</f>
        <v/>
      </c>
      <c r="W38">
        <f>COUNTIFS(Documents!$A$2:$A$619,$A38,Documents!$R$2:$R$619,"current")</f>
        <v/>
      </c>
      <c r="X38">
        <f>HYPERLINK("https://www.neoscapesmaldives.com/wp-content/uploads/The-Ritz-Carlton-Maldives-Factsheet.pdf","2021_The-Ritz-Carlton-Maldives-Factsheet")</f>
        <v/>
      </c>
      <c r="Y38" t="inlineStr">
        <is>
          <t>wedding, events</t>
        </is>
      </c>
      <c r="Z38" t="inlineStr"/>
    </row>
    <row r="39">
      <c r="A39" t="n">
        <v>38</v>
      </c>
      <c r="B39" t="inlineStr">
        <is>
          <t>Veligandu Maldives Resort Island</t>
        </is>
      </c>
      <c r="C39" t="inlineStr">
        <is>
          <t>not crawled</t>
        </is>
      </c>
      <c r="D39">
        <f>IFERROR(IF(MAXIFS(Documents!$E$2:$E$619,Documents!$A$2:$A$619,$A39,Documents!$C$2:$C$619,"factsheet")=0,"",MAXIFS(Documents!$E$2:$E$619,Documents!$A$2:$A$619,$A39,Documents!$C$2:$C$619,"factsheet")),"")</f>
        <v/>
      </c>
      <c r="E39">
        <f>IFERROR(IF(MAXIFS(Documents!$E$2:$E$619,Documents!$A$2:$A$619,$A39,Documents!$C$2:$C$619,"wedding")=0,"",MAXIFS(Documents!$E$2:$E$619,Documents!$A$2:$A$619,$A39,Documents!$C$2:$C$619,"wedding")),"")</f>
        <v/>
      </c>
      <c r="F39">
        <f>IFERROR(IF(MAXIFS(Documents!$E$2:$E$619,Documents!$A$2:$A$619,$A39,Documents!$C$2:$C$619,"events")=0,"",MAXIFS(Documents!$E$2:$E$619,Documents!$A$2:$A$619,$A39,Documents!$C$2:$C$619,"events")),"")</f>
        <v/>
      </c>
      <c r="G39">
        <f>IFERROR(IF(MAXIFS(Documents!$E$2:$E$619,Documents!$A$2:$A$619,$A39,Documents!$C$2:$C$619,"map")=0,"",MAXIFS(Documents!$E$2:$E$619,Documents!$A$2:$A$619,$A39,Documents!$C$2:$C$619,"map")),"")</f>
        <v/>
      </c>
      <c r="H39">
        <f>IFERROR(IF(MAXIFS(Documents!$E$2:$E$619,Documents!$A$2:$A$619,$A39,Documents!$C$2:$C$619,"dive_map")=0,"",MAXIFS(Documents!$E$2:$E$619,Documents!$A$2:$A$619,$A39,Documents!$C$2:$C$619,"dive_map")),"")</f>
        <v/>
      </c>
      <c r="I39">
        <f>IFERROR(IF(MAXIFS(Documents!$E$2:$E$619,Documents!$A$2:$A$619,$A39,Documents!$C$2:$C$619,"spa_menu")=0,"",MAXIFS(Documents!$E$2:$E$619,Documents!$A$2:$A$619,$A39,Documents!$C$2:$C$619,"spa_menu")),"")</f>
        <v/>
      </c>
      <c r="J39">
        <f>IFERROR(IF(MAXIFS(Documents!$E$2:$E$619,Documents!$A$2:$A$619,$A39,Documents!$C$2:$C$619,"dining_menu")=0,"",MAXIFS(Documents!$E$2:$E$619,Documents!$A$2:$A$619,$A39,Documents!$C$2:$C$619,"dining_menu")),"")</f>
        <v/>
      </c>
      <c r="K39">
        <f>IFERROR(IF(MAXIFS(Documents!$E$2:$E$619,Documents!$A$2:$A$619,$A39,Documents!$C$2:$C$619,"dive_prices")=0,"",MAXIFS(Documents!$E$2:$E$619,Documents!$A$2:$A$619,$A39,Documents!$C$2:$C$619,"dive_prices")),"")</f>
        <v/>
      </c>
      <c r="L39">
        <f>IFERROR(IF(MAXIFS(Documents!$E$2:$E$619,Documents!$A$2:$A$619,$A39,Documents!$C$2:$C$619,"excursions")=0,"",MAXIFS(Documents!$E$2:$E$619,Documents!$A$2:$A$619,$A39,Documents!$C$2:$C$619,"excursions")),"")</f>
        <v/>
      </c>
      <c r="M39">
        <f>IFERROR(IF(MAXIFS(Documents!$E$2:$E$619,Documents!$A$2:$A$619,$A39,Documents!$C$2:$C$619,"kids")=0,"",MAXIFS(Documents!$E$2:$E$619,Documents!$A$2:$A$619,$A39,Documents!$C$2:$C$619,"kids")),"")</f>
        <v/>
      </c>
      <c r="N39">
        <f>IFERROR(IF(MAXIFS(Documents!$E$2:$E$619,Documents!$A$2:$A$619,$A39,Documents!$C$2:$C$619,"villa_plans")=0,"",MAXIFS(Documents!$E$2:$E$619,Documents!$A$2:$A$619,$A39,Documents!$C$2:$C$619,"villa_plans")),"")</f>
        <v/>
      </c>
      <c r="O39">
        <f>IFERROR(IF(MAXIFS(Documents!$E$2:$E$619,Documents!$A$2:$A$619,$A39,Documents!$C$2:$C$619,"all_inclusive")=0,"",MAXIFS(Documents!$E$2:$E$619,Documents!$A$2:$A$619,$A39,Documents!$C$2:$C$619,"all_inclusive")),"")</f>
        <v/>
      </c>
      <c r="P39">
        <f>IFERROR(IF(MAXIFS(Documents!$E$2:$E$619,Documents!$A$2:$A$619,$A39,Documents!$C$2:$C$619,"sustainability")=0,"",MAXIFS(Documents!$E$2:$E$619,Documents!$A$2:$A$619,$A39,Documents!$C$2:$C$619,"sustainability")),"")</f>
        <v/>
      </c>
      <c r="Q39">
        <f>IFERROR(IF(MAXIFS(Documents!$E$2:$E$619,Documents!$A$2:$A$619,$A39,Documents!$C$2:$C$619,"calendar")=0,"",MAXIFS(Documents!$E$2:$E$619,Documents!$A$2:$A$619,$A39,Documents!$C$2:$C$619,"calendar")),"")</f>
        <v/>
      </c>
      <c r="R39">
        <f>IFERROR(IF(MAXIFS(Documents!$E$2:$E$619,Documents!$A$2:$A$619,$A39,Documents!$C$2:$C$619,"brochure")=0,"",MAXIFS(Documents!$E$2:$E$619,Documents!$A$2:$A$619,$A39,Documents!$C$2:$C$619,"brochure")),"")</f>
        <v/>
      </c>
      <c r="S39">
        <f>IFERROR(IF(MAXIFS(Documents!$E$2:$E$619,Documents!$A$2:$A$619,$A39,Documents!$C$2:$C$619,"press_kit")=0,"",MAXIFS(Documents!$E$2:$E$619,Documents!$A$2:$A$619,$A39,Documents!$C$2:$C$619,"press_kit")),"")</f>
        <v/>
      </c>
      <c r="T39">
        <f>IFERROR(IF(MAXIFS(Documents!$E$2:$E$619,Documents!$A$2:$A$619,$A39,Documents!$C$2:$C$619,"other")=0,"",MAXIFS(Documents!$E$2:$E$619,Documents!$A$2:$A$619,$A39,Documents!$C$2:$C$619,"other")),"")</f>
        <v/>
      </c>
      <c r="U39">
        <f>IFERROR(IF(MAXIFS(Documents!$E$2:$E$619,Documents!$A$2:$A$619,$A39,Documents!$C$2:$C$619,"obsolete")=0,"",MAXIFS(Documents!$E$2:$E$619,Documents!$A$2:$A$619,$A39,Documents!$C$2:$C$619,"obsolete")),"")</f>
        <v/>
      </c>
      <c r="V39">
        <f>COUNTIFS(Documents!$A$2:$A$619,$A39)</f>
        <v/>
      </c>
      <c r="W39">
        <f>COUNTIFS(Documents!$A$2:$A$619,$A39,Documents!$R$2:$R$619,"current")</f>
        <v/>
      </c>
      <c r="X39">
        <f>HYPERLINK("https://sales.crownandchamparesorts.com/wp-content/uploads/2025/08/Veli-Factsheet-W25-26S26Ver17062025.pdf","2025_Veli-Factsheet-W25-26S26Ver17062025")</f>
        <v/>
      </c>
      <c r="Y39" t="inlineStr">
        <is>
          <t>wedding, events</t>
        </is>
      </c>
      <c r="Z39" t="inlineStr">
        <is>
          <t>'Veli' in Crown &amp; Champa filenames</t>
        </is>
      </c>
    </row>
    <row r="40">
      <c r="A40" t="n">
        <v>39</v>
      </c>
      <c r="B40" t="inlineStr">
        <is>
          <t>NH Collection Maldives Havodda Resort</t>
        </is>
      </c>
      <c r="C40" t="inlineStr">
        <is>
          <t>not crawled</t>
        </is>
      </c>
      <c r="D40">
        <f>IFERROR(IF(MAXIFS(Documents!$E$2:$E$619,Documents!$A$2:$A$619,$A40,Documents!$C$2:$C$619,"factsheet")=0,"",MAXIFS(Documents!$E$2:$E$619,Documents!$A$2:$A$619,$A40,Documents!$C$2:$C$619,"factsheet")),"")</f>
        <v/>
      </c>
      <c r="E40">
        <f>IFERROR(IF(MAXIFS(Documents!$E$2:$E$619,Documents!$A$2:$A$619,$A40,Documents!$C$2:$C$619,"wedding")=0,"",MAXIFS(Documents!$E$2:$E$619,Documents!$A$2:$A$619,$A40,Documents!$C$2:$C$619,"wedding")),"")</f>
        <v/>
      </c>
      <c r="F40">
        <f>IFERROR(IF(MAXIFS(Documents!$E$2:$E$619,Documents!$A$2:$A$619,$A40,Documents!$C$2:$C$619,"events")=0,"",MAXIFS(Documents!$E$2:$E$619,Documents!$A$2:$A$619,$A40,Documents!$C$2:$C$619,"events")),"")</f>
        <v/>
      </c>
      <c r="G40">
        <f>IFERROR(IF(MAXIFS(Documents!$E$2:$E$619,Documents!$A$2:$A$619,$A40,Documents!$C$2:$C$619,"map")=0,"",MAXIFS(Documents!$E$2:$E$619,Documents!$A$2:$A$619,$A40,Documents!$C$2:$C$619,"map")),"")</f>
        <v/>
      </c>
      <c r="H40">
        <f>IFERROR(IF(MAXIFS(Documents!$E$2:$E$619,Documents!$A$2:$A$619,$A40,Documents!$C$2:$C$619,"dive_map")=0,"",MAXIFS(Documents!$E$2:$E$619,Documents!$A$2:$A$619,$A40,Documents!$C$2:$C$619,"dive_map")),"")</f>
        <v/>
      </c>
      <c r="I40">
        <f>IFERROR(IF(MAXIFS(Documents!$E$2:$E$619,Documents!$A$2:$A$619,$A40,Documents!$C$2:$C$619,"spa_menu")=0,"",MAXIFS(Documents!$E$2:$E$619,Documents!$A$2:$A$619,$A40,Documents!$C$2:$C$619,"spa_menu")),"")</f>
        <v/>
      </c>
      <c r="J40">
        <f>IFERROR(IF(MAXIFS(Documents!$E$2:$E$619,Documents!$A$2:$A$619,$A40,Documents!$C$2:$C$619,"dining_menu")=0,"",MAXIFS(Documents!$E$2:$E$619,Documents!$A$2:$A$619,$A40,Documents!$C$2:$C$619,"dining_menu")),"")</f>
        <v/>
      </c>
      <c r="K40">
        <f>IFERROR(IF(MAXIFS(Documents!$E$2:$E$619,Documents!$A$2:$A$619,$A40,Documents!$C$2:$C$619,"dive_prices")=0,"",MAXIFS(Documents!$E$2:$E$619,Documents!$A$2:$A$619,$A40,Documents!$C$2:$C$619,"dive_prices")),"")</f>
        <v/>
      </c>
      <c r="L40">
        <f>IFERROR(IF(MAXIFS(Documents!$E$2:$E$619,Documents!$A$2:$A$619,$A40,Documents!$C$2:$C$619,"excursions")=0,"",MAXIFS(Documents!$E$2:$E$619,Documents!$A$2:$A$619,$A40,Documents!$C$2:$C$619,"excursions")),"")</f>
        <v/>
      </c>
      <c r="M40">
        <f>IFERROR(IF(MAXIFS(Documents!$E$2:$E$619,Documents!$A$2:$A$619,$A40,Documents!$C$2:$C$619,"kids")=0,"",MAXIFS(Documents!$E$2:$E$619,Documents!$A$2:$A$619,$A40,Documents!$C$2:$C$619,"kids")),"")</f>
        <v/>
      </c>
      <c r="N40">
        <f>IFERROR(IF(MAXIFS(Documents!$E$2:$E$619,Documents!$A$2:$A$619,$A40,Documents!$C$2:$C$619,"villa_plans")=0,"",MAXIFS(Documents!$E$2:$E$619,Documents!$A$2:$A$619,$A40,Documents!$C$2:$C$619,"villa_plans")),"")</f>
        <v/>
      </c>
      <c r="O40">
        <f>IFERROR(IF(MAXIFS(Documents!$E$2:$E$619,Documents!$A$2:$A$619,$A40,Documents!$C$2:$C$619,"all_inclusive")=0,"",MAXIFS(Documents!$E$2:$E$619,Documents!$A$2:$A$619,$A40,Documents!$C$2:$C$619,"all_inclusive")),"")</f>
        <v/>
      </c>
      <c r="P40">
        <f>IFERROR(IF(MAXIFS(Documents!$E$2:$E$619,Documents!$A$2:$A$619,$A40,Documents!$C$2:$C$619,"sustainability")=0,"",MAXIFS(Documents!$E$2:$E$619,Documents!$A$2:$A$619,$A40,Documents!$C$2:$C$619,"sustainability")),"")</f>
        <v/>
      </c>
      <c r="Q40">
        <f>IFERROR(IF(MAXIFS(Documents!$E$2:$E$619,Documents!$A$2:$A$619,$A40,Documents!$C$2:$C$619,"calendar")=0,"",MAXIFS(Documents!$E$2:$E$619,Documents!$A$2:$A$619,$A40,Documents!$C$2:$C$619,"calendar")),"")</f>
        <v/>
      </c>
      <c r="R40">
        <f>IFERROR(IF(MAXIFS(Documents!$E$2:$E$619,Documents!$A$2:$A$619,$A40,Documents!$C$2:$C$619,"brochure")=0,"",MAXIFS(Documents!$E$2:$E$619,Documents!$A$2:$A$619,$A40,Documents!$C$2:$C$619,"brochure")),"")</f>
        <v/>
      </c>
      <c r="S40">
        <f>IFERROR(IF(MAXIFS(Documents!$E$2:$E$619,Documents!$A$2:$A$619,$A40,Documents!$C$2:$C$619,"press_kit")=0,"",MAXIFS(Documents!$E$2:$E$619,Documents!$A$2:$A$619,$A40,Documents!$C$2:$C$619,"press_kit")),"")</f>
        <v/>
      </c>
      <c r="T40">
        <f>IFERROR(IF(MAXIFS(Documents!$E$2:$E$619,Documents!$A$2:$A$619,$A40,Documents!$C$2:$C$619,"other")=0,"",MAXIFS(Documents!$E$2:$E$619,Documents!$A$2:$A$619,$A40,Documents!$C$2:$C$619,"other")),"")</f>
        <v/>
      </c>
      <c r="U40">
        <f>IFERROR(IF(MAXIFS(Documents!$E$2:$E$619,Documents!$A$2:$A$619,$A40,Documents!$C$2:$C$619,"obsolete")=0,"",MAXIFS(Documents!$E$2:$E$619,Documents!$A$2:$A$619,$A40,Documents!$C$2:$C$619,"obsolete")),"")</f>
        <v/>
      </c>
      <c r="V40">
        <f>COUNTIFS(Documents!$A$2:$A$619,$A40)</f>
        <v/>
      </c>
      <c r="W40">
        <f>COUNTIFS(Documents!$A$2:$A$619,$A40,Documents!$R$2:$R$619,"current")</f>
        <v/>
      </c>
      <c r="X40">
        <f>HYPERLINK("https://neoscapesmaldives.com/wp-content/uploads/Amari-Havodda-Factsheet.pdf","2018_Amari-Havodda-Factsheet.pdf")</f>
        <v/>
      </c>
      <c r="Y40" t="inlineStr">
        <is>
          <t>wedding, events</t>
        </is>
      </c>
      <c r="Z40" t="inlineStr">
        <is>
          <t>Amari Havodda (older name)</t>
        </is>
      </c>
    </row>
    <row r="41">
      <c r="A41" t="n">
        <v>40</v>
      </c>
      <c r="B41" t="inlineStr">
        <is>
          <t>Le Méridien Maldives Resort and Spa</t>
        </is>
      </c>
      <c r="C41" t="inlineStr">
        <is>
          <t>not crawled</t>
        </is>
      </c>
      <c r="D41">
        <f>IFERROR(IF(MAXIFS(Documents!$E$2:$E$619,Documents!$A$2:$A$619,$A41,Documents!$C$2:$C$619,"factsheet")=0,"",MAXIFS(Documents!$E$2:$E$619,Documents!$A$2:$A$619,$A41,Documents!$C$2:$C$619,"factsheet")),"")</f>
        <v/>
      </c>
      <c r="E41">
        <f>IFERROR(IF(MAXIFS(Documents!$E$2:$E$619,Documents!$A$2:$A$619,$A41,Documents!$C$2:$C$619,"wedding")=0,"",MAXIFS(Documents!$E$2:$E$619,Documents!$A$2:$A$619,$A41,Documents!$C$2:$C$619,"wedding")),"")</f>
        <v/>
      </c>
      <c r="F41">
        <f>IFERROR(IF(MAXIFS(Documents!$E$2:$E$619,Documents!$A$2:$A$619,$A41,Documents!$C$2:$C$619,"events")=0,"",MAXIFS(Documents!$E$2:$E$619,Documents!$A$2:$A$619,$A41,Documents!$C$2:$C$619,"events")),"")</f>
        <v/>
      </c>
      <c r="G41">
        <f>IFERROR(IF(MAXIFS(Documents!$E$2:$E$619,Documents!$A$2:$A$619,$A41,Documents!$C$2:$C$619,"map")=0,"",MAXIFS(Documents!$E$2:$E$619,Documents!$A$2:$A$619,$A41,Documents!$C$2:$C$619,"map")),"")</f>
        <v/>
      </c>
      <c r="H41">
        <f>IFERROR(IF(MAXIFS(Documents!$E$2:$E$619,Documents!$A$2:$A$619,$A41,Documents!$C$2:$C$619,"dive_map")=0,"",MAXIFS(Documents!$E$2:$E$619,Documents!$A$2:$A$619,$A41,Documents!$C$2:$C$619,"dive_map")),"")</f>
        <v/>
      </c>
      <c r="I41">
        <f>IFERROR(IF(MAXIFS(Documents!$E$2:$E$619,Documents!$A$2:$A$619,$A41,Documents!$C$2:$C$619,"spa_menu")=0,"",MAXIFS(Documents!$E$2:$E$619,Documents!$A$2:$A$619,$A41,Documents!$C$2:$C$619,"spa_menu")),"")</f>
        <v/>
      </c>
      <c r="J41">
        <f>IFERROR(IF(MAXIFS(Documents!$E$2:$E$619,Documents!$A$2:$A$619,$A41,Documents!$C$2:$C$619,"dining_menu")=0,"",MAXIFS(Documents!$E$2:$E$619,Documents!$A$2:$A$619,$A41,Documents!$C$2:$C$619,"dining_menu")),"")</f>
        <v/>
      </c>
      <c r="K41">
        <f>IFERROR(IF(MAXIFS(Documents!$E$2:$E$619,Documents!$A$2:$A$619,$A41,Documents!$C$2:$C$619,"dive_prices")=0,"",MAXIFS(Documents!$E$2:$E$619,Documents!$A$2:$A$619,$A41,Documents!$C$2:$C$619,"dive_prices")),"")</f>
        <v/>
      </c>
      <c r="L41">
        <f>IFERROR(IF(MAXIFS(Documents!$E$2:$E$619,Documents!$A$2:$A$619,$A41,Documents!$C$2:$C$619,"excursions")=0,"",MAXIFS(Documents!$E$2:$E$619,Documents!$A$2:$A$619,$A41,Documents!$C$2:$C$619,"excursions")),"")</f>
        <v/>
      </c>
      <c r="M41">
        <f>IFERROR(IF(MAXIFS(Documents!$E$2:$E$619,Documents!$A$2:$A$619,$A41,Documents!$C$2:$C$619,"kids")=0,"",MAXIFS(Documents!$E$2:$E$619,Documents!$A$2:$A$619,$A41,Documents!$C$2:$C$619,"kids")),"")</f>
        <v/>
      </c>
      <c r="N41">
        <f>IFERROR(IF(MAXIFS(Documents!$E$2:$E$619,Documents!$A$2:$A$619,$A41,Documents!$C$2:$C$619,"villa_plans")=0,"",MAXIFS(Documents!$E$2:$E$619,Documents!$A$2:$A$619,$A41,Documents!$C$2:$C$619,"villa_plans")),"")</f>
        <v/>
      </c>
      <c r="O41">
        <f>IFERROR(IF(MAXIFS(Documents!$E$2:$E$619,Documents!$A$2:$A$619,$A41,Documents!$C$2:$C$619,"all_inclusive")=0,"",MAXIFS(Documents!$E$2:$E$619,Documents!$A$2:$A$619,$A41,Documents!$C$2:$C$619,"all_inclusive")),"")</f>
        <v/>
      </c>
      <c r="P41">
        <f>IFERROR(IF(MAXIFS(Documents!$E$2:$E$619,Documents!$A$2:$A$619,$A41,Documents!$C$2:$C$619,"sustainability")=0,"",MAXIFS(Documents!$E$2:$E$619,Documents!$A$2:$A$619,$A41,Documents!$C$2:$C$619,"sustainability")),"")</f>
        <v/>
      </c>
      <c r="Q41">
        <f>IFERROR(IF(MAXIFS(Documents!$E$2:$E$619,Documents!$A$2:$A$619,$A41,Documents!$C$2:$C$619,"calendar")=0,"",MAXIFS(Documents!$E$2:$E$619,Documents!$A$2:$A$619,$A41,Documents!$C$2:$C$619,"calendar")),"")</f>
        <v/>
      </c>
      <c r="R41">
        <f>IFERROR(IF(MAXIFS(Documents!$E$2:$E$619,Documents!$A$2:$A$619,$A41,Documents!$C$2:$C$619,"brochure")=0,"",MAXIFS(Documents!$E$2:$E$619,Documents!$A$2:$A$619,$A41,Documents!$C$2:$C$619,"brochure")),"")</f>
        <v/>
      </c>
      <c r="S41">
        <f>IFERROR(IF(MAXIFS(Documents!$E$2:$E$619,Documents!$A$2:$A$619,$A41,Documents!$C$2:$C$619,"press_kit")=0,"",MAXIFS(Documents!$E$2:$E$619,Documents!$A$2:$A$619,$A41,Documents!$C$2:$C$619,"press_kit")),"")</f>
        <v/>
      </c>
      <c r="T41">
        <f>IFERROR(IF(MAXIFS(Documents!$E$2:$E$619,Documents!$A$2:$A$619,$A41,Documents!$C$2:$C$619,"other")=0,"",MAXIFS(Documents!$E$2:$E$619,Documents!$A$2:$A$619,$A41,Documents!$C$2:$C$619,"other")),"")</f>
        <v/>
      </c>
      <c r="U41">
        <f>IFERROR(IF(MAXIFS(Documents!$E$2:$E$619,Documents!$A$2:$A$619,$A41,Documents!$C$2:$C$619,"obsolete")=0,"",MAXIFS(Documents!$E$2:$E$619,Documents!$A$2:$A$619,$A41,Documents!$C$2:$C$619,"obsolete")),"")</f>
        <v/>
      </c>
      <c r="V41">
        <f>COUNTIFS(Documents!$A$2:$A$619,$A41)</f>
        <v/>
      </c>
      <c r="W41">
        <f>COUNTIFS(Documents!$A$2:$A$619,$A41,Documents!$R$2:$R$619,"current")</f>
        <v/>
      </c>
      <c r="X41">
        <f>HYPERLINK("https://www.neoscapesmaldives.com/wp-content/uploads/Resort-Factsheet-Le-Meridien-Maldives.pdf","2022_Resort-Factsheet-Le-Meridien-Maldiv")</f>
        <v/>
      </c>
      <c r="Y41" t="inlineStr">
        <is>
          <t>wedding, events</t>
        </is>
      </c>
      <c r="Z41" t="inlineStr"/>
    </row>
    <row r="42">
      <c r="A42" t="n">
        <v>41</v>
      </c>
      <c r="B42" t="inlineStr">
        <is>
          <t>Ozen By Atmosphere At Maadhoo</t>
        </is>
      </c>
      <c r="C42" t="inlineStr">
        <is>
          <t>not crawled</t>
        </is>
      </c>
      <c r="D42">
        <f>IFERROR(IF(MAXIFS(Documents!$E$2:$E$619,Documents!$A$2:$A$619,$A42,Documents!$C$2:$C$619,"factsheet")=0,"",MAXIFS(Documents!$E$2:$E$619,Documents!$A$2:$A$619,$A42,Documents!$C$2:$C$619,"factsheet")),"")</f>
        <v/>
      </c>
      <c r="E42">
        <f>IFERROR(IF(MAXIFS(Documents!$E$2:$E$619,Documents!$A$2:$A$619,$A42,Documents!$C$2:$C$619,"wedding")=0,"",MAXIFS(Documents!$E$2:$E$619,Documents!$A$2:$A$619,$A42,Documents!$C$2:$C$619,"wedding")),"")</f>
        <v/>
      </c>
      <c r="F42">
        <f>IFERROR(IF(MAXIFS(Documents!$E$2:$E$619,Documents!$A$2:$A$619,$A42,Documents!$C$2:$C$619,"events")=0,"",MAXIFS(Documents!$E$2:$E$619,Documents!$A$2:$A$619,$A42,Documents!$C$2:$C$619,"events")),"")</f>
        <v/>
      </c>
      <c r="G42">
        <f>IFERROR(IF(MAXIFS(Documents!$E$2:$E$619,Documents!$A$2:$A$619,$A42,Documents!$C$2:$C$619,"map")=0,"",MAXIFS(Documents!$E$2:$E$619,Documents!$A$2:$A$619,$A42,Documents!$C$2:$C$619,"map")),"")</f>
        <v/>
      </c>
      <c r="H42">
        <f>IFERROR(IF(MAXIFS(Documents!$E$2:$E$619,Documents!$A$2:$A$619,$A42,Documents!$C$2:$C$619,"dive_map")=0,"",MAXIFS(Documents!$E$2:$E$619,Documents!$A$2:$A$619,$A42,Documents!$C$2:$C$619,"dive_map")),"")</f>
        <v/>
      </c>
      <c r="I42">
        <f>IFERROR(IF(MAXIFS(Documents!$E$2:$E$619,Documents!$A$2:$A$619,$A42,Documents!$C$2:$C$619,"spa_menu")=0,"",MAXIFS(Documents!$E$2:$E$619,Documents!$A$2:$A$619,$A42,Documents!$C$2:$C$619,"spa_menu")),"")</f>
        <v/>
      </c>
      <c r="J42">
        <f>IFERROR(IF(MAXIFS(Documents!$E$2:$E$619,Documents!$A$2:$A$619,$A42,Documents!$C$2:$C$619,"dining_menu")=0,"",MAXIFS(Documents!$E$2:$E$619,Documents!$A$2:$A$619,$A42,Documents!$C$2:$C$619,"dining_menu")),"")</f>
        <v/>
      </c>
      <c r="K42">
        <f>IFERROR(IF(MAXIFS(Documents!$E$2:$E$619,Documents!$A$2:$A$619,$A42,Documents!$C$2:$C$619,"dive_prices")=0,"",MAXIFS(Documents!$E$2:$E$619,Documents!$A$2:$A$619,$A42,Documents!$C$2:$C$619,"dive_prices")),"")</f>
        <v/>
      </c>
      <c r="L42">
        <f>IFERROR(IF(MAXIFS(Documents!$E$2:$E$619,Documents!$A$2:$A$619,$A42,Documents!$C$2:$C$619,"excursions")=0,"",MAXIFS(Documents!$E$2:$E$619,Documents!$A$2:$A$619,$A42,Documents!$C$2:$C$619,"excursions")),"")</f>
        <v/>
      </c>
      <c r="M42">
        <f>IFERROR(IF(MAXIFS(Documents!$E$2:$E$619,Documents!$A$2:$A$619,$A42,Documents!$C$2:$C$619,"kids")=0,"",MAXIFS(Documents!$E$2:$E$619,Documents!$A$2:$A$619,$A42,Documents!$C$2:$C$619,"kids")),"")</f>
        <v/>
      </c>
      <c r="N42">
        <f>IFERROR(IF(MAXIFS(Documents!$E$2:$E$619,Documents!$A$2:$A$619,$A42,Documents!$C$2:$C$619,"villa_plans")=0,"",MAXIFS(Documents!$E$2:$E$619,Documents!$A$2:$A$619,$A42,Documents!$C$2:$C$619,"villa_plans")),"")</f>
        <v/>
      </c>
      <c r="O42">
        <f>IFERROR(IF(MAXIFS(Documents!$E$2:$E$619,Documents!$A$2:$A$619,$A42,Documents!$C$2:$C$619,"all_inclusive")=0,"",MAXIFS(Documents!$E$2:$E$619,Documents!$A$2:$A$619,$A42,Documents!$C$2:$C$619,"all_inclusive")),"")</f>
        <v/>
      </c>
      <c r="P42">
        <f>IFERROR(IF(MAXIFS(Documents!$E$2:$E$619,Documents!$A$2:$A$619,$A42,Documents!$C$2:$C$619,"sustainability")=0,"",MAXIFS(Documents!$E$2:$E$619,Documents!$A$2:$A$619,$A42,Documents!$C$2:$C$619,"sustainability")),"")</f>
        <v/>
      </c>
      <c r="Q42">
        <f>IFERROR(IF(MAXIFS(Documents!$E$2:$E$619,Documents!$A$2:$A$619,$A42,Documents!$C$2:$C$619,"calendar")=0,"",MAXIFS(Documents!$E$2:$E$619,Documents!$A$2:$A$619,$A42,Documents!$C$2:$C$619,"calendar")),"")</f>
        <v/>
      </c>
      <c r="R42">
        <f>IFERROR(IF(MAXIFS(Documents!$E$2:$E$619,Documents!$A$2:$A$619,$A42,Documents!$C$2:$C$619,"brochure")=0,"",MAXIFS(Documents!$E$2:$E$619,Documents!$A$2:$A$619,$A42,Documents!$C$2:$C$619,"brochure")),"")</f>
        <v/>
      </c>
      <c r="S42">
        <f>IFERROR(IF(MAXIFS(Documents!$E$2:$E$619,Documents!$A$2:$A$619,$A42,Documents!$C$2:$C$619,"press_kit")=0,"",MAXIFS(Documents!$E$2:$E$619,Documents!$A$2:$A$619,$A42,Documents!$C$2:$C$619,"press_kit")),"")</f>
        <v/>
      </c>
      <c r="T42">
        <f>IFERROR(IF(MAXIFS(Documents!$E$2:$E$619,Documents!$A$2:$A$619,$A42,Documents!$C$2:$C$619,"other")=0,"",MAXIFS(Documents!$E$2:$E$619,Documents!$A$2:$A$619,$A42,Documents!$C$2:$C$619,"other")),"")</f>
        <v/>
      </c>
      <c r="U42">
        <f>IFERROR(IF(MAXIFS(Documents!$E$2:$E$619,Documents!$A$2:$A$619,$A42,Documents!$C$2:$C$619,"obsolete")=0,"",MAXIFS(Documents!$E$2:$E$619,Documents!$A$2:$A$619,$A42,Documents!$C$2:$C$619,"obsolete")),"")</f>
        <v/>
      </c>
      <c r="V42">
        <f>COUNTIFS(Documents!$A$2:$A$619,$A42)</f>
        <v/>
      </c>
      <c r="W42">
        <f>COUNTIFS(Documents!$A$2:$A$619,$A42,Documents!$R$2:$R$619,"current")</f>
        <v/>
      </c>
      <c r="X42">
        <f>HYPERLINK("https://www.neoscapesmaldives.com/wp-content/uploads/OZEN-LIFE-MAADHOO-Fact-Sheet-2025.pdf","2025_OZEN-LIFE-MAADHOO-Fact-Sheet-2025.p")</f>
        <v/>
      </c>
      <c r="Y42" t="inlineStr">
        <is>
          <t>wedding, events</t>
        </is>
      </c>
      <c r="Z42" t="inlineStr">
        <is>
          <t>OZEN Life Maadhoo</t>
        </is>
      </c>
    </row>
    <row r="43">
      <c r="A43" t="n">
        <v>42</v>
      </c>
      <c r="B43" t="inlineStr">
        <is>
          <t>Dhiggiri Tourist Resort</t>
        </is>
      </c>
      <c r="C43" t="inlineStr">
        <is>
          <t>not crawled</t>
        </is>
      </c>
      <c r="D43">
        <f>IFERROR(IF(MAXIFS(Documents!$E$2:$E$619,Documents!$A$2:$A$619,$A43,Documents!$C$2:$C$619,"factsheet")=0,"",MAXIFS(Documents!$E$2:$E$619,Documents!$A$2:$A$619,$A43,Documents!$C$2:$C$619,"factsheet")),"")</f>
        <v/>
      </c>
      <c r="E43">
        <f>IFERROR(IF(MAXIFS(Documents!$E$2:$E$619,Documents!$A$2:$A$619,$A43,Documents!$C$2:$C$619,"wedding")=0,"",MAXIFS(Documents!$E$2:$E$619,Documents!$A$2:$A$619,$A43,Documents!$C$2:$C$619,"wedding")),"")</f>
        <v/>
      </c>
      <c r="F43">
        <f>IFERROR(IF(MAXIFS(Documents!$E$2:$E$619,Documents!$A$2:$A$619,$A43,Documents!$C$2:$C$619,"events")=0,"",MAXIFS(Documents!$E$2:$E$619,Documents!$A$2:$A$619,$A43,Documents!$C$2:$C$619,"events")),"")</f>
        <v/>
      </c>
      <c r="G43">
        <f>IFERROR(IF(MAXIFS(Documents!$E$2:$E$619,Documents!$A$2:$A$619,$A43,Documents!$C$2:$C$619,"map")=0,"",MAXIFS(Documents!$E$2:$E$619,Documents!$A$2:$A$619,$A43,Documents!$C$2:$C$619,"map")),"")</f>
        <v/>
      </c>
      <c r="H43">
        <f>IFERROR(IF(MAXIFS(Documents!$E$2:$E$619,Documents!$A$2:$A$619,$A43,Documents!$C$2:$C$619,"dive_map")=0,"",MAXIFS(Documents!$E$2:$E$619,Documents!$A$2:$A$619,$A43,Documents!$C$2:$C$619,"dive_map")),"")</f>
        <v/>
      </c>
      <c r="I43">
        <f>IFERROR(IF(MAXIFS(Documents!$E$2:$E$619,Documents!$A$2:$A$619,$A43,Documents!$C$2:$C$619,"spa_menu")=0,"",MAXIFS(Documents!$E$2:$E$619,Documents!$A$2:$A$619,$A43,Documents!$C$2:$C$619,"spa_menu")),"")</f>
        <v/>
      </c>
      <c r="J43">
        <f>IFERROR(IF(MAXIFS(Documents!$E$2:$E$619,Documents!$A$2:$A$619,$A43,Documents!$C$2:$C$619,"dining_menu")=0,"",MAXIFS(Documents!$E$2:$E$619,Documents!$A$2:$A$619,$A43,Documents!$C$2:$C$619,"dining_menu")),"")</f>
        <v/>
      </c>
      <c r="K43">
        <f>IFERROR(IF(MAXIFS(Documents!$E$2:$E$619,Documents!$A$2:$A$619,$A43,Documents!$C$2:$C$619,"dive_prices")=0,"",MAXIFS(Documents!$E$2:$E$619,Documents!$A$2:$A$619,$A43,Documents!$C$2:$C$619,"dive_prices")),"")</f>
        <v/>
      </c>
      <c r="L43">
        <f>IFERROR(IF(MAXIFS(Documents!$E$2:$E$619,Documents!$A$2:$A$619,$A43,Documents!$C$2:$C$619,"excursions")=0,"",MAXIFS(Documents!$E$2:$E$619,Documents!$A$2:$A$619,$A43,Documents!$C$2:$C$619,"excursions")),"")</f>
        <v/>
      </c>
      <c r="M43">
        <f>IFERROR(IF(MAXIFS(Documents!$E$2:$E$619,Documents!$A$2:$A$619,$A43,Documents!$C$2:$C$619,"kids")=0,"",MAXIFS(Documents!$E$2:$E$619,Documents!$A$2:$A$619,$A43,Documents!$C$2:$C$619,"kids")),"")</f>
        <v/>
      </c>
      <c r="N43">
        <f>IFERROR(IF(MAXIFS(Documents!$E$2:$E$619,Documents!$A$2:$A$619,$A43,Documents!$C$2:$C$619,"villa_plans")=0,"",MAXIFS(Documents!$E$2:$E$619,Documents!$A$2:$A$619,$A43,Documents!$C$2:$C$619,"villa_plans")),"")</f>
        <v/>
      </c>
      <c r="O43">
        <f>IFERROR(IF(MAXIFS(Documents!$E$2:$E$619,Documents!$A$2:$A$619,$A43,Documents!$C$2:$C$619,"all_inclusive")=0,"",MAXIFS(Documents!$E$2:$E$619,Documents!$A$2:$A$619,$A43,Documents!$C$2:$C$619,"all_inclusive")),"")</f>
        <v/>
      </c>
      <c r="P43">
        <f>IFERROR(IF(MAXIFS(Documents!$E$2:$E$619,Documents!$A$2:$A$619,$A43,Documents!$C$2:$C$619,"sustainability")=0,"",MAXIFS(Documents!$E$2:$E$619,Documents!$A$2:$A$619,$A43,Documents!$C$2:$C$619,"sustainability")),"")</f>
        <v/>
      </c>
      <c r="Q43">
        <f>IFERROR(IF(MAXIFS(Documents!$E$2:$E$619,Documents!$A$2:$A$619,$A43,Documents!$C$2:$C$619,"calendar")=0,"",MAXIFS(Documents!$E$2:$E$619,Documents!$A$2:$A$619,$A43,Documents!$C$2:$C$619,"calendar")),"")</f>
        <v/>
      </c>
      <c r="R43">
        <f>IFERROR(IF(MAXIFS(Documents!$E$2:$E$619,Documents!$A$2:$A$619,$A43,Documents!$C$2:$C$619,"brochure")=0,"",MAXIFS(Documents!$E$2:$E$619,Documents!$A$2:$A$619,$A43,Documents!$C$2:$C$619,"brochure")),"")</f>
        <v/>
      </c>
      <c r="S43">
        <f>IFERROR(IF(MAXIFS(Documents!$E$2:$E$619,Documents!$A$2:$A$619,$A43,Documents!$C$2:$C$619,"press_kit")=0,"",MAXIFS(Documents!$E$2:$E$619,Documents!$A$2:$A$619,$A43,Documents!$C$2:$C$619,"press_kit")),"")</f>
        <v/>
      </c>
      <c r="T43">
        <f>IFERROR(IF(MAXIFS(Documents!$E$2:$E$619,Documents!$A$2:$A$619,$A43,Documents!$C$2:$C$619,"other")=0,"",MAXIFS(Documents!$E$2:$E$619,Documents!$A$2:$A$619,$A43,Documents!$C$2:$C$619,"other")),"")</f>
        <v/>
      </c>
      <c r="U43">
        <f>IFERROR(IF(MAXIFS(Documents!$E$2:$E$619,Documents!$A$2:$A$619,$A43,Documents!$C$2:$C$619,"obsolete")=0,"",MAXIFS(Documents!$E$2:$E$619,Documents!$A$2:$A$619,$A43,Documents!$C$2:$C$619,"obsolete")),"")</f>
        <v/>
      </c>
      <c r="V43">
        <f>COUNTIFS(Documents!$A$2:$A$619,$A43)</f>
        <v/>
      </c>
      <c r="W43">
        <f>COUNTIFS(Documents!$A$2:$A$619,$A43,Documents!$R$2:$R$619,"current")</f>
        <v/>
      </c>
      <c r="X43" t="inlineStr"/>
      <c r="Y43" t="inlineStr">
        <is>
          <t>factsheet, wedding, events</t>
        </is>
      </c>
      <c r="Z43" t="inlineStr"/>
    </row>
    <row r="44">
      <c r="A44" t="n">
        <v>43</v>
      </c>
      <c r="B44" t="inlineStr">
        <is>
          <t>Dhigufaru Island Resort</t>
        </is>
      </c>
      <c r="C44" t="inlineStr">
        <is>
          <t>not crawled</t>
        </is>
      </c>
      <c r="D44">
        <f>IFERROR(IF(MAXIFS(Documents!$E$2:$E$619,Documents!$A$2:$A$619,$A44,Documents!$C$2:$C$619,"factsheet")=0,"",MAXIFS(Documents!$E$2:$E$619,Documents!$A$2:$A$619,$A44,Documents!$C$2:$C$619,"factsheet")),"")</f>
        <v/>
      </c>
      <c r="E44">
        <f>IFERROR(IF(MAXIFS(Documents!$E$2:$E$619,Documents!$A$2:$A$619,$A44,Documents!$C$2:$C$619,"wedding")=0,"",MAXIFS(Documents!$E$2:$E$619,Documents!$A$2:$A$619,$A44,Documents!$C$2:$C$619,"wedding")),"")</f>
        <v/>
      </c>
      <c r="F44">
        <f>IFERROR(IF(MAXIFS(Documents!$E$2:$E$619,Documents!$A$2:$A$619,$A44,Documents!$C$2:$C$619,"events")=0,"",MAXIFS(Documents!$E$2:$E$619,Documents!$A$2:$A$619,$A44,Documents!$C$2:$C$619,"events")),"")</f>
        <v/>
      </c>
      <c r="G44">
        <f>IFERROR(IF(MAXIFS(Documents!$E$2:$E$619,Documents!$A$2:$A$619,$A44,Documents!$C$2:$C$619,"map")=0,"",MAXIFS(Documents!$E$2:$E$619,Documents!$A$2:$A$619,$A44,Documents!$C$2:$C$619,"map")),"")</f>
        <v/>
      </c>
      <c r="H44">
        <f>IFERROR(IF(MAXIFS(Documents!$E$2:$E$619,Documents!$A$2:$A$619,$A44,Documents!$C$2:$C$619,"dive_map")=0,"",MAXIFS(Documents!$E$2:$E$619,Documents!$A$2:$A$619,$A44,Documents!$C$2:$C$619,"dive_map")),"")</f>
        <v/>
      </c>
      <c r="I44">
        <f>IFERROR(IF(MAXIFS(Documents!$E$2:$E$619,Documents!$A$2:$A$619,$A44,Documents!$C$2:$C$619,"spa_menu")=0,"",MAXIFS(Documents!$E$2:$E$619,Documents!$A$2:$A$619,$A44,Documents!$C$2:$C$619,"spa_menu")),"")</f>
        <v/>
      </c>
      <c r="J44">
        <f>IFERROR(IF(MAXIFS(Documents!$E$2:$E$619,Documents!$A$2:$A$619,$A44,Documents!$C$2:$C$619,"dining_menu")=0,"",MAXIFS(Documents!$E$2:$E$619,Documents!$A$2:$A$619,$A44,Documents!$C$2:$C$619,"dining_menu")),"")</f>
        <v/>
      </c>
      <c r="K44">
        <f>IFERROR(IF(MAXIFS(Documents!$E$2:$E$619,Documents!$A$2:$A$619,$A44,Documents!$C$2:$C$619,"dive_prices")=0,"",MAXIFS(Documents!$E$2:$E$619,Documents!$A$2:$A$619,$A44,Documents!$C$2:$C$619,"dive_prices")),"")</f>
        <v/>
      </c>
      <c r="L44">
        <f>IFERROR(IF(MAXIFS(Documents!$E$2:$E$619,Documents!$A$2:$A$619,$A44,Documents!$C$2:$C$619,"excursions")=0,"",MAXIFS(Documents!$E$2:$E$619,Documents!$A$2:$A$619,$A44,Documents!$C$2:$C$619,"excursions")),"")</f>
        <v/>
      </c>
      <c r="M44">
        <f>IFERROR(IF(MAXIFS(Documents!$E$2:$E$619,Documents!$A$2:$A$619,$A44,Documents!$C$2:$C$619,"kids")=0,"",MAXIFS(Documents!$E$2:$E$619,Documents!$A$2:$A$619,$A44,Documents!$C$2:$C$619,"kids")),"")</f>
        <v/>
      </c>
      <c r="N44">
        <f>IFERROR(IF(MAXIFS(Documents!$E$2:$E$619,Documents!$A$2:$A$619,$A44,Documents!$C$2:$C$619,"villa_plans")=0,"",MAXIFS(Documents!$E$2:$E$619,Documents!$A$2:$A$619,$A44,Documents!$C$2:$C$619,"villa_plans")),"")</f>
        <v/>
      </c>
      <c r="O44">
        <f>IFERROR(IF(MAXIFS(Documents!$E$2:$E$619,Documents!$A$2:$A$619,$A44,Documents!$C$2:$C$619,"all_inclusive")=0,"",MAXIFS(Documents!$E$2:$E$619,Documents!$A$2:$A$619,$A44,Documents!$C$2:$C$619,"all_inclusive")),"")</f>
        <v/>
      </c>
      <c r="P44">
        <f>IFERROR(IF(MAXIFS(Documents!$E$2:$E$619,Documents!$A$2:$A$619,$A44,Documents!$C$2:$C$619,"sustainability")=0,"",MAXIFS(Documents!$E$2:$E$619,Documents!$A$2:$A$619,$A44,Documents!$C$2:$C$619,"sustainability")),"")</f>
        <v/>
      </c>
      <c r="Q44">
        <f>IFERROR(IF(MAXIFS(Documents!$E$2:$E$619,Documents!$A$2:$A$619,$A44,Documents!$C$2:$C$619,"calendar")=0,"",MAXIFS(Documents!$E$2:$E$619,Documents!$A$2:$A$619,$A44,Documents!$C$2:$C$619,"calendar")),"")</f>
        <v/>
      </c>
      <c r="R44">
        <f>IFERROR(IF(MAXIFS(Documents!$E$2:$E$619,Documents!$A$2:$A$619,$A44,Documents!$C$2:$C$619,"brochure")=0,"",MAXIFS(Documents!$E$2:$E$619,Documents!$A$2:$A$619,$A44,Documents!$C$2:$C$619,"brochure")),"")</f>
        <v/>
      </c>
      <c r="S44">
        <f>IFERROR(IF(MAXIFS(Documents!$E$2:$E$619,Documents!$A$2:$A$619,$A44,Documents!$C$2:$C$619,"press_kit")=0,"",MAXIFS(Documents!$E$2:$E$619,Documents!$A$2:$A$619,$A44,Documents!$C$2:$C$619,"press_kit")),"")</f>
        <v/>
      </c>
      <c r="T44">
        <f>IFERROR(IF(MAXIFS(Documents!$E$2:$E$619,Documents!$A$2:$A$619,$A44,Documents!$C$2:$C$619,"other")=0,"",MAXIFS(Documents!$E$2:$E$619,Documents!$A$2:$A$619,$A44,Documents!$C$2:$C$619,"other")),"")</f>
        <v/>
      </c>
      <c r="U44">
        <f>IFERROR(IF(MAXIFS(Documents!$E$2:$E$619,Documents!$A$2:$A$619,$A44,Documents!$C$2:$C$619,"obsolete")=0,"",MAXIFS(Documents!$E$2:$E$619,Documents!$A$2:$A$619,$A44,Documents!$C$2:$C$619,"obsolete")),"")</f>
        <v/>
      </c>
      <c r="V44">
        <f>COUNTIFS(Documents!$A$2:$A$619,$A44)</f>
        <v/>
      </c>
      <c r="W44">
        <f>COUNTIFS(Documents!$A$2:$A$619,$A44,Documents!$R$2:$R$619,"current")</f>
        <v/>
      </c>
      <c r="X44" t="inlineStr"/>
      <c r="Y44" t="inlineStr">
        <is>
          <t>factsheet, wedding, events</t>
        </is>
      </c>
      <c r="Z44" t="inlineStr"/>
    </row>
    <row r="45">
      <c r="A45" t="n">
        <v>44</v>
      </c>
      <c r="B45" t="inlineStr">
        <is>
          <t>Hard Rock Hotel Maldives</t>
        </is>
      </c>
      <c r="C45" t="inlineStr">
        <is>
          <t>not crawled</t>
        </is>
      </c>
      <c r="D45">
        <f>IFERROR(IF(MAXIFS(Documents!$E$2:$E$619,Documents!$A$2:$A$619,$A45,Documents!$C$2:$C$619,"factsheet")=0,"",MAXIFS(Documents!$E$2:$E$619,Documents!$A$2:$A$619,$A45,Documents!$C$2:$C$619,"factsheet")),"")</f>
        <v/>
      </c>
      <c r="E45">
        <f>IFERROR(IF(MAXIFS(Documents!$E$2:$E$619,Documents!$A$2:$A$619,$A45,Documents!$C$2:$C$619,"wedding")=0,"",MAXIFS(Documents!$E$2:$E$619,Documents!$A$2:$A$619,$A45,Documents!$C$2:$C$619,"wedding")),"")</f>
        <v/>
      </c>
      <c r="F45">
        <f>IFERROR(IF(MAXIFS(Documents!$E$2:$E$619,Documents!$A$2:$A$619,$A45,Documents!$C$2:$C$619,"events")=0,"",MAXIFS(Documents!$E$2:$E$619,Documents!$A$2:$A$619,$A45,Documents!$C$2:$C$619,"events")),"")</f>
        <v/>
      </c>
      <c r="G45">
        <f>IFERROR(IF(MAXIFS(Documents!$E$2:$E$619,Documents!$A$2:$A$619,$A45,Documents!$C$2:$C$619,"map")=0,"",MAXIFS(Documents!$E$2:$E$619,Documents!$A$2:$A$619,$A45,Documents!$C$2:$C$619,"map")),"")</f>
        <v/>
      </c>
      <c r="H45">
        <f>IFERROR(IF(MAXIFS(Documents!$E$2:$E$619,Documents!$A$2:$A$619,$A45,Documents!$C$2:$C$619,"dive_map")=0,"",MAXIFS(Documents!$E$2:$E$619,Documents!$A$2:$A$619,$A45,Documents!$C$2:$C$619,"dive_map")),"")</f>
        <v/>
      </c>
      <c r="I45">
        <f>IFERROR(IF(MAXIFS(Documents!$E$2:$E$619,Documents!$A$2:$A$619,$A45,Documents!$C$2:$C$619,"spa_menu")=0,"",MAXIFS(Documents!$E$2:$E$619,Documents!$A$2:$A$619,$A45,Documents!$C$2:$C$619,"spa_menu")),"")</f>
        <v/>
      </c>
      <c r="J45">
        <f>IFERROR(IF(MAXIFS(Documents!$E$2:$E$619,Documents!$A$2:$A$619,$A45,Documents!$C$2:$C$619,"dining_menu")=0,"",MAXIFS(Documents!$E$2:$E$619,Documents!$A$2:$A$619,$A45,Documents!$C$2:$C$619,"dining_menu")),"")</f>
        <v/>
      </c>
      <c r="K45">
        <f>IFERROR(IF(MAXIFS(Documents!$E$2:$E$619,Documents!$A$2:$A$619,$A45,Documents!$C$2:$C$619,"dive_prices")=0,"",MAXIFS(Documents!$E$2:$E$619,Documents!$A$2:$A$619,$A45,Documents!$C$2:$C$619,"dive_prices")),"")</f>
        <v/>
      </c>
      <c r="L45">
        <f>IFERROR(IF(MAXIFS(Documents!$E$2:$E$619,Documents!$A$2:$A$619,$A45,Documents!$C$2:$C$619,"excursions")=0,"",MAXIFS(Documents!$E$2:$E$619,Documents!$A$2:$A$619,$A45,Documents!$C$2:$C$619,"excursions")),"")</f>
        <v/>
      </c>
      <c r="M45">
        <f>IFERROR(IF(MAXIFS(Documents!$E$2:$E$619,Documents!$A$2:$A$619,$A45,Documents!$C$2:$C$619,"kids")=0,"",MAXIFS(Documents!$E$2:$E$619,Documents!$A$2:$A$619,$A45,Documents!$C$2:$C$619,"kids")),"")</f>
        <v/>
      </c>
      <c r="N45">
        <f>IFERROR(IF(MAXIFS(Documents!$E$2:$E$619,Documents!$A$2:$A$619,$A45,Documents!$C$2:$C$619,"villa_plans")=0,"",MAXIFS(Documents!$E$2:$E$619,Documents!$A$2:$A$619,$A45,Documents!$C$2:$C$619,"villa_plans")),"")</f>
        <v/>
      </c>
      <c r="O45">
        <f>IFERROR(IF(MAXIFS(Documents!$E$2:$E$619,Documents!$A$2:$A$619,$A45,Documents!$C$2:$C$619,"all_inclusive")=0,"",MAXIFS(Documents!$E$2:$E$619,Documents!$A$2:$A$619,$A45,Documents!$C$2:$C$619,"all_inclusive")),"")</f>
        <v/>
      </c>
      <c r="P45">
        <f>IFERROR(IF(MAXIFS(Documents!$E$2:$E$619,Documents!$A$2:$A$619,$A45,Documents!$C$2:$C$619,"sustainability")=0,"",MAXIFS(Documents!$E$2:$E$619,Documents!$A$2:$A$619,$A45,Documents!$C$2:$C$619,"sustainability")),"")</f>
        <v/>
      </c>
      <c r="Q45">
        <f>IFERROR(IF(MAXIFS(Documents!$E$2:$E$619,Documents!$A$2:$A$619,$A45,Documents!$C$2:$C$619,"calendar")=0,"",MAXIFS(Documents!$E$2:$E$619,Documents!$A$2:$A$619,$A45,Documents!$C$2:$C$619,"calendar")),"")</f>
        <v/>
      </c>
      <c r="R45">
        <f>IFERROR(IF(MAXIFS(Documents!$E$2:$E$619,Documents!$A$2:$A$619,$A45,Documents!$C$2:$C$619,"brochure")=0,"",MAXIFS(Documents!$E$2:$E$619,Documents!$A$2:$A$619,$A45,Documents!$C$2:$C$619,"brochure")),"")</f>
        <v/>
      </c>
      <c r="S45">
        <f>IFERROR(IF(MAXIFS(Documents!$E$2:$E$619,Documents!$A$2:$A$619,$A45,Documents!$C$2:$C$619,"press_kit")=0,"",MAXIFS(Documents!$E$2:$E$619,Documents!$A$2:$A$619,$A45,Documents!$C$2:$C$619,"press_kit")),"")</f>
        <v/>
      </c>
      <c r="T45">
        <f>IFERROR(IF(MAXIFS(Documents!$E$2:$E$619,Documents!$A$2:$A$619,$A45,Documents!$C$2:$C$619,"other")=0,"",MAXIFS(Documents!$E$2:$E$619,Documents!$A$2:$A$619,$A45,Documents!$C$2:$C$619,"other")),"")</f>
        <v/>
      </c>
      <c r="U45">
        <f>IFERROR(IF(MAXIFS(Documents!$E$2:$E$619,Documents!$A$2:$A$619,$A45,Documents!$C$2:$C$619,"obsolete")=0,"",MAXIFS(Documents!$E$2:$E$619,Documents!$A$2:$A$619,$A45,Documents!$C$2:$C$619,"obsolete")),"")</f>
        <v/>
      </c>
      <c r="V45">
        <f>COUNTIFS(Documents!$A$2:$A$619,$A45)</f>
        <v/>
      </c>
      <c r="W45">
        <f>COUNTIFS(Documents!$A$2:$A$619,$A45,Documents!$R$2:$R$619,"current")</f>
        <v/>
      </c>
      <c r="X45" t="inlineStr"/>
      <c r="Y45" t="inlineStr">
        <is>
          <t>factsheet, wedding, events</t>
        </is>
      </c>
      <c r="Z45" t="inlineStr"/>
    </row>
    <row r="46">
      <c r="A46" t="n">
        <v>45</v>
      </c>
      <c r="B46" t="inlineStr">
        <is>
          <t>Saii Lagoon Maldives</t>
        </is>
      </c>
      <c r="C46" t="inlineStr">
        <is>
          <t>not crawled</t>
        </is>
      </c>
      <c r="D46">
        <f>IFERROR(IF(MAXIFS(Documents!$E$2:$E$619,Documents!$A$2:$A$619,$A46,Documents!$C$2:$C$619,"factsheet")=0,"",MAXIFS(Documents!$E$2:$E$619,Documents!$A$2:$A$619,$A46,Documents!$C$2:$C$619,"factsheet")),"")</f>
        <v/>
      </c>
      <c r="E46">
        <f>IFERROR(IF(MAXIFS(Documents!$E$2:$E$619,Documents!$A$2:$A$619,$A46,Documents!$C$2:$C$619,"wedding")=0,"",MAXIFS(Documents!$E$2:$E$619,Documents!$A$2:$A$619,$A46,Documents!$C$2:$C$619,"wedding")),"")</f>
        <v/>
      </c>
      <c r="F46">
        <f>IFERROR(IF(MAXIFS(Documents!$E$2:$E$619,Documents!$A$2:$A$619,$A46,Documents!$C$2:$C$619,"events")=0,"",MAXIFS(Documents!$E$2:$E$619,Documents!$A$2:$A$619,$A46,Documents!$C$2:$C$619,"events")),"")</f>
        <v/>
      </c>
      <c r="G46">
        <f>IFERROR(IF(MAXIFS(Documents!$E$2:$E$619,Documents!$A$2:$A$619,$A46,Documents!$C$2:$C$619,"map")=0,"",MAXIFS(Documents!$E$2:$E$619,Documents!$A$2:$A$619,$A46,Documents!$C$2:$C$619,"map")),"")</f>
        <v/>
      </c>
      <c r="H46">
        <f>IFERROR(IF(MAXIFS(Documents!$E$2:$E$619,Documents!$A$2:$A$619,$A46,Documents!$C$2:$C$619,"dive_map")=0,"",MAXIFS(Documents!$E$2:$E$619,Documents!$A$2:$A$619,$A46,Documents!$C$2:$C$619,"dive_map")),"")</f>
        <v/>
      </c>
      <c r="I46">
        <f>IFERROR(IF(MAXIFS(Documents!$E$2:$E$619,Documents!$A$2:$A$619,$A46,Documents!$C$2:$C$619,"spa_menu")=0,"",MAXIFS(Documents!$E$2:$E$619,Documents!$A$2:$A$619,$A46,Documents!$C$2:$C$619,"spa_menu")),"")</f>
        <v/>
      </c>
      <c r="J46">
        <f>IFERROR(IF(MAXIFS(Documents!$E$2:$E$619,Documents!$A$2:$A$619,$A46,Documents!$C$2:$C$619,"dining_menu")=0,"",MAXIFS(Documents!$E$2:$E$619,Documents!$A$2:$A$619,$A46,Documents!$C$2:$C$619,"dining_menu")),"")</f>
        <v/>
      </c>
      <c r="K46">
        <f>IFERROR(IF(MAXIFS(Documents!$E$2:$E$619,Documents!$A$2:$A$619,$A46,Documents!$C$2:$C$619,"dive_prices")=0,"",MAXIFS(Documents!$E$2:$E$619,Documents!$A$2:$A$619,$A46,Documents!$C$2:$C$619,"dive_prices")),"")</f>
        <v/>
      </c>
      <c r="L46">
        <f>IFERROR(IF(MAXIFS(Documents!$E$2:$E$619,Documents!$A$2:$A$619,$A46,Documents!$C$2:$C$619,"excursions")=0,"",MAXIFS(Documents!$E$2:$E$619,Documents!$A$2:$A$619,$A46,Documents!$C$2:$C$619,"excursions")),"")</f>
        <v/>
      </c>
      <c r="M46">
        <f>IFERROR(IF(MAXIFS(Documents!$E$2:$E$619,Documents!$A$2:$A$619,$A46,Documents!$C$2:$C$619,"kids")=0,"",MAXIFS(Documents!$E$2:$E$619,Documents!$A$2:$A$619,$A46,Documents!$C$2:$C$619,"kids")),"")</f>
        <v/>
      </c>
      <c r="N46">
        <f>IFERROR(IF(MAXIFS(Documents!$E$2:$E$619,Documents!$A$2:$A$619,$A46,Documents!$C$2:$C$619,"villa_plans")=0,"",MAXIFS(Documents!$E$2:$E$619,Documents!$A$2:$A$619,$A46,Documents!$C$2:$C$619,"villa_plans")),"")</f>
        <v/>
      </c>
      <c r="O46">
        <f>IFERROR(IF(MAXIFS(Documents!$E$2:$E$619,Documents!$A$2:$A$619,$A46,Documents!$C$2:$C$619,"all_inclusive")=0,"",MAXIFS(Documents!$E$2:$E$619,Documents!$A$2:$A$619,$A46,Documents!$C$2:$C$619,"all_inclusive")),"")</f>
        <v/>
      </c>
      <c r="P46">
        <f>IFERROR(IF(MAXIFS(Documents!$E$2:$E$619,Documents!$A$2:$A$619,$A46,Documents!$C$2:$C$619,"sustainability")=0,"",MAXIFS(Documents!$E$2:$E$619,Documents!$A$2:$A$619,$A46,Documents!$C$2:$C$619,"sustainability")),"")</f>
        <v/>
      </c>
      <c r="Q46">
        <f>IFERROR(IF(MAXIFS(Documents!$E$2:$E$619,Documents!$A$2:$A$619,$A46,Documents!$C$2:$C$619,"calendar")=0,"",MAXIFS(Documents!$E$2:$E$619,Documents!$A$2:$A$619,$A46,Documents!$C$2:$C$619,"calendar")),"")</f>
        <v/>
      </c>
      <c r="R46">
        <f>IFERROR(IF(MAXIFS(Documents!$E$2:$E$619,Documents!$A$2:$A$619,$A46,Documents!$C$2:$C$619,"brochure")=0,"",MAXIFS(Documents!$E$2:$E$619,Documents!$A$2:$A$619,$A46,Documents!$C$2:$C$619,"brochure")),"")</f>
        <v/>
      </c>
      <c r="S46">
        <f>IFERROR(IF(MAXIFS(Documents!$E$2:$E$619,Documents!$A$2:$A$619,$A46,Documents!$C$2:$C$619,"press_kit")=0,"",MAXIFS(Documents!$E$2:$E$619,Documents!$A$2:$A$619,$A46,Documents!$C$2:$C$619,"press_kit")),"")</f>
        <v/>
      </c>
      <c r="T46">
        <f>IFERROR(IF(MAXIFS(Documents!$E$2:$E$619,Documents!$A$2:$A$619,$A46,Documents!$C$2:$C$619,"other")=0,"",MAXIFS(Documents!$E$2:$E$619,Documents!$A$2:$A$619,$A46,Documents!$C$2:$C$619,"other")),"")</f>
        <v/>
      </c>
      <c r="U46">
        <f>IFERROR(IF(MAXIFS(Documents!$E$2:$E$619,Documents!$A$2:$A$619,$A46,Documents!$C$2:$C$619,"obsolete")=0,"",MAXIFS(Documents!$E$2:$E$619,Documents!$A$2:$A$619,$A46,Documents!$C$2:$C$619,"obsolete")),"")</f>
        <v/>
      </c>
      <c r="V46">
        <f>COUNTIFS(Documents!$A$2:$A$619,$A46)</f>
        <v/>
      </c>
      <c r="W46">
        <f>COUNTIFS(Documents!$A$2:$A$619,$A46,Documents!$R$2:$R$619,"current")</f>
        <v/>
      </c>
      <c r="X46">
        <f>HYPERLINK("https://www.neoscapesmaldives.com/wp-content/uploads/SAii-Lagoon-Maldives-Factsheet-2025.pdf","2025_SAii-Lagoon-Maldives-Factsheet-2025")</f>
        <v/>
      </c>
      <c r="Y46" t="inlineStr">
        <is>
          <t>wedding, events</t>
        </is>
      </c>
      <c r="Z46" t="inlineStr"/>
    </row>
    <row r="47">
      <c r="A47" t="n">
        <v>46</v>
      </c>
      <c r="B47" t="inlineStr">
        <is>
          <t>SO/ Maldives</t>
        </is>
      </c>
      <c r="C47" t="inlineStr">
        <is>
          <t>not crawled</t>
        </is>
      </c>
      <c r="D47">
        <f>IFERROR(IF(MAXIFS(Documents!$E$2:$E$619,Documents!$A$2:$A$619,$A47,Documents!$C$2:$C$619,"factsheet")=0,"",MAXIFS(Documents!$E$2:$E$619,Documents!$A$2:$A$619,$A47,Documents!$C$2:$C$619,"factsheet")),"")</f>
        <v/>
      </c>
      <c r="E47">
        <f>IFERROR(IF(MAXIFS(Documents!$E$2:$E$619,Documents!$A$2:$A$619,$A47,Documents!$C$2:$C$619,"wedding")=0,"",MAXIFS(Documents!$E$2:$E$619,Documents!$A$2:$A$619,$A47,Documents!$C$2:$C$619,"wedding")),"")</f>
        <v/>
      </c>
      <c r="F47">
        <f>IFERROR(IF(MAXIFS(Documents!$E$2:$E$619,Documents!$A$2:$A$619,$A47,Documents!$C$2:$C$619,"events")=0,"",MAXIFS(Documents!$E$2:$E$619,Documents!$A$2:$A$619,$A47,Documents!$C$2:$C$619,"events")),"")</f>
        <v/>
      </c>
      <c r="G47">
        <f>IFERROR(IF(MAXIFS(Documents!$E$2:$E$619,Documents!$A$2:$A$619,$A47,Documents!$C$2:$C$619,"map")=0,"",MAXIFS(Documents!$E$2:$E$619,Documents!$A$2:$A$619,$A47,Documents!$C$2:$C$619,"map")),"")</f>
        <v/>
      </c>
      <c r="H47">
        <f>IFERROR(IF(MAXIFS(Documents!$E$2:$E$619,Documents!$A$2:$A$619,$A47,Documents!$C$2:$C$619,"dive_map")=0,"",MAXIFS(Documents!$E$2:$E$619,Documents!$A$2:$A$619,$A47,Documents!$C$2:$C$619,"dive_map")),"")</f>
        <v/>
      </c>
      <c r="I47">
        <f>IFERROR(IF(MAXIFS(Documents!$E$2:$E$619,Documents!$A$2:$A$619,$A47,Documents!$C$2:$C$619,"spa_menu")=0,"",MAXIFS(Documents!$E$2:$E$619,Documents!$A$2:$A$619,$A47,Documents!$C$2:$C$619,"spa_menu")),"")</f>
        <v/>
      </c>
      <c r="J47">
        <f>IFERROR(IF(MAXIFS(Documents!$E$2:$E$619,Documents!$A$2:$A$619,$A47,Documents!$C$2:$C$619,"dining_menu")=0,"",MAXIFS(Documents!$E$2:$E$619,Documents!$A$2:$A$619,$A47,Documents!$C$2:$C$619,"dining_menu")),"")</f>
        <v/>
      </c>
      <c r="K47">
        <f>IFERROR(IF(MAXIFS(Documents!$E$2:$E$619,Documents!$A$2:$A$619,$A47,Documents!$C$2:$C$619,"dive_prices")=0,"",MAXIFS(Documents!$E$2:$E$619,Documents!$A$2:$A$619,$A47,Documents!$C$2:$C$619,"dive_prices")),"")</f>
        <v/>
      </c>
      <c r="L47">
        <f>IFERROR(IF(MAXIFS(Documents!$E$2:$E$619,Documents!$A$2:$A$619,$A47,Documents!$C$2:$C$619,"excursions")=0,"",MAXIFS(Documents!$E$2:$E$619,Documents!$A$2:$A$619,$A47,Documents!$C$2:$C$619,"excursions")),"")</f>
        <v/>
      </c>
      <c r="M47">
        <f>IFERROR(IF(MAXIFS(Documents!$E$2:$E$619,Documents!$A$2:$A$619,$A47,Documents!$C$2:$C$619,"kids")=0,"",MAXIFS(Documents!$E$2:$E$619,Documents!$A$2:$A$619,$A47,Documents!$C$2:$C$619,"kids")),"")</f>
        <v/>
      </c>
      <c r="N47">
        <f>IFERROR(IF(MAXIFS(Documents!$E$2:$E$619,Documents!$A$2:$A$619,$A47,Documents!$C$2:$C$619,"villa_plans")=0,"",MAXIFS(Documents!$E$2:$E$619,Documents!$A$2:$A$619,$A47,Documents!$C$2:$C$619,"villa_plans")),"")</f>
        <v/>
      </c>
      <c r="O47">
        <f>IFERROR(IF(MAXIFS(Documents!$E$2:$E$619,Documents!$A$2:$A$619,$A47,Documents!$C$2:$C$619,"all_inclusive")=0,"",MAXIFS(Documents!$E$2:$E$619,Documents!$A$2:$A$619,$A47,Documents!$C$2:$C$619,"all_inclusive")),"")</f>
        <v/>
      </c>
      <c r="P47">
        <f>IFERROR(IF(MAXIFS(Documents!$E$2:$E$619,Documents!$A$2:$A$619,$A47,Documents!$C$2:$C$619,"sustainability")=0,"",MAXIFS(Documents!$E$2:$E$619,Documents!$A$2:$A$619,$A47,Documents!$C$2:$C$619,"sustainability")),"")</f>
        <v/>
      </c>
      <c r="Q47">
        <f>IFERROR(IF(MAXIFS(Documents!$E$2:$E$619,Documents!$A$2:$A$619,$A47,Documents!$C$2:$C$619,"calendar")=0,"",MAXIFS(Documents!$E$2:$E$619,Documents!$A$2:$A$619,$A47,Documents!$C$2:$C$619,"calendar")),"")</f>
        <v/>
      </c>
      <c r="R47">
        <f>IFERROR(IF(MAXIFS(Documents!$E$2:$E$619,Documents!$A$2:$A$619,$A47,Documents!$C$2:$C$619,"brochure")=0,"",MAXIFS(Documents!$E$2:$E$619,Documents!$A$2:$A$619,$A47,Documents!$C$2:$C$619,"brochure")),"")</f>
        <v/>
      </c>
      <c r="S47">
        <f>IFERROR(IF(MAXIFS(Documents!$E$2:$E$619,Documents!$A$2:$A$619,$A47,Documents!$C$2:$C$619,"press_kit")=0,"",MAXIFS(Documents!$E$2:$E$619,Documents!$A$2:$A$619,$A47,Documents!$C$2:$C$619,"press_kit")),"")</f>
        <v/>
      </c>
      <c r="T47">
        <f>IFERROR(IF(MAXIFS(Documents!$E$2:$E$619,Documents!$A$2:$A$619,$A47,Documents!$C$2:$C$619,"other")=0,"",MAXIFS(Documents!$E$2:$E$619,Documents!$A$2:$A$619,$A47,Documents!$C$2:$C$619,"other")),"")</f>
        <v/>
      </c>
      <c r="U47">
        <f>IFERROR(IF(MAXIFS(Documents!$E$2:$E$619,Documents!$A$2:$A$619,$A47,Documents!$C$2:$C$619,"obsolete")=0,"",MAXIFS(Documents!$E$2:$E$619,Documents!$A$2:$A$619,$A47,Documents!$C$2:$C$619,"obsolete")),"")</f>
        <v/>
      </c>
      <c r="V47">
        <f>COUNTIFS(Documents!$A$2:$A$619,$A47)</f>
        <v/>
      </c>
      <c r="W47">
        <f>COUNTIFS(Documents!$A$2:$A$619,$A47,Documents!$R$2:$R$619,"current")</f>
        <v/>
      </c>
      <c r="X47">
        <f>HYPERLINK("https://www.neoscapesmaldives.com/wp-content/uploads/SO-Maldives-Factsheet_Eng.pdf","2025_SO-Maldives-Factsheet_Eng.pdf")</f>
        <v/>
      </c>
      <c r="Y47" t="inlineStr">
        <is>
          <t>wedding, events</t>
        </is>
      </c>
      <c r="Z47" t="inlineStr"/>
    </row>
    <row r="48">
      <c r="A48" t="n">
        <v>47</v>
      </c>
      <c r="B48" t="inlineStr">
        <is>
          <t>Park Hyatt Maldives, Hadahaa</t>
        </is>
      </c>
      <c r="C48" t="inlineStr">
        <is>
          <t>not crawled</t>
        </is>
      </c>
      <c r="D48">
        <f>IFERROR(IF(MAXIFS(Documents!$E$2:$E$619,Documents!$A$2:$A$619,$A48,Documents!$C$2:$C$619,"factsheet")=0,"",MAXIFS(Documents!$E$2:$E$619,Documents!$A$2:$A$619,$A48,Documents!$C$2:$C$619,"factsheet")),"")</f>
        <v/>
      </c>
      <c r="E48">
        <f>IFERROR(IF(MAXIFS(Documents!$E$2:$E$619,Documents!$A$2:$A$619,$A48,Documents!$C$2:$C$619,"wedding")=0,"",MAXIFS(Documents!$E$2:$E$619,Documents!$A$2:$A$619,$A48,Documents!$C$2:$C$619,"wedding")),"")</f>
        <v/>
      </c>
      <c r="F48">
        <f>IFERROR(IF(MAXIFS(Documents!$E$2:$E$619,Documents!$A$2:$A$619,$A48,Documents!$C$2:$C$619,"events")=0,"",MAXIFS(Documents!$E$2:$E$619,Documents!$A$2:$A$619,$A48,Documents!$C$2:$C$619,"events")),"")</f>
        <v/>
      </c>
      <c r="G48">
        <f>IFERROR(IF(MAXIFS(Documents!$E$2:$E$619,Documents!$A$2:$A$619,$A48,Documents!$C$2:$C$619,"map")=0,"",MAXIFS(Documents!$E$2:$E$619,Documents!$A$2:$A$619,$A48,Documents!$C$2:$C$619,"map")),"")</f>
        <v/>
      </c>
      <c r="H48">
        <f>IFERROR(IF(MAXIFS(Documents!$E$2:$E$619,Documents!$A$2:$A$619,$A48,Documents!$C$2:$C$619,"dive_map")=0,"",MAXIFS(Documents!$E$2:$E$619,Documents!$A$2:$A$619,$A48,Documents!$C$2:$C$619,"dive_map")),"")</f>
        <v/>
      </c>
      <c r="I48">
        <f>IFERROR(IF(MAXIFS(Documents!$E$2:$E$619,Documents!$A$2:$A$619,$A48,Documents!$C$2:$C$619,"spa_menu")=0,"",MAXIFS(Documents!$E$2:$E$619,Documents!$A$2:$A$619,$A48,Documents!$C$2:$C$619,"spa_menu")),"")</f>
        <v/>
      </c>
      <c r="J48">
        <f>IFERROR(IF(MAXIFS(Documents!$E$2:$E$619,Documents!$A$2:$A$619,$A48,Documents!$C$2:$C$619,"dining_menu")=0,"",MAXIFS(Documents!$E$2:$E$619,Documents!$A$2:$A$619,$A48,Documents!$C$2:$C$619,"dining_menu")),"")</f>
        <v/>
      </c>
      <c r="K48">
        <f>IFERROR(IF(MAXIFS(Documents!$E$2:$E$619,Documents!$A$2:$A$619,$A48,Documents!$C$2:$C$619,"dive_prices")=0,"",MAXIFS(Documents!$E$2:$E$619,Documents!$A$2:$A$619,$A48,Documents!$C$2:$C$619,"dive_prices")),"")</f>
        <v/>
      </c>
      <c r="L48">
        <f>IFERROR(IF(MAXIFS(Documents!$E$2:$E$619,Documents!$A$2:$A$619,$A48,Documents!$C$2:$C$619,"excursions")=0,"",MAXIFS(Documents!$E$2:$E$619,Documents!$A$2:$A$619,$A48,Documents!$C$2:$C$619,"excursions")),"")</f>
        <v/>
      </c>
      <c r="M48">
        <f>IFERROR(IF(MAXIFS(Documents!$E$2:$E$619,Documents!$A$2:$A$619,$A48,Documents!$C$2:$C$619,"kids")=0,"",MAXIFS(Documents!$E$2:$E$619,Documents!$A$2:$A$619,$A48,Documents!$C$2:$C$619,"kids")),"")</f>
        <v/>
      </c>
      <c r="N48">
        <f>IFERROR(IF(MAXIFS(Documents!$E$2:$E$619,Documents!$A$2:$A$619,$A48,Documents!$C$2:$C$619,"villa_plans")=0,"",MAXIFS(Documents!$E$2:$E$619,Documents!$A$2:$A$619,$A48,Documents!$C$2:$C$619,"villa_plans")),"")</f>
        <v/>
      </c>
      <c r="O48">
        <f>IFERROR(IF(MAXIFS(Documents!$E$2:$E$619,Documents!$A$2:$A$619,$A48,Documents!$C$2:$C$619,"all_inclusive")=0,"",MAXIFS(Documents!$E$2:$E$619,Documents!$A$2:$A$619,$A48,Documents!$C$2:$C$619,"all_inclusive")),"")</f>
        <v/>
      </c>
      <c r="P48">
        <f>IFERROR(IF(MAXIFS(Documents!$E$2:$E$619,Documents!$A$2:$A$619,$A48,Documents!$C$2:$C$619,"sustainability")=0,"",MAXIFS(Documents!$E$2:$E$619,Documents!$A$2:$A$619,$A48,Documents!$C$2:$C$619,"sustainability")),"")</f>
        <v/>
      </c>
      <c r="Q48">
        <f>IFERROR(IF(MAXIFS(Documents!$E$2:$E$619,Documents!$A$2:$A$619,$A48,Documents!$C$2:$C$619,"calendar")=0,"",MAXIFS(Documents!$E$2:$E$619,Documents!$A$2:$A$619,$A48,Documents!$C$2:$C$619,"calendar")),"")</f>
        <v/>
      </c>
      <c r="R48">
        <f>IFERROR(IF(MAXIFS(Documents!$E$2:$E$619,Documents!$A$2:$A$619,$A48,Documents!$C$2:$C$619,"brochure")=0,"",MAXIFS(Documents!$E$2:$E$619,Documents!$A$2:$A$619,$A48,Documents!$C$2:$C$619,"brochure")),"")</f>
        <v/>
      </c>
      <c r="S48">
        <f>IFERROR(IF(MAXIFS(Documents!$E$2:$E$619,Documents!$A$2:$A$619,$A48,Documents!$C$2:$C$619,"press_kit")=0,"",MAXIFS(Documents!$E$2:$E$619,Documents!$A$2:$A$619,$A48,Documents!$C$2:$C$619,"press_kit")),"")</f>
        <v/>
      </c>
      <c r="T48">
        <f>IFERROR(IF(MAXIFS(Documents!$E$2:$E$619,Documents!$A$2:$A$619,$A48,Documents!$C$2:$C$619,"other")=0,"",MAXIFS(Documents!$E$2:$E$619,Documents!$A$2:$A$619,$A48,Documents!$C$2:$C$619,"other")),"")</f>
        <v/>
      </c>
      <c r="U48">
        <f>IFERROR(IF(MAXIFS(Documents!$E$2:$E$619,Documents!$A$2:$A$619,$A48,Documents!$C$2:$C$619,"obsolete")=0,"",MAXIFS(Documents!$E$2:$E$619,Documents!$A$2:$A$619,$A48,Documents!$C$2:$C$619,"obsolete")),"")</f>
        <v/>
      </c>
      <c r="V48">
        <f>COUNTIFS(Documents!$A$2:$A$619,$A48)</f>
        <v/>
      </c>
      <c r="W48">
        <f>COUNTIFS(Documents!$A$2:$A$619,$A48,Documents!$R$2:$R$619,"current")</f>
        <v/>
      </c>
      <c r="X48" t="inlineStr"/>
      <c r="Y48" t="inlineStr">
        <is>
          <t>factsheet, wedding, events</t>
        </is>
      </c>
      <c r="Z48" t="inlineStr"/>
    </row>
    <row r="49">
      <c r="A49" t="n">
        <v>48</v>
      </c>
      <c r="B49" t="inlineStr">
        <is>
          <t>Dusit Thani Maldives</t>
        </is>
      </c>
      <c r="C49" t="inlineStr">
        <is>
          <t>not crawled</t>
        </is>
      </c>
      <c r="D49">
        <f>IFERROR(IF(MAXIFS(Documents!$E$2:$E$619,Documents!$A$2:$A$619,$A49,Documents!$C$2:$C$619,"factsheet")=0,"",MAXIFS(Documents!$E$2:$E$619,Documents!$A$2:$A$619,$A49,Documents!$C$2:$C$619,"factsheet")),"")</f>
        <v/>
      </c>
      <c r="E49">
        <f>IFERROR(IF(MAXIFS(Documents!$E$2:$E$619,Documents!$A$2:$A$619,$A49,Documents!$C$2:$C$619,"wedding")=0,"",MAXIFS(Documents!$E$2:$E$619,Documents!$A$2:$A$619,$A49,Documents!$C$2:$C$619,"wedding")),"")</f>
        <v/>
      </c>
      <c r="F49">
        <f>IFERROR(IF(MAXIFS(Documents!$E$2:$E$619,Documents!$A$2:$A$619,$A49,Documents!$C$2:$C$619,"events")=0,"",MAXIFS(Documents!$E$2:$E$619,Documents!$A$2:$A$619,$A49,Documents!$C$2:$C$619,"events")),"")</f>
        <v/>
      </c>
      <c r="G49">
        <f>IFERROR(IF(MAXIFS(Documents!$E$2:$E$619,Documents!$A$2:$A$619,$A49,Documents!$C$2:$C$619,"map")=0,"",MAXIFS(Documents!$E$2:$E$619,Documents!$A$2:$A$619,$A49,Documents!$C$2:$C$619,"map")),"")</f>
        <v/>
      </c>
      <c r="H49">
        <f>IFERROR(IF(MAXIFS(Documents!$E$2:$E$619,Documents!$A$2:$A$619,$A49,Documents!$C$2:$C$619,"dive_map")=0,"",MAXIFS(Documents!$E$2:$E$619,Documents!$A$2:$A$619,$A49,Documents!$C$2:$C$619,"dive_map")),"")</f>
        <v/>
      </c>
      <c r="I49">
        <f>IFERROR(IF(MAXIFS(Documents!$E$2:$E$619,Documents!$A$2:$A$619,$A49,Documents!$C$2:$C$619,"spa_menu")=0,"",MAXIFS(Documents!$E$2:$E$619,Documents!$A$2:$A$619,$A49,Documents!$C$2:$C$619,"spa_menu")),"")</f>
        <v/>
      </c>
      <c r="J49">
        <f>IFERROR(IF(MAXIFS(Documents!$E$2:$E$619,Documents!$A$2:$A$619,$A49,Documents!$C$2:$C$619,"dining_menu")=0,"",MAXIFS(Documents!$E$2:$E$619,Documents!$A$2:$A$619,$A49,Documents!$C$2:$C$619,"dining_menu")),"")</f>
        <v/>
      </c>
      <c r="K49">
        <f>IFERROR(IF(MAXIFS(Documents!$E$2:$E$619,Documents!$A$2:$A$619,$A49,Documents!$C$2:$C$619,"dive_prices")=0,"",MAXIFS(Documents!$E$2:$E$619,Documents!$A$2:$A$619,$A49,Documents!$C$2:$C$619,"dive_prices")),"")</f>
        <v/>
      </c>
      <c r="L49">
        <f>IFERROR(IF(MAXIFS(Documents!$E$2:$E$619,Documents!$A$2:$A$619,$A49,Documents!$C$2:$C$619,"excursions")=0,"",MAXIFS(Documents!$E$2:$E$619,Documents!$A$2:$A$619,$A49,Documents!$C$2:$C$619,"excursions")),"")</f>
        <v/>
      </c>
      <c r="M49">
        <f>IFERROR(IF(MAXIFS(Documents!$E$2:$E$619,Documents!$A$2:$A$619,$A49,Documents!$C$2:$C$619,"kids")=0,"",MAXIFS(Documents!$E$2:$E$619,Documents!$A$2:$A$619,$A49,Documents!$C$2:$C$619,"kids")),"")</f>
        <v/>
      </c>
      <c r="N49">
        <f>IFERROR(IF(MAXIFS(Documents!$E$2:$E$619,Documents!$A$2:$A$619,$A49,Documents!$C$2:$C$619,"villa_plans")=0,"",MAXIFS(Documents!$E$2:$E$619,Documents!$A$2:$A$619,$A49,Documents!$C$2:$C$619,"villa_plans")),"")</f>
        <v/>
      </c>
      <c r="O49">
        <f>IFERROR(IF(MAXIFS(Documents!$E$2:$E$619,Documents!$A$2:$A$619,$A49,Documents!$C$2:$C$619,"all_inclusive")=0,"",MAXIFS(Documents!$E$2:$E$619,Documents!$A$2:$A$619,$A49,Documents!$C$2:$C$619,"all_inclusive")),"")</f>
        <v/>
      </c>
      <c r="P49">
        <f>IFERROR(IF(MAXIFS(Documents!$E$2:$E$619,Documents!$A$2:$A$619,$A49,Documents!$C$2:$C$619,"sustainability")=0,"",MAXIFS(Documents!$E$2:$E$619,Documents!$A$2:$A$619,$A49,Documents!$C$2:$C$619,"sustainability")),"")</f>
        <v/>
      </c>
      <c r="Q49">
        <f>IFERROR(IF(MAXIFS(Documents!$E$2:$E$619,Documents!$A$2:$A$619,$A49,Documents!$C$2:$C$619,"calendar")=0,"",MAXIFS(Documents!$E$2:$E$619,Documents!$A$2:$A$619,$A49,Documents!$C$2:$C$619,"calendar")),"")</f>
        <v/>
      </c>
      <c r="R49">
        <f>IFERROR(IF(MAXIFS(Documents!$E$2:$E$619,Documents!$A$2:$A$619,$A49,Documents!$C$2:$C$619,"brochure")=0,"",MAXIFS(Documents!$E$2:$E$619,Documents!$A$2:$A$619,$A49,Documents!$C$2:$C$619,"brochure")),"")</f>
        <v/>
      </c>
      <c r="S49">
        <f>IFERROR(IF(MAXIFS(Documents!$E$2:$E$619,Documents!$A$2:$A$619,$A49,Documents!$C$2:$C$619,"press_kit")=0,"",MAXIFS(Documents!$E$2:$E$619,Documents!$A$2:$A$619,$A49,Documents!$C$2:$C$619,"press_kit")),"")</f>
        <v/>
      </c>
      <c r="T49">
        <f>IFERROR(IF(MAXIFS(Documents!$E$2:$E$619,Documents!$A$2:$A$619,$A49,Documents!$C$2:$C$619,"other")=0,"",MAXIFS(Documents!$E$2:$E$619,Documents!$A$2:$A$619,$A49,Documents!$C$2:$C$619,"other")),"")</f>
        <v/>
      </c>
      <c r="U49">
        <f>IFERROR(IF(MAXIFS(Documents!$E$2:$E$619,Documents!$A$2:$A$619,$A49,Documents!$C$2:$C$619,"obsolete")=0,"",MAXIFS(Documents!$E$2:$E$619,Documents!$A$2:$A$619,$A49,Documents!$C$2:$C$619,"obsolete")),"")</f>
        <v/>
      </c>
      <c r="V49">
        <f>COUNTIFS(Documents!$A$2:$A$619,$A49)</f>
        <v/>
      </c>
      <c r="W49">
        <f>COUNTIFS(Documents!$A$2:$A$619,$A49,Documents!$R$2:$R$619,"current")</f>
        <v/>
      </c>
      <c r="X49">
        <f>HYPERLINK("https://www.neoscapesmaldives.com/wp-content/uploads/New-Dusit-Thani-Maldives-Property-Fact-Sheet-1.pdf","2026_New-Dusit-Thani-Maldives-Property-F")</f>
        <v/>
      </c>
      <c r="Y49" t="inlineStr">
        <is>
          <t>wedding, events</t>
        </is>
      </c>
      <c r="Z49" t="inlineStr"/>
    </row>
    <row r="50">
      <c r="A50" t="n">
        <v>49</v>
      </c>
      <c r="B50" t="inlineStr">
        <is>
          <t>Vakkaru Maldives</t>
        </is>
      </c>
      <c r="C50" t="inlineStr">
        <is>
          <t>not crawled</t>
        </is>
      </c>
      <c r="D50">
        <f>IFERROR(IF(MAXIFS(Documents!$E$2:$E$619,Documents!$A$2:$A$619,$A50,Documents!$C$2:$C$619,"factsheet")=0,"",MAXIFS(Documents!$E$2:$E$619,Documents!$A$2:$A$619,$A50,Documents!$C$2:$C$619,"factsheet")),"")</f>
        <v/>
      </c>
      <c r="E50">
        <f>IFERROR(IF(MAXIFS(Documents!$E$2:$E$619,Documents!$A$2:$A$619,$A50,Documents!$C$2:$C$619,"wedding")=0,"",MAXIFS(Documents!$E$2:$E$619,Documents!$A$2:$A$619,$A50,Documents!$C$2:$C$619,"wedding")),"")</f>
        <v/>
      </c>
      <c r="F50">
        <f>IFERROR(IF(MAXIFS(Documents!$E$2:$E$619,Documents!$A$2:$A$619,$A50,Documents!$C$2:$C$619,"events")=0,"",MAXIFS(Documents!$E$2:$E$619,Documents!$A$2:$A$619,$A50,Documents!$C$2:$C$619,"events")),"")</f>
        <v/>
      </c>
      <c r="G50">
        <f>IFERROR(IF(MAXIFS(Documents!$E$2:$E$619,Documents!$A$2:$A$619,$A50,Documents!$C$2:$C$619,"map")=0,"",MAXIFS(Documents!$E$2:$E$619,Documents!$A$2:$A$619,$A50,Documents!$C$2:$C$619,"map")),"")</f>
        <v/>
      </c>
      <c r="H50">
        <f>IFERROR(IF(MAXIFS(Documents!$E$2:$E$619,Documents!$A$2:$A$619,$A50,Documents!$C$2:$C$619,"dive_map")=0,"",MAXIFS(Documents!$E$2:$E$619,Documents!$A$2:$A$619,$A50,Documents!$C$2:$C$619,"dive_map")),"")</f>
        <v/>
      </c>
      <c r="I50">
        <f>IFERROR(IF(MAXIFS(Documents!$E$2:$E$619,Documents!$A$2:$A$619,$A50,Documents!$C$2:$C$619,"spa_menu")=0,"",MAXIFS(Documents!$E$2:$E$619,Documents!$A$2:$A$619,$A50,Documents!$C$2:$C$619,"spa_menu")),"")</f>
        <v/>
      </c>
      <c r="J50">
        <f>IFERROR(IF(MAXIFS(Documents!$E$2:$E$619,Documents!$A$2:$A$619,$A50,Documents!$C$2:$C$619,"dining_menu")=0,"",MAXIFS(Documents!$E$2:$E$619,Documents!$A$2:$A$619,$A50,Documents!$C$2:$C$619,"dining_menu")),"")</f>
        <v/>
      </c>
      <c r="K50">
        <f>IFERROR(IF(MAXIFS(Documents!$E$2:$E$619,Documents!$A$2:$A$619,$A50,Documents!$C$2:$C$619,"dive_prices")=0,"",MAXIFS(Documents!$E$2:$E$619,Documents!$A$2:$A$619,$A50,Documents!$C$2:$C$619,"dive_prices")),"")</f>
        <v/>
      </c>
      <c r="L50">
        <f>IFERROR(IF(MAXIFS(Documents!$E$2:$E$619,Documents!$A$2:$A$619,$A50,Documents!$C$2:$C$619,"excursions")=0,"",MAXIFS(Documents!$E$2:$E$619,Documents!$A$2:$A$619,$A50,Documents!$C$2:$C$619,"excursions")),"")</f>
        <v/>
      </c>
      <c r="M50">
        <f>IFERROR(IF(MAXIFS(Documents!$E$2:$E$619,Documents!$A$2:$A$619,$A50,Documents!$C$2:$C$619,"kids")=0,"",MAXIFS(Documents!$E$2:$E$619,Documents!$A$2:$A$619,$A50,Documents!$C$2:$C$619,"kids")),"")</f>
        <v/>
      </c>
      <c r="N50">
        <f>IFERROR(IF(MAXIFS(Documents!$E$2:$E$619,Documents!$A$2:$A$619,$A50,Documents!$C$2:$C$619,"villa_plans")=0,"",MAXIFS(Documents!$E$2:$E$619,Documents!$A$2:$A$619,$A50,Documents!$C$2:$C$619,"villa_plans")),"")</f>
        <v/>
      </c>
      <c r="O50">
        <f>IFERROR(IF(MAXIFS(Documents!$E$2:$E$619,Documents!$A$2:$A$619,$A50,Documents!$C$2:$C$619,"all_inclusive")=0,"",MAXIFS(Documents!$E$2:$E$619,Documents!$A$2:$A$619,$A50,Documents!$C$2:$C$619,"all_inclusive")),"")</f>
        <v/>
      </c>
      <c r="P50">
        <f>IFERROR(IF(MAXIFS(Documents!$E$2:$E$619,Documents!$A$2:$A$619,$A50,Documents!$C$2:$C$619,"sustainability")=0,"",MAXIFS(Documents!$E$2:$E$619,Documents!$A$2:$A$619,$A50,Documents!$C$2:$C$619,"sustainability")),"")</f>
        <v/>
      </c>
      <c r="Q50">
        <f>IFERROR(IF(MAXIFS(Documents!$E$2:$E$619,Documents!$A$2:$A$619,$A50,Documents!$C$2:$C$619,"calendar")=0,"",MAXIFS(Documents!$E$2:$E$619,Documents!$A$2:$A$619,$A50,Documents!$C$2:$C$619,"calendar")),"")</f>
        <v/>
      </c>
      <c r="R50">
        <f>IFERROR(IF(MAXIFS(Documents!$E$2:$E$619,Documents!$A$2:$A$619,$A50,Documents!$C$2:$C$619,"brochure")=0,"",MAXIFS(Documents!$E$2:$E$619,Documents!$A$2:$A$619,$A50,Documents!$C$2:$C$619,"brochure")),"")</f>
        <v/>
      </c>
      <c r="S50">
        <f>IFERROR(IF(MAXIFS(Documents!$E$2:$E$619,Documents!$A$2:$A$619,$A50,Documents!$C$2:$C$619,"press_kit")=0,"",MAXIFS(Documents!$E$2:$E$619,Documents!$A$2:$A$619,$A50,Documents!$C$2:$C$619,"press_kit")),"")</f>
        <v/>
      </c>
      <c r="T50">
        <f>IFERROR(IF(MAXIFS(Documents!$E$2:$E$619,Documents!$A$2:$A$619,$A50,Documents!$C$2:$C$619,"other")=0,"",MAXIFS(Documents!$E$2:$E$619,Documents!$A$2:$A$619,$A50,Documents!$C$2:$C$619,"other")),"")</f>
        <v/>
      </c>
      <c r="U50">
        <f>IFERROR(IF(MAXIFS(Documents!$E$2:$E$619,Documents!$A$2:$A$619,$A50,Documents!$C$2:$C$619,"obsolete")=0,"",MAXIFS(Documents!$E$2:$E$619,Documents!$A$2:$A$619,$A50,Documents!$C$2:$C$619,"obsolete")),"")</f>
        <v/>
      </c>
      <c r="V50">
        <f>COUNTIFS(Documents!$A$2:$A$619,$A50)</f>
        <v/>
      </c>
      <c r="W50">
        <f>COUNTIFS(Documents!$A$2:$A$619,$A50,Documents!$R$2:$R$619,"current")</f>
        <v/>
      </c>
      <c r="X50">
        <f>HYPERLINK("https://www.neoscapesmaldives.com/wp-content/uploads/Vakkaru-Maldives-Fact-Sheet-2022.pdf","2022_Vakkaru-Maldives-Fact-Sheet-2022.pd")</f>
        <v/>
      </c>
      <c r="Y50" t="inlineStr">
        <is>
          <t>wedding, events</t>
        </is>
      </c>
      <c r="Z50" t="inlineStr"/>
    </row>
    <row r="51">
      <c r="A51" t="n">
        <v>50</v>
      </c>
      <c r="B51" t="inlineStr">
        <is>
          <t>Sun Siyam Olhuveli Maldives</t>
        </is>
      </c>
      <c r="C51" t="inlineStr">
        <is>
          <t>not crawled</t>
        </is>
      </c>
      <c r="D51">
        <f>IFERROR(IF(MAXIFS(Documents!$E$2:$E$619,Documents!$A$2:$A$619,$A51,Documents!$C$2:$C$619,"factsheet")=0,"",MAXIFS(Documents!$E$2:$E$619,Documents!$A$2:$A$619,$A51,Documents!$C$2:$C$619,"factsheet")),"")</f>
        <v/>
      </c>
      <c r="E51">
        <f>IFERROR(IF(MAXIFS(Documents!$E$2:$E$619,Documents!$A$2:$A$619,$A51,Documents!$C$2:$C$619,"wedding")=0,"",MAXIFS(Documents!$E$2:$E$619,Documents!$A$2:$A$619,$A51,Documents!$C$2:$C$619,"wedding")),"")</f>
        <v/>
      </c>
      <c r="F51">
        <f>IFERROR(IF(MAXIFS(Documents!$E$2:$E$619,Documents!$A$2:$A$619,$A51,Documents!$C$2:$C$619,"events")=0,"",MAXIFS(Documents!$E$2:$E$619,Documents!$A$2:$A$619,$A51,Documents!$C$2:$C$619,"events")),"")</f>
        <v/>
      </c>
      <c r="G51">
        <f>IFERROR(IF(MAXIFS(Documents!$E$2:$E$619,Documents!$A$2:$A$619,$A51,Documents!$C$2:$C$619,"map")=0,"",MAXIFS(Documents!$E$2:$E$619,Documents!$A$2:$A$619,$A51,Documents!$C$2:$C$619,"map")),"")</f>
        <v/>
      </c>
      <c r="H51">
        <f>IFERROR(IF(MAXIFS(Documents!$E$2:$E$619,Documents!$A$2:$A$619,$A51,Documents!$C$2:$C$619,"dive_map")=0,"",MAXIFS(Documents!$E$2:$E$619,Documents!$A$2:$A$619,$A51,Documents!$C$2:$C$619,"dive_map")),"")</f>
        <v/>
      </c>
      <c r="I51">
        <f>IFERROR(IF(MAXIFS(Documents!$E$2:$E$619,Documents!$A$2:$A$619,$A51,Documents!$C$2:$C$619,"spa_menu")=0,"",MAXIFS(Documents!$E$2:$E$619,Documents!$A$2:$A$619,$A51,Documents!$C$2:$C$619,"spa_menu")),"")</f>
        <v/>
      </c>
      <c r="J51">
        <f>IFERROR(IF(MAXIFS(Documents!$E$2:$E$619,Documents!$A$2:$A$619,$A51,Documents!$C$2:$C$619,"dining_menu")=0,"",MAXIFS(Documents!$E$2:$E$619,Documents!$A$2:$A$619,$A51,Documents!$C$2:$C$619,"dining_menu")),"")</f>
        <v/>
      </c>
      <c r="K51">
        <f>IFERROR(IF(MAXIFS(Documents!$E$2:$E$619,Documents!$A$2:$A$619,$A51,Documents!$C$2:$C$619,"dive_prices")=0,"",MAXIFS(Documents!$E$2:$E$619,Documents!$A$2:$A$619,$A51,Documents!$C$2:$C$619,"dive_prices")),"")</f>
        <v/>
      </c>
      <c r="L51">
        <f>IFERROR(IF(MAXIFS(Documents!$E$2:$E$619,Documents!$A$2:$A$619,$A51,Documents!$C$2:$C$619,"excursions")=0,"",MAXIFS(Documents!$E$2:$E$619,Documents!$A$2:$A$619,$A51,Documents!$C$2:$C$619,"excursions")),"")</f>
        <v/>
      </c>
      <c r="M51">
        <f>IFERROR(IF(MAXIFS(Documents!$E$2:$E$619,Documents!$A$2:$A$619,$A51,Documents!$C$2:$C$619,"kids")=0,"",MAXIFS(Documents!$E$2:$E$619,Documents!$A$2:$A$619,$A51,Documents!$C$2:$C$619,"kids")),"")</f>
        <v/>
      </c>
      <c r="N51">
        <f>IFERROR(IF(MAXIFS(Documents!$E$2:$E$619,Documents!$A$2:$A$619,$A51,Documents!$C$2:$C$619,"villa_plans")=0,"",MAXIFS(Documents!$E$2:$E$619,Documents!$A$2:$A$619,$A51,Documents!$C$2:$C$619,"villa_plans")),"")</f>
        <v/>
      </c>
      <c r="O51">
        <f>IFERROR(IF(MAXIFS(Documents!$E$2:$E$619,Documents!$A$2:$A$619,$A51,Documents!$C$2:$C$619,"all_inclusive")=0,"",MAXIFS(Documents!$E$2:$E$619,Documents!$A$2:$A$619,$A51,Documents!$C$2:$C$619,"all_inclusive")),"")</f>
        <v/>
      </c>
      <c r="P51">
        <f>IFERROR(IF(MAXIFS(Documents!$E$2:$E$619,Documents!$A$2:$A$619,$A51,Documents!$C$2:$C$619,"sustainability")=0,"",MAXIFS(Documents!$E$2:$E$619,Documents!$A$2:$A$619,$A51,Documents!$C$2:$C$619,"sustainability")),"")</f>
        <v/>
      </c>
      <c r="Q51">
        <f>IFERROR(IF(MAXIFS(Documents!$E$2:$E$619,Documents!$A$2:$A$619,$A51,Documents!$C$2:$C$619,"calendar")=0,"",MAXIFS(Documents!$E$2:$E$619,Documents!$A$2:$A$619,$A51,Documents!$C$2:$C$619,"calendar")),"")</f>
        <v/>
      </c>
      <c r="R51">
        <f>IFERROR(IF(MAXIFS(Documents!$E$2:$E$619,Documents!$A$2:$A$619,$A51,Documents!$C$2:$C$619,"brochure")=0,"",MAXIFS(Documents!$E$2:$E$619,Documents!$A$2:$A$619,$A51,Documents!$C$2:$C$619,"brochure")),"")</f>
        <v/>
      </c>
      <c r="S51">
        <f>IFERROR(IF(MAXIFS(Documents!$E$2:$E$619,Documents!$A$2:$A$619,$A51,Documents!$C$2:$C$619,"press_kit")=0,"",MAXIFS(Documents!$E$2:$E$619,Documents!$A$2:$A$619,$A51,Documents!$C$2:$C$619,"press_kit")),"")</f>
        <v/>
      </c>
      <c r="T51">
        <f>IFERROR(IF(MAXIFS(Documents!$E$2:$E$619,Documents!$A$2:$A$619,$A51,Documents!$C$2:$C$619,"other")=0,"",MAXIFS(Documents!$E$2:$E$619,Documents!$A$2:$A$619,$A51,Documents!$C$2:$C$619,"other")),"")</f>
        <v/>
      </c>
      <c r="U51">
        <f>IFERROR(IF(MAXIFS(Documents!$E$2:$E$619,Documents!$A$2:$A$619,$A51,Documents!$C$2:$C$619,"obsolete")=0,"",MAXIFS(Documents!$E$2:$E$619,Documents!$A$2:$A$619,$A51,Documents!$C$2:$C$619,"obsolete")),"")</f>
        <v/>
      </c>
      <c r="V51">
        <f>COUNTIFS(Documents!$A$2:$A$619,$A51)</f>
        <v/>
      </c>
      <c r="W51">
        <f>COUNTIFS(Documents!$A$2:$A$619,$A51,Documents!$R$2:$R$619,"current")</f>
        <v/>
      </c>
      <c r="X51">
        <f>HYPERLINK("https://www.neoscapesmaldives.com/wp-content/uploads/SSO-Factsheet-EN-24_25.pdf","2025_SSO-Factsheet-EN-24_25.pdf")</f>
        <v/>
      </c>
      <c r="Y51" t="inlineStr">
        <is>
          <t>events</t>
        </is>
      </c>
      <c r="Z51" t="inlineStr">
        <is>
          <t>Olhuveli Beach &amp; Spa, file code SSO</t>
        </is>
      </c>
    </row>
    <row r="52">
      <c r="A52" t="n">
        <v>51</v>
      </c>
      <c r="B52" t="inlineStr">
        <is>
          <t>Emerald Maldives Resort &amp; Spa Fasmendho</t>
        </is>
      </c>
      <c r="C52" t="inlineStr">
        <is>
          <t>not crawled</t>
        </is>
      </c>
      <c r="D52">
        <f>IFERROR(IF(MAXIFS(Documents!$E$2:$E$619,Documents!$A$2:$A$619,$A52,Documents!$C$2:$C$619,"factsheet")=0,"",MAXIFS(Documents!$E$2:$E$619,Documents!$A$2:$A$619,$A52,Documents!$C$2:$C$619,"factsheet")),"")</f>
        <v/>
      </c>
      <c r="E52">
        <f>IFERROR(IF(MAXIFS(Documents!$E$2:$E$619,Documents!$A$2:$A$619,$A52,Documents!$C$2:$C$619,"wedding")=0,"",MAXIFS(Documents!$E$2:$E$619,Documents!$A$2:$A$619,$A52,Documents!$C$2:$C$619,"wedding")),"")</f>
        <v/>
      </c>
      <c r="F52">
        <f>IFERROR(IF(MAXIFS(Documents!$E$2:$E$619,Documents!$A$2:$A$619,$A52,Documents!$C$2:$C$619,"events")=0,"",MAXIFS(Documents!$E$2:$E$619,Documents!$A$2:$A$619,$A52,Documents!$C$2:$C$619,"events")),"")</f>
        <v/>
      </c>
      <c r="G52">
        <f>IFERROR(IF(MAXIFS(Documents!$E$2:$E$619,Documents!$A$2:$A$619,$A52,Documents!$C$2:$C$619,"map")=0,"",MAXIFS(Documents!$E$2:$E$619,Documents!$A$2:$A$619,$A52,Documents!$C$2:$C$619,"map")),"")</f>
        <v/>
      </c>
      <c r="H52">
        <f>IFERROR(IF(MAXIFS(Documents!$E$2:$E$619,Documents!$A$2:$A$619,$A52,Documents!$C$2:$C$619,"dive_map")=0,"",MAXIFS(Documents!$E$2:$E$619,Documents!$A$2:$A$619,$A52,Documents!$C$2:$C$619,"dive_map")),"")</f>
        <v/>
      </c>
      <c r="I52">
        <f>IFERROR(IF(MAXIFS(Documents!$E$2:$E$619,Documents!$A$2:$A$619,$A52,Documents!$C$2:$C$619,"spa_menu")=0,"",MAXIFS(Documents!$E$2:$E$619,Documents!$A$2:$A$619,$A52,Documents!$C$2:$C$619,"spa_menu")),"")</f>
        <v/>
      </c>
      <c r="J52">
        <f>IFERROR(IF(MAXIFS(Documents!$E$2:$E$619,Documents!$A$2:$A$619,$A52,Documents!$C$2:$C$619,"dining_menu")=0,"",MAXIFS(Documents!$E$2:$E$619,Documents!$A$2:$A$619,$A52,Documents!$C$2:$C$619,"dining_menu")),"")</f>
        <v/>
      </c>
      <c r="K52">
        <f>IFERROR(IF(MAXIFS(Documents!$E$2:$E$619,Documents!$A$2:$A$619,$A52,Documents!$C$2:$C$619,"dive_prices")=0,"",MAXIFS(Documents!$E$2:$E$619,Documents!$A$2:$A$619,$A52,Documents!$C$2:$C$619,"dive_prices")),"")</f>
        <v/>
      </c>
      <c r="L52">
        <f>IFERROR(IF(MAXIFS(Documents!$E$2:$E$619,Documents!$A$2:$A$619,$A52,Documents!$C$2:$C$619,"excursions")=0,"",MAXIFS(Documents!$E$2:$E$619,Documents!$A$2:$A$619,$A52,Documents!$C$2:$C$619,"excursions")),"")</f>
        <v/>
      </c>
      <c r="M52">
        <f>IFERROR(IF(MAXIFS(Documents!$E$2:$E$619,Documents!$A$2:$A$619,$A52,Documents!$C$2:$C$619,"kids")=0,"",MAXIFS(Documents!$E$2:$E$619,Documents!$A$2:$A$619,$A52,Documents!$C$2:$C$619,"kids")),"")</f>
        <v/>
      </c>
      <c r="N52">
        <f>IFERROR(IF(MAXIFS(Documents!$E$2:$E$619,Documents!$A$2:$A$619,$A52,Documents!$C$2:$C$619,"villa_plans")=0,"",MAXIFS(Documents!$E$2:$E$619,Documents!$A$2:$A$619,$A52,Documents!$C$2:$C$619,"villa_plans")),"")</f>
        <v/>
      </c>
      <c r="O52">
        <f>IFERROR(IF(MAXIFS(Documents!$E$2:$E$619,Documents!$A$2:$A$619,$A52,Documents!$C$2:$C$619,"all_inclusive")=0,"",MAXIFS(Documents!$E$2:$E$619,Documents!$A$2:$A$619,$A52,Documents!$C$2:$C$619,"all_inclusive")),"")</f>
        <v/>
      </c>
      <c r="P52">
        <f>IFERROR(IF(MAXIFS(Documents!$E$2:$E$619,Documents!$A$2:$A$619,$A52,Documents!$C$2:$C$619,"sustainability")=0,"",MAXIFS(Documents!$E$2:$E$619,Documents!$A$2:$A$619,$A52,Documents!$C$2:$C$619,"sustainability")),"")</f>
        <v/>
      </c>
      <c r="Q52">
        <f>IFERROR(IF(MAXIFS(Documents!$E$2:$E$619,Documents!$A$2:$A$619,$A52,Documents!$C$2:$C$619,"calendar")=0,"",MAXIFS(Documents!$E$2:$E$619,Documents!$A$2:$A$619,$A52,Documents!$C$2:$C$619,"calendar")),"")</f>
        <v/>
      </c>
      <c r="R52">
        <f>IFERROR(IF(MAXIFS(Documents!$E$2:$E$619,Documents!$A$2:$A$619,$A52,Documents!$C$2:$C$619,"brochure")=0,"",MAXIFS(Documents!$E$2:$E$619,Documents!$A$2:$A$619,$A52,Documents!$C$2:$C$619,"brochure")),"")</f>
        <v/>
      </c>
      <c r="S52">
        <f>IFERROR(IF(MAXIFS(Documents!$E$2:$E$619,Documents!$A$2:$A$619,$A52,Documents!$C$2:$C$619,"press_kit")=0,"",MAXIFS(Documents!$E$2:$E$619,Documents!$A$2:$A$619,$A52,Documents!$C$2:$C$619,"press_kit")),"")</f>
        <v/>
      </c>
      <c r="T52">
        <f>IFERROR(IF(MAXIFS(Documents!$E$2:$E$619,Documents!$A$2:$A$619,$A52,Documents!$C$2:$C$619,"other")=0,"",MAXIFS(Documents!$E$2:$E$619,Documents!$A$2:$A$619,$A52,Documents!$C$2:$C$619,"other")),"")</f>
        <v/>
      </c>
      <c r="U52">
        <f>IFERROR(IF(MAXIFS(Documents!$E$2:$E$619,Documents!$A$2:$A$619,$A52,Documents!$C$2:$C$619,"obsolete")=0,"",MAXIFS(Documents!$E$2:$E$619,Documents!$A$2:$A$619,$A52,Documents!$C$2:$C$619,"obsolete")),"")</f>
        <v/>
      </c>
      <c r="V52">
        <f>COUNTIFS(Documents!$A$2:$A$619,$A52)</f>
        <v/>
      </c>
      <c r="W52">
        <f>COUNTIFS(Documents!$A$2:$A$619,$A52,Documents!$R$2:$R$619,"current")</f>
        <v/>
      </c>
      <c r="X52" t="inlineStr"/>
      <c r="Y52" t="inlineStr">
        <is>
          <t>factsheet, wedding, events</t>
        </is>
      </c>
      <c r="Z52" t="inlineStr"/>
    </row>
    <row r="53">
      <c r="A53" t="n">
        <v>52</v>
      </c>
      <c r="B53" t="inlineStr">
        <is>
          <t>Eri Maldives</t>
        </is>
      </c>
      <c r="C53" t="inlineStr">
        <is>
          <t>not crawled</t>
        </is>
      </c>
      <c r="D53">
        <f>IFERROR(IF(MAXIFS(Documents!$E$2:$E$619,Documents!$A$2:$A$619,$A53,Documents!$C$2:$C$619,"factsheet")=0,"",MAXIFS(Documents!$E$2:$E$619,Documents!$A$2:$A$619,$A53,Documents!$C$2:$C$619,"factsheet")),"")</f>
        <v/>
      </c>
      <c r="E53">
        <f>IFERROR(IF(MAXIFS(Documents!$E$2:$E$619,Documents!$A$2:$A$619,$A53,Documents!$C$2:$C$619,"wedding")=0,"",MAXIFS(Documents!$E$2:$E$619,Documents!$A$2:$A$619,$A53,Documents!$C$2:$C$619,"wedding")),"")</f>
        <v/>
      </c>
      <c r="F53">
        <f>IFERROR(IF(MAXIFS(Documents!$E$2:$E$619,Documents!$A$2:$A$619,$A53,Documents!$C$2:$C$619,"events")=0,"",MAXIFS(Documents!$E$2:$E$619,Documents!$A$2:$A$619,$A53,Documents!$C$2:$C$619,"events")),"")</f>
        <v/>
      </c>
      <c r="G53">
        <f>IFERROR(IF(MAXIFS(Documents!$E$2:$E$619,Documents!$A$2:$A$619,$A53,Documents!$C$2:$C$619,"map")=0,"",MAXIFS(Documents!$E$2:$E$619,Documents!$A$2:$A$619,$A53,Documents!$C$2:$C$619,"map")),"")</f>
        <v/>
      </c>
      <c r="H53">
        <f>IFERROR(IF(MAXIFS(Documents!$E$2:$E$619,Documents!$A$2:$A$619,$A53,Documents!$C$2:$C$619,"dive_map")=0,"",MAXIFS(Documents!$E$2:$E$619,Documents!$A$2:$A$619,$A53,Documents!$C$2:$C$619,"dive_map")),"")</f>
        <v/>
      </c>
      <c r="I53">
        <f>IFERROR(IF(MAXIFS(Documents!$E$2:$E$619,Documents!$A$2:$A$619,$A53,Documents!$C$2:$C$619,"spa_menu")=0,"",MAXIFS(Documents!$E$2:$E$619,Documents!$A$2:$A$619,$A53,Documents!$C$2:$C$619,"spa_menu")),"")</f>
        <v/>
      </c>
      <c r="J53">
        <f>IFERROR(IF(MAXIFS(Documents!$E$2:$E$619,Documents!$A$2:$A$619,$A53,Documents!$C$2:$C$619,"dining_menu")=0,"",MAXIFS(Documents!$E$2:$E$619,Documents!$A$2:$A$619,$A53,Documents!$C$2:$C$619,"dining_menu")),"")</f>
        <v/>
      </c>
      <c r="K53">
        <f>IFERROR(IF(MAXIFS(Documents!$E$2:$E$619,Documents!$A$2:$A$619,$A53,Documents!$C$2:$C$619,"dive_prices")=0,"",MAXIFS(Documents!$E$2:$E$619,Documents!$A$2:$A$619,$A53,Documents!$C$2:$C$619,"dive_prices")),"")</f>
        <v/>
      </c>
      <c r="L53">
        <f>IFERROR(IF(MAXIFS(Documents!$E$2:$E$619,Documents!$A$2:$A$619,$A53,Documents!$C$2:$C$619,"excursions")=0,"",MAXIFS(Documents!$E$2:$E$619,Documents!$A$2:$A$619,$A53,Documents!$C$2:$C$619,"excursions")),"")</f>
        <v/>
      </c>
      <c r="M53">
        <f>IFERROR(IF(MAXIFS(Documents!$E$2:$E$619,Documents!$A$2:$A$619,$A53,Documents!$C$2:$C$619,"kids")=0,"",MAXIFS(Documents!$E$2:$E$619,Documents!$A$2:$A$619,$A53,Documents!$C$2:$C$619,"kids")),"")</f>
        <v/>
      </c>
      <c r="N53">
        <f>IFERROR(IF(MAXIFS(Documents!$E$2:$E$619,Documents!$A$2:$A$619,$A53,Documents!$C$2:$C$619,"villa_plans")=0,"",MAXIFS(Documents!$E$2:$E$619,Documents!$A$2:$A$619,$A53,Documents!$C$2:$C$619,"villa_plans")),"")</f>
        <v/>
      </c>
      <c r="O53">
        <f>IFERROR(IF(MAXIFS(Documents!$E$2:$E$619,Documents!$A$2:$A$619,$A53,Documents!$C$2:$C$619,"all_inclusive")=0,"",MAXIFS(Documents!$E$2:$E$619,Documents!$A$2:$A$619,$A53,Documents!$C$2:$C$619,"all_inclusive")),"")</f>
        <v/>
      </c>
      <c r="P53">
        <f>IFERROR(IF(MAXIFS(Documents!$E$2:$E$619,Documents!$A$2:$A$619,$A53,Documents!$C$2:$C$619,"sustainability")=0,"",MAXIFS(Documents!$E$2:$E$619,Documents!$A$2:$A$619,$A53,Documents!$C$2:$C$619,"sustainability")),"")</f>
        <v/>
      </c>
      <c r="Q53">
        <f>IFERROR(IF(MAXIFS(Documents!$E$2:$E$619,Documents!$A$2:$A$619,$A53,Documents!$C$2:$C$619,"calendar")=0,"",MAXIFS(Documents!$E$2:$E$619,Documents!$A$2:$A$619,$A53,Documents!$C$2:$C$619,"calendar")),"")</f>
        <v/>
      </c>
      <c r="R53">
        <f>IFERROR(IF(MAXIFS(Documents!$E$2:$E$619,Documents!$A$2:$A$619,$A53,Documents!$C$2:$C$619,"brochure")=0,"",MAXIFS(Documents!$E$2:$E$619,Documents!$A$2:$A$619,$A53,Documents!$C$2:$C$619,"brochure")),"")</f>
        <v/>
      </c>
      <c r="S53">
        <f>IFERROR(IF(MAXIFS(Documents!$E$2:$E$619,Documents!$A$2:$A$619,$A53,Documents!$C$2:$C$619,"press_kit")=0,"",MAXIFS(Documents!$E$2:$E$619,Documents!$A$2:$A$619,$A53,Documents!$C$2:$C$619,"press_kit")),"")</f>
        <v/>
      </c>
      <c r="T53">
        <f>IFERROR(IF(MAXIFS(Documents!$E$2:$E$619,Documents!$A$2:$A$619,$A53,Documents!$C$2:$C$619,"other")=0,"",MAXIFS(Documents!$E$2:$E$619,Documents!$A$2:$A$619,$A53,Documents!$C$2:$C$619,"other")),"")</f>
        <v/>
      </c>
      <c r="U53">
        <f>IFERROR(IF(MAXIFS(Documents!$E$2:$E$619,Documents!$A$2:$A$619,$A53,Documents!$C$2:$C$619,"obsolete")=0,"",MAXIFS(Documents!$E$2:$E$619,Documents!$A$2:$A$619,$A53,Documents!$C$2:$C$619,"obsolete")),"")</f>
        <v/>
      </c>
      <c r="V53">
        <f>COUNTIFS(Documents!$A$2:$A$619,$A53)</f>
        <v/>
      </c>
      <c r="W53">
        <f>COUNTIFS(Documents!$A$2:$A$619,$A53,Documents!$R$2:$R$619,"current")</f>
        <v/>
      </c>
      <c r="X53">
        <f>HYPERLINK("https://www.neoscapesmaldives.com/wp-content/uploads/Furaveri-Maldives_Factsheet_Rev24102024.pdf","2024_Furaveri-Maldives_Factsheet_Rev2410")</f>
        <v/>
      </c>
      <c r="Y53" t="inlineStr">
        <is>
          <t>wedding, events</t>
        </is>
      </c>
      <c r="Z53" t="inlineStr"/>
    </row>
    <row r="54">
      <c r="A54" t="n">
        <v>53</v>
      </c>
      <c r="B54" t="inlineStr">
        <is>
          <t>Cinnamon Hakuraa Huraa Maldives</t>
        </is>
      </c>
      <c r="C54" t="inlineStr">
        <is>
          <t>not crawled</t>
        </is>
      </c>
      <c r="D54">
        <f>IFERROR(IF(MAXIFS(Documents!$E$2:$E$619,Documents!$A$2:$A$619,$A54,Documents!$C$2:$C$619,"factsheet")=0,"",MAXIFS(Documents!$E$2:$E$619,Documents!$A$2:$A$619,$A54,Documents!$C$2:$C$619,"factsheet")),"")</f>
        <v/>
      </c>
      <c r="E54">
        <f>IFERROR(IF(MAXIFS(Documents!$E$2:$E$619,Documents!$A$2:$A$619,$A54,Documents!$C$2:$C$619,"wedding")=0,"",MAXIFS(Documents!$E$2:$E$619,Documents!$A$2:$A$619,$A54,Documents!$C$2:$C$619,"wedding")),"")</f>
        <v/>
      </c>
      <c r="F54">
        <f>IFERROR(IF(MAXIFS(Documents!$E$2:$E$619,Documents!$A$2:$A$619,$A54,Documents!$C$2:$C$619,"events")=0,"",MAXIFS(Documents!$E$2:$E$619,Documents!$A$2:$A$619,$A54,Documents!$C$2:$C$619,"events")),"")</f>
        <v/>
      </c>
      <c r="G54">
        <f>IFERROR(IF(MAXIFS(Documents!$E$2:$E$619,Documents!$A$2:$A$619,$A54,Documents!$C$2:$C$619,"map")=0,"",MAXIFS(Documents!$E$2:$E$619,Documents!$A$2:$A$619,$A54,Documents!$C$2:$C$619,"map")),"")</f>
        <v/>
      </c>
      <c r="H54">
        <f>IFERROR(IF(MAXIFS(Documents!$E$2:$E$619,Documents!$A$2:$A$619,$A54,Documents!$C$2:$C$619,"dive_map")=0,"",MAXIFS(Documents!$E$2:$E$619,Documents!$A$2:$A$619,$A54,Documents!$C$2:$C$619,"dive_map")),"")</f>
        <v/>
      </c>
      <c r="I54">
        <f>IFERROR(IF(MAXIFS(Documents!$E$2:$E$619,Documents!$A$2:$A$619,$A54,Documents!$C$2:$C$619,"spa_menu")=0,"",MAXIFS(Documents!$E$2:$E$619,Documents!$A$2:$A$619,$A54,Documents!$C$2:$C$619,"spa_menu")),"")</f>
        <v/>
      </c>
      <c r="J54">
        <f>IFERROR(IF(MAXIFS(Documents!$E$2:$E$619,Documents!$A$2:$A$619,$A54,Documents!$C$2:$C$619,"dining_menu")=0,"",MAXIFS(Documents!$E$2:$E$619,Documents!$A$2:$A$619,$A54,Documents!$C$2:$C$619,"dining_menu")),"")</f>
        <v/>
      </c>
      <c r="K54">
        <f>IFERROR(IF(MAXIFS(Documents!$E$2:$E$619,Documents!$A$2:$A$619,$A54,Documents!$C$2:$C$619,"dive_prices")=0,"",MAXIFS(Documents!$E$2:$E$619,Documents!$A$2:$A$619,$A54,Documents!$C$2:$C$619,"dive_prices")),"")</f>
        <v/>
      </c>
      <c r="L54">
        <f>IFERROR(IF(MAXIFS(Documents!$E$2:$E$619,Documents!$A$2:$A$619,$A54,Documents!$C$2:$C$619,"excursions")=0,"",MAXIFS(Documents!$E$2:$E$619,Documents!$A$2:$A$619,$A54,Documents!$C$2:$C$619,"excursions")),"")</f>
        <v/>
      </c>
      <c r="M54">
        <f>IFERROR(IF(MAXIFS(Documents!$E$2:$E$619,Documents!$A$2:$A$619,$A54,Documents!$C$2:$C$619,"kids")=0,"",MAXIFS(Documents!$E$2:$E$619,Documents!$A$2:$A$619,$A54,Documents!$C$2:$C$619,"kids")),"")</f>
        <v/>
      </c>
      <c r="N54">
        <f>IFERROR(IF(MAXIFS(Documents!$E$2:$E$619,Documents!$A$2:$A$619,$A54,Documents!$C$2:$C$619,"villa_plans")=0,"",MAXIFS(Documents!$E$2:$E$619,Documents!$A$2:$A$619,$A54,Documents!$C$2:$C$619,"villa_plans")),"")</f>
        <v/>
      </c>
      <c r="O54">
        <f>IFERROR(IF(MAXIFS(Documents!$E$2:$E$619,Documents!$A$2:$A$619,$A54,Documents!$C$2:$C$619,"all_inclusive")=0,"",MAXIFS(Documents!$E$2:$E$619,Documents!$A$2:$A$619,$A54,Documents!$C$2:$C$619,"all_inclusive")),"")</f>
        <v/>
      </c>
      <c r="P54">
        <f>IFERROR(IF(MAXIFS(Documents!$E$2:$E$619,Documents!$A$2:$A$619,$A54,Documents!$C$2:$C$619,"sustainability")=0,"",MAXIFS(Documents!$E$2:$E$619,Documents!$A$2:$A$619,$A54,Documents!$C$2:$C$619,"sustainability")),"")</f>
        <v/>
      </c>
      <c r="Q54">
        <f>IFERROR(IF(MAXIFS(Documents!$E$2:$E$619,Documents!$A$2:$A$619,$A54,Documents!$C$2:$C$619,"calendar")=0,"",MAXIFS(Documents!$E$2:$E$619,Documents!$A$2:$A$619,$A54,Documents!$C$2:$C$619,"calendar")),"")</f>
        <v/>
      </c>
      <c r="R54">
        <f>IFERROR(IF(MAXIFS(Documents!$E$2:$E$619,Documents!$A$2:$A$619,$A54,Documents!$C$2:$C$619,"brochure")=0,"",MAXIFS(Documents!$E$2:$E$619,Documents!$A$2:$A$619,$A54,Documents!$C$2:$C$619,"brochure")),"")</f>
        <v/>
      </c>
      <c r="S54">
        <f>IFERROR(IF(MAXIFS(Documents!$E$2:$E$619,Documents!$A$2:$A$619,$A54,Documents!$C$2:$C$619,"press_kit")=0,"",MAXIFS(Documents!$E$2:$E$619,Documents!$A$2:$A$619,$A54,Documents!$C$2:$C$619,"press_kit")),"")</f>
        <v/>
      </c>
      <c r="T54">
        <f>IFERROR(IF(MAXIFS(Documents!$E$2:$E$619,Documents!$A$2:$A$619,$A54,Documents!$C$2:$C$619,"other")=0,"",MAXIFS(Documents!$E$2:$E$619,Documents!$A$2:$A$619,$A54,Documents!$C$2:$C$619,"other")),"")</f>
        <v/>
      </c>
      <c r="U54">
        <f>IFERROR(IF(MAXIFS(Documents!$E$2:$E$619,Documents!$A$2:$A$619,$A54,Documents!$C$2:$C$619,"obsolete")=0,"",MAXIFS(Documents!$E$2:$E$619,Documents!$A$2:$A$619,$A54,Documents!$C$2:$C$619,"obsolete")),"")</f>
        <v/>
      </c>
      <c r="V54">
        <f>COUNTIFS(Documents!$A$2:$A$619,$A54)</f>
        <v/>
      </c>
      <c r="W54">
        <f>COUNTIFS(Documents!$A$2:$A$619,$A54,Documents!$R$2:$R$619,"current")</f>
        <v/>
      </c>
      <c r="X54" t="inlineStr"/>
      <c r="Y54" t="inlineStr">
        <is>
          <t>factsheet, wedding, events</t>
        </is>
      </c>
      <c r="Z54" t="inlineStr"/>
    </row>
    <row r="55">
      <c r="A55" t="n">
        <v>54</v>
      </c>
      <c r="B55" t="inlineStr">
        <is>
          <t>Emerald Faarufushi Resort &amp; Spa</t>
        </is>
      </c>
      <c r="C55" t="inlineStr">
        <is>
          <t>not crawled</t>
        </is>
      </c>
      <c r="D55">
        <f>IFERROR(IF(MAXIFS(Documents!$E$2:$E$619,Documents!$A$2:$A$619,$A55,Documents!$C$2:$C$619,"factsheet")=0,"",MAXIFS(Documents!$E$2:$E$619,Documents!$A$2:$A$619,$A55,Documents!$C$2:$C$619,"factsheet")),"")</f>
        <v/>
      </c>
      <c r="E55">
        <f>IFERROR(IF(MAXIFS(Documents!$E$2:$E$619,Documents!$A$2:$A$619,$A55,Documents!$C$2:$C$619,"wedding")=0,"",MAXIFS(Documents!$E$2:$E$619,Documents!$A$2:$A$619,$A55,Documents!$C$2:$C$619,"wedding")),"")</f>
        <v/>
      </c>
      <c r="F55">
        <f>IFERROR(IF(MAXIFS(Documents!$E$2:$E$619,Documents!$A$2:$A$619,$A55,Documents!$C$2:$C$619,"events")=0,"",MAXIFS(Documents!$E$2:$E$619,Documents!$A$2:$A$619,$A55,Documents!$C$2:$C$619,"events")),"")</f>
        <v/>
      </c>
      <c r="G55">
        <f>IFERROR(IF(MAXIFS(Documents!$E$2:$E$619,Documents!$A$2:$A$619,$A55,Documents!$C$2:$C$619,"map")=0,"",MAXIFS(Documents!$E$2:$E$619,Documents!$A$2:$A$619,$A55,Documents!$C$2:$C$619,"map")),"")</f>
        <v/>
      </c>
      <c r="H55">
        <f>IFERROR(IF(MAXIFS(Documents!$E$2:$E$619,Documents!$A$2:$A$619,$A55,Documents!$C$2:$C$619,"dive_map")=0,"",MAXIFS(Documents!$E$2:$E$619,Documents!$A$2:$A$619,$A55,Documents!$C$2:$C$619,"dive_map")),"")</f>
        <v/>
      </c>
      <c r="I55">
        <f>IFERROR(IF(MAXIFS(Documents!$E$2:$E$619,Documents!$A$2:$A$619,$A55,Documents!$C$2:$C$619,"spa_menu")=0,"",MAXIFS(Documents!$E$2:$E$619,Documents!$A$2:$A$619,$A55,Documents!$C$2:$C$619,"spa_menu")),"")</f>
        <v/>
      </c>
      <c r="J55">
        <f>IFERROR(IF(MAXIFS(Documents!$E$2:$E$619,Documents!$A$2:$A$619,$A55,Documents!$C$2:$C$619,"dining_menu")=0,"",MAXIFS(Documents!$E$2:$E$619,Documents!$A$2:$A$619,$A55,Documents!$C$2:$C$619,"dining_menu")),"")</f>
        <v/>
      </c>
      <c r="K55">
        <f>IFERROR(IF(MAXIFS(Documents!$E$2:$E$619,Documents!$A$2:$A$619,$A55,Documents!$C$2:$C$619,"dive_prices")=0,"",MAXIFS(Documents!$E$2:$E$619,Documents!$A$2:$A$619,$A55,Documents!$C$2:$C$619,"dive_prices")),"")</f>
        <v/>
      </c>
      <c r="L55">
        <f>IFERROR(IF(MAXIFS(Documents!$E$2:$E$619,Documents!$A$2:$A$619,$A55,Documents!$C$2:$C$619,"excursions")=0,"",MAXIFS(Documents!$E$2:$E$619,Documents!$A$2:$A$619,$A55,Documents!$C$2:$C$619,"excursions")),"")</f>
        <v/>
      </c>
      <c r="M55">
        <f>IFERROR(IF(MAXIFS(Documents!$E$2:$E$619,Documents!$A$2:$A$619,$A55,Documents!$C$2:$C$619,"kids")=0,"",MAXIFS(Documents!$E$2:$E$619,Documents!$A$2:$A$619,$A55,Documents!$C$2:$C$619,"kids")),"")</f>
        <v/>
      </c>
      <c r="N55">
        <f>IFERROR(IF(MAXIFS(Documents!$E$2:$E$619,Documents!$A$2:$A$619,$A55,Documents!$C$2:$C$619,"villa_plans")=0,"",MAXIFS(Documents!$E$2:$E$619,Documents!$A$2:$A$619,$A55,Documents!$C$2:$C$619,"villa_plans")),"")</f>
        <v/>
      </c>
      <c r="O55">
        <f>IFERROR(IF(MAXIFS(Documents!$E$2:$E$619,Documents!$A$2:$A$619,$A55,Documents!$C$2:$C$619,"all_inclusive")=0,"",MAXIFS(Documents!$E$2:$E$619,Documents!$A$2:$A$619,$A55,Documents!$C$2:$C$619,"all_inclusive")),"")</f>
        <v/>
      </c>
      <c r="P55">
        <f>IFERROR(IF(MAXIFS(Documents!$E$2:$E$619,Documents!$A$2:$A$619,$A55,Documents!$C$2:$C$619,"sustainability")=0,"",MAXIFS(Documents!$E$2:$E$619,Documents!$A$2:$A$619,$A55,Documents!$C$2:$C$619,"sustainability")),"")</f>
        <v/>
      </c>
      <c r="Q55">
        <f>IFERROR(IF(MAXIFS(Documents!$E$2:$E$619,Documents!$A$2:$A$619,$A55,Documents!$C$2:$C$619,"calendar")=0,"",MAXIFS(Documents!$E$2:$E$619,Documents!$A$2:$A$619,$A55,Documents!$C$2:$C$619,"calendar")),"")</f>
        <v/>
      </c>
      <c r="R55">
        <f>IFERROR(IF(MAXIFS(Documents!$E$2:$E$619,Documents!$A$2:$A$619,$A55,Documents!$C$2:$C$619,"brochure")=0,"",MAXIFS(Documents!$E$2:$E$619,Documents!$A$2:$A$619,$A55,Documents!$C$2:$C$619,"brochure")),"")</f>
        <v/>
      </c>
      <c r="S55">
        <f>IFERROR(IF(MAXIFS(Documents!$E$2:$E$619,Documents!$A$2:$A$619,$A55,Documents!$C$2:$C$619,"press_kit")=0,"",MAXIFS(Documents!$E$2:$E$619,Documents!$A$2:$A$619,$A55,Documents!$C$2:$C$619,"press_kit")),"")</f>
        <v/>
      </c>
      <c r="T55">
        <f>IFERROR(IF(MAXIFS(Documents!$E$2:$E$619,Documents!$A$2:$A$619,$A55,Documents!$C$2:$C$619,"other")=0,"",MAXIFS(Documents!$E$2:$E$619,Documents!$A$2:$A$619,$A55,Documents!$C$2:$C$619,"other")),"")</f>
        <v/>
      </c>
      <c r="U55">
        <f>IFERROR(IF(MAXIFS(Documents!$E$2:$E$619,Documents!$A$2:$A$619,$A55,Documents!$C$2:$C$619,"obsolete")=0,"",MAXIFS(Documents!$E$2:$E$619,Documents!$A$2:$A$619,$A55,Documents!$C$2:$C$619,"obsolete")),"")</f>
        <v/>
      </c>
      <c r="V55">
        <f>COUNTIFS(Documents!$A$2:$A$619,$A55)</f>
        <v/>
      </c>
      <c r="W55">
        <f>COUNTIFS(Documents!$A$2:$A$619,$A55,Documents!$R$2:$R$619,"current")</f>
        <v/>
      </c>
      <c r="X55" t="inlineStr"/>
      <c r="Y55" t="inlineStr">
        <is>
          <t>factsheet, wedding, events</t>
        </is>
      </c>
      <c r="Z55" t="inlineStr"/>
    </row>
    <row r="56">
      <c r="A56" t="n">
        <v>55</v>
      </c>
      <c r="B56" t="inlineStr">
        <is>
          <t>Fihaalhohi Maldives</t>
        </is>
      </c>
      <c r="C56" t="inlineStr">
        <is>
          <t>not crawled</t>
        </is>
      </c>
      <c r="D56">
        <f>IFERROR(IF(MAXIFS(Documents!$E$2:$E$619,Documents!$A$2:$A$619,$A56,Documents!$C$2:$C$619,"factsheet")=0,"",MAXIFS(Documents!$E$2:$E$619,Documents!$A$2:$A$619,$A56,Documents!$C$2:$C$619,"factsheet")),"")</f>
        <v/>
      </c>
      <c r="E56">
        <f>IFERROR(IF(MAXIFS(Documents!$E$2:$E$619,Documents!$A$2:$A$619,$A56,Documents!$C$2:$C$619,"wedding")=0,"",MAXIFS(Documents!$E$2:$E$619,Documents!$A$2:$A$619,$A56,Documents!$C$2:$C$619,"wedding")),"")</f>
        <v/>
      </c>
      <c r="F56">
        <f>IFERROR(IF(MAXIFS(Documents!$E$2:$E$619,Documents!$A$2:$A$619,$A56,Documents!$C$2:$C$619,"events")=0,"",MAXIFS(Documents!$E$2:$E$619,Documents!$A$2:$A$619,$A56,Documents!$C$2:$C$619,"events")),"")</f>
        <v/>
      </c>
      <c r="G56">
        <f>IFERROR(IF(MAXIFS(Documents!$E$2:$E$619,Documents!$A$2:$A$619,$A56,Documents!$C$2:$C$619,"map")=0,"",MAXIFS(Documents!$E$2:$E$619,Documents!$A$2:$A$619,$A56,Documents!$C$2:$C$619,"map")),"")</f>
        <v/>
      </c>
      <c r="H56">
        <f>IFERROR(IF(MAXIFS(Documents!$E$2:$E$619,Documents!$A$2:$A$619,$A56,Documents!$C$2:$C$619,"dive_map")=0,"",MAXIFS(Documents!$E$2:$E$619,Documents!$A$2:$A$619,$A56,Documents!$C$2:$C$619,"dive_map")),"")</f>
        <v/>
      </c>
      <c r="I56">
        <f>IFERROR(IF(MAXIFS(Documents!$E$2:$E$619,Documents!$A$2:$A$619,$A56,Documents!$C$2:$C$619,"spa_menu")=0,"",MAXIFS(Documents!$E$2:$E$619,Documents!$A$2:$A$619,$A56,Documents!$C$2:$C$619,"spa_menu")),"")</f>
        <v/>
      </c>
      <c r="J56">
        <f>IFERROR(IF(MAXIFS(Documents!$E$2:$E$619,Documents!$A$2:$A$619,$A56,Documents!$C$2:$C$619,"dining_menu")=0,"",MAXIFS(Documents!$E$2:$E$619,Documents!$A$2:$A$619,$A56,Documents!$C$2:$C$619,"dining_menu")),"")</f>
        <v/>
      </c>
      <c r="K56">
        <f>IFERROR(IF(MAXIFS(Documents!$E$2:$E$619,Documents!$A$2:$A$619,$A56,Documents!$C$2:$C$619,"dive_prices")=0,"",MAXIFS(Documents!$E$2:$E$619,Documents!$A$2:$A$619,$A56,Documents!$C$2:$C$619,"dive_prices")),"")</f>
        <v/>
      </c>
      <c r="L56">
        <f>IFERROR(IF(MAXIFS(Documents!$E$2:$E$619,Documents!$A$2:$A$619,$A56,Documents!$C$2:$C$619,"excursions")=0,"",MAXIFS(Documents!$E$2:$E$619,Documents!$A$2:$A$619,$A56,Documents!$C$2:$C$619,"excursions")),"")</f>
        <v/>
      </c>
      <c r="M56">
        <f>IFERROR(IF(MAXIFS(Documents!$E$2:$E$619,Documents!$A$2:$A$619,$A56,Documents!$C$2:$C$619,"kids")=0,"",MAXIFS(Documents!$E$2:$E$619,Documents!$A$2:$A$619,$A56,Documents!$C$2:$C$619,"kids")),"")</f>
        <v/>
      </c>
      <c r="N56">
        <f>IFERROR(IF(MAXIFS(Documents!$E$2:$E$619,Documents!$A$2:$A$619,$A56,Documents!$C$2:$C$619,"villa_plans")=0,"",MAXIFS(Documents!$E$2:$E$619,Documents!$A$2:$A$619,$A56,Documents!$C$2:$C$619,"villa_plans")),"")</f>
        <v/>
      </c>
      <c r="O56">
        <f>IFERROR(IF(MAXIFS(Documents!$E$2:$E$619,Documents!$A$2:$A$619,$A56,Documents!$C$2:$C$619,"all_inclusive")=0,"",MAXIFS(Documents!$E$2:$E$619,Documents!$A$2:$A$619,$A56,Documents!$C$2:$C$619,"all_inclusive")),"")</f>
        <v/>
      </c>
      <c r="P56">
        <f>IFERROR(IF(MAXIFS(Documents!$E$2:$E$619,Documents!$A$2:$A$619,$A56,Documents!$C$2:$C$619,"sustainability")=0,"",MAXIFS(Documents!$E$2:$E$619,Documents!$A$2:$A$619,$A56,Documents!$C$2:$C$619,"sustainability")),"")</f>
        <v/>
      </c>
      <c r="Q56">
        <f>IFERROR(IF(MAXIFS(Documents!$E$2:$E$619,Documents!$A$2:$A$619,$A56,Documents!$C$2:$C$619,"calendar")=0,"",MAXIFS(Documents!$E$2:$E$619,Documents!$A$2:$A$619,$A56,Documents!$C$2:$C$619,"calendar")),"")</f>
        <v/>
      </c>
      <c r="R56">
        <f>IFERROR(IF(MAXIFS(Documents!$E$2:$E$619,Documents!$A$2:$A$619,$A56,Documents!$C$2:$C$619,"brochure")=0,"",MAXIFS(Documents!$E$2:$E$619,Documents!$A$2:$A$619,$A56,Documents!$C$2:$C$619,"brochure")),"")</f>
        <v/>
      </c>
      <c r="S56">
        <f>IFERROR(IF(MAXIFS(Documents!$E$2:$E$619,Documents!$A$2:$A$619,$A56,Documents!$C$2:$C$619,"press_kit")=0,"",MAXIFS(Documents!$E$2:$E$619,Documents!$A$2:$A$619,$A56,Documents!$C$2:$C$619,"press_kit")),"")</f>
        <v/>
      </c>
      <c r="T56">
        <f>IFERROR(IF(MAXIFS(Documents!$E$2:$E$619,Documents!$A$2:$A$619,$A56,Documents!$C$2:$C$619,"other")=0,"",MAXIFS(Documents!$E$2:$E$619,Documents!$A$2:$A$619,$A56,Documents!$C$2:$C$619,"other")),"")</f>
        <v/>
      </c>
      <c r="U56">
        <f>IFERROR(IF(MAXIFS(Documents!$E$2:$E$619,Documents!$A$2:$A$619,$A56,Documents!$C$2:$C$619,"obsolete")=0,"",MAXIFS(Documents!$E$2:$E$619,Documents!$A$2:$A$619,$A56,Documents!$C$2:$C$619,"obsolete")),"")</f>
        <v/>
      </c>
      <c r="V56">
        <f>COUNTIFS(Documents!$A$2:$A$619,$A56)</f>
        <v/>
      </c>
      <c r="W56">
        <f>COUNTIFS(Documents!$A$2:$A$619,$A56,Documents!$R$2:$R$619,"current")</f>
        <v/>
      </c>
      <c r="X56" t="inlineStr"/>
      <c r="Y56" t="inlineStr">
        <is>
          <t>factsheet, wedding, events</t>
        </is>
      </c>
      <c r="Z56" t="inlineStr"/>
    </row>
    <row r="57">
      <c r="A57" t="n">
        <v>56</v>
      </c>
      <c r="B57" t="inlineStr">
        <is>
          <t>Four Seasons Resort Maldives at Kuda Huraa</t>
        </is>
      </c>
      <c r="C57" t="inlineStr">
        <is>
          <t>not crawled</t>
        </is>
      </c>
      <c r="D57">
        <f>IFERROR(IF(MAXIFS(Documents!$E$2:$E$619,Documents!$A$2:$A$619,$A57,Documents!$C$2:$C$619,"factsheet")=0,"",MAXIFS(Documents!$E$2:$E$619,Documents!$A$2:$A$619,$A57,Documents!$C$2:$C$619,"factsheet")),"")</f>
        <v/>
      </c>
      <c r="E57">
        <f>IFERROR(IF(MAXIFS(Documents!$E$2:$E$619,Documents!$A$2:$A$619,$A57,Documents!$C$2:$C$619,"wedding")=0,"",MAXIFS(Documents!$E$2:$E$619,Documents!$A$2:$A$619,$A57,Documents!$C$2:$C$619,"wedding")),"")</f>
        <v/>
      </c>
      <c r="F57">
        <f>IFERROR(IF(MAXIFS(Documents!$E$2:$E$619,Documents!$A$2:$A$619,$A57,Documents!$C$2:$C$619,"events")=0,"",MAXIFS(Documents!$E$2:$E$619,Documents!$A$2:$A$619,$A57,Documents!$C$2:$C$619,"events")),"")</f>
        <v/>
      </c>
      <c r="G57">
        <f>IFERROR(IF(MAXIFS(Documents!$E$2:$E$619,Documents!$A$2:$A$619,$A57,Documents!$C$2:$C$619,"map")=0,"",MAXIFS(Documents!$E$2:$E$619,Documents!$A$2:$A$619,$A57,Documents!$C$2:$C$619,"map")),"")</f>
        <v/>
      </c>
      <c r="H57">
        <f>IFERROR(IF(MAXIFS(Documents!$E$2:$E$619,Documents!$A$2:$A$619,$A57,Documents!$C$2:$C$619,"dive_map")=0,"",MAXIFS(Documents!$E$2:$E$619,Documents!$A$2:$A$619,$A57,Documents!$C$2:$C$619,"dive_map")),"")</f>
        <v/>
      </c>
      <c r="I57">
        <f>IFERROR(IF(MAXIFS(Documents!$E$2:$E$619,Documents!$A$2:$A$619,$A57,Documents!$C$2:$C$619,"spa_menu")=0,"",MAXIFS(Documents!$E$2:$E$619,Documents!$A$2:$A$619,$A57,Documents!$C$2:$C$619,"spa_menu")),"")</f>
        <v/>
      </c>
      <c r="J57">
        <f>IFERROR(IF(MAXIFS(Documents!$E$2:$E$619,Documents!$A$2:$A$619,$A57,Documents!$C$2:$C$619,"dining_menu")=0,"",MAXIFS(Documents!$E$2:$E$619,Documents!$A$2:$A$619,$A57,Documents!$C$2:$C$619,"dining_menu")),"")</f>
        <v/>
      </c>
      <c r="K57">
        <f>IFERROR(IF(MAXIFS(Documents!$E$2:$E$619,Documents!$A$2:$A$619,$A57,Documents!$C$2:$C$619,"dive_prices")=0,"",MAXIFS(Documents!$E$2:$E$619,Documents!$A$2:$A$619,$A57,Documents!$C$2:$C$619,"dive_prices")),"")</f>
        <v/>
      </c>
      <c r="L57">
        <f>IFERROR(IF(MAXIFS(Documents!$E$2:$E$619,Documents!$A$2:$A$619,$A57,Documents!$C$2:$C$619,"excursions")=0,"",MAXIFS(Documents!$E$2:$E$619,Documents!$A$2:$A$619,$A57,Documents!$C$2:$C$619,"excursions")),"")</f>
        <v/>
      </c>
      <c r="M57">
        <f>IFERROR(IF(MAXIFS(Documents!$E$2:$E$619,Documents!$A$2:$A$619,$A57,Documents!$C$2:$C$619,"kids")=0,"",MAXIFS(Documents!$E$2:$E$619,Documents!$A$2:$A$619,$A57,Documents!$C$2:$C$619,"kids")),"")</f>
        <v/>
      </c>
      <c r="N57">
        <f>IFERROR(IF(MAXIFS(Documents!$E$2:$E$619,Documents!$A$2:$A$619,$A57,Documents!$C$2:$C$619,"villa_plans")=0,"",MAXIFS(Documents!$E$2:$E$619,Documents!$A$2:$A$619,$A57,Documents!$C$2:$C$619,"villa_plans")),"")</f>
        <v/>
      </c>
      <c r="O57">
        <f>IFERROR(IF(MAXIFS(Documents!$E$2:$E$619,Documents!$A$2:$A$619,$A57,Documents!$C$2:$C$619,"all_inclusive")=0,"",MAXIFS(Documents!$E$2:$E$619,Documents!$A$2:$A$619,$A57,Documents!$C$2:$C$619,"all_inclusive")),"")</f>
        <v/>
      </c>
      <c r="P57">
        <f>IFERROR(IF(MAXIFS(Documents!$E$2:$E$619,Documents!$A$2:$A$619,$A57,Documents!$C$2:$C$619,"sustainability")=0,"",MAXIFS(Documents!$E$2:$E$619,Documents!$A$2:$A$619,$A57,Documents!$C$2:$C$619,"sustainability")),"")</f>
        <v/>
      </c>
      <c r="Q57">
        <f>IFERROR(IF(MAXIFS(Documents!$E$2:$E$619,Documents!$A$2:$A$619,$A57,Documents!$C$2:$C$619,"calendar")=0,"",MAXIFS(Documents!$E$2:$E$619,Documents!$A$2:$A$619,$A57,Documents!$C$2:$C$619,"calendar")),"")</f>
        <v/>
      </c>
      <c r="R57">
        <f>IFERROR(IF(MAXIFS(Documents!$E$2:$E$619,Documents!$A$2:$A$619,$A57,Documents!$C$2:$C$619,"brochure")=0,"",MAXIFS(Documents!$E$2:$E$619,Documents!$A$2:$A$619,$A57,Documents!$C$2:$C$619,"brochure")),"")</f>
        <v/>
      </c>
      <c r="S57">
        <f>IFERROR(IF(MAXIFS(Documents!$E$2:$E$619,Documents!$A$2:$A$619,$A57,Documents!$C$2:$C$619,"press_kit")=0,"",MAXIFS(Documents!$E$2:$E$619,Documents!$A$2:$A$619,$A57,Documents!$C$2:$C$619,"press_kit")),"")</f>
        <v/>
      </c>
      <c r="T57">
        <f>IFERROR(IF(MAXIFS(Documents!$E$2:$E$619,Documents!$A$2:$A$619,$A57,Documents!$C$2:$C$619,"other")=0,"",MAXIFS(Documents!$E$2:$E$619,Documents!$A$2:$A$619,$A57,Documents!$C$2:$C$619,"other")),"")</f>
        <v/>
      </c>
      <c r="U57">
        <f>IFERROR(IF(MAXIFS(Documents!$E$2:$E$619,Documents!$A$2:$A$619,$A57,Documents!$C$2:$C$619,"obsolete")=0,"",MAXIFS(Documents!$E$2:$E$619,Documents!$A$2:$A$619,$A57,Documents!$C$2:$C$619,"obsolete")),"")</f>
        <v/>
      </c>
      <c r="V57">
        <f>COUNTIFS(Documents!$A$2:$A$619,$A57)</f>
        <v/>
      </c>
      <c r="W57">
        <f>COUNTIFS(Documents!$A$2:$A$619,$A57,Documents!$R$2:$R$619,"current")</f>
        <v/>
      </c>
      <c r="X57" t="inlineStr"/>
      <c r="Y57" t="inlineStr">
        <is>
          <t>factsheet, wedding, events</t>
        </is>
      </c>
      <c r="Z57" t="inlineStr"/>
    </row>
    <row r="58">
      <c r="A58" t="n">
        <v>57</v>
      </c>
      <c r="B58" t="inlineStr">
        <is>
          <t>Fushifaru Maldives</t>
        </is>
      </c>
      <c r="C58" t="inlineStr">
        <is>
          <t>not crawled</t>
        </is>
      </c>
      <c r="D58">
        <f>IFERROR(IF(MAXIFS(Documents!$E$2:$E$619,Documents!$A$2:$A$619,$A58,Documents!$C$2:$C$619,"factsheet")=0,"",MAXIFS(Documents!$E$2:$E$619,Documents!$A$2:$A$619,$A58,Documents!$C$2:$C$619,"factsheet")),"")</f>
        <v/>
      </c>
      <c r="E58">
        <f>IFERROR(IF(MAXIFS(Documents!$E$2:$E$619,Documents!$A$2:$A$619,$A58,Documents!$C$2:$C$619,"wedding")=0,"",MAXIFS(Documents!$E$2:$E$619,Documents!$A$2:$A$619,$A58,Documents!$C$2:$C$619,"wedding")),"")</f>
        <v/>
      </c>
      <c r="F58">
        <f>IFERROR(IF(MAXIFS(Documents!$E$2:$E$619,Documents!$A$2:$A$619,$A58,Documents!$C$2:$C$619,"events")=0,"",MAXIFS(Documents!$E$2:$E$619,Documents!$A$2:$A$619,$A58,Documents!$C$2:$C$619,"events")),"")</f>
        <v/>
      </c>
      <c r="G58">
        <f>IFERROR(IF(MAXIFS(Documents!$E$2:$E$619,Documents!$A$2:$A$619,$A58,Documents!$C$2:$C$619,"map")=0,"",MAXIFS(Documents!$E$2:$E$619,Documents!$A$2:$A$619,$A58,Documents!$C$2:$C$619,"map")),"")</f>
        <v/>
      </c>
      <c r="H58">
        <f>IFERROR(IF(MAXIFS(Documents!$E$2:$E$619,Documents!$A$2:$A$619,$A58,Documents!$C$2:$C$619,"dive_map")=0,"",MAXIFS(Documents!$E$2:$E$619,Documents!$A$2:$A$619,$A58,Documents!$C$2:$C$619,"dive_map")),"")</f>
        <v/>
      </c>
      <c r="I58">
        <f>IFERROR(IF(MAXIFS(Documents!$E$2:$E$619,Documents!$A$2:$A$619,$A58,Documents!$C$2:$C$619,"spa_menu")=0,"",MAXIFS(Documents!$E$2:$E$619,Documents!$A$2:$A$619,$A58,Documents!$C$2:$C$619,"spa_menu")),"")</f>
        <v/>
      </c>
      <c r="J58">
        <f>IFERROR(IF(MAXIFS(Documents!$E$2:$E$619,Documents!$A$2:$A$619,$A58,Documents!$C$2:$C$619,"dining_menu")=0,"",MAXIFS(Documents!$E$2:$E$619,Documents!$A$2:$A$619,$A58,Documents!$C$2:$C$619,"dining_menu")),"")</f>
        <v/>
      </c>
      <c r="K58">
        <f>IFERROR(IF(MAXIFS(Documents!$E$2:$E$619,Documents!$A$2:$A$619,$A58,Documents!$C$2:$C$619,"dive_prices")=0,"",MAXIFS(Documents!$E$2:$E$619,Documents!$A$2:$A$619,$A58,Documents!$C$2:$C$619,"dive_prices")),"")</f>
        <v/>
      </c>
      <c r="L58">
        <f>IFERROR(IF(MAXIFS(Documents!$E$2:$E$619,Documents!$A$2:$A$619,$A58,Documents!$C$2:$C$619,"excursions")=0,"",MAXIFS(Documents!$E$2:$E$619,Documents!$A$2:$A$619,$A58,Documents!$C$2:$C$619,"excursions")),"")</f>
        <v/>
      </c>
      <c r="M58">
        <f>IFERROR(IF(MAXIFS(Documents!$E$2:$E$619,Documents!$A$2:$A$619,$A58,Documents!$C$2:$C$619,"kids")=0,"",MAXIFS(Documents!$E$2:$E$619,Documents!$A$2:$A$619,$A58,Documents!$C$2:$C$619,"kids")),"")</f>
        <v/>
      </c>
      <c r="N58">
        <f>IFERROR(IF(MAXIFS(Documents!$E$2:$E$619,Documents!$A$2:$A$619,$A58,Documents!$C$2:$C$619,"villa_plans")=0,"",MAXIFS(Documents!$E$2:$E$619,Documents!$A$2:$A$619,$A58,Documents!$C$2:$C$619,"villa_plans")),"")</f>
        <v/>
      </c>
      <c r="O58">
        <f>IFERROR(IF(MAXIFS(Documents!$E$2:$E$619,Documents!$A$2:$A$619,$A58,Documents!$C$2:$C$619,"all_inclusive")=0,"",MAXIFS(Documents!$E$2:$E$619,Documents!$A$2:$A$619,$A58,Documents!$C$2:$C$619,"all_inclusive")),"")</f>
        <v/>
      </c>
      <c r="P58">
        <f>IFERROR(IF(MAXIFS(Documents!$E$2:$E$619,Documents!$A$2:$A$619,$A58,Documents!$C$2:$C$619,"sustainability")=0,"",MAXIFS(Documents!$E$2:$E$619,Documents!$A$2:$A$619,$A58,Documents!$C$2:$C$619,"sustainability")),"")</f>
        <v/>
      </c>
      <c r="Q58">
        <f>IFERROR(IF(MAXIFS(Documents!$E$2:$E$619,Documents!$A$2:$A$619,$A58,Documents!$C$2:$C$619,"calendar")=0,"",MAXIFS(Documents!$E$2:$E$619,Documents!$A$2:$A$619,$A58,Documents!$C$2:$C$619,"calendar")),"")</f>
        <v/>
      </c>
      <c r="R58">
        <f>IFERROR(IF(MAXIFS(Documents!$E$2:$E$619,Documents!$A$2:$A$619,$A58,Documents!$C$2:$C$619,"brochure")=0,"",MAXIFS(Documents!$E$2:$E$619,Documents!$A$2:$A$619,$A58,Documents!$C$2:$C$619,"brochure")),"")</f>
        <v/>
      </c>
      <c r="S58">
        <f>IFERROR(IF(MAXIFS(Documents!$E$2:$E$619,Documents!$A$2:$A$619,$A58,Documents!$C$2:$C$619,"press_kit")=0,"",MAXIFS(Documents!$E$2:$E$619,Documents!$A$2:$A$619,$A58,Documents!$C$2:$C$619,"press_kit")),"")</f>
        <v/>
      </c>
      <c r="T58">
        <f>IFERROR(IF(MAXIFS(Documents!$E$2:$E$619,Documents!$A$2:$A$619,$A58,Documents!$C$2:$C$619,"other")=0,"",MAXIFS(Documents!$E$2:$E$619,Documents!$A$2:$A$619,$A58,Documents!$C$2:$C$619,"other")),"")</f>
        <v/>
      </c>
      <c r="U58">
        <f>IFERROR(IF(MAXIFS(Documents!$E$2:$E$619,Documents!$A$2:$A$619,$A58,Documents!$C$2:$C$619,"obsolete")=0,"",MAXIFS(Documents!$E$2:$E$619,Documents!$A$2:$A$619,$A58,Documents!$C$2:$C$619,"obsolete")),"")</f>
        <v/>
      </c>
      <c r="V58">
        <f>COUNTIFS(Documents!$A$2:$A$619,$A58)</f>
        <v/>
      </c>
      <c r="W58">
        <f>COUNTIFS(Documents!$A$2:$A$619,$A58,Documents!$R$2:$R$619,"current")</f>
        <v/>
      </c>
      <c r="X58" t="inlineStr"/>
      <c r="Y58" t="inlineStr">
        <is>
          <t>factsheet, wedding, events</t>
        </is>
      </c>
      <c r="Z58" t="inlineStr"/>
    </row>
    <row r="59">
      <c r="A59" t="n">
        <v>58</v>
      </c>
      <c r="B59" t="inlineStr">
        <is>
          <t>Sirru Fen Fushi</t>
        </is>
      </c>
      <c r="C59" t="inlineStr">
        <is>
          <t>not crawled</t>
        </is>
      </c>
      <c r="D59">
        <f>IFERROR(IF(MAXIFS(Documents!$E$2:$E$619,Documents!$A$2:$A$619,$A59,Documents!$C$2:$C$619,"factsheet")=0,"",MAXIFS(Documents!$E$2:$E$619,Documents!$A$2:$A$619,$A59,Documents!$C$2:$C$619,"factsheet")),"")</f>
        <v/>
      </c>
      <c r="E59">
        <f>IFERROR(IF(MAXIFS(Documents!$E$2:$E$619,Documents!$A$2:$A$619,$A59,Documents!$C$2:$C$619,"wedding")=0,"",MAXIFS(Documents!$E$2:$E$619,Documents!$A$2:$A$619,$A59,Documents!$C$2:$C$619,"wedding")),"")</f>
        <v/>
      </c>
      <c r="F59">
        <f>IFERROR(IF(MAXIFS(Documents!$E$2:$E$619,Documents!$A$2:$A$619,$A59,Documents!$C$2:$C$619,"events")=0,"",MAXIFS(Documents!$E$2:$E$619,Documents!$A$2:$A$619,$A59,Documents!$C$2:$C$619,"events")),"")</f>
        <v/>
      </c>
      <c r="G59">
        <f>IFERROR(IF(MAXIFS(Documents!$E$2:$E$619,Documents!$A$2:$A$619,$A59,Documents!$C$2:$C$619,"map")=0,"",MAXIFS(Documents!$E$2:$E$619,Documents!$A$2:$A$619,$A59,Documents!$C$2:$C$619,"map")),"")</f>
        <v/>
      </c>
      <c r="H59">
        <f>IFERROR(IF(MAXIFS(Documents!$E$2:$E$619,Documents!$A$2:$A$619,$A59,Documents!$C$2:$C$619,"dive_map")=0,"",MAXIFS(Documents!$E$2:$E$619,Documents!$A$2:$A$619,$A59,Documents!$C$2:$C$619,"dive_map")),"")</f>
        <v/>
      </c>
      <c r="I59">
        <f>IFERROR(IF(MAXIFS(Documents!$E$2:$E$619,Documents!$A$2:$A$619,$A59,Documents!$C$2:$C$619,"spa_menu")=0,"",MAXIFS(Documents!$E$2:$E$619,Documents!$A$2:$A$619,$A59,Documents!$C$2:$C$619,"spa_menu")),"")</f>
        <v/>
      </c>
      <c r="J59">
        <f>IFERROR(IF(MAXIFS(Documents!$E$2:$E$619,Documents!$A$2:$A$619,$A59,Documents!$C$2:$C$619,"dining_menu")=0,"",MAXIFS(Documents!$E$2:$E$619,Documents!$A$2:$A$619,$A59,Documents!$C$2:$C$619,"dining_menu")),"")</f>
        <v/>
      </c>
      <c r="K59">
        <f>IFERROR(IF(MAXIFS(Documents!$E$2:$E$619,Documents!$A$2:$A$619,$A59,Documents!$C$2:$C$619,"dive_prices")=0,"",MAXIFS(Documents!$E$2:$E$619,Documents!$A$2:$A$619,$A59,Documents!$C$2:$C$619,"dive_prices")),"")</f>
        <v/>
      </c>
      <c r="L59">
        <f>IFERROR(IF(MAXIFS(Documents!$E$2:$E$619,Documents!$A$2:$A$619,$A59,Documents!$C$2:$C$619,"excursions")=0,"",MAXIFS(Documents!$E$2:$E$619,Documents!$A$2:$A$619,$A59,Documents!$C$2:$C$619,"excursions")),"")</f>
        <v/>
      </c>
      <c r="M59">
        <f>IFERROR(IF(MAXIFS(Documents!$E$2:$E$619,Documents!$A$2:$A$619,$A59,Documents!$C$2:$C$619,"kids")=0,"",MAXIFS(Documents!$E$2:$E$619,Documents!$A$2:$A$619,$A59,Documents!$C$2:$C$619,"kids")),"")</f>
        <v/>
      </c>
      <c r="N59">
        <f>IFERROR(IF(MAXIFS(Documents!$E$2:$E$619,Documents!$A$2:$A$619,$A59,Documents!$C$2:$C$619,"villa_plans")=0,"",MAXIFS(Documents!$E$2:$E$619,Documents!$A$2:$A$619,$A59,Documents!$C$2:$C$619,"villa_plans")),"")</f>
        <v/>
      </c>
      <c r="O59">
        <f>IFERROR(IF(MAXIFS(Documents!$E$2:$E$619,Documents!$A$2:$A$619,$A59,Documents!$C$2:$C$619,"all_inclusive")=0,"",MAXIFS(Documents!$E$2:$E$619,Documents!$A$2:$A$619,$A59,Documents!$C$2:$C$619,"all_inclusive")),"")</f>
        <v/>
      </c>
      <c r="P59">
        <f>IFERROR(IF(MAXIFS(Documents!$E$2:$E$619,Documents!$A$2:$A$619,$A59,Documents!$C$2:$C$619,"sustainability")=0,"",MAXIFS(Documents!$E$2:$E$619,Documents!$A$2:$A$619,$A59,Documents!$C$2:$C$619,"sustainability")),"")</f>
        <v/>
      </c>
      <c r="Q59">
        <f>IFERROR(IF(MAXIFS(Documents!$E$2:$E$619,Documents!$A$2:$A$619,$A59,Documents!$C$2:$C$619,"calendar")=0,"",MAXIFS(Documents!$E$2:$E$619,Documents!$A$2:$A$619,$A59,Documents!$C$2:$C$619,"calendar")),"")</f>
        <v/>
      </c>
      <c r="R59">
        <f>IFERROR(IF(MAXIFS(Documents!$E$2:$E$619,Documents!$A$2:$A$619,$A59,Documents!$C$2:$C$619,"brochure")=0,"",MAXIFS(Documents!$E$2:$E$619,Documents!$A$2:$A$619,$A59,Documents!$C$2:$C$619,"brochure")),"")</f>
        <v/>
      </c>
      <c r="S59">
        <f>IFERROR(IF(MAXIFS(Documents!$E$2:$E$619,Documents!$A$2:$A$619,$A59,Documents!$C$2:$C$619,"press_kit")=0,"",MAXIFS(Documents!$E$2:$E$619,Documents!$A$2:$A$619,$A59,Documents!$C$2:$C$619,"press_kit")),"")</f>
        <v/>
      </c>
      <c r="T59">
        <f>IFERROR(IF(MAXIFS(Documents!$E$2:$E$619,Documents!$A$2:$A$619,$A59,Documents!$C$2:$C$619,"other")=0,"",MAXIFS(Documents!$E$2:$E$619,Documents!$A$2:$A$619,$A59,Documents!$C$2:$C$619,"other")),"")</f>
        <v/>
      </c>
      <c r="U59">
        <f>IFERROR(IF(MAXIFS(Documents!$E$2:$E$619,Documents!$A$2:$A$619,$A59,Documents!$C$2:$C$619,"obsolete")=0,"",MAXIFS(Documents!$E$2:$E$619,Documents!$A$2:$A$619,$A59,Documents!$C$2:$C$619,"obsolete")),"")</f>
        <v/>
      </c>
      <c r="V59">
        <f>COUNTIFS(Documents!$A$2:$A$619,$A59)</f>
        <v/>
      </c>
      <c r="W59">
        <f>COUNTIFS(Documents!$A$2:$A$619,$A59,Documents!$R$2:$R$619,"current")</f>
        <v/>
      </c>
      <c r="X59">
        <f>HYPERLINK("https://www.neoscapesmaldives.com/wp-content/uploads/Fairmont-Maldives-Fact-Sheet-2023.pdf","2023_Fairmont-Maldives-Fact-Sheet-2023.p")</f>
        <v/>
      </c>
      <c r="Y59" t="inlineStr">
        <is>
          <t>wedding, events</t>
        </is>
      </c>
      <c r="Z59" t="inlineStr">
        <is>
          <t>Fairmont Maldives Sirru Fen Fushi</t>
        </is>
      </c>
    </row>
    <row r="60">
      <c r="A60" t="n">
        <v>59</v>
      </c>
      <c r="B60" t="inlineStr">
        <is>
          <t>Jumeirah Maldives Olhahali Island</t>
        </is>
      </c>
      <c r="C60" t="inlineStr">
        <is>
          <t>not crawled</t>
        </is>
      </c>
      <c r="D60">
        <f>IFERROR(IF(MAXIFS(Documents!$E$2:$E$619,Documents!$A$2:$A$619,$A60,Documents!$C$2:$C$619,"factsheet")=0,"",MAXIFS(Documents!$E$2:$E$619,Documents!$A$2:$A$619,$A60,Documents!$C$2:$C$619,"factsheet")),"")</f>
        <v/>
      </c>
      <c r="E60">
        <f>IFERROR(IF(MAXIFS(Documents!$E$2:$E$619,Documents!$A$2:$A$619,$A60,Documents!$C$2:$C$619,"wedding")=0,"",MAXIFS(Documents!$E$2:$E$619,Documents!$A$2:$A$619,$A60,Documents!$C$2:$C$619,"wedding")),"")</f>
        <v/>
      </c>
      <c r="F60">
        <f>IFERROR(IF(MAXIFS(Documents!$E$2:$E$619,Documents!$A$2:$A$619,$A60,Documents!$C$2:$C$619,"events")=0,"",MAXIFS(Documents!$E$2:$E$619,Documents!$A$2:$A$619,$A60,Documents!$C$2:$C$619,"events")),"")</f>
        <v/>
      </c>
      <c r="G60">
        <f>IFERROR(IF(MAXIFS(Documents!$E$2:$E$619,Documents!$A$2:$A$619,$A60,Documents!$C$2:$C$619,"map")=0,"",MAXIFS(Documents!$E$2:$E$619,Documents!$A$2:$A$619,$A60,Documents!$C$2:$C$619,"map")),"")</f>
        <v/>
      </c>
      <c r="H60">
        <f>IFERROR(IF(MAXIFS(Documents!$E$2:$E$619,Documents!$A$2:$A$619,$A60,Documents!$C$2:$C$619,"dive_map")=0,"",MAXIFS(Documents!$E$2:$E$619,Documents!$A$2:$A$619,$A60,Documents!$C$2:$C$619,"dive_map")),"")</f>
        <v/>
      </c>
      <c r="I60">
        <f>IFERROR(IF(MAXIFS(Documents!$E$2:$E$619,Documents!$A$2:$A$619,$A60,Documents!$C$2:$C$619,"spa_menu")=0,"",MAXIFS(Documents!$E$2:$E$619,Documents!$A$2:$A$619,$A60,Documents!$C$2:$C$619,"spa_menu")),"")</f>
        <v/>
      </c>
      <c r="J60">
        <f>IFERROR(IF(MAXIFS(Documents!$E$2:$E$619,Documents!$A$2:$A$619,$A60,Documents!$C$2:$C$619,"dining_menu")=0,"",MAXIFS(Documents!$E$2:$E$619,Documents!$A$2:$A$619,$A60,Documents!$C$2:$C$619,"dining_menu")),"")</f>
        <v/>
      </c>
      <c r="K60">
        <f>IFERROR(IF(MAXIFS(Documents!$E$2:$E$619,Documents!$A$2:$A$619,$A60,Documents!$C$2:$C$619,"dive_prices")=0,"",MAXIFS(Documents!$E$2:$E$619,Documents!$A$2:$A$619,$A60,Documents!$C$2:$C$619,"dive_prices")),"")</f>
        <v/>
      </c>
      <c r="L60">
        <f>IFERROR(IF(MAXIFS(Documents!$E$2:$E$619,Documents!$A$2:$A$619,$A60,Documents!$C$2:$C$619,"excursions")=0,"",MAXIFS(Documents!$E$2:$E$619,Documents!$A$2:$A$619,$A60,Documents!$C$2:$C$619,"excursions")),"")</f>
        <v/>
      </c>
      <c r="M60">
        <f>IFERROR(IF(MAXIFS(Documents!$E$2:$E$619,Documents!$A$2:$A$619,$A60,Documents!$C$2:$C$619,"kids")=0,"",MAXIFS(Documents!$E$2:$E$619,Documents!$A$2:$A$619,$A60,Documents!$C$2:$C$619,"kids")),"")</f>
        <v/>
      </c>
      <c r="N60">
        <f>IFERROR(IF(MAXIFS(Documents!$E$2:$E$619,Documents!$A$2:$A$619,$A60,Documents!$C$2:$C$619,"villa_plans")=0,"",MAXIFS(Documents!$E$2:$E$619,Documents!$A$2:$A$619,$A60,Documents!$C$2:$C$619,"villa_plans")),"")</f>
        <v/>
      </c>
      <c r="O60">
        <f>IFERROR(IF(MAXIFS(Documents!$E$2:$E$619,Documents!$A$2:$A$619,$A60,Documents!$C$2:$C$619,"all_inclusive")=0,"",MAXIFS(Documents!$E$2:$E$619,Documents!$A$2:$A$619,$A60,Documents!$C$2:$C$619,"all_inclusive")),"")</f>
        <v/>
      </c>
      <c r="P60">
        <f>IFERROR(IF(MAXIFS(Documents!$E$2:$E$619,Documents!$A$2:$A$619,$A60,Documents!$C$2:$C$619,"sustainability")=0,"",MAXIFS(Documents!$E$2:$E$619,Documents!$A$2:$A$619,$A60,Documents!$C$2:$C$619,"sustainability")),"")</f>
        <v/>
      </c>
      <c r="Q60">
        <f>IFERROR(IF(MAXIFS(Documents!$E$2:$E$619,Documents!$A$2:$A$619,$A60,Documents!$C$2:$C$619,"calendar")=0,"",MAXIFS(Documents!$E$2:$E$619,Documents!$A$2:$A$619,$A60,Documents!$C$2:$C$619,"calendar")),"")</f>
        <v/>
      </c>
      <c r="R60">
        <f>IFERROR(IF(MAXIFS(Documents!$E$2:$E$619,Documents!$A$2:$A$619,$A60,Documents!$C$2:$C$619,"brochure")=0,"",MAXIFS(Documents!$E$2:$E$619,Documents!$A$2:$A$619,$A60,Documents!$C$2:$C$619,"brochure")),"")</f>
        <v/>
      </c>
      <c r="S60">
        <f>IFERROR(IF(MAXIFS(Documents!$E$2:$E$619,Documents!$A$2:$A$619,$A60,Documents!$C$2:$C$619,"press_kit")=0,"",MAXIFS(Documents!$E$2:$E$619,Documents!$A$2:$A$619,$A60,Documents!$C$2:$C$619,"press_kit")),"")</f>
        <v/>
      </c>
      <c r="T60">
        <f>IFERROR(IF(MAXIFS(Documents!$E$2:$E$619,Documents!$A$2:$A$619,$A60,Documents!$C$2:$C$619,"other")=0,"",MAXIFS(Documents!$E$2:$E$619,Documents!$A$2:$A$619,$A60,Documents!$C$2:$C$619,"other")),"")</f>
        <v/>
      </c>
      <c r="U60">
        <f>IFERROR(IF(MAXIFS(Documents!$E$2:$E$619,Documents!$A$2:$A$619,$A60,Documents!$C$2:$C$619,"obsolete")=0,"",MAXIFS(Documents!$E$2:$E$619,Documents!$A$2:$A$619,$A60,Documents!$C$2:$C$619,"obsolete")),"")</f>
        <v/>
      </c>
      <c r="V60">
        <f>COUNTIFS(Documents!$A$2:$A$619,$A60)</f>
        <v/>
      </c>
      <c r="W60">
        <f>COUNTIFS(Documents!$A$2:$A$619,$A60,Documents!$R$2:$R$619,"current")</f>
        <v/>
      </c>
      <c r="X60">
        <f>HYPERLINK("https://www.neoscapesmaldives.com/wp-content/uploads/Jumeirah-Olhahali-Island-Resort-Factsheet-2025.pdf","2025_Jumeirah-Olhahali-Island-Resort-Fac")</f>
        <v/>
      </c>
      <c r="Y60" t="inlineStr">
        <is>
          <t>wedding, events</t>
        </is>
      </c>
      <c r="Z60" t="inlineStr"/>
    </row>
    <row r="61">
      <c r="A61" t="n">
        <v>60</v>
      </c>
      <c r="B61" t="inlineStr">
        <is>
          <t>Reethi Beach Resort</t>
        </is>
      </c>
      <c r="C61" t="inlineStr">
        <is>
          <t>not crawled</t>
        </is>
      </c>
      <c r="D61">
        <f>IFERROR(IF(MAXIFS(Documents!$E$2:$E$619,Documents!$A$2:$A$619,$A61,Documents!$C$2:$C$619,"factsheet")=0,"",MAXIFS(Documents!$E$2:$E$619,Documents!$A$2:$A$619,$A61,Documents!$C$2:$C$619,"factsheet")),"")</f>
        <v/>
      </c>
      <c r="E61">
        <f>IFERROR(IF(MAXIFS(Documents!$E$2:$E$619,Documents!$A$2:$A$619,$A61,Documents!$C$2:$C$619,"wedding")=0,"",MAXIFS(Documents!$E$2:$E$619,Documents!$A$2:$A$619,$A61,Documents!$C$2:$C$619,"wedding")),"")</f>
        <v/>
      </c>
      <c r="F61">
        <f>IFERROR(IF(MAXIFS(Documents!$E$2:$E$619,Documents!$A$2:$A$619,$A61,Documents!$C$2:$C$619,"events")=0,"",MAXIFS(Documents!$E$2:$E$619,Documents!$A$2:$A$619,$A61,Documents!$C$2:$C$619,"events")),"")</f>
        <v/>
      </c>
      <c r="G61">
        <f>IFERROR(IF(MAXIFS(Documents!$E$2:$E$619,Documents!$A$2:$A$619,$A61,Documents!$C$2:$C$619,"map")=0,"",MAXIFS(Documents!$E$2:$E$619,Documents!$A$2:$A$619,$A61,Documents!$C$2:$C$619,"map")),"")</f>
        <v/>
      </c>
      <c r="H61">
        <f>IFERROR(IF(MAXIFS(Documents!$E$2:$E$619,Documents!$A$2:$A$619,$A61,Documents!$C$2:$C$619,"dive_map")=0,"",MAXIFS(Documents!$E$2:$E$619,Documents!$A$2:$A$619,$A61,Documents!$C$2:$C$619,"dive_map")),"")</f>
        <v/>
      </c>
      <c r="I61">
        <f>IFERROR(IF(MAXIFS(Documents!$E$2:$E$619,Documents!$A$2:$A$619,$A61,Documents!$C$2:$C$619,"spa_menu")=0,"",MAXIFS(Documents!$E$2:$E$619,Documents!$A$2:$A$619,$A61,Documents!$C$2:$C$619,"spa_menu")),"")</f>
        <v/>
      </c>
      <c r="J61">
        <f>IFERROR(IF(MAXIFS(Documents!$E$2:$E$619,Documents!$A$2:$A$619,$A61,Documents!$C$2:$C$619,"dining_menu")=0,"",MAXIFS(Documents!$E$2:$E$619,Documents!$A$2:$A$619,$A61,Documents!$C$2:$C$619,"dining_menu")),"")</f>
        <v/>
      </c>
      <c r="K61">
        <f>IFERROR(IF(MAXIFS(Documents!$E$2:$E$619,Documents!$A$2:$A$619,$A61,Documents!$C$2:$C$619,"dive_prices")=0,"",MAXIFS(Documents!$E$2:$E$619,Documents!$A$2:$A$619,$A61,Documents!$C$2:$C$619,"dive_prices")),"")</f>
        <v/>
      </c>
      <c r="L61">
        <f>IFERROR(IF(MAXIFS(Documents!$E$2:$E$619,Documents!$A$2:$A$619,$A61,Documents!$C$2:$C$619,"excursions")=0,"",MAXIFS(Documents!$E$2:$E$619,Documents!$A$2:$A$619,$A61,Documents!$C$2:$C$619,"excursions")),"")</f>
        <v/>
      </c>
      <c r="M61">
        <f>IFERROR(IF(MAXIFS(Documents!$E$2:$E$619,Documents!$A$2:$A$619,$A61,Documents!$C$2:$C$619,"kids")=0,"",MAXIFS(Documents!$E$2:$E$619,Documents!$A$2:$A$619,$A61,Documents!$C$2:$C$619,"kids")),"")</f>
        <v/>
      </c>
      <c r="N61">
        <f>IFERROR(IF(MAXIFS(Documents!$E$2:$E$619,Documents!$A$2:$A$619,$A61,Documents!$C$2:$C$619,"villa_plans")=0,"",MAXIFS(Documents!$E$2:$E$619,Documents!$A$2:$A$619,$A61,Documents!$C$2:$C$619,"villa_plans")),"")</f>
        <v/>
      </c>
      <c r="O61">
        <f>IFERROR(IF(MAXIFS(Documents!$E$2:$E$619,Documents!$A$2:$A$619,$A61,Documents!$C$2:$C$619,"all_inclusive")=0,"",MAXIFS(Documents!$E$2:$E$619,Documents!$A$2:$A$619,$A61,Documents!$C$2:$C$619,"all_inclusive")),"")</f>
        <v/>
      </c>
      <c r="P61">
        <f>IFERROR(IF(MAXIFS(Documents!$E$2:$E$619,Documents!$A$2:$A$619,$A61,Documents!$C$2:$C$619,"sustainability")=0,"",MAXIFS(Documents!$E$2:$E$619,Documents!$A$2:$A$619,$A61,Documents!$C$2:$C$619,"sustainability")),"")</f>
        <v/>
      </c>
      <c r="Q61">
        <f>IFERROR(IF(MAXIFS(Documents!$E$2:$E$619,Documents!$A$2:$A$619,$A61,Documents!$C$2:$C$619,"calendar")=0,"",MAXIFS(Documents!$E$2:$E$619,Documents!$A$2:$A$619,$A61,Documents!$C$2:$C$619,"calendar")),"")</f>
        <v/>
      </c>
      <c r="R61">
        <f>IFERROR(IF(MAXIFS(Documents!$E$2:$E$619,Documents!$A$2:$A$619,$A61,Documents!$C$2:$C$619,"brochure")=0,"",MAXIFS(Documents!$E$2:$E$619,Documents!$A$2:$A$619,$A61,Documents!$C$2:$C$619,"brochure")),"")</f>
        <v/>
      </c>
      <c r="S61">
        <f>IFERROR(IF(MAXIFS(Documents!$E$2:$E$619,Documents!$A$2:$A$619,$A61,Documents!$C$2:$C$619,"press_kit")=0,"",MAXIFS(Documents!$E$2:$E$619,Documents!$A$2:$A$619,$A61,Documents!$C$2:$C$619,"press_kit")),"")</f>
        <v/>
      </c>
      <c r="T61">
        <f>IFERROR(IF(MAXIFS(Documents!$E$2:$E$619,Documents!$A$2:$A$619,$A61,Documents!$C$2:$C$619,"other")=0,"",MAXIFS(Documents!$E$2:$E$619,Documents!$A$2:$A$619,$A61,Documents!$C$2:$C$619,"other")),"")</f>
        <v/>
      </c>
      <c r="U61">
        <f>IFERROR(IF(MAXIFS(Documents!$E$2:$E$619,Documents!$A$2:$A$619,$A61,Documents!$C$2:$C$619,"obsolete")=0,"",MAXIFS(Documents!$E$2:$E$619,Documents!$A$2:$A$619,$A61,Documents!$C$2:$C$619,"obsolete")),"")</f>
        <v/>
      </c>
      <c r="V61">
        <f>COUNTIFS(Documents!$A$2:$A$619,$A61)</f>
        <v/>
      </c>
      <c r="W61">
        <f>COUNTIFS(Documents!$A$2:$A$619,$A61,Documents!$R$2:$R$619,"current")</f>
        <v/>
      </c>
      <c r="X61" t="inlineStr"/>
      <c r="Y61" t="inlineStr">
        <is>
          <t>factsheet, wedding, events</t>
        </is>
      </c>
      <c r="Z61" t="inlineStr"/>
    </row>
    <row r="62">
      <c r="A62" t="n">
        <v>61</v>
      </c>
      <c r="B62" t="inlineStr">
        <is>
          <t>Equator Village</t>
        </is>
      </c>
      <c r="C62" t="inlineStr">
        <is>
          <t>not crawled</t>
        </is>
      </c>
      <c r="D62">
        <f>IFERROR(IF(MAXIFS(Documents!$E$2:$E$619,Documents!$A$2:$A$619,$A62,Documents!$C$2:$C$619,"factsheet")=0,"",MAXIFS(Documents!$E$2:$E$619,Documents!$A$2:$A$619,$A62,Documents!$C$2:$C$619,"factsheet")),"")</f>
        <v/>
      </c>
      <c r="E62">
        <f>IFERROR(IF(MAXIFS(Documents!$E$2:$E$619,Documents!$A$2:$A$619,$A62,Documents!$C$2:$C$619,"wedding")=0,"",MAXIFS(Documents!$E$2:$E$619,Documents!$A$2:$A$619,$A62,Documents!$C$2:$C$619,"wedding")),"")</f>
        <v/>
      </c>
      <c r="F62">
        <f>IFERROR(IF(MAXIFS(Documents!$E$2:$E$619,Documents!$A$2:$A$619,$A62,Documents!$C$2:$C$619,"events")=0,"",MAXIFS(Documents!$E$2:$E$619,Documents!$A$2:$A$619,$A62,Documents!$C$2:$C$619,"events")),"")</f>
        <v/>
      </c>
      <c r="G62">
        <f>IFERROR(IF(MAXIFS(Documents!$E$2:$E$619,Documents!$A$2:$A$619,$A62,Documents!$C$2:$C$619,"map")=0,"",MAXIFS(Documents!$E$2:$E$619,Documents!$A$2:$A$619,$A62,Documents!$C$2:$C$619,"map")),"")</f>
        <v/>
      </c>
      <c r="H62">
        <f>IFERROR(IF(MAXIFS(Documents!$E$2:$E$619,Documents!$A$2:$A$619,$A62,Documents!$C$2:$C$619,"dive_map")=0,"",MAXIFS(Documents!$E$2:$E$619,Documents!$A$2:$A$619,$A62,Documents!$C$2:$C$619,"dive_map")),"")</f>
        <v/>
      </c>
      <c r="I62">
        <f>IFERROR(IF(MAXIFS(Documents!$E$2:$E$619,Documents!$A$2:$A$619,$A62,Documents!$C$2:$C$619,"spa_menu")=0,"",MAXIFS(Documents!$E$2:$E$619,Documents!$A$2:$A$619,$A62,Documents!$C$2:$C$619,"spa_menu")),"")</f>
        <v/>
      </c>
      <c r="J62">
        <f>IFERROR(IF(MAXIFS(Documents!$E$2:$E$619,Documents!$A$2:$A$619,$A62,Documents!$C$2:$C$619,"dining_menu")=0,"",MAXIFS(Documents!$E$2:$E$619,Documents!$A$2:$A$619,$A62,Documents!$C$2:$C$619,"dining_menu")),"")</f>
        <v/>
      </c>
      <c r="K62">
        <f>IFERROR(IF(MAXIFS(Documents!$E$2:$E$619,Documents!$A$2:$A$619,$A62,Documents!$C$2:$C$619,"dive_prices")=0,"",MAXIFS(Documents!$E$2:$E$619,Documents!$A$2:$A$619,$A62,Documents!$C$2:$C$619,"dive_prices")),"")</f>
        <v/>
      </c>
      <c r="L62">
        <f>IFERROR(IF(MAXIFS(Documents!$E$2:$E$619,Documents!$A$2:$A$619,$A62,Documents!$C$2:$C$619,"excursions")=0,"",MAXIFS(Documents!$E$2:$E$619,Documents!$A$2:$A$619,$A62,Documents!$C$2:$C$619,"excursions")),"")</f>
        <v/>
      </c>
      <c r="M62">
        <f>IFERROR(IF(MAXIFS(Documents!$E$2:$E$619,Documents!$A$2:$A$619,$A62,Documents!$C$2:$C$619,"kids")=0,"",MAXIFS(Documents!$E$2:$E$619,Documents!$A$2:$A$619,$A62,Documents!$C$2:$C$619,"kids")),"")</f>
        <v/>
      </c>
      <c r="N62">
        <f>IFERROR(IF(MAXIFS(Documents!$E$2:$E$619,Documents!$A$2:$A$619,$A62,Documents!$C$2:$C$619,"villa_plans")=0,"",MAXIFS(Documents!$E$2:$E$619,Documents!$A$2:$A$619,$A62,Documents!$C$2:$C$619,"villa_plans")),"")</f>
        <v/>
      </c>
      <c r="O62">
        <f>IFERROR(IF(MAXIFS(Documents!$E$2:$E$619,Documents!$A$2:$A$619,$A62,Documents!$C$2:$C$619,"all_inclusive")=0,"",MAXIFS(Documents!$E$2:$E$619,Documents!$A$2:$A$619,$A62,Documents!$C$2:$C$619,"all_inclusive")),"")</f>
        <v/>
      </c>
      <c r="P62">
        <f>IFERROR(IF(MAXIFS(Documents!$E$2:$E$619,Documents!$A$2:$A$619,$A62,Documents!$C$2:$C$619,"sustainability")=0,"",MAXIFS(Documents!$E$2:$E$619,Documents!$A$2:$A$619,$A62,Documents!$C$2:$C$619,"sustainability")),"")</f>
        <v/>
      </c>
      <c r="Q62">
        <f>IFERROR(IF(MAXIFS(Documents!$E$2:$E$619,Documents!$A$2:$A$619,$A62,Documents!$C$2:$C$619,"calendar")=0,"",MAXIFS(Documents!$E$2:$E$619,Documents!$A$2:$A$619,$A62,Documents!$C$2:$C$619,"calendar")),"")</f>
        <v/>
      </c>
      <c r="R62">
        <f>IFERROR(IF(MAXIFS(Documents!$E$2:$E$619,Documents!$A$2:$A$619,$A62,Documents!$C$2:$C$619,"brochure")=0,"",MAXIFS(Documents!$E$2:$E$619,Documents!$A$2:$A$619,$A62,Documents!$C$2:$C$619,"brochure")),"")</f>
        <v/>
      </c>
      <c r="S62">
        <f>IFERROR(IF(MAXIFS(Documents!$E$2:$E$619,Documents!$A$2:$A$619,$A62,Documents!$C$2:$C$619,"press_kit")=0,"",MAXIFS(Documents!$E$2:$E$619,Documents!$A$2:$A$619,$A62,Documents!$C$2:$C$619,"press_kit")),"")</f>
        <v/>
      </c>
      <c r="T62">
        <f>IFERROR(IF(MAXIFS(Documents!$E$2:$E$619,Documents!$A$2:$A$619,$A62,Documents!$C$2:$C$619,"other")=0,"",MAXIFS(Documents!$E$2:$E$619,Documents!$A$2:$A$619,$A62,Documents!$C$2:$C$619,"other")),"")</f>
        <v/>
      </c>
      <c r="U62">
        <f>IFERROR(IF(MAXIFS(Documents!$E$2:$E$619,Documents!$A$2:$A$619,$A62,Documents!$C$2:$C$619,"obsolete")=0,"",MAXIFS(Documents!$E$2:$E$619,Documents!$A$2:$A$619,$A62,Documents!$C$2:$C$619,"obsolete")),"")</f>
        <v/>
      </c>
      <c r="V62">
        <f>COUNTIFS(Documents!$A$2:$A$619,$A62)</f>
        <v/>
      </c>
      <c r="W62">
        <f>COUNTIFS(Documents!$A$2:$A$619,$A62,Documents!$R$2:$R$619,"current")</f>
        <v/>
      </c>
      <c r="X62" t="inlineStr"/>
      <c r="Y62" t="inlineStr">
        <is>
          <t>factsheet, wedding, events</t>
        </is>
      </c>
      <c r="Z62" t="inlineStr"/>
    </row>
    <row r="63">
      <c r="A63" t="n">
        <v>62</v>
      </c>
      <c r="B63" t="inlineStr">
        <is>
          <t>Cora Cora Maldives</t>
        </is>
      </c>
      <c r="C63" t="inlineStr">
        <is>
          <t>not crawled</t>
        </is>
      </c>
      <c r="D63">
        <f>IFERROR(IF(MAXIFS(Documents!$E$2:$E$619,Documents!$A$2:$A$619,$A63,Documents!$C$2:$C$619,"factsheet")=0,"",MAXIFS(Documents!$E$2:$E$619,Documents!$A$2:$A$619,$A63,Documents!$C$2:$C$619,"factsheet")),"")</f>
        <v/>
      </c>
      <c r="E63">
        <f>IFERROR(IF(MAXIFS(Documents!$E$2:$E$619,Documents!$A$2:$A$619,$A63,Documents!$C$2:$C$619,"wedding")=0,"",MAXIFS(Documents!$E$2:$E$619,Documents!$A$2:$A$619,$A63,Documents!$C$2:$C$619,"wedding")),"")</f>
        <v/>
      </c>
      <c r="F63">
        <f>IFERROR(IF(MAXIFS(Documents!$E$2:$E$619,Documents!$A$2:$A$619,$A63,Documents!$C$2:$C$619,"events")=0,"",MAXIFS(Documents!$E$2:$E$619,Documents!$A$2:$A$619,$A63,Documents!$C$2:$C$619,"events")),"")</f>
        <v/>
      </c>
      <c r="G63">
        <f>IFERROR(IF(MAXIFS(Documents!$E$2:$E$619,Documents!$A$2:$A$619,$A63,Documents!$C$2:$C$619,"map")=0,"",MAXIFS(Documents!$E$2:$E$619,Documents!$A$2:$A$619,$A63,Documents!$C$2:$C$619,"map")),"")</f>
        <v/>
      </c>
      <c r="H63">
        <f>IFERROR(IF(MAXIFS(Documents!$E$2:$E$619,Documents!$A$2:$A$619,$A63,Documents!$C$2:$C$619,"dive_map")=0,"",MAXIFS(Documents!$E$2:$E$619,Documents!$A$2:$A$619,$A63,Documents!$C$2:$C$619,"dive_map")),"")</f>
        <v/>
      </c>
      <c r="I63">
        <f>IFERROR(IF(MAXIFS(Documents!$E$2:$E$619,Documents!$A$2:$A$619,$A63,Documents!$C$2:$C$619,"spa_menu")=0,"",MAXIFS(Documents!$E$2:$E$619,Documents!$A$2:$A$619,$A63,Documents!$C$2:$C$619,"spa_menu")),"")</f>
        <v/>
      </c>
      <c r="J63">
        <f>IFERROR(IF(MAXIFS(Documents!$E$2:$E$619,Documents!$A$2:$A$619,$A63,Documents!$C$2:$C$619,"dining_menu")=0,"",MAXIFS(Documents!$E$2:$E$619,Documents!$A$2:$A$619,$A63,Documents!$C$2:$C$619,"dining_menu")),"")</f>
        <v/>
      </c>
      <c r="K63">
        <f>IFERROR(IF(MAXIFS(Documents!$E$2:$E$619,Documents!$A$2:$A$619,$A63,Documents!$C$2:$C$619,"dive_prices")=0,"",MAXIFS(Documents!$E$2:$E$619,Documents!$A$2:$A$619,$A63,Documents!$C$2:$C$619,"dive_prices")),"")</f>
        <v/>
      </c>
      <c r="L63">
        <f>IFERROR(IF(MAXIFS(Documents!$E$2:$E$619,Documents!$A$2:$A$619,$A63,Documents!$C$2:$C$619,"excursions")=0,"",MAXIFS(Documents!$E$2:$E$619,Documents!$A$2:$A$619,$A63,Documents!$C$2:$C$619,"excursions")),"")</f>
        <v/>
      </c>
      <c r="M63">
        <f>IFERROR(IF(MAXIFS(Documents!$E$2:$E$619,Documents!$A$2:$A$619,$A63,Documents!$C$2:$C$619,"kids")=0,"",MAXIFS(Documents!$E$2:$E$619,Documents!$A$2:$A$619,$A63,Documents!$C$2:$C$619,"kids")),"")</f>
        <v/>
      </c>
      <c r="N63">
        <f>IFERROR(IF(MAXIFS(Documents!$E$2:$E$619,Documents!$A$2:$A$619,$A63,Documents!$C$2:$C$619,"villa_plans")=0,"",MAXIFS(Documents!$E$2:$E$619,Documents!$A$2:$A$619,$A63,Documents!$C$2:$C$619,"villa_plans")),"")</f>
        <v/>
      </c>
      <c r="O63">
        <f>IFERROR(IF(MAXIFS(Documents!$E$2:$E$619,Documents!$A$2:$A$619,$A63,Documents!$C$2:$C$619,"all_inclusive")=0,"",MAXIFS(Documents!$E$2:$E$619,Documents!$A$2:$A$619,$A63,Documents!$C$2:$C$619,"all_inclusive")),"")</f>
        <v/>
      </c>
      <c r="P63">
        <f>IFERROR(IF(MAXIFS(Documents!$E$2:$E$619,Documents!$A$2:$A$619,$A63,Documents!$C$2:$C$619,"sustainability")=0,"",MAXIFS(Documents!$E$2:$E$619,Documents!$A$2:$A$619,$A63,Documents!$C$2:$C$619,"sustainability")),"")</f>
        <v/>
      </c>
      <c r="Q63">
        <f>IFERROR(IF(MAXIFS(Documents!$E$2:$E$619,Documents!$A$2:$A$619,$A63,Documents!$C$2:$C$619,"calendar")=0,"",MAXIFS(Documents!$E$2:$E$619,Documents!$A$2:$A$619,$A63,Documents!$C$2:$C$619,"calendar")),"")</f>
        <v/>
      </c>
      <c r="R63">
        <f>IFERROR(IF(MAXIFS(Documents!$E$2:$E$619,Documents!$A$2:$A$619,$A63,Documents!$C$2:$C$619,"brochure")=0,"",MAXIFS(Documents!$E$2:$E$619,Documents!$A$2:$A$619,$A63,Documents!$C$2:$C$619,"brochure")),"")</f>
        <v/>
      </c>
      <c r="S63">
        <f>IFERROR(IF(MAXIFS(Documents!$E$2:$E$619,Documents!$A$2:$A$619,$A63,Documents!$C$2:$C$619,"press_kit")=0,"",MAXIFS(Documents!$E$2:$E$619,Documents!$A$2:$A$619,$A63,Documents!$C$2:$C$619,"press_kit")),"")</f>
        <v/>
      </c>
      <c r="T63">
        <f>IFERROR(IF(MAXIFS(Documents!$E$2:$E$619,Documents!$A$2:$A$619,$A63,Documents!$C$2:$C$619,"other")=0,"",MAXIFS(Documents!$E$2:$E$619,Documents!$A$2:$A$619,$A63,Documents!$C$2:$C$619,"other")),"")</f>
        <v/>
      </c>
      <c r="U63">
        <f>IFERROR(IF(MAXIFS(Documents!$E$2:$E$619,Documents!$A$2:$A$619,$A63,Documents!$C$2:$C$619,"obsolete")=0,"",MAXIFS(Documents!$E$2:$E$619,Documents!$A$2:$A$619,$A63,Documents!$C$2:$C$619,"obsolete")),"")</f>
        <v/>
      </c>
      <c r="V63">
        <f>COUNTIFS(Documents!$A$2:$A$619,$A63)</f>
        <v/>
      </c>
      <c r="W63">
        <f>COUNTIFS(Documents!$A$2:$A$619,$A63,Documents!$R$2:$R$619,"current")</f>
        <v/>
      </c>
      <c r="X63">
        <f>HYPERLINK("https://www.neoscapesmaldives.com/wp-content/uploads/CCM-Factsheet.pdf","2021_CCM-Factsheet.pdf")</f>
        <v/>
      </c>
      <c r="Y63" t="inlineStr">
        <is>
          <t>wedding, events</t>
        </is>
      </c>
      <c r="Z63" t="inlineStr"/>
    </row>
    <row r="64">
      <c r="A64" t="n">
        <v>63</v>
      </c>
      <c r="B64" t="inlineStr">
        <is>
          <t>Hondaafushi Island Resort</t>
        </is>
      </c>
      <c r="C64" t="inlineStr">
        <is>
          <t>not crawled</t>
        </is>
      </c>
      <c r="D64">
        <f>IFERROR(IF(MAXIFS(Documents!$E$2:$E$619,Documents!$A$2:$A$619,$A64,Documents!$C$2:$C$619,"factsheet")=0,"",MAXIFS(Documents!$E$2:$E$619,Documents!$A$2:$A$619,$A64,Documents!$C$2:$C$619,"factsheet")),"")</f>
        <v/>
      </c>
      <c r="E64">
        <f>IFERROR(IF(MAXIFS(Documents!$E$2:$E$619,Documents!$A$2:$A$619,$A64,Documents!$C$2:$C$619,"wedding")=0,"",MAXIFS(Documents!$E$2:$E$619,Documents!$A$2:$A$619,$A64,Documents!$C$2:$C$619,"wedding")),"")</f>
        <v/>
      </c>
      <c r="F64">
        <f>IFERROR(IF(MAXIFS(Documents!$E$2:$E$619,Documents!$A$2:$A$619,$A64,Documents!$C$2:$C$619,"events")=0,"",MAXIFS(Documents!$E$2:$E$619,Documents!$A$2:$A$619,$A64,Documents!$C$2:$C$619,"events")),"")</f>
        <v/>
      </c>
      <c r="G64">
        <f>IFERROR(IF(MAXIFS(Documents!$E$2:$E$619,Documents!$A$2:$A$619,$A64,Documents!$C$2:$C$619,"map")=0,"",MAXIFS(Documents!$E$2:$E$619,Documents!$A$2:$A$619,$A64,Documents!$C$2:$C$619,"map")),"")</f>
        <v/>
      </c>
      <c r="H64">
        <f>IFERROR(IF(MAXIFS(Documents!$E$2:$E$619,Documents!$A$2:$A$619,$A64,Documents!$C$2:$C$619,"dive_map")=0,"",MAXIFS(Documents!$E$2:$E$619,Documents!$A$2:$A$619,$A64,Documents!$C$2:$C$619,"dive_map")),"")</f>
        <v/>
      </c>
      <c r="I64">
        <f>IFERROR(IF(MAXIFS(Documents!$E$2:$E$619,Documents!$A$2:$A$619,$A64,Documents!$C$2:$C$619,"spa_menu")=0,"",MAXIFS(Documents!$E$2:$E$619,Documents!$A$2:$A$619,$A64,Documents!$C$2:$C$619,"spa_menu")),"")</f>
        <v/>
      </c>
      <c r="J64">
        <f>IFERROR(IF(MAXIFS(Documents!$E$2:$E$619,Documents!$A$2:$A$619,$A64,Documents!$C$2:$C$619,"dining_menu")=0,"",MAXIFS(Documents!$E$2:$E$619,Documents!$A$2:$A$619,$A64,Documents!$C$2:$C$619,"dining_menu")),"")</f>
        <v/>
      </c>
      <c r="K64">
        <f>IFERROR(IF(MAXIFS(Documents!$E$2:$E$619,Documents!$A$2:$A$619,$A64,Documents!$C$2:$C$619,"dive_prices")=0,"",MAXIFS(Documents!$E$2:$E$619,Documents!$A$2:$A$619,$A64,Documents!$C$2:$C$619,"dive_prices")),"")</f>
        <v/>
      </c>
      <c r="L64">
        <f>IFERROR(IF(MAXIFS(Documents!$E$2:$E$619,Documents!$A$2:$A$619,$A64,Documents!$C$2:$C$619,"excursions")=0,"",MAXIFS(Documents!$E$2:$E$619,Documents!$A$2:$A$619,$A64,Documents!$C$2:$C$619,"excursions")),"")</f>
        <v/>
      </c>
      <c r="M64">
        <f>IFERROR(IF(MAXIFS(Documents!$E$2:$E$619,Documents!$A$2:$A$619,$A64,Documents!$C$2:$C$619,"kids")=0,"",MAXIFS(Documents!$E$2:$E$619,Documents!$A$2:$A$619,$A64,Documents!$C$2:$C$619,"kids")),"")</f>
        <v/>
      </c>
      <c r="N64">
        <f>IFERROR(IF(MAXIFS(Documents!$E$2:$E$619,Documents!$A$2:$A$619,$A64,Documents!$C$2:$C$619,"villa_plans")=0,"",MAXIFS(Documents!$E$2:$E$619,Documents!$A$2:$A$619,$A64,Documents!$C$2:$C$619,"villa_plans")),"")</f>
        <v/>
      </c>
      <c r="O64">
        <f>IFERROR(IF(MAXIFS(Documents!$E$2:$E$619,Documents!$A$2:$A$619,$A64,Documents!$C$2:$C$619,"all_inclusive")=0,"",MAXIFS(Documents!$E$2:$E$619,Documents!$A$2:$A$619,$A64,Documents!$C$2:$C$619,"all_inclusive")),"")</f>
        <v/>
      </c>
      <c r="P64">
        <f>IFERROR(IF(MAXIFS(Documents!$E$2:$E$619,Documents!$A$2:$A$619,$A64,Documents!$C$2:$C$619,"sustainability")=0,"",MAXIFS(Documents!$E$2:$E$619,Documents!$A$2:$A$619,$A64,Documents!$C$2:$C$619,"sustainability")),"")</f>
        <v/>
      </c>
      <c r="Q64">
        <f>IFERROR(IF(MAXIFS(Documents!$E$2:$E$619,Documents!$A$2:$A$619,$A64,Documents!$C$2:$C$619,"calendar")=0,"",MAXIFS(Documents!$E$2:$E$619,Documents!$A$2:$A$619,$A64,Documents!$C$2:$C$619,"calendar")),"")</f>
        <v/>
      </c>
      <c r="R64">
        <f>IFERROR(IF(MAXIFS(Documents!$E$2:$E$619,Documents!$A$2:$A$619,$A64,Documents!$C$2:$C$619,"brochure")=0,"",MAXIFS(Documents!$E$2:$E$619,Documents!$A$2:$A$619,$A64,Documents!$C$2:$C$619,"brochure")),"")</f>
        <v/>
      </c>
      <c r="S64">
        <f>IFERROR(IF(MAXIFS(Documents!$E$2:$E$619,Documents!$A$2:$A$619,$A64,Documents!$C$2:$C$619,"press_kit")=0,"",MAXIFS(Documents!$E$2:$E$619,Documents!$A$2:$A$619,$A64,Documents!$C$2:$C$619,"press_kit")),"")</f>
        <v/>
      </c>
      <c r="T64">
        <f>IFERROR(IF(MAXIFS(Documents!$E$2:$E$619,Documents!$A$2:$A$619,$A64,Documents!$C$2:$C$619,"other")=0,"",MAXIFS(Documents!$E$2:$E$619,Documents!$A$2:$A$619,$A64,Documents!$C$2:$C$619,"other")),"")</f>
        <v/>
      </c>
      <c r="U64">
        <f>IFERROR(IF(MAXIFS(Documents!$E$2:$E$619,Documents!$A$2:$A$619,$A64,Documents!$C$2:$C$619,"obsolete")=0,"",MAXIFS(Documents!$E$2:$E$619,Documents!$A$2:$A$619,$A64,Documents!$C$2:$C$619,"obsolete")),"")</f>
        <v/>
      </c>
      <c r="V64">
        <f>COUNTIFS(Documents!$A$2:$A$619,$A64)</f>
        <v/>
      </c>
      <c r="W64">
        <f>COUNTIFS(Documents!$A$2:$A$619,$A64,Documents!$R$2:$R$619,"current")</f>
        <v/>
      </c>
      <c r="X64" t="inlineStr"/>
      <c r="Y64" t="inlineStr">
        <is>
          <t>factsheet, wedding, events</t>
        </is>
      </c>
      <c r="Z64" t="inlineStr"/>
    </row>
    <row r="65">
      <c r="A65" t="n">
        <v>64</v>
      </c>
      <c r="B65" t="inlineStr">
        <is>
          <t>Radisson Blu Resort Maldives</t>
        </is>
      </c>
      <c r="C65" t="inlineStr">
        <is>
          <t>not crawled</t>
        </is>
      </c>
      <c r="D65">
        <f>IFERROR(IF(MAXIFS(Documents!$E$2:$E$619,Documents!$A$2:$A$619,$A65,Documents!$C$2:$C$619,"factsheet")=0,"",MAXIFS(Documents!$E$2:$E$619,Documents!$A$2:$A$619,$A65,Documents!$C$2:$C$619,"factsheet")),"")</f>
        <v/>
      </c>
      <c r="E65">
        <f>IFERROR(IF(MAXIFS(Documents!$E$2:$E$619,Documents!$A$2:$A$619,$A65,Documents!$C$2:$C$619,"wedding")=0,"",MAXIFS(Documents!$E$2:$E$619,Documents!$A$2:$A$619,$A65,Documents!$C$2:$C$619,"wedding")),"")</f>
        <v/>
      </c>
      <c r="F65">
        <f>IFERROR(IF(MAXIFS(Documents!$E$2:$E$619,Documents!$A$2:$A$619,$A65,Documents!$C$2:$C$619,"events")=0,"",MAXIFS(Documents!$E$2:$E$619,Documents!$A$2:$A$619,$A65,Documents!$C$2:$C$619,"events")),"")</f>
        <v/>
      </c>
      <c r="G65">
        <f>IFERROR(IF(MAXIFS(Documents!$E$2:$E$619,Documents!$A$2:$A$619,$A65,Documents!$C$2:$C$619,"map")=0,"",MAXIFS(Documents!$E$2:$E$619,Documents!$A$2:$A$619,$A65,Documents!$C$2:$C$619,"map")),"")</f>
        <v/>
      </c>
      <c r="H65">
        <f>IFERROR(IF(MAXIFS(Documents!$E$2:$E$619,Documents!$A$2:$A$619,$A65,Documents!$C$2:$C$619,"dive_map")=0,"",MAXIFS(Documents!$E$2:$E$619,Documents!$A$2:$A$619,$A65,Documents!$C$2:$C$619,"dive_map")),"")</f>
        <v/>
      </c>
      <c r="I65">
        <f>IFERROR(IF(MAXIFS(Documents!$E$2:$E$619,Documents!$A$2:$A$619,$A65,Documents!$C$2:$C$619,"spa_menu")=0,"",MAXIFS(Documents!$E$2:$E$619,Documents!$A$2:$A$619,$A65,Documents!$C$2:$C$619,"spa_menu")),"")</f>
        <v/>
      </c>
      <c r="J65">
        <f>IFERROR(IF(MAXIFS(Documents!$E$2:$E$619,Documents!$A$2:$A$619,$A65,Documents!$C$2:$C$619,"dining_menu")=0,"",MAXIFS(Documents!$E$2:$E$619,Documents!$A$2:$A$619,$A65,Documents!$C$2:$C$619,"dining_menu")),"")</f>
        <v/>
      </c>
      <c r="K65">
        <f>IFERROR(IF(MAXIFS(Documents!$E$2:$E$619,Documents!$A$2:$A$619,$A65,Documents!$C$2:$C$619,"dive_prices")=0,"",MAXIFS(Documents!$E$2:$E$619,Documents!$A$2:$A$619,$A65,Documents!$C$2:$C$619,"dive_prices")),"")</f>
        <v/>
      </c>
      <c r="L65">
        <f>IFERROR(IF(MAXIFS(Documents!$E$2:$E$619,Documents!$A$2:$A$619,$A65,Documents!$C$2:$C$619,"excursions")=0,"",MAXIFS(Documents!$E$2:$E$619,Documents!$A$2:$A$619,$A65,Documents!$C$2:$C$619,"excursions")),"")</f>
        <v/>
      </c>
      <c r="M65">
        <f>IFERROR(IF(MAXIFS(Documents!$E$2:$E$619,Documents!$A$2:$A$619,$A65,Documents!$C$2:$C$619,"kids")=0,"",MAXIFS(Documents!$E$2:$E$619,Documents!$A$2:$A$619,$A65,Documents!$C$2:$C$619,"kids")),"")</f>
        <v/>
      </c>
      <c r="N65">
        <f>IFERROR(IF(MAXIFS(Documents!$E$2:$E$619,Documents!$A$2:$A$619,$A65,Documents!$C$2:$C$619,"villa_plans")=0,"",MAXIFS(Documents!$E$2:$E$619,Documents!$A$2:$A$619,$A65,Documents!$C$2:$C$619,"villa_plans")),"")</f>
        <v/>
      </c>
      <c r="O65">
        <f>IFERROR(IF(MAXIFS(Documents!$E$2:$E$619,Documents!$A$2:$A$619,$A65,Documents!$C$2:$C$619,"all_inclusive")=0,"",MAXIFS(Documents!$E$2:$E$619,Documents!$A$2:$A$619,$A65,Documents!$C$2:$C$619,"all_inclusive")),"")</f>
        <v/>
      </c>
      <c r="P65">
        <f>IFERROR(IF(MAXIFS(Documents!$E$2:$E$619,Documents!$A$2:$A$619,$A65,Documents!$C$2:$C$619,"sustainability")=0,"",MAXIFS(Documents!$E$2:$E$619,Documents!$A$2:$A$619,$A65,Documents!$C$2:$C$619,"sustainability")),"")</f>
        <v/>
      </c>
      <c r="Q65">
        <f>IFERROR(IF(MAXIFS(Documents!$E$2:$E$619,Documents!$A$2:$A$619,$A65,Documents!$C$2:$C$619,"calendar")=0,"",MAXIFS(Documents!$E$2:$E$619,Documents!$A$2:$A$619,$A65,Documents!$C$2:$C$619,"calendar")),"")</f>
        <v/>
      </c>
      <c r="R65">
        <f>IFERROR(IF(MAXIFS(Documents!$E$2:$E$619,Documents!$A$2:$A$619,$A65,Documents!$C$2:$C$619,"brochure")=0,"",MAXIFS(Documents!$E$2:$E$619,Documents!$A$2:$A$619,$A65,Documents!$C$2:$C$619,"brochure")),"")</f>
        <v/>
      </c>
      <c r="S65">
        <f>IFERROR(IF(MAXIFS(Documents!$E$2:$E$619,Documents!$A$2:$A$619,$A65,Documents!$C$2:$C$619,"press_kit")=0,"",MAXIFS(Documents!$E$2:$E$619,Documents!$A$2:$A$619,$A65,Documents!$C$2:$C$619,"press_kit")),"")</f>
        <v/>
      </c>
      <c r="T65">
        <f>IFERROR(IF(MAXIFS(Documents!$E$2:$E$619,Documents!$A$2:$A$619,$A65,Documents!$C$2:$C$619,"other")=0,"",MAXIFS(Documents!$E$2:$E$619,Documents!$A$2:$A$619,$A65,Documents!$C$2:$C$619,"other")),"")</f>
        <v/>
      </c>
      <c r="U65">
        <f>IFERROR(IF(MAXIFS(Documents!$E$2:$E$619,Documents!$A$2:$A$619,$A65,Documents!$C$2:$C$619,"obsolete")=0,"",MAXIFS(Documents!$E$2:$E$619,Documents!$A$2:$A$619,$A65,Documents!$C$2:$C$619,"obsolete")),"")</f>
        <v/>
      </c>
      <c r="V65">
        <f>COUNTIFS(Documents!$A$2:$A$619,$A65)</f>
        <v/>
      </c>
      <c r="W65">
        <f>COUNTIFS(Documents!$A$2:$A$619,$A65,Documents!$R$2:$R$619,"current")</f>
        <v/>
      </c>
      <c r="X65" t="inlineStr"/>
      <c r="Y65" t="inlineStr">
        <is>
          <t>factsheet, wedding, events</t>
        </is>
      </c>
      <c r="Z65" t="inlineStr"/>
    </row>
    <row r="66">
      <c r="A66" t="n">
        <v>65</v>
      </c>
      <c r="B66" t="inlineStr">
        <is>
          <t>Cheval Blanc Randheli</t>
        </is>
      </c>
      <c r="C66" t="inlineStr">
        <is>
          <t>not crawled</t>
        </is>
      </c>
      <c r="D66">
        <f>IFERROR(IF(MAXIFS(Documents!$E$2:$E$619,Documents!$A$2:$A$619,$A66,Documents!$C$2:$C$619,"factsheet")=0,"",MAXIFS(Documents!$E$2:$E$619,Documents!$A$2:$A$619,$A66,Documents!$C$2:$C$619,"factsheet")),"")</f>
        <v/>
      </c>
      <c r="E66">
        <f>IFERROR(IF(MAXIFS(Documents!$E$2:$E$619,Documents!$A$2:$A$619,$A66,Documents!$C$2:$C$619,"wedding")=0,"",MAXIFS(Documents!$E$2:$E$619,Documents!$A$2:$A$619,$A66,Documents!$C$2:$C$619,"wedding")),"")</f>
        <v/>
      </c>
      <c r="F66">
        <f>IFERROR(IF(MAXIFS(Documents!$E$2:$E$619,Documents!$A$2:$A$619,$A66,Documents!$C$2:$C$619,"events")=0,"",MAXIFS(Documents!$E$2:$E$619,Documents!$A$2:$A$619,$A66,Documents!$C$2:$C$619,"events")),"")</f>
        <v/>
      </c>
      <c r="G66">
        <f>IFERROR(IF(MAXIFS(Documents!$E$2:$E$619,Documents!$A$2:$A$619,$A66,Documents!$C$2:$C$619,"map")=0,"",MAXIFS(Documents!$E$2:$E$619,Documents!$A$2:$A$619,$A66,Documents!$C$2:$C$619,"map")),"")</f>
        <v/>
      </c>
      <c r="H66">
        <f>IFERROR(IF(MAXIFS(Documents!$E$2:$E$619,Documents!$A$2:$A$619,$A66,Documents!$C$2:$C$619,"dive_map")=0,"",MAXIFS(Documents!$E$2:$E$619,Documents!$A$2:$A$619,$A66,Documents!$C$2:$C$619,"dive_map")),"")</f>
        <v/>
      </c>
      <c r="I66">
        <f>IFERROR(IF(MAXIFS(Documents!$E$2:$E$619,Documents!$A$2:$A$619,$A66,Documents!$C$2:$C$619,"spa_menu")=0,"",MAXIFS(Documents!$E$2:$E$619,Documents!$A$2:$A$619,$A66,Documents!$C$2:$C$619,"spa_menu")),"")</f>
        <v/>
      </c>
      <c r="J66">
        <f>IFERROR(IF(MAXIFS(Documents!$E$2:$E$619,Documents!$A$2:$A$619,$A66,Documents!$C$2:$C$619,"dining_menu")=0,"",MAXIFS(Documents!$E$2:$E$619,Documents!$A$2:$A$619,$A66,Documents!$C$2:$C$619,"dining_menu")),"")</f>
        <v/>
      </c>
      <c r="K66">
        <f>IFERROR(IF(MAXIFS(Documents!$E$2:$E$619,Documents!$A$2:$A$619,$A66,Documents!$C$2:$C$619,"dive_prices")=0,"",MAXIFS(Documents!$E$2:$E$619,Documents!$A$2:$A$619,$A66,Documents!$C$2:$C$619,"dive_prices")),"")</f>
        <v/>
      </c>
      <c r="L66">
        <f>IFERROR(IF(MAXIFS(Documents!$E$2:$E$619,Documents!$A$2:$A$619,$A66,Documents!$C$2:$C$619,"excursions")=0,"",MAXIFS(Documents!$E$2:$E$619,Documents!$A$2:$A$619,$A66,Documents!$C$2:$C$619,"excursions")),"")</f>
        <v/>
      </c>
      <c r="M66">
        <f>IFERROR(IF(MAXIFS(Documents!$E$2:$E$619,Documents!$A$2:$A$619,$A66,Documents!$C$2:$C$619,"kids")=0,"",MAXIFS(Documents!$E$2:$E$619,Documents!$A$2:$A$619,$A66,Documents!$C$2:$C$619,"kids")),"")</f>
        <v/>
      </c>
      <c r="N66">
        <f>IFERROR(IF(MAXIFS(Documents!$E$2:$E$619,Documents!$A$2:$A$619,$A66,Documents!$C$2:$C$619,"villa_plans")=0,"",MAXIFS(Documents!$E$2:$E$619,Documents!$A$2:$A$619,$A66,Documents!$C$2:$C$619,"villa_plans")),"")</f>
        <v/>
      </c>
      <c r="O66">
        <f>IFERROR(IF(MAXIFS(Documents!$E$2:$E$619,Documents!$A$2:$A$619,$A66,Documents!$C$2:$C$619,"all_inclusive")=0,"",MAXIFS(Documents!$E$2:$E$619,Documents!$A$2:$A$619,$A66,Documents!$C$2:$C$619,"all_inclusive")),"")</f>
        <v/>
      </c>
      <c r="P66">
        <f>IFERROR(IF(MAXIFS(Documents!$E$2:$E$619,Documents!$A$2:$A$619,$A66,Documents!$C$2:$C$619,"sustainability")=0,"",MAXIFS(Documents!$E$2:$E$619,Documents!$A$2:$A$619,$A66,Documents!$C$2:$C$619,"sustainability")),"")</f>
        <v/>
      </c>
      <c r="Q66">
        <f>IFERROR(IF(MAXIFS(Documents!$E$2:$E$619,Documents!$A$2:$A$619,$A66,Documents!$C$2:$C$619,"calendar")=0,"",MAXIFS(Documents!$E$2:$E$619,Documents!$A$2:$A$619,$A66,Documents!$C$2:$C$619,"calendar")),"")</f>
        <v/>
      </c>
      <c r="R66">
        <f>IFERROR(IF(MAXIFS(Documents!$E$2:$E$619,Documents!$A$2:$A$619,$A66,Documents!$C$2:$C$619,"brochure")=0,"",MAXIFS(Documents!$E$2:$E$619,Documents!$A$2:$A$619,$A66,Documents!$C$2:$C$619,"brochure")),"")</f>
        <v/>
      </c>
      <c r="S66">
        <f>IFERROR(IF(MAXIFS(Documents!$E$2:$E$619,Documents!$A$2:$A$619,$A66,Documents!$C$2:$C$619,"press_kit")=0,"",MAXIFS(Documents!$E$2:$E$619,Documents!$A$2:$A$619,$A66,Documents!$C$2:$C$619,"press_kit")),"")</f>
        <v/>
      </c>
      <c r="T66">
        <f>IFERROR(IF(MAXIFS(Documents!$E$2:$E$619,Documents!$A$2:$A$619,$A66,Documents!$C$2:$C$619,"other")=0,"",MAXIFS(Documents!$E$2:$E$619,Documents!$A$2:$A$619,$A66,Documents!$C$2:$C$619,"other")),"")</f>
        <v/>
      </c>
      <c r="U66">
        <f>IFERROR(IF(MAXIFS(Documents!$E$2:$E$619,Documents!$A$2:$A$619,$A66,Documents!$C$2:$C$619,"obsolete")=0,"",MAXIFS(Documents!$E$2:$E$619,Documents!$A$2:$A$619,$A66,Documents!$C$2:$C$619,"obsolete")),"")</f>
        <v/>
      </c>
      <c r="V66">
        <f>COUNTIFS(Documents!$A$2:$A$619,$A66)</f>
        <v/>
      </c>
      <c r="W66">
        <f>COUNTIFS(Documents!$A$2:$A$619,$A66,Documents!$R$2:$R$619,"current")</f>
        <v/>
      </c>
      <c r="X66">
        <f>HYPERLINK("https://www.neoscapesmaldives.com/wp-content/uploads/Cheval-Blanc-Randheli-Factsheet.pdf","2022_Cheval-Blanc-Randheli-Factsheet.pdf")</f>
        <v/>
      </c>
      <c r="Y66" t="inlineStr">
        <is>
          <t>wedding, events</t>
        </is>
      </c>
      <c r="Z66" t="inlineStr"/>
    </row>
    <row r="67">
      <c r="A67" t="n">
        <v>66</v>
      </c>
      <c r="B67" t="inlineStr">
        <is>
          <t>Como Maalifushi</t>
        </is>
      </c>
      <c r="C67" t="inlineStr">
        <is>
          <t>not crawled</t>
        </is>
      </c>
      <c r="D67">
        <f>IFERROR(IF(MAXIFS(Documents!$E$2:$E$619,Documents!$A$2:$A$619,$A67,Documents!$C$2:$C$619,"factsheet")=0,"",MAXIFS(Documents!$E$2:$E$619,Documents!$A$2:$A$619,$A67,Documents!$C$2:$C$619,"factsheet")),"")</f>
        <v/>
      </c>
      <c r="E67">
        <f>IFERROR(IF(MAXIFS(Documents!$E$2:$E$619,Documents!$A$2:$A$619,$A67,Documents!$C$2:$C$619,"wedding")=0,"",MAXIFS(Documents!$E$2:$E$619,Documents!$A$2:$A$619,$A67,Documents!$C$2:$C$619,"wedding")),"")</f>
        <v/>
      </c>
      <c r="F67">
        <f>IFERROR(IF(MAXIFS(Documents!$E$2:$E$619,Documents!$A$2:$A$619,$A67,Documents!$C$2:$C$619,"events")=0,"",MAXIFS(Documents!$E$2:$E$619,Documents!$A$2:$A$619,$A67,Documents!$C$2:$C$619,"events")),"")</f>
        <v/>
      </c>
      <c r="G67">
        <f>IFERROR(IF(MAXIFS(Documents!$E$2:$E$619,Documents!$A$2:$A$619,$A67,Documents!$C$2:$C$619,"map")=0,"",MAXIFS(Documents!$E$2:$E$619,Documents!$A$2:$A$619,$A67,Documents!$C$2:$C$619,"map")),"")</f>
        <v/>
      </c>
      <c r="H67">
        <f>IFERROR(IF(MAXIFS(Documents!$E$2:$E$619,Documents!$A$2:$A$619,$A67,Documents!$C$2:$C$619,"dive_map")=0,"",MAXIFS(Documents!$E$2:$E$619,Documents!$A$2:$A$619,$A67,Documents!$C$2:$C$619,"dive_map")),"")</f>
        <v/>
      </c>
      <c r="I67">
        <f>IFERROR(IF(MAXIFS(Documents!$E$2:$E$619,Documents!$A$2:$A$619,$A67,Documents!$C$2:$C$619,"spa_menu")=0,"",MAXIFS(Documents!$E$2:$E$619,Documents!$A$2:$A$619,$A67,Documents!$C$2:$C$619,"spa_menu")),"")</f>
        <v/>
      </c>
      <c r="J67">
        <f>IFERROR(IF(MAXIFS(Documents!$E$2:$E$619,Documents!$A$2:$A$619,$A67,Documents!$C$2:$C$619,"dining_menu")=0,"",MAXIFS(Documents!$E$2:$E$619,Documents!$A$2:$A$619,$A67,Documents!$C$2:$C$619,"dining_menu")),"")</f>
        <v/>
      </c>
      <c r="K67">
        <f>IFERROR(IF(MAXIFS(Documents!$E$2:$E$619,Documents!$A$2:$A$619,$A67,Documents!$C$2:$C$619,"dive_prices")=0,"",MAXIFS(Documents!$E$2:$E$619,Documents!$A$2:$A$619,$A67,Documents!$C$2:$C$619,"dive_prices")),"")</f>
        <v/>
      </c>
      <c r="L67">
        <f>IFERROR(IF(MAXIFS(Documents!$E$2:$E$619,Documents!$A$2:$A$619,$A67,Documents!$C$2:$C$619,"excursions")=0,"",MAXIFS(Documents!$E$2:$E$619,Documents!$A$2:$A$619,$A67,Documents!$C$2:$C$619,"excursions")),"")</f>
        <v/>
      </c>
      <c r="M67">
        <f>IFERROR(IF(MAXIFS(Documents!$E$2:$E$619,Documents!$A$2:$A$619,$A67,Documents!$C$2:$C$619,"kids")=0,"",MAXIFS(Documents!$E$2:$E$619,Documents!$A$2:$A$619,$A67,Documents!$C$2:$C$619,"kids")),"")</f>
        <v/>
      </c>
      <c r="N67">
        <f>IFERROR(IF(MAXIFS(Documents!$E$2:$E$619,Documents!$A$2:$A$619,$A67,Documents!$C$2:$C$619,"villa_plans")=0,"",MAXIFS(Documents!$E$2:$E$619,Documents!$A$2:$A$619,$A67,Documents!$C$2:$C$619,"villa_plans")),"")</f>
        <v/>
      </c>
      <c r="O67">
        <f>IFERROR(IF(MAXIFS(Documents!$E$2:$E$619,Documents!$A$2:$A$619,$A67,Documents!$C$2:$C$619,"all_inclusive")=0,"",MAXIFS(Documents!$E$2:$E$619,Documents!$A$2:$A$619,$A67,Documents!$C$2:$C$619,"all_inclusive")),"")</f>
        <v/>
      </c>
      <c r="P67">
        <f>IFERROR(IF(MAXIFS(Documents!$E$2:$E$619,Documents!$A$2:$A$619,$A67,Documents!$C$2:$C$619,"sustainability")=0,"",MAXIFS(Documents!$E$2:$E$619,Documents!$A$2:$A$619,$A67,Documents!$C$2:$C$619,"sustainability")),"")</f>
        <v/>
      </c>
      <c r="Q67">
        <f>IFERROR(IF(MAXIFS(Documents!$E$2:$E$619,Documents!$A$2:$A$619,$A67,Documents!$C$2:$C$619,"calendar")=0,"",MAXIFS(Documents!$E$2:$E$619,Documents!$A$2:$A$619,$A67,Documents!$C$2:$C$619,"calendar")),"")</f>
        <v/>
      </c>
      <c r="R67">
        <f>IFERROR(IF(MAXIFS(Documents!$E$2:$E$619,Documents!$A$2:$A$619,$A67,Documents!$C$2:$C$619,"brochure")=0,"",MAXIFS(Documents!$E$2:$E$619,Documents!$A$2:$A$619,$A67,Documents!$C$2:$C$619,"brochure")),"")</f>
        <v/>
      </c>
      <c r="S67">
        <f>IFERROR(IF(MAXIFS(Documents!$E$2:$E$619,Documents!$A$2:$A$619,$A67,Documents!$C$2:$C$619,"press_kit")=0,"",MAXIFS(Documents!$E$2:$E$619,Documents!$A$2:$A$619,$A67,Documents!$C$2:$C$619,"press_kit")),"")</f>
        <v/>
      </c>
      <c r="T67">
        <f>IFERROR(IF(MAXIFS(Documents!$E$2:$E$619,Documents!$A$2:$A$619,$A67,Documents!$C$2:$C$619,"other")=0,"",MAXIFS(Documents!$E$2:$E$619,Documents!$A$2:$A$619,$A67,Documents!$C$2:$C$619,"other")),"")</f>
        <v/>
      </c>
      <c r="U67">
        <f>IFERROR(IF(MAXIFS(Documents!$E$2:$E$619,Documents!$A$2:$A$619,$A67,Documents!$C$2:$C$619,"obsolete")=0,"",MAXIFS(Documents!$E$2:$E$619,Documents!$A$2:$A$619,$A67,Documents!$C$2:$C$619,"obsolete")),"")</f>
        <v/>
      </c>
      <c r="V67">
        <f>COUNTIFS(Documents!$A$2:$A$619,$A67)</f>
        <v/>
      </c>
      <c r="W67">
        <f>COUNTIFS(Documents!$A$2:$A$619,$A67,Documents!$R$2:$R$619,"current")</f>
        <v/>
      </c>
      <c r="X67">
        <f>HYPERLINK("https://neoscapesmaldives.com/wp-content/uploads/COMO-Maalifushi-Fact-Sheet.pdf","2019_COMO-Maalifushi-Fact-Sheet.pdf")</f>
        <v/>
      </c>
      <c r="Y67" t="inlineStr">
        <is>
          <t>wedding, events</t>
        </is>
      </c>
      <c r="Z67" t="inlineStr"/>
    </row>
    <row r="68">
      <c r="A68" t="n">
        <v>67</v>
      </c>
      <c r="B68" t="inlineStr">
        <is>
          <t>Waldorf Astoria Maldives Ithaafushi</t>
        </is>
      </c>
      <c r="C68" t="inlineStr">
        <is>
          <t>not crawled</t>
        </is>
      </c>
      <c r="D68">
        <f>IFERROR(IF(MAXIFS(Documents!$E$2:$E$619,Documents!$A$2:$A$619,$A68,Documents!$C$2:$C$619,"factsheet")=0,"",MAXIFS(Documents!$E$2:$E$619,Documents!$A$2:$A$619,$A68,Documents!$C$2:$C$619,"factsheet")),"")</f>
        <v/>
      </c>
      <c r="E68">
        <f>IFERROR(IF(MAXIFS(Documents!$E$2:$E$619,Documents!$A$2:$A$619,$A68,Documents!$C$2:$C$619,"wedding")=0,"",MAXIFS(Documents!$E$2:$E$619,Documents!$A$2:$A$619,$A68,Documents!$C$2:$C$619,"wedding")),"")</f>
        <v/>
      </c>
      <c r="F68">
        <f>IFERROR(IF(MAXIFS(Documents!$E$2:$E$619,Documents!$A$2:$A$619,$A68,Documents!$C$2:$C$619,"events")=0,"",MAXIFS(Documents!$E$2:$E$619,Documents!$A$2:$A$619,$A68,Documents!$C$2:$C$619,"events")),"")</f>
        <v/>
      </c>
      <c r="G68">
        <f>IFERROR(IF(MAXIFS(Documents!$E$2:$E$619,Documents!$A$2:$A$619,$A68,Documents!$C$2:$C$619,"map")=0,"",MAXIFS(Documents!$E$2:$E$619,Documents!$A$2:$A$619,$A68,Documents!$C$2:$C$619,"map")),"")</f>
        <v/>
      </c>
      <c r="H68">
        <f>IFERROR(IF(MAXIFS(Documents!$E$2:$E$619,Documents!$A$2:$A$619,$A68,Documents!$C$2:$C$619,"dive_map")=0,"",MAXIFS(Documents!$E$2:$E$619,Documents!$A$2:$A$619,$A68,Documents!$C$2:$C$619,"dive_map")),"")</f>
        <v/>
      </c>
      <c r="I68">
        <f>IFERROR(IF(MAXIFS(Documents!$E$2:$E$619,Documents!$A$2:$A$619,$A68,Documents!$C$2:$C$619,"spa_menu")=0,"",MAXIFS(Documents!$E$2:$E$619,Documents!$A$2:$A$619,$A68,Documents!$C$2:$C$619,"spa_menu")),"")</f>
        <v/>
      </c>
      <c r="J68">
        <f>IFERROR(IF(MAXIFS(Documents!$E$2:$E$619,Documents!$A$2:$A$619,$A68,Documents!$C$2:$C$619,"dining_menu")=0,"",MAXIFS(Documents!$E$2:$E$619,Documents!$A$2:$A$619,$A68,Documents!$C$2:$C$619,"dining_menu")),"")</f>
        <v/>
      </c>
      <c r="K68">
        <f>IFERROR(IF(MAXIFS(Documents!$E$2:$E$619,Documents!$A$2:$A$619,$A68,Documents!$C$2:$C$619,"dive_prices")=0,"",MAXIFS(Documents!$E$2:$E$619,Documents!$A$2:$A$619,$A68,Documents!$C$2:$C$619,"dive_prices")),"")</f>
        <v/>
      </c>
      <c r="L68">
        <f>IFERROR(IF(MAXIFS(Documents!$E$2:$E$619,Documents!$A$2:$A$619,$A68,Documents!$C$2:$C$619,"excursions")=0,"",MAXIFS(Documents!$E$2:$E$619,Documents!$A$2:$A$619,$A68,Documents!$C$2:$C$619,"excursions")),"")</f>
        <v/>
      </c>
      <c r="M68">
        <f>IFERROR(IF(MAXIFS(Documents!$E$2:$E$619,Documents!$A$2:$A$619,$A68,Documents!$C$2:$C$619,"kids")=0,"",MAXIFS(Documents!$E$2:$E$619,Documents!$A$2:$A$619,$A68,Documents!$C$2:$C$619,"kids")),"")</f>
        <v/>
      </c>
      <c r="N68">
        <f>IFERROR(IF(MAXIFS(Documents!$E$2:$E$619,Documents!$A$2:$A$619,$A68,Documents!$C$2:$C$619,"villa_plans")=0,"",MAXIFS(Documents!$E$2:$E$619,Documents!$A$2:$A$619,$A68,Documents!$C$2:$C$619,"villa_plans")),"")</f>
        <v/>
      </c>
      <c r="O68">
        <f>IFERROR(IF(MAXIFS(Documents!$E$2:$E$619,Documents!$A$2:$A$619,$A68,Documents!$C$2:$C$619,"all_inclusive")=0,"",MAXIFS(Documents!$E$2:$E$619,Documents!$A$2:$A$619,$A68,Documents!$C$2:$C$619,"all_inclusive")),"")</f>
        <v/>
      </c>
      <c r="P68">
        <f>IFERROR(IF(MAXIFS(Documents!$E$2:$E$619,Documents!$A$2:$A$619,$A68,Documents!$C$2:$C$619,"sustainability")=0,"",MAXIFS(Documents!$E$2:$E$619,Documents!$A$2:$A$619,$A68,Documents!$C$2:$C$619,"sustainability")),"")</f>
        <v/>
      </c>
      <c r="Q68">
        <f>IFERROR(IF(MAXIFS(Documents!$E$2:$E$619,Documents!$A$2:$A$619,$A68,Documents!$C$2:$C$619,"calendar")=0,"",MAXIFS(Documents!$E$2:$E$619,Documents!$A$2:$A$619,$A68,Documents!$C$2:$C$619,"calendar")),"")</f>
        <v/>
      </c>
      <c r="R68">
        <f>IFERROR(IF(MAXIFS(Documents!$E$2:$E$619,Documents!$A$2:$A$619,$A68,Documents!$C$2:$C$619,"brochure")=0,"",MAXIFS(Documents!$E$2:$E$619,Documents!$A$2:$A$619,$A68,Documents!$C$2:$C$619,"brochure")),"")</f>
        <v/>
      </c>
      <c r="S68">
        <f>IFERROR(IF(MAXIFS(Documents!$E$2:$E$619,Documents!$A$2:$A$619,$A68,Documents!$C$2:$C$619,"press_kit")=0,"",MAXIFS(Documents!$E$2:$E$619,Documents!$A$2:$A$619,$A68,Documents!$C$2:$C$619,"press_kit")),"")</f>
        <v/>
      </c>
      <c r="T68">
        <f>IFERROR(IF(MAXIFS(Documents!$E$2:$E$619,Documents!$A$2:$A$619,$A68,Documents!$C$2:$C$619,"other")=0,"",MAXIFS(Documents!$E$2:$E$619,Documents!$A$2:$A$619,$A68,Documents!$C$2:$C$619,"other")),"")</f>
        <v/>
      </c>
      <c r="U68">
        <f>IFERROR(IF(MAXIFS(Documents!$E$2:$E$619,Documents!$A$2:$A$619,$A68,Documents!$C$2:$C$619,"obsolete")=0,"",MAXIFS(Documents!$E$2:$E$619,Documents!$A$2:$A$619,$A68,Documents!$C$2:$C$619,"obsolete")),"")</f>
        <v/>
      </c>
      <c r="V68">
        <f>COUNTIFS(Documents!$A$2:$A$619,$A68)</f>
        <v/>
      </c>
      <c r="W68">
        <f>COUNTIFS(Documents!$A$2:$A$619,$A68,Documents!$R$2:$R$619,"current")</f>
        <v/>
      </c>
      <c r="X68">
        <f>HYPERLINK("https://www.neoscapesmaldives.com/wp-content/uploads/Fact-Sheet.pdf","2025_Fact-Sheet.pdf")</f>
        <v/>
      </c>
      <c r="Y68" t="inlineStr">
        <is>
          <t>wedding, events</t>
        </is>
      </c>
      <c r="Z68" t="inlineStr"/>
    </row>
    <row r="69">
      <c r="A69" t="n">
        <v>68</v>
      </c>
      <c r="B69" t="inlineStr">
        <is>
          <t>JA Manafaru</t>
        </is>
      </c>
      <c r="C69" t="inlineStr">
        <is>
          <t>not crawled</t>
        </is>
      </c>
      <c r="D69">
        <f>IFERROR(IF(MAXIFS(Documents!$E$2:$E$619,Documents!$A$2:$A$619,$A69,Documents!$C$2:$C$619,"factsheet")=0,"",MAXIFS(Documents!$E$2:$E$619,Documents!$A$2:$A$619,$A69,Documents!$C$2:$C$619,"factsheet")),"")</f>
        <v/>
      </c>
      <c r="E69">
        <f>IFERROR(IF(MAXIFS(Documents!$E$2:$E$619,Documents!$A$2:$A$619,$A69,Documents!$C$2:$C$619,"wedding")=0,"",MAXIFS(Documents!$E$2:$E$619,Documents!$A$2:$A$619,$A69,Documents!$C$2:$C$619,"wedding")),"")</f>
        <v/>
      </c>
      <c r="F69">
        <f>IFERROR(IF(MAXIFS(Documents!$E$2:$E$619,Documents!$A$2:$A$619,$A69,Documents!$C$2:$C$619,"events")=0,"",MAXIFS(Documents!$E$2:$E$619,Documents!$A$2:$A$619,$A69,Documents!$C$2:$C$619,"events")),"")</f>
        <v/>
      </c>
      <c r="G69">
        <f>IFERROR(IF(MAXIFS(Documents!$E$2:$E$619,Documents!$A$2:$A$619,$A69,Documents!$C$2:$C$619,"map")=0,"",MAXIFS(Documents!$E$2:$E$619,Documents!$A$2:$A$619,$A69,Documents!$C$2:$C$619,"map")),"")</f>
        <v/>
      </c>
      <c r="H69">
        <f>IFERROR(IF(MAXIFS(Documents!$E$2:$E$619,Documents!$A$2:$A$619,$A69,Documents!$C$2:$C$619,"dive_map")=0,"",MAXIFS(Documents!$E$2:$E$619,Documents!$A$2:$A$619,$A69,Documents!$C$2:$C$619,"dive_map")),"")</f>
        <v/>
      </c>
      <c r="I69">
        <f>IFERROR(IF(MAXIFS(Documents!$E$2:$E$619,Documents!$A$2:$A$619,$A69,Documents!$C$2:$C$619,"spa_menu")=0,"",MAXIFS(Documents!$E$2:$E$619,Documents!$A$2:$A$619,$A69,Documents!$C$2:$C$619,"spa_menu")),"")</f>
        <v/>
      </c>
      <c r="J69">
        <f>IFERROR(IF(MAXIFS(Documents!$E$2:$E$619,Documents!$A$2:$A$619,$A69,Documents!$C$2:$C$619,"dining_menu")=0,"",MAXIFS(Documents!$E$2:$E$619,Documents!$A$2:$A$619,$A69,Documents!$C$2:$C$619,"dining_menu")),"")</f>
        <v/>
      </c>
      <c r="K69">
        <f>IFERROR(IF(MAXIFS(Documents!$E$2:$E$619,Documents!$A$2:$A$619,$A69,Documents!$C$2:$C$619,"dive_prices")=0,"",MAXIFS(Documents!$E$2:$E$619,Documents!$A$2:$A$619,$A69,Documents!$C$2:$C$619,"dive_prices")),"")</f>
        <v/>
      </c>
      <c r="L69">
        <f>IFERROR(IF(MAXIFS(Documents!$E$2:$E$619,Documents!$A$2:$A$619,$A69,Documents!$C$2:$C$619,"excursions")=0,"",MAXIFS(Documents!$E$2:$E$619,Documents!$A$2:$A$619,$A69,Documents!$C$2:$C$619,"excursions")),"")</f>
        <v/>
      </c>
      <c r="M69">
        <f>IFERROR(IF(MAXIFS(Documents!$E$2:$E$619,Documents!$A$2:$A$619,$A69,Documents!$C$2:$C$619,"kids")=0,"",MAXIFS(Documents!$E$2:$E$619,Documents!$A$2:$A$619,$A69,Documents!$C$2:$C$619,"kids")),"")</f>
        <v/>
      </c>
      <c r="N69">
        <f>IFERROR(IF(MAXIFS(Documents!$E$2:$E$619,Documents!$A$2:$A$619,$A69,Documents!$C$2:$C$619,"villa_plans")=0,"",MAXIFS(Documents!$E$2:$E$619,Documents!$A$2:$A$619,$A69,Documents!$C$2:$C$619,"villa_plans")),"")</f>
        <v/>
      </c>
      <c r="O69">
        <f>IFERROR(IF(MAXIFS(Documents!$E$2:$E$619,Documents!$A$2:$A$619,$A69,Documents!$C$2:$C$619,"all_inclusive")=0,"",MAXIFS(Documents!$E$2:$E$619,Documents!$A$2:$A$619,$A69,Documents!$C$2:$C$619,"all_inclusive")),"")</f>
        <v/>
      </c>
      <c r="P69">
        <f>IFERROR(IF(MAXIFS(Documents!$E$2:$E$619,Documents!$A$2:$A$619,$A69,Documents!$C$2:$C$619,"sustainability")=0,"",MAXIFS(Documents!$E$2:$E$619,Documents!$A$2:$A$619,$A69,Documents!$C$2:$C$619,"sustainability")),"")</f>
        <v/>
      </c>
      <c r="Q69">
        <f>IFERROR(IF(MAXIFS(Documents!$E$2:$E$619,Documents!$A$2:$A$619,$A69,Documents!$C$2:$C$619,"calendar")=0,"",MAXIFS(Documents!$E$2:$E$619,Documents!$A$2:$A$619,$A69,Documents!$C$2:$C$619,"calendar")),"")</f>
        <v/>
      </c>
      <c r="R69">
        <f>IFERROR(IF(MAXIFS(Documents!$E$2:$E$619,Documents!$A$2:$A$619,$A69,Documents!$C$2:$C$619,"brochure")=0,"",MAXIFS(Documents!$E$2:$E$619,Documents!$A$2:$A$619,$A69,Documents!$C$2:$C$619,"brochure")),"")</f>
        <v/>
      </c>
      <c r="S69">
        <f>IFERROR(IF(MAXIFS(Documents!$E$2:$E$619,Documents!$A$2:$A$619,$A69,Documents!$C$2:$C$619,"press_kit")=0,"",MAXIFS(Documents!$E$2:$E$619,Documents!$A$2:$A$619,$A69,Documents!$C$2:$C$619,"press_kit")),"")</f>
        <v/>
      </c>
      <c r="T69">
        <f>IFERROR(IF(MAXIFS(Documents!$E$2:$E$619,Documents!$A$2:$A$619,$A69,Documents!$C$2:$C$619,"other")=0,"",MAXIFS(Documents!$E$2:$E$619,Documents!$A$2:$A$619,$A69,Documents!$C$2:$C$619,"other")),"")</f>
        <v/>
      </c>
      <c r="U69">
        <f>IFERROR(IF(MAXIFS(Documents!$E$2:$E$619,Documents!$A$2:$A$619,$A69,Documents!$C$2:$C$619,"obsolete")=0,"",MAXIFS(Documents!$E$2:$E$619,Documents!$A$2:$A$619,$A69,Documents!$C$2:$C$619,"obsolete")),"")</f>
        <v/>
      </c>
      <c r="V69">
        <f>COUNTIFS(Documents!$A$2:$A$619,$A69)</f>
        <v/>
      </c>
      <c r="W69">
        <f>COUNTIFS(Documents!$A$2:$A$619,$A69,Documents!$R$2:$R$619,"current")</f>
        <v/>
      </c>
      <c r="X69">
        <f>HYPERLINK("https://www.neoscapesmaldives.com/wp-content/uploads/ja-jam-factsheet-digital.pdf","2024_ja-jam-factsheet-digital.pdf")</f>
        <v/>
      </c>
      <c r="Y69" t="inlineStr">
        <is>
          <t>wedding, events</t>
        </is>
      </c>
      <c r="Z69" t="inlineStr"/>
    </row>
    <row r="70">
      <c r="A70" t="n">
        <v>69</v>
      </c>
      <c r="B70" t="inlineStr">
        <is>
          <t>Adaaran Club Rannalhi</t>
        </is>
      </c>
      <c r="C70" t="inlineStr">
        <is>
          <t>not crawled</t>
        </is>
      </c>
      <c r="D70">
        <f>IFERROR(IF(MAXIFS(Documents!$E$2:$E$619,Documents!$A$2:$A$619,$A70,Documents!$C$2:$C$619,"factsheet")=0,"",MAXIFS(Documents!$E$2:$E$619,Documents!$A$2:$A$619,$A70,Documents!$C$2:$C$619,"factsheet")),"")</f>
        <v/>
      </c>
      <c r="E70">
        <f>IFERROR(IF(MAXIFS(Documents!$E$2:$E$619,Documents!$A$2:$A$619,$A70,Documents!$C$2:$C$619,"wedding")=0,"",MAXIFS(Documents!$E$2:$E$619,Documents!$A$2:$A$619,$A70,Documents!$C$2:$C$619,"wedding")),"")</f>
        <v/>
      </c>
      <c r="F70">
        <f>IFERROR(IF(MAXIFS(Documents!$E$2:$E$619,Documents!$A$2:$A$619,$A70,Documents!$C$2:$C$619,"events")=0,"",MAXIFS(Documents!$E$2:$E$619,Documents!$A$2:$A$619,$A70,Documents!$C$2:$C$619,"events")),"")</f>
        <v/>
      </c>
      <c r="G70">
        <f>IFERROR(IF(MAXIFS(Documents!$E$2:$E$619,Documents!$A$2:$A$619,$A70,Documents!$C$2:$C$619,"map")=0,"",MAXIFS(Documents!$E$2:$E$619,Documents!$A$2:$A$619,$A70,Documents!$C$2:$C$619,"map")),"")</f>
        <v/>
      </c>
      <c r="H70">
        <f>IFERROR(IF(MAXIFS(Documents!$E$2:$E$619,Documents!$A$2:$A$619,$A70,Documents!$C$2:$C$619,"dive_map")=0,"",MAXIFS(Documents!$E$2:$E$619,Documents!$A$2:$A$619,$A70,Documents!$C$2:$C$619,"dive_map")),"")</f>
        <v/>
      </c>
      <c r="I70">
        <f>IFERROR(IF(MAXIFS(Documents!$E$2:$E$619,Documents!$A$2:$A$619,$A70,Documents!$C$2:$C$619,"spa_menu")=0,"",MAXIFS(Documents!$E$2:$E$619,Documents!$A$2:$A$619,$A70,Documents!$C$2:$C$619,"spa_menu")),"")</f>
        <v/>
      </c>
      <c r="J70">
        <f>IFERROR(IF(MAXIFS(Documents!$E$2:$E$619,Documents!$A$2:$A$619,$A70,Documents!$C$2:$C$619,"dining_menu")=0,"",MAXIFS(Documents!$E$2:$E$619,Documents!$A$2:$A$619,$A70,Documents!$C$2:$C$619,"dining_menu")),"")</f>
        <v/>
      </c>
      <c r="K70">
        <f>IFERROR(IF(MAXIFS(Documents!$E$2:$E$619,Documents!$A$2:$A$619,$A70,Documents!$C$2:$C$619,"dive_prices")=0,"",MAXIFS(Documents!$E$2:$E$619,Documents!$A$2:$A$619,$A70,Documents!$C$2:$C$619,"dive_prices")),"")</f>
        <v/>
      </c>
      <c r="L70">
        <f>IFERROR(IF(MAXIFS(Documents!$E$2:$E$619,Documents!$A$2:$A$619,$A70,Documents!$C$2:$C$619,"excursions")=0,"",MAXIFS(Documents!$E$2:$E$619,Documents!$A$2:$A$619,$A70,Documents!$C$2:$C$619,"excursions")),"")</f>
        <v/>
      </c>
      <c r="M70">
        <f>IFERROR(IF(MAXIFS(Documents!$E$2:$E$619,Documents!$A$2:$A$619,$A70,Documents!$C$2:$C$619,"kids")=0,"",MAXIFS(Documents!$E$2:$E$619,Documents!$A$2:$A$619,$A70,Documents!$C$2:$C$619,"kids")),"")</f>
        <v/>
      </c>
      <c r="N70">
        <f>IFERROR(IF(MAXIFS(Documents!$E$2:$E$619,Documents!$A$2:$A$619,$A70,Documents!$C$2:$C$619,"villa_plans")=0,"",MAXIFS(Documents!$E$2:$E$619,Documents!$A$2:$A$619,$A70,Documents!$C$2:$C$619,"villa_plans")),"")</f>
        <v/>
      </c>
      <c r="O70">
        <f>IFERROR(IF(MAXIFS(Documents!$E$2:$E$619,Documents!$A$2:$A$619,$A70,Documents!$C$2:$C$619,"all_inclusive")=0,"",MAXIFS(Documents!$E$2:$E$619,Documents!$A$2:$A$619,$A70,Documents!$C$2:$C$619,"all_inclusive")),"")</f>
        <v/>
      </c>
      <c r="P70">
        <f>IFERROR(IF(MAXIFS(Documents!$E$2:$E$619,Documents!$A$2:$A$619,$A70,Documents!$C$2:$C$619,"sustainability")=0,"",MAXIFS(Documents!$E$2:$E$619,Documents!$A$2:$A$619,$A70,Documents!$C$2:$C$619,"sustainability")),"")</f>
        <v/>
      </c>
      <c r="Q70">
        <f>IFERROR(IF(MAXIFS(Documents!$E$2:$E$619,Documents!$A$2:$A$619,$A70,Documents!$C$2:$C$619,"calendar")=0,"",MAXIFS(Documents!$E$2:$E$619,Documents!$A$2:$A$619,$A70,Documents!$C$2:$C$619,"calendar")),"")</f>
        <v/>
      </c>
      <c r="R70">
        <f>IFERROR(IF(MAXIFS(Documents!$E$2:$E$619,Documents!$A$2:$A$619,$A70,Documents!$C$2:$C$619,"brochure")=0,"",MAXIFS(Documents!$E$2:$E$619,Documents!$A$2:$A$619,$A70,Documents!$C$2:$C$619,"brochure")),"")</f>
        <v/>
      </c>
      <c r="S70">
        <f>IFERROR(IF(MAXIFS(Documents!$E$2:$E$619,Documents!$A$2:$A$619,$A70,Documents!$C$2:$C$619,"press_kit")=0,"",MAXIFS(Documents!$E$2:$E$619,Documents!$A$2:$A$619,$A70,Documents!$C$2:$C$619,"press_kit")),"")</f>
        <v/>
      </c>
      <c r="T70">
        <f>IFERROR(IF(MAXIFS(Documents!$E$2:$E$619,Documents!$A$2:$A$619,$A70,Documents!$C$2:$C$619,"other")=0,"",MAXIFS(Documents!$E$2:$E$619,Documents!$A$2:$A$619,$A70,Documents!$C$2:$C$619,"other")),"")</f>
        <v/>
      </c>
      <c r="U70">
        <f>IFERROR(IF(MAXIFS(Documents!$E$2:$E$619,Documents!$A$2:$A$619,$A70,Documents!$C$2:$C$619,"obsolete")=0,"",MAXIFS(Documents!$E$2:$E$619,Documents!$A$2:$A$619,$A70,Documents!$C$2:$C$619,"obsolete")),"")</f>
        <v/>
      </c>
      <c r="V70">
        <f>COUNTIFS(Documents!$A$2:$A$619,$A70)</f>
        <v/>
      </c>
      <c r="W70">
        <f>COUNTIFS(Documents!$A$2:$A$619,$A70,Documents!$R$2:$R$619,"current")</f>
        <v/>
      </c>
      <c r="X70">
        <f>HYPERLINK("https://www.neoscapesmaldives.com/wp-content/uploads/Fact-Sheet-Adaaran-Club-Rannalhi.pdf","2025_Fact-Sheet-Adaaran-Club-Rannalhi.pd")</f>
        <v/>
      </c>
      <c r="Y70" t="inlineStr">
        <is>
          <t>wedding, events</t>
        </is>
      </c>
      <c r="Z70" t="inlineStr"/>
    </row>
    <row r="71">
      <c r="A71" t="n">
        <v>70</v>
      </c>
      <c r="B71" t="inlineStr">
        <is>
          <t>Joy Island</t>
        </is>
      </c>
      <c r="C71" t="inlineStr">
        <is>
          <t>not crawled</t>
        </is>
      </c>
      <c r="D71">
        <f>IFERROR(IF(MAXIFS(Documents!$E$2:$E$619,Documents!$A$2:$A$619,$A71,Documents!$C$2:$C$619,"factsheet")=0,"",MAXIFS(Documents!$E$2:$E$619,Documents!$A$2:$A$619,$A71,Documents!$C$2:$C$619,"factsheet")),"")</f>
        <v/>
      </c>
      <c r="E71">
        <f>IFERROR(IF(MAXIFS(Documents!$E$2:$E$619,Documents!$A$2:$A$619,$A71,Documents!$C$2:$C$619,"wedding")=0,"",MAXIFS(Documents!$E$2:$E$619,Documents!$A$2:$A$619,$A71,Documents!$C$2:$C$619,"wedding")),"")</f>
        <v/>
      </c>
      <c r="F71">
        <f>IFERROR(IF(MAXIFS(Documents!$E$2:$E$619,Documents!$A$2:$A$619,$A71,Documents!$C$2:$C$619,"events")=0,"",MAXIFS(Documents!$E$2:$E$619,Documents!$A$2:$A$619,$A71,Documents!$C$2:$C$619,"events")),"")</f>
        <v/>
      </c>
      <c r="G71">
        <f>IFERROR(IF(MAXIFS(Documents!$E$2:$E$619,Documents!$A$2:$A$619,$A71,Documents!$C$2:$C$619,"map")=0,"",MAXIFS(Documents!$E$2:$E$619,Documents!$A$2:$A$619,$A71,Documents!$C$2:$C$619,"map")),"")</f>
        <v/>
      </c>
      <c r="H71">
        <f>IFERROR(IF(MAXIFS(Documents!$E$2:$E$619,Documents!$A$2:$A$619,$A71,Documents!$C$2:$C$619,"dive_map")=0,"",MAXIFS(Documents!$E$2:$E$619,Documents!$A$2:$A$619,$A71,Documents!$C$2:$C$619,"dive_map")),"")</f>
        <v/>
      </c>
      <c r="I71">
        <f>IFERROR(IF(MAXIFS(Documents!$E$2:$E$619,Documents!$A$2:$A$619,$A71,Documents!$C$2:$C$619,"spa_menu")=0,"",MAXIFS(Documents!$E$2:$E$619,Documents!$A$2:$A$619,$A71,Documents!$C$2:$C$619,"spa_menu")),"")</f>
        <v/>
      </c>
      <c r="J71">
        <f>IFERROR(IF(MAXIFS(Documents!$E$2:$E$619,Documents!$A$2:$A$619,$A71,Documents!$C$2:$C$619,"dining_menu")=0,"",MAXIFS(Documents!$E$2:$E$619,Documents!$A$2:$A$619,$A71,Documents!$C$2:$C$619,"dining_menu")),"")</f>
        <v/>
      </c>
      <c r="K71">
        <f>IFERROR(IF(MAXIFS(Documents!$E$2:$E$619,Documents!$A$2:$A$619,$A71,Documents!$C$2:$C$619,"dive_prices")=0,"",MAXIFS(Documents!$E$2:$E$619,Documents!$A$2:$A$619,$A71,Documents!$C$2:$C$619,"dive_prices")),"")</f>
        <v/>
      </c>
      <c r="L71">
        <f>IFERROR(IF(MAXIFS(Documents!$E$2:$E$619,Documents!$A$2:$A$619,$A71,Documents!$C$2:$C$619,"excursions")=0,"",MAXIFS(Documents!$E$2:$E$619,Documents!$A$2:$A$619,$A71,Documents!$C$2:$C$619,"excursions")),"")</f>
        <v/>
      </c>
      <c r="M71">
        <f>IFERROR(IF(MAXIFS(Documents!$E$2:$E$619,Documents!$A$2:$A$619,$A71,Documents!$C$2:$C$619,"kids")=0,"",MAXIFS(Documents!$E$2:$E$619,Documents!$A$2:$A$619,$A71,Documents!$C$2:$C$619,"kids")),"")</f>
        <v/>
      </c>
      <c r="N71">
        <f>IFERROR(IF(MAXIFS(Documents!$E$2:$E$619,Documents!$A$2:$A$619,$A71,Documents!$C$2:$C$619,"villa_plans")=0,"",MAXIFS(Documents!$E$2:$E$619,Documents!$A$2:$A$619,$A71,Documents!$C$2:$C$619,"villa_plans")),"")</f>
        <v/>
      </c>
      <c r="O71">
        <f>IFERROR(IF(MAXIFS(Documents!$E$2:$E$619,Documents!$A$2:$A$619,$A71,Documents!$C$2:$C$619,"all_inclusive")=0,"",MAXIFS(Documents!$E$2:$E$619,Documents!$A$2:$A$619,$A71,Documents!$C$2:$C$619,"all_inclusive")),"")</f>
        <v/>
      </c>
      <c r="P71">
        <f>IFERROR(IF(MAXIFS(Documents!$E$2:$E$619,Documents!$A$2:$A$619,$A71,Documents!$C$2:$C$619,"sustainability")=0,"",MAXIFS(Documents!$E$2:$E$619,Documents!$A$2:$A$619,$A71,Documents!$C$2:$C$619,"sustainability")),"")</f>
        <v/>
      </c>
      <c r="Q71">
        <f>IFERROR(IF(MAXIFS(Documents!$E$2:$E$619,Documents!$A$2:$A$619,$A71,Documents!$C$2:$C$619,"calendar")=0,"",MAXIFS(Documents!$E$2:$E$619,Documents!$A$2:$A$619,$A71,Documents!$C$2:$C$619,"calendar")),"")</f>
        <v/>
      </c>
      <c r="R71">
        <f>IFERROR(IF(MAXIFS(Documents!$E$2:$E$619,Documents!$A$2:$A$619,$A71,Documents!$C$2:$C$619,"brochure")=0,"",MAXIFS(Documents!$E$2:$E$619,Documents!$A$2:$A$619,$A71,Documents!$C$2:$C$619,"brochure")),"")</f>
        <v/>
      </c>
      <c r="S71">
        <f>IFERROR(IF(MAXIFS(Documents!$E$2:$E$619,Documents!$A$2:$A$619,$A71,Documents!$C$2:$C$619,"press_kit")=0,"",MAXIFS(Documents!$E$2:$E$619,Documents!$A$2:$A$619,$A71,Documents!$C$2:$C$619,"press_kit")),"")</f>
        <v/>
      </c>
      <c r="T71">
        <f>IFERROR(IF(MAXIFS(Documents!$E$2:$E$619,Documents!$A$2:$A$619,$A71,Documents!$C$2:$C$619,"other")=0,"",MAXIFS(Documents!$E$2:$E$619,Documents!$A$2:$A$619,$A71,Documents!$C$2:$C$619,"other")),"")</f>
        <v/>
      </c>
      <c r="U71">
        <f>IFERROR(IF(MAXIFS(Documents!$E$2:$E$619,Documents!$A$2:$A$619,$A71,Documents!$C$2:$C$619,"obsolete")=0,"",MAXIFS(Documents!$E$2:$E$619,Documents!$A$2:$A$619,$A71,Documents!$C$2:$C$619,"obsolete")),"")</f>
        <v/>
      </c>
      <c r="V71">
        <f>COUNTIFS(Documents!$A$2:$A$619,$A71)</f>
        <v/>
      </c>
      <c r="W71">
        <f>COUNTIFS(Documents!$A$2:$A$619,$A71,Documents!$R$2:$R$619,"current")</f>
        <v/>
      </c>
      <c r="X71">
        <f>HYPERLINK("https://www.neoscapesmaldives.com/wp-content/uploads/Joy-Island-_-Fact-Sheet-2025.pdf","2025_Joy-Island-_-Fact-Sheet-2025.pdf")</f>
        <v/>
      </c>
      <c r="Y71" t="inlineStr">
        <is>
          <t>wedding, events</t>
        </is>
      </c>
      <c r="Z71" t="inlineStr"/>
    </row>
    <row r="72">
      <c r="A72" t="n">
        <v>71</v>
      </c>
      <c r="B72" t="inlineStr">
        <is>
          <t>Kagi Maldives Resort and Spa</t>
        </is>
      </c>
      <c r="C72" t="inlineStr">
        <is>
          <t>not crawled</t>
        </is>
      </c>
      <c r="D72">
        <f>IFERROR(IF(MAXIFS(Documents!$E$2:$E$619,Documents!$A$2:$A$619,$A72,Documents!$C$2:$C$619,"factsheet")=0,"",MAXIFS(Documents!$E$2:$E$619,Documents!$A$2:$A$619,$A72,Documents!$C$2:$C$619,"factsheet")),"")</f>
        <v/>
      </c>
      <c r="E72">
        <f>IFERROR(IF(MAXIFS(Documents!$E$2:$E$619,Documents!$A$2:$A$619,$A72,Documents!$C$2:$C$619,"wedding")=0,"",MAXIFS(Documents!$E$2:$E$619,Documents!$A$2:$A$619,$A72,Documents!$C$2:$C$619,"wedding")),"")</f>
        <v/>
      </c>
      <c r="F72">
        <f>IFERROR(IF(MAXIFS(Documents!$E$2:$E$619,Documents!$A$2:$A$619,$A72,Documents!$C$2:$C$619,"events")=0,"",MAXIFS(Documents!$E$2:$E$619,Documents!$A$2:$A$619,$A72,Documents!$C$2:$C$619,"events")),"")</f>
        <v/>
      </c>
      <c r="G72">
        <f>IFERROR(IF(MAXIFS(Documents!$E$2:$E$619,Documents!$A$2:$A$619,$A72,Documents!$C$2:$C$619,"map")=0,"",MAXIFS(Documents!$E$2:$E$619,Documents!$A$2:$A$619,$A72,Documents!$C$2:$C$619,"map")),"")</f>
        <v/>
      </c>
      <c r="H72">
        <f>IFERROR(IF(MAXIFS(Documents!$E$2:$E$619,Documents!$A$2:$A$619,$A72,Documents!$C$2:$C$619,"dive_map")=0,"",MAXIFS(Documents!$E$2:$E$619,Documents!$A$2:$A$619,$A72,Documents!$C$2:$C$619,"dive_map")),"")</f>
        <v/>
      </c>
      <c r="I72">
        <f>IFERROR(IF(MAXIFS(Documents!$E$2:$E$619,Documents!$A$2:$A$619,$A72,Documents!$C$2:$C$619,"spa_menu")=0,"",MAXIFS(Documents!$E$2:$E$619,Documents!$A$2:$A$619,$A72,Documents!$C$2:$C$619,"spa_menu")),"")</f>
        <v/>
      </c>
      <c r="J72">
        <f>IFERROR(IF(MAXIFS(Documents!$E$2:$E$619,Documents!$A$2:$A$619,$A72,Documents!$C$2:$C$619,"dining_menu")=0,"",MAXIFS(Documents!$E$2:$E$619,Documents!$A$2:$A$619,$A72,Documents!$C$2:$C$619,"dining_menu")),"")</f>
        <v/>
      </c>
      <c r="K72">
        <f>IFERROR(IF(MAXIFS(Documents!$E$2:$E$619,Documents!$A$2:$A$619,$A72,Documents!$C$2:$C$619,"dive_prices")=0,"",MAXIFS(Documents!$E$2:$E$619,Documents!$A$2:$A$619,$A72,Documents!$C$2:$C$619,"dive_prices")),"")</f>
        <v/>
      </c>
      <c r="L72">
        <f>IFERROR(IF(MAXIFS(Documents!$E$2:$E$619,Documents!$A$2:$A$619,$A72,Documents!$C$2:$C$619,"excursions")=0,"",MAXIFS(Documents!$E$2:$E$619,Documents!$A$2:$A$619,$A72,Documents!$C$2:$C$619,"excursions")),"")</f>
        <v/>
      </c>
      <c r="M72">
        <f>IFERROR(IF(MAXIFS(Documents!$E$2:$E$619,Documents!$A$2:$A$619,$A72,Documents!$C$2:$C$619,"kids")=0,"",MAXIFS(Documents!$E$2:$E$619,Documents!$A$2:$A$619,$A72,Documents!$C$2:$C$619,"kids")),"")</f>
        <v/>
      </c>
      <c r="N72">
        <f>IFERROR(IF(MAXIFS(Documents!$E$2:$E$619,Documents!$A$2:$A$619,$A72,Documents!$C$2:$C$619,"villa_plans")=0,"",MAXIFS(Documents!$E$2:$E$619,Documents!$A$2:$A$619,$A72,Documents!$C$2:$C$619,"villa_plans")),"")</f>
        <v/>
      </c>
      <c r="O72">
        <f>IFERROR(IF(MAXIFS(Documents!$E$2:$E$619,Documents!$A$2:$A$619,$A72,Documents!$C$2:$C$619,"all_inclusive")=0,"",MAXIFS(Documents!$E$2:$E$619,Documents!$A$2:$A$619,$A72,Documents!$C$2:$C$619,"all_inclusive")),"")</f>
        <v/>
      </c>
      <c r="P72">
        <f>IFERROR(IF(MAXIFS(Documents!$E$2:$E$619,Documents!$A$2:$A$619,$A72,Documents!$C$2:$C$619,"sustainability")=0,"",MAXIFS(Documents!$E$2:$E$619,Documents!$A$2:$A$619,$A72,Documents!$C$2:$C$619,"sustainability")),"")</f>
        <v/>
      </c>
      <c r="Q72">
        <f>IFERROR(IF(MAXIFS(Documents!$E$2:$E$619,Documents!$A$2:$A$619,$A72,Documents!$C$2:$C$619,"calendar")=0,"",MAXIFS(Documents!$E$2:$E$619,Documents!$A$2:$A$619,$A72,Documents!$C$2:$C$619,"calendar")),"")</f>
        <v/>
      </c>
      <c r="R72">
        <f>IFERROR(IF(MAXIFS(Documents!$E$2:$E$619,Documents!$A$2:$A$619,$A72,Documents!$C$2:$C$619,"brochure")=0,"",MAXIFS(Documents!$E$2:$E$619,Documents!$A$2:$A$619,$A72,Documents!$C$2:$C$619,"brochure")),"")</f>
        <v/>
      </c>
      <c r="S72">
        <f>IFERROR(IF(MAXIFS(Documents!$E$2:$E$619,Documents!$A$2:$A$619,$A72,Documents!$C$2:$C$619,"press_kit")=0,"",MAXIFS(Documents!$E$2:$E$619,Documents!$A$2:$A$619,$A72,Documents!$C$2:$C$619,"press_kit")),"")</f>
        <v/>
      </c>
      <c r="T72">
        <f>IFERROR(IF(MAXIFS(Documents!$E$2:$E$619,Documents!$A$2:$A$619,$A72,Documents!$C$2:$C$619,"other")=0,"",MAXIFS(Documents!$E$2:$E$619,Documents!$A$2:$A$619,$A72,Documents!$C$2:$C$619,"other")),"")</f>
        <v/>
      </c>
      <c r="U72">
        <f>IFERROR(IF(MAXIFS(Documents!$E$2:$E$619,Documents!$A$2:$A$619,$A72,Documents!$C$2:$C$619,"obsolete")=0,"",MAXIFS(Documents!$E$2:$E$619,Documents!$A$2:$A$619,$A72,Documents!$C$2:$C$619,"obsolete")),"")</f>
        <v/>
      </c>
      <c r="V72">
        <f>COUNTIFS(Documents!$A$2:$A$619,$A72)</f>
        <v/>
      </c>
      <c r="W72">
        <f>COUNTIFS(Documents!$A$2:$A$619,$A72,Documents!$R$2:$R$619,"current")</f>
        <v/>
      </c>
      <c r="X72">
        <f>HYPERLINK("https://sales.crownandchamparesorts.com/wp-content/uploads/2023/08/FactSheetKagi11012210312322Rev011122_compressed-1.pdf","2023_FactSheetKagi11012210312322Rev01112")</f>
        <v/>
      </c>
      <c r="Y72" t="inlineStr">
        <is>
          <t>wedding, events</t>
        </is>
      </c>
      <c r="Z72" t="inlineStr"/>
    </row>
    <row r="73">
      <c r="A73" t="n">
        <v>72</v>
      </c>
      <c r="B73" t="inlineStr">
        <is>
          <t>Embudhu Village</t>
        </is>
      </c>
      <c r="C73" t="inlineStr">
        <is>
          <t>not crawled</t>
        </is>
      </c>
      <c r="D73">
        <f>IFERROR(IF(MAXIFS(Documents!$E$2:$E$619,Documents!$A$2:$A$619,$A73,Documents!$C$2:$C$619,"factsheet")=0,"",MAXIFS(Documents!$E$2:$E$619,Documents!$A$2:$A$619,$A73,Documents!$C$2:$C$619,"factsheet")),"")</f>
        <v/>
      </c>
      <c r="E73">
        <f>IFERROR(IF(MAXIFS(Documents!$E$2:$E$619,Documents!$A$2:$A$619,$A73,Documents!$C$2:$C$619,"wedding")=0,"",MAXIFS(Documents!$E$2:$E$619,Documents!$A$2:$A$619,$A73,Documents!$C$2:$C$619,"wedding")),"")</f>
        <v/>
      </c>
      <c r="F73">
        <f>IFERROR(IF(MAXIFS(Documents!$E$2:$E$619,Documents!$A$2:$A$619,$A73,Documents!$C$2:$C$619,"events")=0,"",MAXIFS(Documents!$E$2:$E$619,Documents!$A$2:$A$619,$A73,Documents!$C$2:$C$619,"events")),"")</f>
        <v/>
      </c>
      <c r="G73">
        <f>IFERROR(IF(MAXIFS(Documents!$E$2:$E$619,Documents!$A$2:$A$619,$A73,Documents!$C$2:$C$619,"map")=0,"",MAXIFS(Documents!$E$2:$E$619,Documents!$A$2:$A$619,$A73,Documents!$C$2:$C$619,"map")),"")</f>
        <v/>
      </c>
      <c r="H73">
        <f>IFERROR(IF(MAXIFS(Documents!$E$2:$E$619,Documents!$A$2:$A$619,$A73,Documents!$C$2:$C$619,"dive_map")=0,"",MAXIFS(Documents!$E$2:$E$619,Documents!$A$2:$A$619,$A73,Documents!$C$2:$C$619,"dive_map")),"")</f>
        <v/>
      </c>
      <c r="I73">
        <f>IFERROR(IF(MAXIFS(Documents!$E$2:$E$619,Documents!$A$2:$A$619,$A73,Documents!$C$2:$C$619,"spa_menu")=0,"",MAXIFS(Documents!$E$2:$E$619,Documents!$A$2:$A$619,$A73,Documents!$C$2:$C$619,"spa_menu")),"")</f>
        <v/>
      </c>
      <c r="J73">
        <f>IFERROR(IF(MAXIFS(Documents!$E$2:$E$619,Documents!$A$2:$A$619,$A73,Documents!$C$2:$C$619,"dining_menu")=0,"",MAXIFS(Documents!$E$2:$E$619,Documents!$A$2:$A$619,$A73,Documents!$C$2:$C$619,"dining_menu")),"")</f>
        <v/>
      </c>
      <c r="K73">
        <f>IFERROR(IF(MAXIFS(Documents!$E$2:$E$619,Documents!$A$2:$A$619,$A73,Documents!$C$2:$C$619,"dive_prices")=0,"",MAXIFS(Documents!$E$2:$E$619,Documents!$A$2:$A$619,$A73,Documents!$C$2:$C$619,"dive_prices")),"")</f>
        <v/>
      </c>
      <c r="L73">
        <f>IFERROR(IF(MAXIFS(Documents!$E$2:$E$619,Documents!$A$2:$A$619,$A73,Documents!$C$2:$C$619,"excursions")=0,"",MAXIFS(Documents!$E$2:$E$619,Documents!$A$2:$A$619,$A73,Documents!$C$2:$C$619,"excursions")),"")</f>
        <v/>
      </c>
      <c r="M73">
        <f>IFERROR(IF(MAXIFS(Documents!$E$2:$E$619,Documents!$A$2:$A$619,$A73,Documents!$C$2:$C$619,"kids")=0,"",MAXIFS(Documents!$E$2:$E$619,Documents!$A$2:$A$619,$A73,Documents!$C$2:$C$619,"kids")),"")</f>
        <v/>
      </c>
      <c r="N73">
        <f>IFERROR(IF(MAXIFS(Documents!$E$2:$E$619,Documents!$A$2:$A$619,$A73,Documents!$C$2:$C$619,"villa_plans")=0,"",MAXIFS(Documents!$E$2:$E$619,Documents!$A$2:$A$619,$A73,Documents!$C$2:$C$619,"villa_plans")),"")</f>
        <v/>
      </c>
      <c r="O73">
        <f>IFERROR(IF(MAXIFS(Documents!$E$2:$E$619,Documents!$A$2:$A$619,$A73,Documents!$C$2:$C$619,"all_inclusive")=0,"",MAXIFS(Documents!$E$2:$E$619,Documents!$A$2:$A$619,$A73,Documents!$C$2:$C$619,"all_inclusive")),"")</f>
        <v/>
      </c>
      <c r="P73">
        <f>IFERROR(IF(MAXIFS(Documents!$E$2:$E$619,Documents!$A$2:$A$619,$A73,Documents!$C$2:$C$619,"sustainability")=0,"",MAXIFS(Documents!$E$2:$E$619,Documents!$A$2:$A$619,$A73,Documents!$C$2:$C$619,"sustainability")),"")</f>
        <v/>
      </c>
      <c r="Q73">
        <f>IFERROR(IF(MAXIFS(Documents!$E$2:$E$619,Documents!$A$2:$A$619,$A73,Documents!$C$2:$C$619,"calendar")=0,"",MAXIFS(Documents!$E$2:$E$619,Documents!$A$2:$A$619,$A73,Documents!$C$2:$C$619,"calendar")),"")</f>
        <v/>
      </c>
      <c r="R73">
        <f>IFERROR(IF(MAXIFS(Documents!$E$2:$E$619,Documents!$A$2:$A$619,$A73,Documents!$C$2:$C$619,"brochure")=0,"",MAXIFS(Documents!$E$2:$E$619,Documents!$A$2:$A$619,$A73,Documents!$C$2:$C$619,"brochure")),"")</f>
        <v/>
      </c>
      <c r="S73">
        <f>IFERROR(IF(MAXIFS(Documents!$E$2:$E$619,Documents!$A$2:$A$619,$A73,Documents!$C$2:$C$619,"press_kit")=0,"",MAXIFS(Documents!$E$2:$E$619,Documents!$A$2:$A$619,$A73,Documents!$C$2:$C$619,"press_kit")),"")</f>
        <v/>
      </c>
      <c r="T73">
        <f>IFERROR(IF(MAXIFS(Documents!$E$2:$E$619,Documents!$A$2:$A$619,$A73,Documents!$C$2:$C$619,"other")=0,"",MAXIFS(Documents!$E$2:$E$619,Documents!$A$2:$A$619,$A73,Documents!$C$2:$C$619,"other")),"")</f>
        <v/>
      </c>
      <c r="U73">
        <f>IFERROR(IF(MAXIFS(Documents!$E$2:$E$619,Documents!$A$2:$A$619,$A73,Documents!$C$2:$C$619,"obsolete")=0,"",MAXIFS(Documents!$E$2:$E$619,Documents!$A$2:$A$619,$A73,Documents!$C$2:$C$619,"obsolete")),"")</f>
        <v/>
      </c>
      <c r="V73">
        <f>COUNTIFS(Documents!$A$2:$A$619,$A73)</f>
        <v/>
      </c>
      <c r="W73">
        <f>COUNTIFS(Documents!$A$2:$A$619,$A73,Documents!$R$2:$R$619,"current")</f>
        <v/>
      </c>
      <c r="X73" t="inlineStr"/>
      <c r="Y73" t="inlineStr">
        <is>
          <t>factsheet, wedding, events</t>
        </is>
      </c>
      <c r="Z73" t="inlineStr"/>
    </row>
    <row r="74">
      <c r="A74" t="n">
        <v>73</v>
      </c>
      <c r="B74" t="inlineStr">
        <is>
          <t>Summer Island Maldives</t>
        </is>
      </c>
      <c r="C74" t="inlineStr">
        <is>
          <t>not crawled</t>
        </is>
      </c>
      <c r="D74">
        <f>IFERROR(IF(MAXIFS(Documents!$E$2:$E$619,Documents!$A$2:$A$619,$A74,Documents!$C$2:$C$619,"factsheet")=0,"",MAXIFS(Documents!$E$2:$E$619,Documents!$A$2:$A$619,$A74,Documents!$C$2:$C$619,"factsheet")),"")</f>
        <v/>
      </c>
      <c r="E74">
        <f>IFERROR(IF(MAXIFS(Documents!$E$2:$E$619,Documents!$A$2:$A$619,$A74,Documents!$C$2:$C$619,"wedding")=0,"",MAXIFS(Documents!$E$2:$E$619,Documents!$A$2:$A$619,$A74,Documents!$C$2:$C$619,"wedding")),"")</f>
        <v/>
      </c>
      <c r="F74">
        <f>IFERROR(IF(MAXIFS(Documents!$E$2:$E$619,Documents!$A$2:$A$619,$A74,Documents!$C$2:$C$619,"events")=0,"",MAXIFS(Documents!$E$2:$E$619,Documents!$A$2:$A$619,$A74,Documents!$C$2:$C$619,"events")),"")</f>
        <v/>
      </c>
      <c r="G74">
        <f>IFERROR(IF(MAXIFS(Documents!$E$2:$E$619,Documents!$A$2:$A$619,$A74,Documents!$C$2:$C$619,"map")=0,"",MAXIFS(Documents!$E$2:$E$619,Documents!$A$2:$A$619,$A74,Documents!$C$2:$C$619,"map")),"")</f>
        <v/>
      </c>
      <c r="H74">
        <f>IFERROR(IF(MAXIFS(Documents!$E$2:$E$619,Documents!$A$2:$A$619,$A74,Documents!$C$2:$C$619,"dive_map")=0,"",MAXIFS(Documents!$E$2:$E$619,Documents!$A$2:$A$619,$A74,Documents!$C$2:$C$619,"dive_map")),"")</f>
        <v/>
      </c>
      <c r="I74">
        <f>IFERROR(IF(MAXIFS(Documents!$E$2:$E$619,Documents!$A$2:$A$619,$A74,Documents!$C$2:$C$619,"spa_menu")=0,"",MAXIFS(Documents!$E$2:$E$619,Documents!$A$2:$A$619,$A74,Documents!$C$2:$C$619,"spa_menu")),"")</f>
        <v/>
      </c>
      <c r="J74">
        <f>IFERROR(IF(MAXIFS(Documents!$E$2:$E$619,Documents!$A$2:$A$619,$A74,Documents!$C$2:$C$619,"dining_menu")=0,"",MAXIFS(Documents!$E$2:$E$619,Documents!$A$2:$A$619,$A74,Documents!$C$2:$C$619,"dining_menu")),"")</f>
        <v/>
      </c>
      <c r="K74">
        <f>IFERROR(IF(MAXIFS(Documents!$E$2:$E$619,Documents!$A$2:$A$619,$A74,Documents!$C$2:$C$619,"dive_prices")=0,"",MAXIFS(Documents!$E$2:$E$619,Documents!$A$2:$A$619,$A74,Documents!$C$2:$C$619,"dive_prices")),"")</f>
        <v/>
      </c>
      <c r="L74">
        <f>IFERROR(IF(MAXIFS(Documents!$E$2:$E$619,Documents!$A$2:$A$619,$A74,Documents!$C$2:$C$619,"excursions")=0,"",MAXIFS(Documents!$E$2:$E$619,Documents!$A$2:$A$619,$A74,Documents!$C$2:$C$619,"excursions")),"")</f>
        <v/>
      </c>
      <c r="M74">
        <f>IFERROR(IF(MAXIFS(Documents!$E$2:$E$619,Documents!$A$2:$A$619,$A74,Documents!$C$2:$C$619,"kids")=0,"",MAXIFS(Documents!$E$2:$E$619,Documents!$A$2:$A$619,$A74,Documents!$C$2:$C$619,"kids")),"")</f>
        <v/>
      </c>
      <c r="N74">
        <f>IFERROR(IF(MAXIFS(Documents!$E$2:$E$619,Documents!$A$2:$A$619,$A74,Documents!$C$2:$C$619,"villa_plans")=0,"",MAXIFS(Documents!$E$2:$E$619,Documents!$A$2:$A$619,$A74,Documents!$C$2:$C$619,"villa_plans")),"")</f>
        <v/>
      </c>
      <c r="O74">
        <f>IFERROR(IF(MAXIFS(Documents!$E$2:$E$619,Documents!$A$2:$A$619,$A74,Documents!$C$2:$C$619,"all_inclusive")=0,"",MAXIFS(Documents!$E$2:$E$619,Documents!$A$2:$A$619,$A74,Documents!$C$2:$C$619,"all_inclusive")),"")</f>
        <v/>
      </c>
      <c r="P74">
        <f>IFERROR(IF(MAXIFS(Documents!$E$2:$E$619,Documents!$A$2:$A$619,$A74,Documents!$C$2:$C$619,"sustainability")=0,"",MAXIFS(Documents!$E$2:$E$619,Documents!$A$2:$A$619,$A74,Documents!$C$2:$C$619,"sustainability")),"")</f>
        <v/>
      </c>
      <c r="Q74">
        <f>IFERROR(IF(MAXIFS(Documents!$E$2:$E$619,Documents!$A$2:$A$619,$A74,Documents!$C$2:$C$619,"calendar")=0,"",MAXIFS(Documents!$E$2:$E$619,Documents!$A$2:$A$619,$A74,Documents!$C$2:$C$619,"calendar")),"")</f>
        <v/>
      </c>
      <c r="R74">
        <f>IFERROR(IF(MAXIFS(Documents!$E$2:$E$619,Documents!$A$2:$A$619,$A74,Documents!$C$2:$C$619,"brochure")=0,"",MAXIFS(Documents!$E$2:$E$619,Documents!$A$2:$A$619,$A74,Documents!$C$2:$C$619,"brochure")),"")</f>
        <v/>
      </c>
      <c r="S74">
        <f>IFERROR(IF(MAXIFS(Documents!$E$2:$E$619,Documents!$A$2:$A$619,$A74,Documents!$C$2:$C$619,"press_kit")=0,"",MAXIFS(Documents!$E$2:$E$619,Documents!$A$2:$A$619,$A74,Documents!$C$2:$C$619,"press_kit")),"")</f>
        <v/>
      </c>
      <c r="T74">
        <f>IFERROR(IF(MAXIFS(Documents!$E$2:$E$619,Documents!$A$2:$A$619,$A74,Documents!$C$2:$C$619,"other")=0,"",MAXIFS(Documents!$E$2:$E$619,Documents!$A$2:$A$619,$A74,Documents!$C$2:$C$619,"other")),"")</f>
        <v/>
      </c>
      <c r="U74">
        <f>IFERROR(IF(MAXIFS(Documents!$E$2:$E$619,Documents!$A$2:$A$619,$A74,Documents!$C$2:$C$619,"obsolete")=0,"",MAXIFS(Documents!$E$2:$E$619,Documents!$A$2:$A$619,$A74,Documents!$C$2:$C$619,"obsolete")),"")</f>
        <v/>
      </c>
      <c r="V74">
        <f>COUNTIFS(Documents!$A$2:$A$619,$A74)</f>
        <v/>
      </c>
      <c r="W74">
        <f>COUNTIFS(Documents!$A$2:$A$619,$A74,Documents!$R$2:$R$619,"current")</f>
        <v/>
      </c>
      <c r="X74" t="inlineStr"/>
      <c r="Y74" t="inlineStr">
        <is>
          <t>factsheet, wedding, events</t>
        </is>
      </c>
      <c r="Z74" t="inlineStr"/>
    </row>
    <row r="75">
      <c r="A75" t="n">
        <v>74</v>
      </c>
      <c r="B75" t="inlineStr">
        <is>
          <t>Kandolhu Island Maldives</t>
        </is>
      </c>
      <c r="C75" t="inlineStr">
        <is>
          <t>not crawled</t>
        </is>
      </c>
      <c r="D75">
        <f>IFERROR(IF(MAXIFS(Documents!$E$2:$E$619,Documents!$A$2:$A$619,$A75,Documents!$C$2:$C$619,"factsheet")=0,"",MAXIFS(Documents!$E$2:$E$619,Documents!$A$2:$A$619,$A75,Documents!$C$2:$C$619,"factsheet")),"")</f>
        <v/>
      </c>
      <c r="E75">
        <f>IFERROR(IF(MAXIFS(Documents!$E$2:$E$619,Documents!$A$2:$A$619,$A75,Documents!$C$2:$C$619,"wedding")=0,"",MAXIFS(Documents!$E$2:$E$619,Documents!$A$2:$A$619,$A75,Documents!$C$2:$C$619,"wedding")),"")</f>
        <v/>
      </c>
      <c r="F75">
        <f>IFERROR(IF(MAXIFS(Documents!$E$2:$E$619,Documents!$A$2:$A$619,$A75,Documents!$C$2:$C$619,"events")=0,"",MAXIFS(Documents!$E$2:$E$619,Documents!$A$2:$A$619,$A75,Documents!$C$2:$C$619,"events")),"")</f>
        <v/>
      </c>
      <c r="G75">
        <f>IFERROR(IF(MAXIFS(Documents!$E$2:$E$619,Documents!$A$2:$A$619,$A75,Documents!$C$2:$C$619,"map")=0,"",MAXIFS(Documents!$E$2:$E$619,Documents!$A$2:$A$619,$A75,Documents!$C$2:$C$619,"map")),"")</f>
        <v/>
      </c>
      <c r="H75">
        <f>IFERROR(IF(MAXIFS(Documents!$E$2:$E$619,Documents!$A$2:$A$619,$A75,Documents!$C$2:$C$619,"dive_map")=0,"",MAXIFS(Documents!$E$2:$E$619,Documents!$A$2:$A$619,$A75,Documents!$C$2:$C$619,"dive_map")),"")</f>
        <v/>
      </c>
      <c r="I75">
        <f>IFERROR(IF(MAXIFS(Documents!$E$2:$E$619,Documents!$A$2:$A$619,$A75,Documents!$C$2:$C$619,"spa_menu")=0,"",MAXIFS(Documents!$E$2:$E$619,Documents!$A$2:$A$619,$A75,Documents!$C$2:$C$619,"spa_menu")),"")</f>
        <v/>
      </c>
      <c r="J75">
        <f>IFERROR(IF(MAXIFS(Documents!$E$2:$E$619,Documents!$A$2:$A$619,$A75,Documents!$C$2:$C$619,"dining_menu")=0,"",MAXIFS(Documents!$E$2:$E$619,Documents!$A$2:$A$619,$A75,Documents!$C$2:$C$619,"dining_menu")),"")</f>
        <v/>
      </c>
      <c r="K75">
        <f>IFERROR(IF(MAXIFS(Documents!$E$2:$E$619,Documents!$A$2:$A$619,$A75,Documents!$C$2:$C$619,"dive_prices")=0,"",MAXIFS(Documents!$E$2:$E$619,Documents!$A$2:$A$619,$A75,Documents!$C$2:$C$619,"dive_prices")),"")</f>
        <v/>
      </c>
      <c r="L75">
        <f>IFERROR(IF(MAXIFS(Documents!$E$2:$E$619,Documents!$A$2:$A$619,$A75,Documents!$C$2:$C$619,"excursions")=0,"",MAXIFS(Documents!$E$2:$E$619,Documents!$A$2:$A$619,$A75,Documents!$C$2:$C$619,"excursions")),"")</f>
        <v/>
      </c>
      <c r="M75">
        <f>IFERROR(IF(MAXIFS(Documents!$E$2:$E$619,Documents!$A$2:$A$619,$A75,Documents!$C$2:$C$619,"kids")=0,"",MAXIFS(Documents!$E$2:$E$619,Documents!$A$2:$A$619,$A75,Documents!$C$2:$C$619,"kids")),"")</f>
        <v/>
      </c>
      <c r="N75">
        <f>IFERROR(IF(MAXIFS(Documents!$E$2:$E$619,Documents!$A$2:$A$619,$A75,Documents!$C$2:$C$619,"villa_plans")=0,"",MAXIFS(Documents!$E$2:$E$619,Documents!$A$2:$A$619,$A75,Documents!$C$2:$C$619,"villa_plans")),"")</f>
        <v/>
      </c>
      <c r="O75">
        <f>IFERROR(IF(MAXIFS(Documents!$E$2:$E$619,Documents!$A$2:$A$619,$A75,Documents!$C$2:$C$619,"all_inclusive")=0,"",MAXIFS(Documents!$E$2:$E$619,Documents!$A$2:$A$619,$A75,Documents!$C$2:$C$619,"all_inclusive")),"")</f>
        <v/>
      </c>
      <c r="P75">
        <f>IFERROR(IF(MAXIFS(Documents!$E$2:$E$619,Documents!$A$2:$A$619,$A75,Documents!$C$2:$C$619,"sustainability")=0,"",MAXIFS(Documents!$E$2:$E$619,Documents!$A$2:$A$619,$A75,Documents!$C$2:$C$619,"sustainability")),"")</f>
        <v/>
      </c>
      <c r="Q75">
        <f>IFERROR(IF(MAXIFS(Documents!$E$2:$E$619,Documents!$A$2:$A$619,$A75,Documents!$C$2:$C$619,"calendar")=0,"",MAXIFS(Documents!$E$2:$E$619,Documents!$A$2:$A$619,$A75,Documents!$C$2:$C$619,"calendar")),"")</f>
        <v/>
      </c>
      <c r="R75">
        <f>IFERROR(IF(MAXIFS(Documents!$E$2:$E$619,Documents!$A$2:$A$619,$A75,Documents!$C$2:$C$619,"brochure")=0,"",MAXIFS(Documents!$E$2:$E$619,Documents!$A$2:$A$619,$A75,Documents!$C$2:$C$619,"brochure")),"")</f>
        <v/>
      </c>
      <c r="S75">
        <f>IFERROR(IF(MAXIFS(Documents!$E$2:$E$619,Documents!$A$2:$A$619,$A75,Documents!$C$2:$C$619,"press_kit")=0,"",MAXIFS(Documents!$E$2:$E$619,Documents!$A$2:$A$619,$A75,Documents!$C$2:$C$619,"press_kit")),"")</f>
        <v/>
      </c>
      <c r="T75">
        <f>IFERROR(IF(MAXIFS(Documents!$E$2:$E$619,Documents!$A$2:$A$619,$A75,Documents!$C$2:$C$619,"other")=0,"",MAXIFS(Documents!$E$2:$E$619,Documents!$A$2:$A$619,$A75,Documents!$C$2:$C$619,"other")),"")</f>
        <v/>
      </c>
      <c r="U75">
        <f>IFERROR(IF(MAXIFS(Documents!$E$2:$E$619,Documents!$A$2:$A$619,$A75,Documents!$C$2:$C$619,"obsolete")=0,"",MAXIFS(Documents!$E$2:$E$619,Documents!$A$2:$A$619,$A75,Documents!$C$2:$C$619,"obsolete")),"")</f>
        <v/>
      </c>
      <c r="V75">
        <f>COUNTIFS(Documents!$A$2:$A$619,$A75)</f>
        <v/>
      </c>
      <c r="W75">
        <f>COUNTIFS(Documents!$A$2:$A$619,$A75,Documents!$R$2:$R$619,"current")</f>
        <v/>
      </c>
      <c r="X75">
        <f>HYPERLINK("https://www.neoscapesmaldives.com/wp-content/uploads/kandolhu-maldives-factsheet.pdf","2019_kandolhu-maldives-factsheet.pdf")</f>
        <v/>
      </c>
      <c r="Y75" t="inlineStr">
        <is>
          <t>wedding, events</t>
        </is>
      </c>
      <c r="Z75" t="inlineStr"/>
    </row>
    <row r="76">
      <c r="A76" t="n">
        <v>75</v>
      </c>
      <c r="B76" t="inlineStr">
        <is>
          <t>Kandima Maldives</t>
        </is>
      </c>
      <c r="C76" t="inlineStr">
        <is>
          <t>not crawled</t>
        </is>
      </c>
      <c r="D76">
        <f>IFERROR(IF(MAXIFS(Documents!$E$2:$E$619,Documents!$A$2:$A$619,$A76,Documents!$C$2:$C$619,"factsheet")=0,"",MAXIFS(Documents!$E$2:$E$619,Documents!$A$2:$A$619,$A76,Documents!$C$2:$C$619,"factsheet")),"")</f>
        <v/>
      </c>
      <c r="E76">
        <f>IFERROR(IF(MAXIFS(Documents!$E$2:$E$619,Documents!$A$2:$A$619,$A76,Documents!$C$2:$C$619,"wedding")=0,"",MAXIFS(Documents!$E$2:$E$619,Documents!$A$2:$A$619,$A76,Documents!$C$2:$C$619,"wedding")),"")</f>
        <v/>
      </c>
      <c r="F76">
        <f>IFERROR(IF(MAXIFS(Documents!$E$2:$E$619,Documents!$A$2:$A$619,$A76,Documents!$C$2:$C$619,"events")=0,"",MAXIFS(Documents!$E$2:$E$619,Documents!$A$2:$A$619,$A76,Documents!$C$2:$C$619,"events")),"")</f>
        <v/>
      </c>
      <c r="G76">
        <f>IFERROR(IF(MAXIFS(Documents!$E$2:$E$619,Documents!$A$2:$A$619,$A76,Documents!$C$2:$C$619,"map")=0,"",MAXIFS(Documents!$E$2:$E$619,Documents!$A$2:$A$619,$A76,Documents!$C$2:$C$619,"map")),"")</f>
        <v/>
      </c>
      <c r="H76">
        <f>IFERROR(IF(MAXIFS(Documents!$E$2:$E$619,Documents!$A$2:$A$619,$A76,Documents!$C$2:$C$619,"dive_map")=0,"",MAXIFS(Documents!$E$2:$E$619,Documents!$A$2:$A$619,$A76,Documents!$C$2:$C$619,"dive_map")),"")</f>
        <v/>
      </c>
      <c r="I76">
        <f>IFERROR(IF(MAXIFS(Documents!$E$2:$E$619,Documents!$A$2:$A$619,$A76,Documents!$C$2:$C$619,"spa_menu")=0,"",MAXIFS(Documents!$E$2:$E$619,Documents!$A$2:$A$619,$A76,Documents!$C$2:$C$619,"spa_menu")),"")</f>
        <v/>
      </c>
      <c r="J76">
        <f>IFERROR(IF(MAXIFS(Documents!$E$2:$E$619,Documents!$A$2:$A$619,$A76,Documents!$C$2:$C$619,"dining_menu")=0,"",MAXIFS(Documents!$E$2:$E$619,Documents!$A$2:$A$619,$A76,Documents!$C$2:$C$619,"dining_menu")),"")</f>
        <v/>
      </c>
      <c r="K76">
        <f>IFERROR(IF(MAXIFS(Documents!$E$2:$E$619,Documents!$A$2:$A$619,$A76,Documents!$C$2:$C$619,"dive_prices")=0,"",MAXIFS(Documents!$E$2:$E$619,Documents!$A$2:$A$619,$A76,Documents!$C$2:$C$619,"dive_prices")),"")</f>
        <v/>
      </c>
      <c r="L76">
        <f>IFERROR(IF(MAXIFS(Documents!$E$2:$E$619,Documents!$A$2:$A$619,$A76,Documents!$C$2:$C$619,"excursions")=0,"",MAXIFS(Documents!$E$2:$E$619,Documents!$A$2:$A$619,$A76,Documents!$C$2:$C$619,"excursions")),"")</f>
        <v/>
      </c>
      <c r="M76">
        <f>IFERROR(IF(MAXIFS(Documents!$E$2:$E$619,Documents!$A$2:$A$619,$A76,Documents!$C$2:$C$619,"kids")=0,"",MAXIFS(Documents!$E$2:$E$619,Documents!$A$2:$A$619,$A76,Documents!$C$2:$C$619,"kids")),"")</f>
        <v/>
      </c>
      <c r="N76">
        <f>IFERROR(IF(MAXIFS(Documents!$E$2:$E$619,Documents!$A$2:$A$619,$A76,Documents!$C$2:$C$619,"villa_plans")=0,"",MAXIFS(Documents!$E$2:$E$619,Documents!$A$2:$A$619,$A76,Documents!$C$2:$C$619,"villa_plans")),"")</f>
        <v/>
      </c>
      <c r="O76">
        <f>IFERROR(IF(MAXIFS(Documents!$E$2:$E$619,Documents!$A$2:$A$619,$A76,Documents!$C$2:$C$619,"all_inclusive")=0,"",MAXIFS(Documents!$E$2:$E$619,Documents!$A$2:$A$619,$A76,Documents!$C$2:$C$619,"all_inclusive")),"")</f>
        <v/>
      </c>
      <c r="P76">
        <f>IFERROR(IF(MAXIFS(Documents!$E$2:$E$619,Documents!$A$2:$A$619,$A76,Documents!$C$2:$C$619,"sustainability")=0,"",MAXIFS(Documents!$E$2:$E$619,Documents!$A$2:$A$619,$A76,Documents!$C$2:$C$619,"sustainability")),"")</f>
        <v/>
      </c>
      <c r="Q76">
        <f>IFERROR(IF(MAXIFS(Documents!$E$2:$E$619,Documents!$A$2:$A$619,$A76,Documents!$C$2:$C$619,"calendar")=0,"",MAXIFS(Documents!$E$2:$E$619,Documents!$A$2:$A$619,$A76,Documents!$C$2:$C$619,"calendar")),"")</f>
        <v/>
      </c>
      <c r="R76">
        <f>IFERROR(IF(MAXIFS(Documents!$E$2:$E$619,Documents!$A$2:$A$619,$A76,Documents!$C$2:$C$619,"brochure")=0,"",MAXIFS(Documents!$E$2:$E$619,Documents!$A$2:$A$619,$A76,Documents!$C$2:$C$619,"brochure")),"")</f>
        <v/>
      </c>
      <c r="S76">
        <f>IFERROR(IF(MAXIFS(Documents!$E$2:$E$619,Documents!$A$2:$A$619,$A76,Documents!$C$2:$C$619,"press_kit")=0,"",MAXIFS(Documents!$E$2:$E$619,Documents!$A$2:$A$619,$A76,Documents!$C$2:$C$619,"press_kit")),"")</f>
        <v/>
      </c>
      <c r="T76">
        <f>IFERROR(IF(MAXIFS(Documents!$E$2:$E$619,Documents!$A$2:$A$619,$A76,Documents!$C$2:$C$619,"other")=0,"",MAXIFS(Documents!$E$2:$E$619,Documents!$A$2:$A$619,$A76,Documents!$C$2:$C$619,"other")),"")</f>
        <v/>
      </c>
      <c r="U76">
        <f>IFERROR(IF(MAXIFS(Documents!$E$2:$E$619,Documents!$A$2:$A$619,$A76,Documents!$C$2:$C$619,"obsolete")=0,"",MAXIFS(Documents!$E$2:$E$619,Documents!$A$2:$A$619,$A76,Documents!$C$2:$C$619,"obsolete")),"")</f>
        <v/>
      </c>
      <c r="V76">
        <f>COUNTIFS(Documents!$A$2:$A$619,$A76)</f>
        <v/>
      </c>
      <c r="W76">
        <f>COUNTIFS(Documents!$A$2:$A$619,$A76,Documents!$R$2:$R$619,"current")</f>
        <v/>
      </c>
      <c r="X76">
        <f>HYPERLINK("https://www.neoscapesmaldives.com/wp-content/uploads/Kandima-Maldives-Resort-Factsheet.pdf","2019_Kandima-Maldives-Resort-Factsheet.p")</f>
        <v/>
      </c>
      <c r="Y76" t="inlineStr">
        <is>
          <t>wedding, events</t>
        </is>
      </c>
      <c r="Z76" t="inlineStr"/>
    </row>
    <row r="77">
      <c r="A77" t="n">
        <v>76</v>
      </c>
      <c r="B77" t="inlineStr">
        <is>
          <t>Hideaway Beach Resort and Spa at Dhonakulhi Island Maldives</t>
        </is>
      </c>
      <c r="C77" t="inlineStr">
        <is>
          <t>not crawled</t>
        </is>
      </c>
      <c r="D77">
        <f>IFERROR(IF(MAXIFS(Documents!$E$2:$E$619,Documents!$A$2:$A$619,$A77,Documents!$C$2:$C$619,"factsheet")=0,"",MAXIFS(Documents!$E$2:$E$619,Documents!$A$2:$A$619,$A77,Documents!$C$2:$C$619,"factsheet")),"")</f>
        <v/>
      </c>
      <c r="E77">
        <f>IFERROR(IF(MAXIFS(Documents!$E$2:$E$619,Documents!$A$2:$A$619,$A77,Documents!$C$2:$C$619,"wedding")=0,"",MAXIFS(Documents!$E$2:$E$619,Documents!$A$2:$A$619,$A77,Documents!$C$2:$C$619,"wedding")),"")</f>
        <v/>
      </c>
      <c r="F77">
        <f>IFERROR(IF(MAXIFS(Documents!$E$2:$E$619,Documents!$A$2:$A$619,$A77,Documents!$C$2:$C$619,"events")=0,"",MAXIFS(Documents!$E$2:$E$619,Documents!$A$2:$A$619,$A77,Documents!$C$2:$C$619,"events")),"")</f>
        <v/>
      </c>
      <c r="G77">
        <f>IFERROR(IF(MAXIFS(Documents!$E$2:$E$619,Documents!$A$2:$A$619,$A77,Documents!$C$2:$C$619,"map")=0,"",MAXIFS(Documents!$E$2:$E$619,Documents!$A$2:$A$619,$A77,Documents!$C$2:$C$619,"map")),"")</f>
        <v/>
      </c>
      <c r="H77">
        <f>IFERROR(IF(MAXIFS(Documents!$E$2:$E$619,Documents!$A$2:$A$619,$A77,Documents!$C$2:$C$619,"dive_map")=0,"",MAXIFS(Documents!$E$2:$E$619,Documents!$A$2:$A$619,$A77,Documents!$C$2:$C$619,"dive_map")),"")</f>
        <v/>
      </c>
      <c r="I77">
        <f>IFERROR(IF(MAXIFS(Documents!$E$2:$E$619,Documents!$A$2:$A$619,$A77,Documents!$C$2:$C$619,"spa_menu")=0,"",MAXIFS(Documents!$E$2:$E$619,Documents!$A$2:$A$619,$A77,Documents!$C$2:$C$619,"spa_menu")),"")</f>
        <v/>
      </c>
      <c r="J77">
        <f>IFERROR(IF(MAXIFS(Documents!$E$2:$E$619,Documents!$A$2:$A$619,$A77,Documents!$C$2:$C$619,"dining_menu")=0,"",MAXIFS(Documents!$E$2:$E$619,Documents!$A$2:$A$619,$A77,Documents!$C$2:$C$619,"dining_menu")),"")</f>
        <v/>
      </c>
      <c r="K77">
        <f>IFERROR(IF(MAXIFS(Documents!$E$2:$E$619,Documents!$A$2:$A$619,$A77,Documents!$C$2:$C$619,"dive_prices")=0,"",MAXIFS(Documents!$E$2:$E$619,Documents!$A$2:$A$619,$A77,Documents!$C$2:$C$619,"dive_prices")),"")</f>
        <v/>
      </c>
      <c r="L77">
        <f>IFERROR(IF(MAXIFS(Documents!$E$2:$E$619,Documents!$A$2:$A$619,$A77,Documents!$C$2:$C$619,"excursions")=0,"",MAXIFS(Documents!$E$2:$E$619,Documents!$A$2:$A$619,$A77,Documents!$C$2:$C$619,"excursions")),"")</f>
        <v/>
      </c>
      <c r="M77">
        <f>IFERROR(IF(MAXIFS(Documents!$E$2:$E$619,Documents!$A$2:$A$619,$A77,Documents!$C$2:$C$619,"kids")=0,"",MAXIFS(Documents!$E$2:$E$619,Documents!$A$2:$A$619,$A77,Documents!$C$2:$C$619,"kids")),"")</f>
        <v/>
      </c>
      <c r="N77">
        <f>IFERROR(IF(MAXIFS(Documents!$E$2:$E$619,Documents!$A$2:$A$619,$A77,Documents!$C$2:$C$619,"villa_plans")=0,"",MAXIFS(Documents!$E$2:$E$619,Documents!$A$2:$A$619,$A77,Documents!$C$2:$C$619,"villa_plans")),"")</f>
        <v/>
      </c>
      <c r="O77">
        <f>IFERROR(IF(MAXIFS(Documents!$E$2:$E$619,Documents!$A$2:$A$619,$A77,Documents!$C$2:$C$619,"all_inclusive")=0,"",MAXIFS(Documents!$E$2:$E$619,Documents!$A$2:$A$619,$A77,Documents!$C$2:$C$619,"all_inclusive")),"")</f>
        <v/>
      </c>
      <c r="P77">
        <f>IFERROR(IF(MAXIFS(Documents!$E$2:$E$619,Documents!$A$2:$A$619,$A77,Documents!$C$2:$C$619,"sustainability")=0,"",MAXIFS(Documents!$E$2:$E$619,Documents!$A$2:$A$619,$A77,Documents!$C$2:$C$619,"sustainability")),"")</f>
        <v/>
      </c>
      <c r="Q77">
        <f>IFERROR(IF(MAXIFS(Documents!$E$2:$E$619,Documents!$A$2:$A$619,$A77,Documents!$C$2:$C$619,"calendar")=0,"",MAXIFS(Documents!$E$2:$E$619,Documents!$A$2:$A$619,$A77,Documents!$C$2:$C$619,"calendar")),"")</f>
        <v/>
      </c>
      <c r="R77">
        <f>IFERROR(IF(MAXIFS(Documents!$E$2:$E$619,Documents!$A$2:$A$619,$A77,Documents!$C$2:$C$619,"brochure")=0,"",MAXIFS(Documents!$E$2:$E$619,Documents!$A$2:$A$619,$A77,Documents!$C$2:$C$619,"brochure")),"")</f>
        <v/>
      </c>
      <c r="S77">
        <f>IFERROR(IF(MAXIFS(Documents!$E$2:$E$619,Documents!$A$2:$A$619,$A77,Documents!$C$2:$C$619,"press_kit")=0,"",MAXIFS(Documents!$E$2:$E$619,Documents!$A$2:$A$619,$A77,Documents!$C$2:$C$619,"press_kit")),"")</f>
        <v/>
      </c>
      <c r="T77">
        <f>IFERROR(IF(MAXIFS(Documents!$E$2:$E$619,Documents!$A$2:$A$619,$A77,Documents!$C$2:$C$619,"other")=0,"",MAXIFS(Documents!$E$2:$E$619,Documents!$A$2:$A$619,$A77,Documents!$C$2:$C$619,"other")),"")</f>
        <v/>
      </c>
      <c r="U77">
        <f>IFERROR(IF(MAXIFS(Documents!$E$2:$E$619,Documents!$A$2:$A$619,$A77,Documents!$C$2:$C$619,"obsolete")=0,"",MAXIFS(Documents!$E$2:$E$619,Documents!$A$2:$A$619,$A77,Documents!$C$2:$C$619,"obsolete")),"")</f>
        <v/>
      </c>
      <c r="V77">
        <f>COUNTIFS(Documents!$A$2:$A$619,$A77)</f>
        <v/>
      </c>
      <c r="W77">
        <f>COUNTIFS(Documents!$A$2:$A$619,$A77,Documents!$R$2:$R$619,"current")</f>
        <v/>
      </c>
      <c r="X77">
        <f>HYPERLINK("https://www.neoscapesmaldives.com/wp-content/uploads/Factsheet-Hideaway-Beach-Maldives-NEO.pdf","2020_Factsheet-Hideaway-Beach-Maldives-N")</f>
        <v/>
      </c>
      <c r="Y77" t="inlineStr">
        <is>
          <t>wedding, events</t>
        </is>
      </c>
      <c r="Z77" t="inlineStr"/>
    </row>
    <row r="78">
      <c r="A78" t="n">
        <v>77</v>
      </c>
      <c r="B78" t="inlineStr">
        <is>
          <t>Atmosphere Kanifushi Maldives</t>
        </is>
      </c>
      <c r="C78" t="inlineStr">
        <is>
          <t>not crawled</t>
        </is>
      </c>
      <c r="D78">
        <f>IFERROR(IF(MAXIFS(Documents!$E$2:$E$619,Documents!$A$2:$A$619,$A78,Documents!$C$2:$C$619,"factsheet")=0,"",MAXIFS(Documents!$E$2:$E$619,Documents!$A$2:$A$619,$A78,Documents!$C$2:$C$619,"factsheet")),"")</f>
        <v/>
      </c>
      <c r="E78">
        <f>IFERROR(IF(MAXIFS(Documents!$E$2:$E$619,Documents!$A$2:$A$619,$A78,Documents!$C$2:$C$619,"wedding")=0,"",MAXIFS(Documents!$E$2:$E$619,Documents!$A$2:$A$619,$A78,Documents!$C$2:$C$619,"wedding")),"")</f>
        <v/>
      </c>
      <c r="F78">
        <f>IFERROR(IF(MAXIFS(Documents!$E$2:$E$619,Documents!$A$2:$A$619,$A78,Documents!$C$2:$C$619,"events")=0,"",MAXIFS(Documents!$E$2:$E$619,Documents!$A$2:$A$619,$A78,Documents!$C$2:$C$619,"events")),"")</f>
        <v/>
      </c>
      <c r="G78">
        <f>IFERROR(IF(MAXIFS(Documents!$E$2:$E$619,Documents!$A$2:$A$619,$A78,Documents!$C$2:$C$619,"map")=0,"",MAXIFS(Documents!$E$2:$E$619,Documents!$A$2:$A$619,$A78,Documents!$C$2:$C$619,"map")),"")</f>
        <v/>
      </c>
      <c r="H78">
        <f>IFERROR(IF(MAXIFS(Documents!$E$2:$E$619,Documents!$A$2:$A$619,$A78,Documents!$C$2:$C$619,"dive_map")=0,"",MAXIFS(Documents!$E$2:$E$619,Documents!$A$2:$A$619,$A78,Documents!$C$2:$C$619,"dive_map")),"")</f>
        <v/>
      </c>
      <c r="I78">
        <f>IFERROR(IF(MAXIFS(Documents!$E$2:$E$619,Documents!$A$2:$A$619,$A78,Documents!$C$2:$C$619,"spa_menu")=0,"",MAXIFS(Documents!$E$2:$E$619,Documents!$A$2:$A$619,$A78,Documents!$C$2:$C$619,"spa_menu")),"")</f>
        <v/>
      </c>
      <c r="J78">
        <f>IFERROR(IF(MAXIFS(Documents!$E$2:$E$619,Documents!$A$2:$A$619,$A78,Documents!$C$2:$C$619,"dining_menu")=0,"",MAXIFS(Documents!$E$2:$E$619,Documents!$A$2:$A$619,$A78,Documents!$C$2:$C$619,"dining_menu")),"")</f>
        <v/>
      </c>
      <c r="K78">
        <f>IFERROR(IF(MAXIFS(Documents!$E$2:$E$619,Documents!$A$2:$A$619,$A78,Documents!$C$2:$C$619,"dive_prices")=0,"",MAXIFS(Documents!$E$2:$E$619,Documents!$A$2:$A$619,$A78,Documents!$C$2:$C$619,"dive_prices")),"")</f>
        <v/>
      </c>
      <c r="L78">
        <f>IFERROR(IF(MAXIFS(Documents!$E$2:$E$619,Documents!$A$2:$A$619,$A78,Documents!$C$2:$C$619,"excursions")=0,"",MAXIFS(Documents!$E$2:$E$619,Documents!$A$2:$A$619,$A78,Documents!$C$2:$C$619,"excursions")),"")</f>
        <v/>
      </c>
      <c r="M78">
        <f>IFERROR(IF(MAXIFS(Documents!$E$2:$E$619,Documents!$A$2:$A$619,$A78,Documents!$C$2:$C$619,"kids")=0,"",MAXIFS(Documents!$E$2:$E$619,Documents!$A$2:$A$619,$A78,Documents!$C$2:$C$619,"kids")),"")</f>
        <v/>
      </c>
      <c r="N78">
        <f>IFERROR(IF(MAXIFS(Documents!$E$2:$E$619,Documents!$A$2:$A$619,$A78,Documents!$C$2:$C$619,"villa_plans")=0,"",MAXIFS(Documents!$E$2:$E$619,Documents!$A$2:$A$619,$A78,Documents!$C$2:$C$619,"villa_plans")),"")</f>
        <v/>
      </c>
      <c r="O78">
        <f>IFERROR(IF(MAXIFS(Documents!$E$2:$E$619,Documents!$A$2:$A$619,$A78,Documents!$C$2:$C$619,"all_inclusive")=0,"",MAXIFS(Documents!$E$2:$E$619,Documents!$A$2:$A$619,$A78,Documents!$C$2:$C$619,"all_inclusive")),"")</f>
        <v/>
      </c>
      <c r="P78">
        <f>IFERROR(IF(MAXIFS(Documents!$E$2:$E$619,Documents!$A$2:$A$619,$A78,Documents!$C$2:$C$619,"sustainability")=0,"",MAXIFS(Documents!$E$2:$E$619,Documents!$A$2:$A$619,$A78,Documents!$C$2:$C$619,"sustainability")),"")</f>
        <v/>
      </c>
      <c r="Q78">
        <f>IFERROR(IF(MAXIFS(Documents!$E$2:$E$619,Documents!$A$2:$A$619,$A78,Documents!$C$2:$C$619,"calendar")=0,"",MAXIFS(Documents!$E$2:$E$619,Documents!$A$2:$A$619,$A78,Documents!$C$2:$C$619,"calendar")),"")</f>
        <v/>
      </c>
      <c r="R78">
        <f>IFERROR(IF(MAXIFS(Documents!$E$2:$E$619,Documents!$A$2:$A$619,$A78,Documents!$C$2:$C$619,"brochure")=0,"",MAXIFS(Documents!$E$2:$E$619,Documents!$A$2:$A$619,$A78,Documents!$C$2:$C$619,"brochure")),"")</f>
        <v/>
      </c>
      <c r="S78">
        <f>IFERROR(IF(MAXIFS(Documents!$E$2:$E$619,Documents!$A$2:$A$619,$A78,Documents!$C$2:$C$619,"press_kit")=0,"",MAXIFS(Documents!$E$2:$E$619,Documents!$A$2:$A$619,$A78,Documents!$C$2:$C$619,"press_kit")),"")</f>
        <v/>
      </c>
      <c r="T78">
        <f>IFERROR(IF(MAXIFS(Documents!$E$2:$E$619,Documents!$A$2:$A$619,$A78,Documents!$C$2:$C$619,"other")=0,"",MAXIFS(Documents!$E$2:$E$619,Documents!$A$2:$A$619,$A78,Documents!$C$2:$C$619,"other")),"")</f>
        <v/>
      </c>
      <c r="U78">
        <f>IFERROR(IF(MAXIFS(Documents!$E$2:$E$619,Documents!$A$2:$A$619,$A78,Documents!$C$2:$C$619,"obsolete")=0,"",MAXIFS(Documents!$E$2:$E$619,Documents!$A$2:$A$619,$A78,Documents!$C$2:$C$619,"obsolete")),"")</f>
        <v/>
      </c>
      <c r="V78">
        <f>COUNTIFS(Documents!$A$2:$A$619,$A78)</f>
        <v/>
      </c>
      <c r="W78">
        <f>COUNTIFS(Documents!$A$2:$A$619,$A78,Documents!$R$2:$R$619,"current")</f>
        <v/>
      </c>
      <c r="X78" t="inlineStr"/>
      <c r="Y78" t="inlineStr">
        <is>
          <t>factsheet, wedding, events</t>
        </is>
      </c>
      <c r="Z78" t="inlineStr"/>
    </row>
    <row r="79">
      <c r="A79" t="n">
        <v>78</v>
      </c>
      <c r="B79" t="inlineStr">
        <is>
          <t>Meeru Maldives Resort Island</t>
        </is>
      </c>
      <c r="C79" t="inlineStr">
        <is>
          <t>not crawled</t>
        </is>
      </c>
      <c r="D79">
        <f>IFERROR(IF(MAXIFS(Documents!$E$2:$E$619,Documents!$A$2:$A$619,$A79,Documents!$C$2:$C$619,"factsheet")=0,"",MAXIFS(Documents!$E$2:$E$619,Documents!$A$2:$A$619,$A79,Documents!$C$2:$C$619,"factsheet")),"")</f>
        <v/>
      </c>
      <c r="E79">
        <f>IFERROR(IF(MAXIFS(Documents!$E$2:$E$619,Documents!$A$2:$A$619,$A79,Documents!$C$2:$C$619,"wedding")=0,"",MAXIFS(Documents!$E$2:$E$619,Documents!$A$2:$A$619,$A79,Documents!$C$2:$C$619,"wedding")),"")</f>
        <v/>
      </c>
      <c r="F79">
        <f>IFERROR(IF(MAXIFS(Documents!$E$2:$E$619,Documents!$A$2:$A$619,$A79,Documents!$C$2:$C$619,"events")=0,"",MAXIFS(Documents!$E$2:$E$619,Documents!$A$2:$A$619,$A79,Documents!$C$2:$C$619,"events")),"")</f>
        <v/>
      </c>
      <c r="G79">
        <f>IFERROR(IF(MAXIFS(Documents!$E$2:$E$619,Documents!$A$2:$A$619,$A79,Documents!$C$2:$C$619,"map")=0,"",MAXIFS(Documents!$E$2:$E$619,Documents!$A$2:$A$619,$A79,Documents!$C$2:$C$619,"map")),"")</f>
        <v/>
      </c>
      <c r="H79">
        <f>IFERROR(IF(MAXIFS(Documents!$E$2:$E$619,Documents!$A$2:$A$619,$A79,Documents!$C$2:$C$619,"dive_map")=0,"",MAXIFS(Documents!$E$2:$E$619,Documents!$A$2:$A$619,$A79,Documents!$C$2:$C$619,"dive_map")),"")</f>
        <v/>
      </c>
      <c r="I79">
        <f>IFERROR(IF(MAXIFS(Documents!$E$2:$E$619,Documents!$A$2:$A$619,$A79,Documents!$C$2:$C$619,"spa_menu")=0,"",MAXIFS(Documents!$E$2:$E$619,Documents!$A$2:$A$619,$A79,Documents!$C$2:$C$619,"spa_menu")),"")</f>
        <v/>
      </c>
      <c r="J79">
        <f>IFERROR(IF(MAXIFS(Documents!$E$2:$E$619,Documents!$A$2:$A$619,$A79,Documents!$C$2:$C$619,"dining_menu")=0,"",MAXIFS(Documents!$E$2:$E$619,Documents!$A$2:$A$619,$A79,Documents!$C$2:$C$619,"dining_menu")),"")</f>
        <v/>
      </c>
      <c r="K79">
        <f>IFERROR(IF(MAXIFS(Documents!$E$2:$E$619,Documents!$A$2:$A$619,$A79,Documents!$C$2:$C$619,"dive_prices")=0,"",MAXIFS(Documents!$E$2:$E$619,Documents!$A$2:$A$619,$A79,Documents!$C$2:$C$619,"dive_prices")),"")</f>
        <v/>
      </c>
      <c r="L79">
        <f>IFERROR(IF(MAXIFS(Documents!$E$2:$E$619,Documents!$A$2:$A$619,$A79,Documents!$C$2:$C$619,"excursions")=0,"",MAXIFS(Documents!$E$2:$E$619,Documents!$A$2:$A$619,$A79,Documents!$C$2:$C$619,"excursions")),"")</f>
        <v/>
      </c>
      <c r="M79">
        <f>IFERROR(IF(MAXIFS(Documents!$E$2:$E$619,Documents!$A$2:$A$619,$A79,Documents!$C$2:$C$619,"kids")=0,"",MAXIFS(Documents!$E$2:$E$619,Documents!$A$2:$A$619,$A79,Documents!$C$2:$C$619,"kids")),"")</f>
        <v/>
      </c>
      <c r="N79">
        <f>IFERROR(IF(MAXIFS(Documents!$E$2:$E$619,Documents!$A$2:$A$619,$A79,Documents!$C$2:$C$619,"villa_plans")=0,"",MAXIFS(Documents!$E$2:$E$619,Documents!$A$2:$A$619,$A79,Documents!$C$2:$C$619,"villa_plans")),"")</f>
        <v/>
      </c>
      <c r="O79">
        <f>IFERROR(IF(MAXIFS(Documents!$E$2:$E$619,Documents!$A$2:$A$619,$A79,Documents!$C$2:$C$619,"all_inclusive")=0,"",MAXIFS(Documents!$E$2:$E$619,Documents!$A$2:$A$619,$A79,Documents!$C$2:$C$619,"all_inclusive")),"")</f>
        <v/>
      </c>
      <c r="P79">
        <f>IFERROR(IF(MAXIFS(Documents!$E$2:$E$619,Documents!$A$2:$A$619,$A79,Documents!$C$2:$C$619,"sustainability")=0,"",MAXIFS(Documents!$E$2:$E$619,Documents!$A$2:$A$619,$A79,Documents!$C$2:$C$619,"sustainability")),"")</f>
        <v/>
      </c>
      <c r="Q79">
        <f>IFERROR(IF(MAXIFS(Documents!$E$2:$E$619,Documents!$A$2:$A$619,$A79,Documents!$C$2:$C$619,"calendar")=0,"",MAXIFS(Documents!$E$2:$E$619,Documents!$A$2:$A$619,$A79,Documents!$C$2:$C$619,"calendar")),"")</f>
        <v/>
      </c>
      <c r="R79">
        <f>IFERROR(IF(MAXIFS(Documents!$E$2:$E$619,Documents!$A$2:$A$619,$A79,Documents!$C$2:$C$619,"brochure")=0,"",MAXIFS(Documents!$E$2:$E$619,Documents!$A$2:$A$619,$A79,Documents!$C$2:$C$619,"brochure")),"")</f>
        <v/>
      </c>
      <c r="S79">
        <f>IFERROR(IF(MAXIFS(Documents!$E$2:$E$619,Documents!$A$2:$A$619,$A79,Documents!$C$2:$C$619,"press_kit")=0,"",MAXIFS(Documents!$E$2:$E$619,Documents!$A$2:$A$619,$A79,Documents!$C$2:$C$619,"press_kit")),"")</f>
        <v/>
      </c>
      <c r="T79">
        <f>IFERROR(IF(MAXIFS(Documents!$E$2:$E$619,Documents!$A$2:$A$619,$A79,Documents!$C$2:$C$619,"other")=0,"",MAXIFS(Documents!$E$2:$E$619,Documents!$A$2:$A$619,$A79,Documents!$C$2:$C$619,"other")),"")</f>
        <v/>
      </c>
      <c r="U79">
        <f>IFERROR(IF(MAXIFS(Documents!$E$2:$E$619,Documents!$A$2:$A$619,$A79,Documents!$C$2:$C$619,"obsolete")=0,"",MAXIFS(Documents!$E$2:$E$619,Documents!$A$2:$A$619,$A79,Documents!$C$2:$C$619,"obsolete")),"")</f>
        <v/>
      </c>
      <c r="V79">
        <f>COUNTIFS(Documents!$A$2:$A$619,$A79)</f>
        <v/>
      </c>
      <c r="W79">
        <f>COUNTIFS(Documents!$A$2:$A$619,$A79,Documents!$R$2:$R$619,"current")</f>
        <v/>
      </c>
      <c r="X79">
        <f>HYPERLINK("https://sales.crownandchamparesorts.com/wp-content/uploads/2025/12/FactSheetMeeru110125103126Ver01022025.pdf","2025_FactSheetMeeru110125103126Ver010220")</f>
        <v/>
      </c>
      <c r="Y79" t="inlineStr">
        <is>
          <t>wedding, events</t>
        </is>
      </c>
      <c r="Z79" t="inlineStr"/>
    </row>
    <row r="80">
      <c r="A80" t="n">
        <v>79</v>
      </c>
      <c r="B80" t="inlineStr">
        <is>
          <t>Komandoo Island Resort</t>
        </is>
      </c>
      <c r="C80" t="inlineStr">
        <is>
          <t>not crawled</t>
        </is>
      </c>
      <c r="D80">
        <f>IFERROR(IF(MAXIFS(Documents!$E$2:$E$619,Documents!$A$2:$A$619,$A80,Documents!$C$2:$C$619,"factsheet")=0,"",MAXIFS(Documents!$E$2:$E$619,Documents!$A$2:$A$619,$A80,Documents!$C$2:$C$619,"factsheet")),"")</f>
        <v/>
      </c>
      <c r="E80">
        <f>IFERROR(IF(MAXIFS(Documents!$E$2:$E$619,Documents!$A$2:$A$619,$A80,Documents!$C$2:$C$619,"wedding")=0,"",MAXIFS(Documents!$E$2:$E$619,Documents!$A$2:$A$619,$A80,Documents!$C$2:$C$619,"wedding")),"")</f>
        <v/>
      </c>
      <c r="F80">
        <f>IFERROR(IF(MAXIFS(Documents!$E$2:$E$619,Documents!$A$2:$A$619,$A80,Documents!$C$2:$C$619,"events")=0,"",MAXIFS(Documents!$E$2:$E$619,Documents!$A$2:$A$619,$A80,Documents!$C$2:$C$619,"events")),"")</f>
        <v/>
      </c>
      <c r="G80">
        <f>IFERROR(IF(MAXIFS(Documents!$E$2:$E$619,Documents!$A$2:$A$619,$A80,Documents!$C$2:$C$619,"map")=0,"",MAXIFS(Documents!$E$2:$E$619,Documents!$A$2:$A$619,$A80,Documents!$C$2:$C$619,"map")),"")</f>
        <v/>
      </c>
      <c r="H80">
        <f>IFERROR(IF(MAXIFS(Documents!$E$2:$E$619,Documents!$A$2:$A$619,$A80,Documents!$C$2:$C$619,"dive_map")=0,"",MAXIFS(Documents!$E$2:$E$619,Documents!$A$2:$A$619,$A80,Documents!$C$2:$C$619,"dive_map")),"")</f>
        <v/>
      </c>
      <c r="I80">
        <f>IFERROR(IF(MAXIFS(Documents!$E$2:$E$619,Documents!$A$2:$A$619,$A80,Documents!$C$2:$C$619,"spa_menu")=0,"",MAXIFS(Documents!$E$2:$E$619,Documents!$A$2:$A$619,$A80,Documents!$C$2:$C$619,"spa_menu")),"")</f>
        <v/>
      </c>
      <c r="J80">
        <f>IFERROR(IF(MAXIFS(Documents!$E$2:$E$619,Documents!$A$2:$A$619,$A80,Documents!$C$2:$C$619,"dining_menu")=0,"",MAXIFS(Documents!$E$2:$E$619,Documents!$A$2:$A$619,$A80,Documents!$C$2:$C$619,"dining_menu")),"")</f>
        <v/>
      </c>
      <c r="K80">
        <f>IFERROR(IF(MAXIFS(Documents!$E$2:$E$619,Documents!$A$2:$A$619,$A80,Documents!$C$2:$C$619,"dive_prices")=0,"",MAXIFS(Documents!$E$2:$E$619,Documents!$A$2:$A$619,$A80,Documents!$C$2:$C$619,"dive_prices")),"")</f>
        <v/>
      </c>
      <c r="L80">
        <f>IFERROR(IF(MAXIFS(Documents!$E$2:$E$619,Documents!$A$2:$A$619,$A80,Documents!$C$2:$C$619,"excursions")=0,"",MAXIFS(Documents!$E$2:$E$619,Documents!$A$2:$A$619,$A80,Documents!$C$2:$C$619,"excursions")),"")</f>
        <v/>
      </c>
      <c r="M80">
        <f>IFERROR(IF(MAXIFS(Documents!$E$2:$E$619,Documents!$A$2:$A$619,$A80,Documents!$C$2:$C$619,"kids")=0,"",MAXIFS(Documents!$E$2:$E$619,Documents!$A$2:$A$619,$A80,Documents!$C$2:$C$619,"kids")),"")</f>
        <v/>
      </c>
      <c r="N80">
        <f>IFERROR(IF(MAXIFS(Documents!$E$2:$E$619,Documents!$A$2:$A$619,$A80,Documents!$C$2:$C$619,"villa_plans")=0,"",MAXIFS(Documents!$E$2:$E$619,Documents!$A$2:$A$619,$A80,Documents!$C$2:$C$619,"villa_plans")),"")</f>
        <v/>
      </c>
      <c r="O80">
        <f>IFERROR(IF(MAXIFS(Documents!$E$2:$E$619,Documents!$A$2:$A$619,$A80,Documents!$C$2:$C$619,"all_inclusive")=0,"",MAXIFS(Documents!$E$2:$E$619,Documents!$A$2:$A$619,$A80,Documents!$C$2:$C$619,"all_inclusive")),"")</f>
        <v/>
      </c>
      <c r="P80">
        <f>IFERROR(IF(MAXIFS(Documents!$E$2:$E$619,Documents!$A$2:$A$619,$A80,Documents!$C$2:$C$619,"sustainability")=0,"",MAXIFS(Documents!$E$2:$E$619,Documents!$A$2:$A$619,$A80,Documents!$C$2:$C$619,"sustainability")),"")</f>
        <v/>
      </c>
      <c r="Q80">
        <f>IFERROR(IF(MAXIFS(Documents!$E$2:$E$619,Documents!$A$2:$A$619,$A80,Documents!$C$2:$C$619,"calendar")=0,"",MAXIFS(Documents!$E$2:$E$619,Documents!$A$2:$A$619,$A80,Documents!$C$2:$C$619,"calendar")),"")</f>
        <v/>
      </c>
      <c r="R80">
        <f>IFERROR(IF(MAXIFS(Documents!$E$2:$E$619,Documents!$A$2:$A$619,$A80,Documents!$C$2:$C$619,"brochure")=0,"",MAXIFS(Documents!$E$2:$E$619,Documents!$A$2:$A$619,$A80,Documents!$C$2:$C$619,"brochure")),"")</f>
        <v/>
      </c>
      <c r="S80">
        <f>IFERROR(IF(MAXIFS(Documents!$E$2:$E$619,Documents!$A$2:$A$619,$A80,Documents!$C$2:$C$619,"press_kit")=0,"",MAXIFS(Documents!$E$2:$E$619,Documents!$A$2:$A$619,$A80,Documents!$C$2:$C$619,"press_kit")),"")</f>
        <v/>
      </c>
      <c r="T80">
        <f>IFERROR(IF(MAXIFS(Documents!$E$2:$E$619,Documents!$A$2:$A$619,$A80,Documents!$C$2:$C$619,"other")=0,"",MAXIFS(Documents!$E$2:$E$619,Documents!$A$2:$A$619,$A80,Documents!$C$2:$C$619,"other")),"")</f>
        <v/>
      </c>
      <c r="U80">
        <f>IFERROR(IF(MAXIFS(Documents!$E$2:$E$619,Documents!$A$2:$A$619,$A80,Documents!$C$2:$C$619,"obsolete")=0,"",MAXIFS(Documents!$E$2:$E$619,Documents!$A$2:$A$619,$A80,Documents!$C$2:$C$619,"obsolete")),"")</f>
        <v/>
      </c>
      <c r="V80">
        <f>COUNTIFS(Documents!$A$2:$A$619,$A80)</f>
        <v/>
      </c>
      <c r="W80">
        <f>COUNTIFS(Documents!$A$2:$A$619,$A80,Documents!$R$2:$R$619,"current")</f>
        <v/>
      </c>
      <c r="X80">
        <f>HYPERLINK("https://sales.crownandchamparesorts.com/wp-content/uploads/2025/12/KomandooFactsheet110125103126Ver170824.pdf","2025_KomandooFactsheet110125103126Ver170")</f>
        <v/>
      </c>
      <c r="Y80" t="inlineStr">
        <is>
          <t>wedding, events</t>
        </is>
      </c>
      <c r="Z80" t="inlineStr"/>
    </row>
    <row r="81">
      <c r="A81" t="n">
        <v>80</v>
      </c>
      <c r="B81" t="inlineStr">
        <is>
          <t>Raaya by Atmosphere</t>
        </is>
      </c>
      <c r="C81" t="inlineStr">
        <is>
          <t>not crawled</t>
        </is>
      </c>
      <c r="D81">
        <f>IFERROR(IF(MAXIFS(Documents!$E$2:$E$619,Documents!$A$2:$A$619,$A81,Documents!$C$2:$C$619,"factsheet")=0,"",MAXIFS(Documents!$E$2:$E$619,Documents!$A$2:$A$619,$A81,Documents!$C$2:$C$619,"factsheet")),"")</f>
        <v/>
      </c>
      <c r="E81">
        <f>IFERROR(IF(MAXIFS(Documents!$E$2:$E$619,Documents!$A$2:$A$619,$A81,Documents!$C$2:$C$619,"wedding")=0,"",MAXIFS(Documents!$E$2:$E$619,Documents!$A$2:$A$619,$A81,Documents!$C$2:$C$619,"wedding")),"")</f>
        <v/>
      </c>
      <c r="F81">
        <f>IFERROR(IF(MAXIFS(Documents!$E$2:$E$619,Documents!$A$2:$A$619,$A81,Documents!$C$2:$C$619,"events")=0,"",MAXIFS(Documents!$E$2:$E$619,Documents!$A$2:$A$619,$A81,Documents!$C$2:$C$619,"events")),"")</f>
        <v/>
      </c>
      <c r="G81">
        <f>IFERROR(IF(MAXIFS(Documents!$E$2:$E$619,Documents!$A$2:$A$619,$A81,Documents!$C$2:$C$619,"map")=0,"",MAXIFS(Documents!$E$2:$E$619,Documents!$A$2:$A$619,$A81,Documents!$C$2:$C$619,"map")),"")</f>
        <v/>
      </c>
      <c r="H81">
        <f>IFERROR(IF(MAXIFS(Documents!$E$2:$E$619,Documents!$A$2:$A$619,$A81,Documents!$C$2:$C$619,"dive_map")=0,"",MAXIFS(Documents!$E$2:$E$619,Documents!$A$2:$A$619,$A81,Documents!$C$2:$C$619,"dive_map")),"")</f>
        <v/>
      </c>
      <c r="I81">
        <f>IFERROR(IF(MAXIFS(Documents!$E$2:$E$619,Documents!$A$2:$A$619,$A81,Documents!$C$2:$C$619,"spa_menu")=0,"",MAXIFS(Documents!$E$2:$E$619,Documents!$A$2:$A$619,$A81,Documents!$C$2:$C$619,"spa_menu")),"")</f>
        <v/>
      </c>
      <c r="J81">
        <f>IFERROR(IF(MAXIFS(Documents!$E$2:$E$619,Documents!$A$2:$A$619,$A81,Documents!$C$2:$C$619,"dining_menu")=0,"",MAXIFS(Documents!$E$2:$E$619,Documents!$A$2:$A$619,$A81,Documents!$C$2:$C$619,"dining_menu")),"")</f>
        <v/>
      </c>
      <c r="K81">
        <f>IFERROR(IF(MAXIFS(Documents!$E$2:$E$619,Documents!$A$2:$A$619,$A81,Documents!$C$2:$C$619,"dive_prices")=0,"",MAXIFS(Documents!$E$2:$E$619,Documents!$A$2:$A$619,$A81,Documents!$C$2:$C$619,"dive_prices")),"")</f>
        <v/>
      </c>
      <c r="L81">
        <f>IFERROR(IF(MAXIFS(Documents!$E$2:$E$619,Documents!$A$2:$A$619,$A81,Documents!$C$2:$C$619,"excursions")=0,"",MAXIFS(Documents!$E$2:$E$619,Documents!$A$2:$A$619,$A81,Documents!$C$2:$C$619,"excursions")),"")</f>
        <v/>
      </c>
      <c r="M81">
        <f>IFERROR(IF(MAXIFS(Documents!$E$2:$E$619,Documents!$A$2:$A$619,$A81,Documents!$C$2:$C$619,"kids")=0,"",MAXIFS(Documents!$E$2:$E$619,Documents!$A$2:$A$619,$A81,Documents!$C$2:$C$619,"kids")),"")</f>
        <v/>
      </c>
      <c r="N81">
        <f>IFERROR(IF(MAXIFS(Documents!$E$2:$E$619,Documents!$A$2:$A$619,$A81,Documents!$C$2:$C$619,"villa_plans")=0,"",MAXIFS(Documents!$E$2:$E$619,Documents!$A$2:$A$619,$A81,Documents!$C$2:$C$619,"villa_plans")),"")</f>
        <v/>
      </c>
      <c r="O81">
        <f>IFERROR(IF(MAXIFS(Documents!$E$2:$E$619,Documents!$A$2:$A$619,$A81,Documents!$C$2:$C$619,"all_inclusive")=0,"",MAXIFS(Documents!$E$2:$E$619,Documents!$A$2:$A$619,$A81,Documents!$C$2:$C$619,"all_inclusive")),"")</f>
        <v/>
      </c>
      <c r="P81">
        <f>IFERROR(IF(MAXIFS(Documents!$E$2:$E$619,Documents!$A$2:$A$619,$A81,Documents!$C$2:$C$619,"sustainability")=0,"",MAXIFS(Documents!$E$2:$E$619,Documents!$A$2:$A$619,$A81,Documents!$C$2:$C$619,"sustainability")),"")</f>
        <v/>
      </c>
      <c r="Q81">
        <f>IFERROR(IF(MAXIFS(Documents!$E$2:$E$619,Documents!$A$2:$A$619,$A81,Documents!$C$2:$C$619,"calendar")=0,"",MAXIFS(Documents!$E$2:$E$619,Documents!$A$2:$A$619,$A81,Documents!$C$2:$C$619,"calendar")),"")</f>
        <v/>
      </c>
      <c r="R81">
        <f>IFERROR(IF(MAXIFS(Documents!$E$2:$E$619,Documents!$A$2:$A$619,$A81,Documents!$C$2:$C$619,"brochure")=0,"",MAXIFS(Documents!$E$2:$E$619,Documents!$A$2:$A$619,$A81,Documents!$C$2:$C$619,"brochure")),"")</f>
        <v/>
      </c>
      <c r="S81">
        <f>IFERROR(IF(MAXIFS(Documents!$E$2:$E$619,Documents!$A$2:$A$619,$A81,Documents!$C$2:$C$619,"press_kit")=0,"",MAXIFS(Documents!$E$2:$E$619,Documents!$A$2:$A$619,$A81,Documents!$C$2:$C$619,"press_kit")),"")</f>
        <v/>
      </c>
      <c r="T81">
        <f>IFERROR(IF(MAXIFS(Documents!$E$2:$E$619,Documents!$A$2:$A$619,$A81,Documents!$C$2:$C$619,"other")=0,"",MAXIFS(Documents!$E$2:$E$619,Documents!$A$2:$A$619,$A81,Documents!$C$2:$C$619,"other")),"")</f>
        <v/>
      </c>
      <c r="U81">
        <f>IFERROR(IF(MAXIFS(Documents!$E$2:$E$619,Documents!$A$2:$A$619,$A81,Documents!$C$2:$C$619,"obsolete")=0,"",MAXIFS(Documents!$E$2:$E$619,Documents!$A$2:$A$619,$A81,Documents!$C$2:$C$619,"obsolete")),"")</f>
        <v/>
      </c>
      <c r="V81">
        <f>COUNTIFS(Documents!$A$2:$A$619,$A81)</f>
        <v/>
      </c>
      <c r="W81">
        <f>COUNTIFS(Documents!$A$2:$A$619,$A81,Documents!$R$2:$R$619,"current")</f>
        <v/>
      </c>
      <c r="X81" t="inlineStr"/>
      <c r="Y81" t="inlineStr">
        <is>
          <t>factsheet, wedding, events</t>
        </is>
      </c>
      <c r="Z81" t="inlineStr"/>
    </row>
    <row r="82">
      <c r="A82" t="n">
        <v>81</v>
      </c>
      <c r="B82" t="inlineStr">
        <is>
          <t>Kuredu Island Resort</t>
        </is>
      </c>
      <c r="C82" t="inlineStr">
        <is>
          <t>not crawled</t>
        </is>
      </c>
      <c r="D82">
        <f>IFERROR(IF(MAXIFS(Documents!$E$2:$E$619,Documents!$A$2:$A$619,$A82,Documents!$C$2:$C$619,"factsheet")=0,"",MAXIFS(Documents!$E$2:$E$619,Documents!$A$2:$A$619,$A82,Documents!$C$2:$C$619,"factsheet")),"")</f>
        <v/>
      </c>
      <c r="E82">
        <f>IFERROR(IF(MAXIFS(Documents!$E$2:$E$619,Documents!$A$2:$A$619,$A82,Documents!$C$2:$C$619,"wedding")=0,"",MAXIFS(Documents!$E$2:$E$619,Documents!$A$2:$A$619,$A82,Documents!$C$2:$C$619,"wedding")),"")</f>
        <v/>
      </c>
      <c r="F82">
        <f>IFERROR(IF(MAXIFS(Documents!$E$2:$E$619,Documents!$A$2:$A$619,$A82,Documents!$C$2:$C$619,"events")=0,"",MAXIFS(Documents!$E$2:$E$619,Documents!$A$2:$A$619,$A82,Documents!$C$2:$C$619,"events")),"")</f>
        <v/>
      </c>
      <c r="G82">
        <f>IFERROR(IF(MAXIFS(Documents!$E$2:$E$619,Documents!$A$2:$A$619,$A82,Documents!$C$2:$C$619,"map")=0,"",MAXIFS(Documents!$E$2:$E$619,Documents!$A$2:$A$619,$A82,Documents!$C$2:$C$619,"map")),"")</f>
        <v/>
      </c>
      <c r="H82">
        <f>IFERROR(IF(MAXIFS(Documents!$E$2:$E$619,Documents!$A$2:$A$619,$A82,Documents!$C$2:$C$619,"dive_map")=0,"",MAXIFS(Documents!$E$2:$E$619,Documents!$A$2:$A$619,$A82,Documents!$C$2:$C$619,"dive_map")),"")</f>
        <v/>
      </c>
      <c r="I82">
        <f>IFERROR(IF(MAXIFS(Documents!$E$2:$E$619,Documents!$A$2:$A$619,$A82,Documents!$C$2:$C$619,"spa_menu")=0,"",MAXIFS(Documents!$E$2:$E$619,Documents!$A$2:$A$619,$A82,Documents!$C$2:$C$619,"spa_menu")),"")</f>
        <v/>
      </c>
      <c r="J82">
        <f>IFERROR(IF(MAXIFS(Documents!$E$2:$E$619,Documents!$A$2:$A$619,$A82,Documents!$C$2:$C$619,"dining_menu")=0,"",MAXIFS(Documents!$E$2:$E$619,Documents!$A$2:$A$619,$A82,Documents!$C$2:$C$619,"dining_menu")),"")</f>
        <v/>
      </c>
      <c r="K82">
        <f>IFERROR(IF(MAXIFS(Documents!$E$2:$E$619,Documents!$A$2:$A$619,$A82,Documents!$C$2:$C$619,"dive_prices")=0,"",MAXIFS(Documents!$E$2:$E$619,Documents!$A$2:$A$619,$A82,Documents!$C$2:$C$619,"dive_prices")),"")</f>
        <v/>
      </c>
      <c r="L82">
        <f>IFERROR(IF(MAXIFS(Documents!$E$2:$E$619,Documents!$A$2:$A$619,$A82,Documents!$C$2:$C$619,"excursions")=0,"",MAXIFS(Documents!$E$2:$E$619,Documents!$A$2:$A$619,$A82,Documents!$C$2:$C$619,"excursions")),"")</f>
        <v/>
      </c>
      <c r="M82">
        <f>IFERROR(IF(MAXIFS(Documents!$E$2:$E$619,Documents!$A$2:$A$619,$A82,Documents!$C$2:$C$619,"kids")=0,"",MAXIFS(Documents!$E$2:$E$619,Documents!$A$2:$A$619,$A82,Documents!$C$2:$C$619,"kids")),"")</f>
        <v/>
      </c>
      <c r="N82">
        <f>IFERROR(IF(MAXIFS(Documents!$E$2:$E$619,Documents!$A$2:$A$619,$A82,Documents!$C$2:$C$619,"villa_plans")=0,"",MAXIFS(Documents!$E$2:$E$619,Documents!$A$2:$A$619,$A82,Documents!$C$2:$C$619,"villa_plans")),"")</f>
        <v/>
      </c>
      <c r="O82">
        <f>IFERROR(IF(MAXIFS(Documents!$E$2:$E$619,Documents!$A$2:$A$619,$A82,Documents!$C$2:$C$619,"all_inclusive")=0,"",MAXIFS(Documents!$E$2:$E$619,Documents!$A$2:$A$619,$A82,Documents!$C$2:$C$619,"all_inclusive")),"")</f>
        <v/>
      </c>
      <c r="P82">
        <f>IFERROR(IF(MAXIFS(Documents!$E$2:$E$619,Documents!$A$2:$A$619,$A82,Documents!$C$2:$C$619,"sustainability")=0,"",MAXIFS(Documents!$E$2:$E$619,Documents!$A$2:$A$619,$A82,Documents!$C$2:$C$619,"sustainability")),"")</f>
        <v/>
      </c>
      <c r="Q82">
        <f>IFERROR(IF(MAXIFS(Documents!$E$2:$E$619,Documents!$A$2:$A$619,$A82,Documents!$C$2:$C$619,"calendar")=0,"",MAXIFS(Documents!$E$2:$E$619,Documents!$A$2:$A$619,$A82,Documents!$C$2:$C$619,"calendar")),"")</f>
        <v/>
      </c>
      <c r="R82">
        <f>IFERROR(IF(MAXIFS(Documents!$E$2:$E$619,Documents!$A$2:$A$619,$A82,Documents!$C$2:$C$619,"brochure")=0,"",MAXIFS(Documents!$E$2:$E$619,Documents!$A$2:$A$619,$A82,Documents!$C$2:$C$619,"brochure")),"")</f>
        <v/>
      </c>
      <c r="S82">
        <f>IFERROR(IF(MAXIFS(Documents!$E$2:$E$619,Documents!$A$2:$A$619,$A82,Documents!$C$2:$C$619,"press_kit")=0,"",MAXIFS(Documents!$E$2:$E$619,Documents!$A$2:$A$619,$A82,Documents!$C$2:$C$619,"press_kit")),"")</f>
        <v/>
      </c>
      <c r="T82">
        <f>IFERROR(IF(MAXIFS(Documents!$E$2:$E$619,Documents!$A$2:$A$619,$A82,Documents!$C$2:$C$619,"other")=0,"",MAXIFS(Documents!$E$2:$E$619,Documents!$A$2:$A$619,$A82,Documents!$C$2:$C$619,"other")),"")</f>
        <v/>
      </c>
      <c r="U82">
        <f>IFERROR(IF(MAXIFS(Documents!$E$2:$E$619,Documents!$A$2:$A$619,$A82,Documents!$C$2:$C$619,"obsolete")=0,"",MAXIFS(Documents!$E$2:$E$619,Documents!$A$2:$A$619,$A82,Documents!$C$2:$C$619,"obsolete")),"")</f>
        <v/>
      </c>
      <c r="V82">
        <f>COUNTIFS(Documents!$A$2:$A$619,$A82)</f>
        <v/>
      </c>
      <c r="W82">
        <f>COUNTIFS(Documents!$A$2:$A$619,$A82,Documents!$R$2:$R$619,"current")</f>
        <v/>
      </c>
      <c r="X82">
        <f>HYPERLINK("https://sales.crownandchamparesorts.com/wp-content/uploads/2025/12/KureduFactsheet110125103126Rev301025.pdf","2025_KureduFactsheet110125103126Rev30102")</f>
        <v/>
      </c>
      <c r="Y82" t="inlineStr">
        <is>
          <t>wedding, events</t>
        </is>
      </c>
      <c r="Z82" t="inlineStr"/>
    </row>
    <row r="83">
      <c r="A83" t="n">
        <v>82</v>
      </c>
      <c r="B83" t="inlineStr">
        <is>
          <t>Ifuru Island Maldives</t>
        </is>
      </c>
      <c r="C83" t="inlineStr">
        <is>
          <t>not crawled</t>
        </is>
      </c>
      <c r="D83">
        <f>IFERROR(IF(MAXIFS(Documents!$E$2:$E$619,Documents!$A$2:$A$619,$A83,Documents!$C$2:$C$619,"factsheet")=0,"",MAXIFS(Documents!$E$2:$E$619,Documents!$A$2:$A$619,$A83,Documents!$C$2:$C$619,"factsheet")),"")</f>
        <v/>
      </c>
      <c r="E83">
        <f>IFERROR(IF(MAXIFS(Documents!$E$2:$E$619,Documents!$A$2:$A$619,$A83,Documents!$C$2:$C$619,"wedding")=0,"",MAXIFS(Documents!$E$2:$E$619,Documents!$A$2:$A$619,$A83,Documents!$C$2:$C$619,"wedding")),"")</f>
        <v/>
      </c>
      <c r="F83">
        <f>IFERROR(IF(MAXIFS(Documents!$E$2:$E$619,Documents!$A$2:$A$619,$A83,Documents!$C$2:$C$619,"events")=0,"",MAXIFS(Documents!$E$2:$E$619,Documents!$A$2:$A$619,$A83,Documents!$C$2:$C$619,"events")),"")</f>
        <v/>
      </c>
      <c r="G83">
        <f>IFERROR(IF(MAXIFS(Documents!$E$2:$E$619,Documents!$A$2:$A$619,$A83,Documents!$C$2:$C$619,"map")=0,"",MAXIFS(Documents!$E$2:$E$619,Documents!$A$2:$A$619,$A83,Documents!$C$2:$C$619,"map")),"")</f>
        <v/>
      </c>
      <c r="H83">
        <f>IFERROR(IF(MAXIFS(Documents!$E$2:$E$619,Documents!$A$2:$A$619,$A83,Documents!$C$2:$C$619,"dive_map")=0,"",MAXIFS(Documents!$E$2:$E$619,Documents!$A$2:$A$619,$A83,Documents!$C$2:$C$619,"dive_map")),"")</f>
        <v/>
      </c>
      <c r="I83">
        <f>IFERROR(IF(MAXIFS(Documents!$E$2:$E$619,Documents!$A$2:$A$619,$A83,Documents!$C$2:$C$619,"spa_menu")=0,"",MAXIFS(Documents!$E$2:$E$619,Documents!$A$2:$A$619,$A83,Documents!$C$2:$C$619,"spa_menu")),"")</f>
        <v/>
      </c>
      <c r="J83">
        <f>IFERROR(IF(MAXIFS(Documents!$E$2:$E$619,Documents!$A$2:$A$619,$A83,Documents!$C$2:$C$619,"dining_menu")=0,"",MAXIFS(Documents!$E$2:$E$619,Documents!$A$2:$A$619,$A83,Documents!$C$2:$C$619,"dining_menu")),"")</f>
        <v/>
      </c>
      <c r="K83">
        <f>IFERROR(IF(MAXIFS(Documents!$E$2:$E$619,Documents!$A$2:$A$619,$A83,Documents!$C$2:$C$619,"dive_prices")=0,"",MAXIFS(Documents!$E$2:$E$619,Documents!$A$2:$A$619,$A83,Documents!$C$2:$C$619,"dive_prices")),"")</f>
        <v/>
      </c>
      <c r="L83">
        <f>IFERROR(IF(MAXIFS(Documents!$E$2:$E$619,Documents!$A$2:$A$619,$A83,Documents!$C$2:$C$619,"excursions")=0,"",MAXIFS(Documents!$E$2:$E$619,Documents!$A$2:$A$619,$A83,Documents!$C$2:$C$619,"excursions")),"")</f>
        <v/>
      </c>
      <c r="M83">
        <f>IFERROR(IF(MAXIFS(Documents!$E$2:$E$619,Documents!$A$2:$A$619,$A83,Documents!$C$2:$C$619,"kids")=0,"",MAXIFS(Documents!$E$2:$E$619,Documents!$A$2:$A$619,$A83,Documents!$C$2:$C$619,"kids")),"")</f>
        <v/>
      </c>
      <c r="N83">
        <f>IFERROR(IF(MAXIFS(Documents!$E$2:$E$619,Documents!$A$2:$A$619,$A83,Documents!$C$2:$C$619,"villa_plans")=0,"",MAXIFS(Documents!$E$2:$E$619,Documents!$A$2:$A$619,$A83,Documents!$C$2:$C$619,"villa_plans")),"")</f>
        <v/>
      </c>
      <c r="O83">
        <f>IFERROR(IF(MAXIFS(Documents!$E$2:$E$619,Documents!$A$2:$A$619,$A83,Documents!$C$2:$C$619,"all_inclusive")=0,"",MAXIFS(Documents!$E$2:$E$619,Documents!$A$2:$A$619,$A83,Documents!$C$2:$C$619,"all_inclusive")),"")</f>
        <v/>
      </c>
      <c r="P83">
        <f>IFERROR(IF(MAXIFS(Documents!$E$2:$E$619,Documents!$A$2:$A$619,$A83,Documents!$C$2:$C$619,"sustainability")=0,"",MAXIFS(Documents!$E$2:$E$619,Documents!$A$2:$A$619,$A83,Documents!$C$2:$C$619,"sustainability")),"")</f>
        <v/>
      </c>
      <c r="Q83">
        <f>IFERROR(IF(MAXIFS(Documents!$E$2:$E$619,Documents!$A$2:$A$619,$A83,Documents!$C$2:$C$619,"calendar")=0,"",MAXIFS(Documents!$E$2:$E$619,Documents!$A$2:$A$619,$A83,Documents!$C$2:$C$619,"calendar")),"")</f>
        <v/>
      </c>
      <c r="R83">
        <f>IFERROR(IF(MAXIFS(Documents!$E$2:$E$619,Documents!$A$2:$A$619,$A83,Documents!$C$2:$C$619,"brochure")=0,"",MAXIFS(Documents!$E$2:$E$619,Documents!$A$2:$A$619,$A83,Documents!$C$2:$C$619,"brochure")),"")</f>
        <v/>
      </c>
      <c r="S83">
        <f>IFERROR(IF(MAXIFS(Documents!$E$2:$E$619,Documents!$A$2:$A$619,$A83,Documents!$C$2:$C$619,"press_kit")=0,"",MAXIFS(Documents!$E$2:$E$619,Documents!$A$2:$A$619,$A83,Documents!$C$2:$C$619,"press_kit")),"")</f>
        <v/>
      </c>
      <c r="T83">
        <f>IFERROR(IF(MAXIFS(Documents!$E$2:$E$619,Documents!$A$2:$A$619,$A83,Documents!$C$2:$C$619,"other")=0,"",MAXIFS(Documents!$E$2:$E$619,Documents!$A$2:$A$619,$A83,Documents!$C$2:$C$619,"other")),"")</f>
        <v/>
      </c>
      <c r="U83">
        <f>IFERROR(IF(MAXIFS(Documents!$E$2:$E$619,Documents!$A$2:$A$619,$A83,Documents!$C$2:$C$619,"obsolete")=0,"",MAXIFS(Documents!$E$2:$E$619,Documents!$A$2:$A$619,$A83,Documents!$C$2:$C$619,"obsolete")),"")</f>
        <v/>
      </c>
      <c r="V83">
        <f>COUNTIFS(Documents!$A$2:$A$619,$A83)</f>
        <v/>
      </c>
      <c r="W83">
        <f>COUNTIFS(Documents!$A$2:$A$619,$A83,Documents!$R$2:$R$619,"current")</f>
        <v/>
      </c>
      <c r="X83">
        <f>HYPERLINK("https://www.neoscapesmaldives.com/wp-content/uploads/IFURU-ISLAND-MALDIVES-Fact-Sheet.pdf","2023_IFURU-ISLAND-MALDIVES-Fact-Sheet.pd")</f>
        <v/>
      </c>
      <c r="Y83" t="inlineStr">
        <is>
          <t>wedding, events</t>
        </is>
      </c>
      <c r="Z83" t="inlineStr"/>
    </row>
    <row r="84">
      <c r="A84" t="n">
        <v>83</v>
      </c>
      <c r="B84" t="inlineStr">
        <is>
          <t>Mabinhura by Jawakara Islands Maldives</t>
        </is>
      </c>
      <c r="C84" t="inlineStr">
        <is>
          <t>not crawled</t>
        </is>
      </c>
      <c r="D84">
        <f>IFERROR(IF(MAXIFS(Documents!$E$2:$E$619,Documents!$A$2:$A$619,$A84,Documents!$C$2:$C$619,"factsheet")=0,"",MAXIFS(Documents!$E$2:$E$619,Documents!$A$2:$A$619,$A84,Documents!$C$2:$C$619,"factsheet")),"")</f>
        <v/>
      </c>
      <c r="E84">
        <f>IFERROR(IF(MAXIFS(Documents!$E$2:$E$619,Documents!$A$2:$A$619,$A84,Documents!$C$2:$C$619,"wedding")=0,"",MAXIFS(Documents!$E$2:$E$619,Documents!$A$2:$A$619,$A84,Documents!$C$2:$C$619,"wedding")),"")</f>
        <v/>
      </c>
      <c r="F84">
        <f>IFERROR(IF(MAXIFS(Documents!$E$2:$E$619,Documents!$A$2:$A$619,$A84,Documents!$C$2:$C$619,"events")=0,"",MAXIFS(Documents!$E$2:$E$619,Documents!$A$2:$A$619,$A84,Documents!$C$2:$C$619,"events")),"")</f>
        <v/>
      </c>
      <c r="G84">
        <f>IFERROR(IF(MAXIFS(Documents!$E$2:$E$619,Documents!$A$2:$A$619,$A84,Documents!$C$2:$C$619,"map")=0,"",MAXIFS(Documents!$E$2:$E$619,Documents!$A$2:$A$619,$A84,Documents!$C$2:$C$619,"map")),"")</f>
        <v/>
      </c>
      <c r="H84">
        <f>IFERROR(IF(MAXIFS(Documents!$E$2:$E$619,Documents!$A$2:$A$619,$A84,Documents!$C$2:$C$619,"dive_map")=0,"",MAXIFS(Documents!$E$2:$E$619,Documents!$A$2:$A$619,$A84,Documents!$C$2:$C$619,"dive_map")),"")</f>
        <v/>
      </c>
      <c r="I84">
        <f>IFERROR(IF(MAXIFS(Documents!$E$2:$E$619,Documents!$A$2:$A$619,$A84,Documents!$C$2:$C$619,"spa_menu")=0,"",MAXIFS(Documents!$E$2:$E$619,Documents!$A$2:$A$619,$A84,Documents!$C$2:$C$619,"spa_menu")),"")</f>
        <v/>
      </c>
      <c r="J84">
        <f>IFERROR(IF(MAXIFS(Documents!$E$2:$E$619,Documents!$A$2:$A$619,$A84,Documents!$C$2:$C$619,"dining_menu")=0,"",MAXIFS(Documents!$E$2:$E$619,Documents!$A$2:$A$619,$A84,Documents!$C$2:$C$619,"dining_menu")),"")</f>
        <v/>
      </c>
      <c r="K84">
        <f>IFERROR(IF(MAXIFS(Documents!$E$2:$E$619,Documents!$A$2:$A$619,$A84,Documents!$C$2:$C$619,"dive_prices")=0,"",MAXIFS(Documents!$E$2:$E$619,Documents!$A$2:$A$619,$A84,Documents!$C$2:$C$619,"dive_prices")),"")</f>
        <v/>
      </c>
      <c r="L84">
        <f>IFERROR(IF(MAXIFS(Documents!$E$2:$E$619,Documents!$A$2:$A$619,$A84,Documents!$C$2:$C$619,"excursions")=0,"",MAXIFS(Documents!$E$2:$E$619,Documents!$A$2:$A$619,$A84,Documents!$C$2:$C$619,"excursions")),"")</f>
        <v/>
      </c>
      <c r="M84">
        <f>IFERROR(IF(MAXIFS(Documents!$E$2:$E$619,Documents!$A$2:$A$619,$A84,Documents!$C$2:$C$619,"kids")=0,"",MAXIFS(Documents!$E$2:$E$619,Documents!$A$2:$A$619,$A84,Documents!$C$2:$C$619,"kids")),"")</f>
        <v/>
      </c>
      <c r="N84">
        <f>IFERROR(IF(MAXIFS(Documents!$E$2:$E$619,Documents!$A$2:$A$619,$A84,Documents!$C$2:$C$619,"villa_plans")=0,"",MAXIFS(Documents!$E$2:$E$619,Documents!$A$2:$A$619,$A84,Documents!$C$2:$C$619,"villa_plans")),"")</f>
        <v/>
      </c>
      <c r="O84">
        <f>IFERROR(IF(MAXIFS(Documents!$E$2:$E$619,Documents!$A$2:$A$619,$A84,Documents!$C$2:$C$619,"all_inclusive")=0,"",MAXIFS(Documents!$E$2:$E$619,Documents!$A$2:$A$619,$A84,Documents!$C$2:$C$619,"all_inclusive")),"")</f>
        <v/>
      </c>
      <c r="P84">
        <f>IFERROR(IF(MAXIFS(Documents!$E$2:$E$619,Documents!$A$2:$A$619,$A84,Documents!$C$2:$C$619,"sustainability")=0,"",MAXIFS(Documents!$E$2:$E$619,Documents!$A$2:$A$619,$A84,Documents!$C$2:$C$619,"sustainability")),"")</f>
        <v/>
      </c>
      <c r="Q84">
        <f>IFERROR(IF(MAXIFS(Documents!$E$2:$E$619,Documents!$A$2:$A$619,$A84,Documents!$C$2:$C$619,"calendar")=0,"",MAXIFS(Documents!$E$2:$E$619,Documents!$A$2:$A$619,$A84,Documents!$C$2:$C$619,"calendar")),"")</f>
        <v/>
      </c>
      <c r="R84">
        <f>IFERROR(IF(MAXIFS(Documents!$E$2:$E$619,Documents!$A$2:$A$619,$A84,Documents!$C$2:$C$619,"brochure")=0,"",MAXIFS(Documents!$E$2:$E$619,Documents!$A$2:$A$619,$A84,Documents!$C$2:$C$619,"brochure")),"")</f>
        <v/>
      </c>
      <c r="S84">
        <f>IFERROR(IF(MAXIFS(Documents!$E$2:$E$619,Documents!$A$2:$A$619,$A84,Documents!$C$2:$C$619,"press_kit")=0,"",MAXIFS(Documents!$E$2:$E$619,Documents!$A$2:$A$619,$A84,Documents!$C$2:$C$619,"press_kit")),"")</f>
        <v/>
      </c>
      <c r="T84">
        <f>IFERROR(IF(MAXIFS(Documents!$E$2:$E$619,Documents!$A$2:$A$619,$A84,Documents!$C$2:$C$619,"other")=0,"",MAXIFS(Documents!$E$2:$E$619,Documents!$A$2:$A$619,$A84,Documents!$C$2:$C$619,"other")),"")</f>
        <v/>
      </c>
      <c r="U84">
        <f>IFERROR(IF(MAXIFS(Documents!$E$2:$E$619,Documents!$A$2:$A$619,$A84,Documents!$C$2:$C$619,"obsolete")=0,"",MAXIFS(Documents!$E$2:$E$619,Documents!$A$2:$A$619,$A84,Documents!$C$2:$C$619,"obsolete")),"")</f>
        <v/>
      </c>
      <c r="V84">
        <f>COUNTIFS(Documents!$A$2:$A$619,$A84)</f>
        <v/>
      </c>
      <c r="W84">
        <f>COUNTIFS(Documents!$A$2:$A$619,$A84,Documents!$R$2:$R$619,"current")</f>
        <v/>
      </c>
      <c r="X84">
        <f>HYPERLINK("https://sales.crownandchamparesorts.com/wp-content/uploads/2026/04/NalaMaldivesFactsheet011125311026Ver030426.pdf","2025_NalaMaldivesFactsheet011125311026Ve")</f>
        <v/>
      </c>
      <c r="Y84" t="inlineStr">
        <is>
          <t>wedding, events</t>
        </is>
      </c>
      <c r="Z84" t="inlineStr">
        <is>
          <t>Jawakara Islands (shared documents)</t>
        </is>
      </c>
    </row>
    <row r="85">
      <c r="A85" t="n">
        <v>84</v>
      </c>
      <c r="B85" t="inlineStr">
        <is>
          <t>Alimatha Aquatic Resort</t>
        </is>
      </c>
      <c r="C85" t="inlineStr">
        <is>
          <t>not crawled</t>
        </is>
      </c>
      <c r="D85">
        <f>IFERROR(IF(MAXIFS(Documents!$E$2:$E$619,Documents!$A$2:$A$619,$A85,Documents!$C$2:$C$619,"factsheet")=0,"",MAXIFS(Documents!$E$2:$E$619,Documents!$A$2:$A$619,$A85,Documents!$C$2:$C$619,"factsheet")),"")</f>
        <v/>
      </c>
      <c r="E85">
        <f>IFERROR(IF(MAXIFS(Documents!$E$2:$E$619,Documents!$A$2:$A$619,$A85,Documents!$C$2:$C$619,"wedding")=0,"",MAXIFS(Documents!$E$2:$E$619,Documents!$A$2:$A$619,$A85,Documents!$C$2:$C$619,"wedding")),"")</f>
        <v/>
      </c>
      <c r="F85">
        <f>IFERROR(IF(MAXIFS(Documents!$E$2:$E$619,Documents!$A$2:$A$619,$A85,Documents!$C$2:$C$619,"events")=0,"",MAXIFS(Documents!$E$2:$E$619,Documents!$A$2:$A$619,$A85,Documents!$C$2:$C$619,"events")),"")</f>
        <v/>
      </c>
      <c r="G85">
        <f>IFERROR(IF(MAXIFS(Documents!$E$2:$E$619,Documents!$A$2:$A$619,$A85,Documents!$C$2:$C$619,"map")=0,"",MAXIFS(Documents!$E$2:$E$619,Documents!$A$2:$A$619,$A85,Documents!$C$2:$C$619,"map")),"")</f>
        <v/>
      </c>
      <c r="H85">
        <f>IFERROR(IF(MAXIFS(Documents!$E$2:$E$619,Documents!$A$2:$A$619,$A85,Documents!$C$2:$C$619,"dive_map")=0,"",MAXIFS(Documents!$E$2:$E$619,Documents!$A$2:$A$619,$A85,Documents!$C$2:$C$619,"dive_map")),"")</f>
        <v/>
      </c>
      <c r="I85">
        <f>IFERROR(IF(MAXIFS(Documents!$E$2:$E$619,Documents!$A$2:$A$619,$A85,Documents!$C$2:$C$619,"spa_menu")=0,"",MAXIFS(Documents!$E$2:$E$619,Documents!$A$2:$A$619,$A85,Documents!$C$2:$C$619,"spa_menu")),"")</f>
        <v/>
      </c>
      <c r="J85">
        <f>IFERROR(IF(MAXIFS(Documents!$E$2:$E$619,Documents!$A$2:$A$619,$A85,Documents!$C$2:$C$619,"dining_menu")=0,"",MAXIFS(Documents!$E$2:$E$619,Documents!$A$2:$A$619,$A85,Documents!$C$2:$C$619,"dining_menu")),"")</f>
        <v/>
      </c>
      <c r="K85">
        <f>IFERROR(IF(MAXIFS(Documents!$E$2:$E$619,Documents!$A$2:$A$619,$A85,Documents!$C$2:$C$619,"dive_prices")=0,"",MAXIFS(Documents!$E$2:$E$619,Documents!$A$2:$A$619,$A85,Documents!$C$2:$C$619,"dive_prices")),"")</f>
        <v/>
      </c>
      <c r="L85">
        <f>IFERROR(IF(MAXIFS(Documents!$E$2:$E$619,Documents!$A$2:$A$619,$A85,Documents!$C$2:$C$619,"excursions")=0,"",MAXIFS(Documents!$E$2:$E$619,Documents!$A$2:$A$619,$A85,Documents!$C$2:$C$619,"excursions")),"")</f>
        <v/>
      </c>
      <c r="M85">
        <f>IFERROR(IF(MAXIFS(Documents!$E$2:$E$619,Documents!$A$2:$A$619,$A85,Documents!$C$2:$C$619,"kids")=0,"",MAXIFS(Documents!$E$2:$E$619,Documents!$A$2:$A$619,$A85,Documents!$C$2:$C$619,"kids")),"")</f>
        <v/>
      </c>
      <c r="N85">
        <f>IFERROR(IF(MAXIFS(Documents!$E$2:$E$619,Documents!$A$2:$A$619,$A85,Documents!$C$2:$C$619,"villa_plans")=0,"",MAXIFS(Documents!$E$2:$E$619,Documents!$A$2:$A$619,$A85,Documents!$C$2:$C$619,"villa_plans")),"")</f>
        <v/>
      </c>
      <c r="O85">
        <f>IFERROR(IF(MAXIFS(Documents!$E$2:$E$619,Documents!$A$2:$A$619,$A85,Documents!$C$2:$C$619,"all_inclusive")=0,"",MAXIFS(Documents!$E$2:$E$619,Documents!$A$2:$A$619,$A85,Documents!$C$2:$C$619,"all_inclusive")),"")</f>
        <v/>
      </c>
      <c r="P85">
        <f>IFERROR(IF(MAXIFS(Documents!$E$2:$E$619,Documents!$A$2:$A$619,$A85,Documents!$C$2:$C$619,"sustainability")=0,"",MAXIFS(Documents!$E$2:$E$619,Documents!$A$2:$A$619,$A85,Documents!$C$2:$C$619,"sustainability")),"")</f>
        <v/>
      </c>
      <c r="Q85">
        <f>IFERROR(IF(MAXIFS(Documents!$E$2:$E$619,Documents!$A$2:$A$619,$A85,Documents!$C$2:$C$619,"calendar")=0,"",MAXIFS(Documents!$E$2:$E$619,Documents!$A$2:$A$619,$A85,Documents!$C$2:$C$619,"calendar")),"")</f>
        <v/>
      </c>
      <c r="R85">
        <f>IFERROR(IF(MAXIFS(Documents!$E$2:$E$619,Documents!$A$2:$A$619,$A85,Documents!$C$2:$C$619,"brochure")=0,"",MAXIFS(Documents!$E$2:$E$619,Documents!$A$2:$A$619,$A85,Documents!$C$2:$C$619,"brochure")),"")</f>
        <v/>
      </c>
      <c r="S85">
        <f>IFERROR(IF(MAXIFS(Documents!$E$2:$E$619,Documents!$A$2:$A$619,$A85,Documents!$C$2:$C$619,"press_kit")=0,"",MAXIFS(Documents!$E$2:$E$619,Documents!$A$2:$A$619,$A85,Documents!$C$2:$C$619,"press_kit")),"")</f>
        <v/>
      </c>
      <c r="T85">
        <f>IFERROR(IF(MAXIFS(Documents!$E$2:$E$619,Documents!$A$2:$A$619,$A85,Documents!$C$2:$C$619,"other")=0,"",MAXIFS(Documents!$E$2:$E$619,Documents!$A$2:$A$619,$A85,Documents!$C$2:$C$619,"other")),"")</f>
        <v/>
      </c>
      <c r="U85">
        <f>IFERROR(IF(MAXIFS(Documents!$E$2:$E$619,Documents!$A$2:$A$619,$A85,Documents!$C$2:$C$619,"obsolete")=0,"",MAXIFS(Documents!$E$2:$E$619,Documents!$A$2:$A$619,$A85,Documents!$C$2:$C$619,"obsolete")),"")</f>
        <v/>
      </c>
      <c r="V85">
        <f>COUNTIFS(Documents!$A$2:$A$619,$A85)</f>
        <v/>
      </c>
      <c r="W85">
        <f>COUNTIFS(Documents!$A$2:$A$619,$A85,Documents!$R$2:$R$619,"current")</f>
        <v/>
      </c>
      <c r="X85" t="inlineStr"/>
      <c r="Y85" t="inlineStr">
        <is>
          <t>factsheet, wedding, events</t>
        </is>
      </c>
      <c r="Z85" t="inlineStr"/>
    </row>
    <row r="86">
      <c r="A86" t="n">
        <v>85</v>
      </c>
      <c r="B86" t="inlineStr">
        <is>
          <t>Centara Mirage Lagoon Maldives &amp; Centara Grand Lagoon Maldives</t>
        </is>
      </c>
      <c r="C86" t="inlineStr">
        <is>
          <t>not crawled</t>
        </is>
      </c>
      <c r="D86">
        <f>IFERROR(IF(MAXIFS(Documents!$E$2:$E$619,Documents!$A$2:$A$619,$A86,Documents!$C$2:$C$619,"factsheet")=0,"",MAXIFS(Documents!$E$2:$E$619,Documents!$A$2:$A$619,$A86,Documents!$C$2:$C$619,"factsheet")),"")</f>
        <v/>
      </c>
      <c r="E86">
        <f>IFERROR(IF(MAXIFS(Documents!$E$2:$E$619,Documents!$A$2:$A$619,$A86,Documents!$C$2:$C$619,"wedding")=0,"",MAXIFS(Documents!$E$2:$E$619,Documents!$A$2:$A$619,$A86,Documents!$C$2:$C$619,"wedding")),"")</f>
        <v/>
      </c>
      <c r="F86">
        <f>IFERROR(IF(MAXIFS(Documents!$E$2:$E$619,Documents!$A$2:$A$619,$A86,Documents!$C$2:$C$619,"events")=0,"",MAXIFS(Documents!$E$2:$E$619,Documents!$A$2:$A$619,$A86,Documents!$C$2:$C$619,"events")),"")</f>
        <v/>
      </c>
      <c r="G86">
        <f>IFERROR(IF(MAXIFS(Documents!$E$2:$E$619,Documents!$A$2:$A$619,$A86,Documents!$C$2:$C$619,"map")=0,"",MAXIFS(Documents!$E$2:$E$619,Documents!$A$2:$A$619,$A86,Documents!$C$2:$C$619,"map")),"")</f>
        <v/>
      </c>
      <c r="H86">
        <f>IFERROR(IF(MAXIFS(Documents!$E$2:$E$619,Documents!$A$2:$A$619,$A86,Documents!$C$2:$C$619,"dive_map")=0,"",MAXIFS(Documents!$E$2:$E$619,Documents!$A$2:$A$619,$A86,Documents!$C$2:$C$619,"dive_map")),"")</f>
        <v/>
      </c>
      <c r="I86">
        <f>IFERROR(IF(MAXIFS(Documents!$E$2:$E$619,Documents!$A$2:$A$619,$A86,Documents!$C$2:$C$619,"spa_menu")=0,"",MAXIFS(Documents!$E$2:$E$619,Documents!$A$2:$A$619,$A86,Documents!$C$2:$C$619,"spa_menu")),"")</f>
        <v/>
      </c>
      <c r="J86">
        <f>IFERROR(IF(MAXIFS(Documents!$E$2:$E$619,Documents!$A$2:$A$619,$A86,Documents!$C$2:$C$619,"dining_menu")=0,"",MAXIFS(Documents!$E$2:$E$619,Documents!$A$2:$A$619,$A86,Documents!$C$2:$C$619,"dining_menu")),"")</f>
        <v/>
      </c>
      <c r="K86">
        <f>IFERROR(IF(MAXIFS(Documents!$E$2:$E$619,Documents!$A$2:$A$619,$A86,Documents!$C$2:$C$619,"dive_prices")=0,"",MAXIFS(Documents!$E$2:$E$619,Documents!$A$2:$A$619,$A86,Documents!$C$2:$C$619,"dive_prices")),"")</f>
        <v/>
      </c>
      <c r="L86">
        <f>IFERROR(IF(MAXIFS(Documents!$E$2:$E$619,Documents!$A$2:$A$619,$A86,Documents!$C$2:$C$619,"excursions")=0,"",MAXIFS(Documents!$E$2:$E$619,Documents!$A$2:$A$619,$A86,Documents!$C$2:$C$619,"excursions")),"")</f>
        <v/>
      </c>
      <c r="M86">
        <f>IFERROR(IF(MAXIFS(Documents!$E$2:$E$619,Documents!$A$2:$A$619,$A86,Documents!$C$2:$C$619,"kids")=0,"",MAXIFS(Documents!$E$2:$E$619,Documents!$A$2:$A$619,$A86,Documents!$C$2:$C$619,"kids")),"")</f>
        <v/>
      </c>
      <c r="N86">
        <f>IFERROR(IF(MAXIFS(Documents!$E$2:$E$619,Documents!$A$2:$A$619,$A86,Documents!$C$2:$C$619,"villa_plans")=0,"",MAXIFS(Documents!$E$2:$E$619,Documents!$A$2:$A$619,$A86,Documents!$C$2:$C$619,"villa_plans")),"")</f>
        <v/>
      </c>
      <c r="O86">
        <f>IFERROR(IF(MAXIFS(Documents!$E$2:$E$619,Documents!$A$2:$A$619,$A86,Documents!$C$2:$C$619,"all_inclusive")=0,"",MAXIFS(Documents!$E$2:$E$619,Documents!$A$2:$A$619,$A86,Documents!$C$2:$C$619,"all_inclusive")),"")</f>
        <v/>
      </c>
      <c r="P86">
        <f>IFERROR(IF(MAXIFS(Documents!$E$2:$E$619,Documents!$A$2:$A$619,$A86,Documents!$C$2:$C$619,"sustainability")=0,"",MAXIFS(Documents!$E$2:$E$619,Documents!$A$2:$A$619,$A86,Documents!$C$2:$C$619,"sustainability")),"")</f>
        <v/>
      </c>
      <c r="Q86">
        <f>IFERROR(IF(MAXIFS(Documents!$E$2:$E$619,Documents!$A$2:$A$619,$A86,Documents!$C$2:$C$619,"calendar")=0,"",MAXIFS(Documents!$E$2:$E$619,Documents!$A$2:$A$619,$A86,Documents!$C$2:$C$619,"calendar")),"")</f>
        <v/>
      </c>
      <c r="R86">
        <f>IFERROR(IF(MAXIFS(Documents!$E$2:$E$619,Documents!$A$2:$A$619,$A86,Documents!$C$2:$C$619,"brochure")=0,"",MAXIFS(Documents!$E$2:$E$619,Documents!$A$2:$A$619,$A86,Documents!$C$2:$C$619,"brochure")),"")</f>
        <v/>
      </c>
      <c r="S86">
        <f>IFERROR(IF(MAXIFS(Documents!$E$2:$E$619,Documents!$A$2:$A$619,$A86,Documents!$C$2:$C$619,"press_kit")=0,"",MAXIFS(Documents!$E$2:$E$619,Documents!$A$2:$A$619,$A86,Documents!$C$2:$C$619,"press_kit")),"")</f>
        <v/>
      </c>
      <c r="T86">
        <f>IFERROR(IF(MAXIFS(Documents!$E$2:$E$619,Documents!$A$2:$A$619,$A86,Documents!$C$2:$C$619,"other")=0,"",MAXIFS(Documents!$E$2:$E$619,Documents!$A$2:$A$619,$A86,Documents!$C$2:$C$619,"other")),"")</f>
        <v/>
      </c>
      <c r="U86">
        <f>IFERROR(IF(MAXIFS(Documents!$E$2:$E$619,Documents!$A$2:$A$619,$A86,Documents!$C$2:$C$619,"obsolete")=0,"",MAXIFS(Documents!$E$2:$E$619,Documents!$A$2:$A$619,$A86,Documents!$C$2:$C$619,"obsolete")),"")</f>
        <v/>
      </c>
      <c r="V86">
        <f>COUNTIFS(Documents!$A$2:$A$619,$A86)</f>
        <v/>
      </c>
      <c r="W86">
        <f>COUNTIFS(Documents!$A$2:$A$619,$A86,Documents!$R$2:$R$619,"current")</f>
        <v/>
      </c>
      <c r="X86">
        <f>HYPERLINK("https://www.neoscapesmaldives.com/wp-content/uploads/Centara-Mirage-Lagoon-Factsheet-October-2025.pdf","2025_Centara-Mirage-Lagoon-Factsheet-Oct")</f>
        <v/>
      </c>
      <c r="Y86" t="inlineStr">
        <is>
          <t>wedding, events</t>
        </is>
      </c>
      <c r="Z86" t="inlineStr">
        <is>
          <t>two resorts sharing one entry</t>
        </is>
      </c>
    </row>
    <row r="87">
      <c r="A87" t="n">
        <v>86</v>
      </c>
      <c r="B87" t="inlineStr">
        <is>
          <t>Four Seasons Private Island Maldives at Voavah</t>
        </is>
      </c>
      <c r="C87" t="inlineStr">
        <is>
          <t>not crawled</t>
        </is>
      </c>
      <c r="D87">
        <f>IFERROR(IF(MAXIFS(Documents!$E$2:$E$619,Documents!$A$2:$A$619,$A87,Documents!$C$2:$C$619,"factsheet")=0,"",MAXIFS(Documents!$E$2:$E$619,Documents!$A$2:$A$619,$A87,Documents!$C$2:$C$619,"factsheet")),"")</f>
        <v/>
      </c>
      <c r="E87">
        <f>IFERROR(IF(MAXIFS(Documents!$E$2:$E$619,Documents!$A$2:$A$619,$A87,Documents!$C$2:$C$619,"wedding")=0,"",MAXIFS(Documents!$E$2:$E$619,Documents!$A$2:$A$619,$A87,Documents!$C$2:$C$619,"wedding")),"")</f>
        <v/>
      </c>
      <c r="F87">
        <f>IFERROR(IF(MAXIFS(Documents!$E$2:$E$619,Documents!$A$2:$A$619,$A87,Documents!$C$2:$C$619,"events")=0,"",MAXIFS(Documents!$E$2:$E$619,Documents!$A$2:$A$619,$A87,Documents!$C$2:$C$619,"events")),"")</f>
        <v/>
      </c>
      <c r="G87">
        <f>IFERROR(IF(MAXIFS(Documents!$E$2:$E$619,Documents!$A$2:$A$619,$A87,Documents!$C$2:$C$619,"map")=0,"",MAXIFS(Documents!$E$2:$E$619,Documents!$A$2:$A$619,$A87,Documents!$C$2:$C$619,"map")),"")</f>
        <v/>
      </c>
      <c r="H87">
        <f>IFERROR(IF(MAXIFS(Documents!$E$2:$E$619,Documents!$A$2:$A$619,$A87,Documents!$C$2:$C$619,"dive_map")=0,"",MAXIFS(Documents!$E$2:$E$619,Documents!$A$2:$A$619,$A87,Documents!$C$2:$C$619,"dive_map")),"")</f>
        <v/>
      </c>
      <c r="I87">
        <f>IFERROR(IF(MAXIFS(Documents!$E$2:$E$619,Documents!$A$2:$A$619,$A87,Documents!$C$2:$C$619,"spa_menu")=0,"",MAXIFS(Documents!$E$2:$E$619,Documents!$A$2:$A$619,$A87,Documents!$C$2:$C$619,"spa_menu")),"")</f>
        <v/>
      </c>
      <c r="J87">
        <f>IFERROR(IF(MAXIFS(Documents!$E$2:$E$619,Documents!$A$2:$A$619,$A87,Documents!$C$2:$C$619,"dining_menu")=0,"",MAXIFS(Documents!$E$2:$E$619,Documents!$A$2:$A$619,$A87,Documents!$C$2:$C$619,"dining_menu")),"")</f>
        <v/>
      </c>
      <c r="K87">
        <f>IFERROR(IF(MAXIFS(Documents!$E$2:$E$619,Documents!$A$2:$A$619,$A87,Documents!$C$2:$C$619,"dive_prices")=0,"",MAXIFS(Documents!$E$2:$E$619,Documents!$A$2:$A$619,$A87,Documents!$C$2:$C$619,"dive_prices")),"")</f>
        <v/>
      </c>
      <c r="L87">
        <f>IFERROR(IF(MAXIFS(Documents!$E$2:$E$619,Documents!$A$2:$A$619,$A87,Documents!$C$2:$C$619,"excursions")=0,"",MAXIFS(Documents!$E$2:$E$619,Documents!$A$2:$A$619,$A87,Documents!$C$2:$C$619,"excursions")),"")</f>
        <v/>
      </c>
      <c r="M87">
        <f>IFERROR(IF(MAXIFS(Documents!$E$2:$E$619,Documents!$A$2:$A$619,$A87,Documents!$C$2:$C$619,"kids")=0,"",MAXIFS(Documents!$E$2:$E$619,Documents!$A$2:$A$619,$A87,Documents!$C$2:$C$619,"kids")),"")</f>
        <v/>
      </c>
      <c r="N87">
        <f>IFERROR(IF(MAXIFS(Documents!$E$2:$E$619,Documents!$A$2:$A$619,$A87,Documents!$C$2:$C$619,"villa_plans")=0,"",MAXIFS(Documents!$E$2:$E$619,Documents!$A$2:$A$619,$A87,Documents!$C$2:$C$619,"villa_plans")),"")</f>
        <v/>
      </c>
      <c r="O87">
        <f>IFERROR(IF(MAXIFS(Documents!$E$2:$E$619,Documents!$A$2:$A$619,$A87,Documents!$C$2:$C$619,"all_inclusive")=0,"",MAXIFS(Documents!$E$2:$E$619,Documents!$A$2:$A$619,$A87,Documents!$C$2:$C$619,"all_inclusive")),"")</f>
        <v/>
      </c>
      <c r="P87">
        <f>IFERROR(IF(MAXIFS(Documents!$E$2:$E$619,Documents!$A$2:$A$619,$A87,Documents!$C$2:$C$619,"sustainability")=0,"",MAXIFS(Documents!$E$2:$E$619,Documents!$A$2:$A$619,$A87,Documents!$C$2:$C$619,"sustainability")),"")</f>
        <v/>
      </c>
      <c r="Q87">
        <f>IFERROR(IF(MAXIFS(Documents!$E$2:$E$619,Documents!$A$2:$A$619,$A87,Documents!$C$2:$C$619,"calendar")=0,"",MAXIFS(Documents!$E$2:$E$619,Documents!$A$2:$A$619,$A87,Documents!$C$2:$C$619,"calendar")),"")</f>
        <v/>
      </c>
      <c r="R87">
        <f>IFERROR(IF(MAXIFS(Documents!$E$2:$E$619,Documents!$A$2:$A$619,$A87,Documents!$C$2:$C$619,"brochure")=0,"",MAXIFS(Documents!$E$2:$E$619,Documents!$A$2:$A$619,$A87,Documents!$C$2:$C$619,"brochure")),"")</f>
        <v/>
      </c>
      <c r="S87">
        <f>IFERROR(IF(MAXIFS(Documents!$E$2:$E$619,Documents!$A$2:$A$619,$A87,Documents!$C$2:$C$619,"press_kit")=0,"",MAXIFS(Documents!$E$2:$E$619,Documents!$A$2:$A$619,$A87,Documents!$C$2:$C$619,"press_kit")),"")</f>
        <v/>
      </c>
      <c r="T87">
        <f>IFERROR(IF(MAXIFS(Documents!$E$2:$E$619,Documents!$A$2:$A$619,$A87,Documents!$C$2:$C$619,"other")=0,"",MAXIFS(Documents!$E$2:$E$619,Documents!$A$2:$A$619,$A87,Documents!$C$2:$C$619,"other")),"")</f>
        <v/>
      </c>
      <c r="U87">
        <f>IFERROR(IF(MAXIFS(Documents!$E$2:$E$619,Documents!$A$2:$A$619,$A87,Documents!$C$2:$C$619,"obsolete")=0,"",MAXIFS(Documents!$E$2:$E$619,Documents!$A$2:$A$619,$A87,Documents!$C$2:$C$619,"obsolete")),"")</f>
        <v/>
      </c>
      <c r="V87">
        <f>COUNTIFS(Documents!$A$2:$A$619,$A87)</f>
        <v/>
      </c>
      <c r="W87">
        <f>COUNTIFS(Documents!$A$2:$A$619,$A87,Documents!$R$2:$R$619,"current")</f>
        <v/>
      </c>
      <c r="X87" t="inlineStr"/>
      <c r="Y87" t="inlineStr">
        <is>
          <t>factsheet, wedding, events</t>
        </is>
      </c>
      <c r="Z87" t="inlineStr"/>
    </row>
    <row r="88">
      <c r="A88" t="n">
        <v>87</v>
      </c>
      <c r="B88" t="inlineStr">
        <is>
          <t>Four Seasons Resort Maldives at Landaa Giraavaru</t>
        </is>
      </c>
      <c r="C88" t="inlineStr">
        <is>
          <t>not crawled</t>
        </is>
      </c>
      <c r="D88">
        <f>IFERROR(IF(MAXIFS(Documents!$E$2:$E$619,Documents!$A$2:$A$619,$A88,Documents!$C$2:$C$619,"factsheet")=0,"",MAXIFS(Documents!$E$2:$E$619,Documents!$A$2:$A$619,$A88,Documents!$C$2:$C$619,"factsheet")),"")</f>
        <v/>
      </c>
      <c r="E88">
        <f>IFERROR(IF(MAXIFS(Documents!$E$2:$E$619,Documents!$A$2:$A$619,$A88,Documents!$C$2:$C$619,"wedding")=0,"",MAXIFS(Documents!$E$2:$E$619,Documents!$A$2:$A$619,$A88,Documents!$C$2:$C$619,"wedding")),"")</f>
        <v/>
      </c>
      <c r="F88">
        <f>IFERROR(IF(MAXIFS(Documents!$E$2:$E$619,Documents!$A$2:$A$619,$A88,Documents!$C$2:$C$619,"events")=0,"",MAXIFS(Documents!$E$2:$E$619,Documents!$A$2:$A$619,$A88,Documents!$C$2:$C$619,"events")),"")</f>
        <v/>
      </c>
      <c r="G88">
        <f>IFERROR(IF(MAXIFS(Documents!$E$2:$E$619,Documents!$A$2:$A$619,$A88,Documents!$C$2:$C$619,"map")=0,"",MAXIFS(Documents!$E$2:$E$619,Documents!$A$2:$A$619,$A88,Documents!$C$2:$C$619,"map")),"")</f>
        <v/>
      </c>
      <c r="H88">
        <f>IFERROR(IF(MAXIFS(Documents!$E$2:$E$619,Documents!$A$2:$A$619,$A88,Documents!$C$2:$C$619,"dive_map")=0,"",MAXIFS(Documents!$E$2:$E$619,Documents!$A$2:$A$619,$A88,Documents!$C$2:$C$619,"dive_map")),"")</f>
        <v/>
      </c>
      <c r="I88">
        <f>IFERROR(IF(MAXIFS(Documents!$E$2:$E$619,Documents!$A$2:$A$619,$A88,Documents!$C$2:$C$619,"spa_menu")=0,"",MAXIFS(Documents!$E$2:$E$619,Documents!$A$2:$A$619,$A88,Documents!$C$2:$C$619,"spa_menu")),"")</f>
        <v/>
      </c>
      <c r="J88">
        <f>IFERROR(IF(MAXIFS(Documents!$E$2:$E$619,Documents!$A$2:$A$619,$A88,Documents!$C$2:$C$619,"dining_menu")=0,"",MAXIFS(Documents!$E$2:$E$619,Documents!$A$2:$A$619,$A88,Documents!$C$2:$C$619,"dining_menu")),"")</f>
        <v/>
      </c>
      <c r="K88">
        <f>IFERROR(IF(MAXIFS(Documents!$E$2:$E$619,Documents!$A$2:$A$619,$A88,Documents!$C$2:$C$619,"dive_prices")=0,"",MAXIFS(Documents!$E$2:$E$619,Documents!$A$2:$A$619,$A88,Documents!$C$2:$C$619,"dive_prices")),"")</f>
        <v/>
      </c>
      <c r="L88">
        <f>IFERROR(IF(MAXIFS(Documents!$E$2:$E$619,Documents!$A$2:$A$619,$A88,Documents!$C$2:$C$619,"excursions")=0,"",MAXIFS(Documents!$E$2:$E$619,Documents!$A$2:$A$619,$A88,Documents!$C$2:$C$619,"excursions")),"")</f>
        <v/>
      </c>
      <c r="M88">
        <f>IFERROR(IF(MAXIFS(Documents!$E$2:$E$619,Documents!$A$2:$A$619,$A88,Documents!$C$2:$C$619,"kids")=0,"",MAXIFS(Documents!$E$2:$E$619,Documents!$A$2:$A$619,$A88,Documents!$C$2:$C$619,"kids")),"")</f>
        <v/>
      </c>
      <c r="N88">
        <f>IFERROR(IF(MAXIFS(Documents!$E$2:$E$619,Documents!$A$2:$A$619,$A88,Documents!$C$2:$C$619,"villa_plans")=0,"",MAXIFS(Documents!$E$2:$E$619,Documents!$A$2:$A$619,$A88,Documents!$C$2:$C$619,"villa_plans")),"")</f>
        <v/>
      </c>
      <c r="O88">
        <f>IFERROR(IF(MAXIFS(Documents!$E$2:$E$619,Documents!$A$2:$A$619,$A88,Documents!$C$2:$C$619,"all_inclusive")=0,"",MAXIFS(Documents!$E$2:$E$619,Documents!$A$2:$A$619,$A88,Documents!$C$2:$C$619,"all_inclusive")),"")</f>
        <v/>
      </c>
      <c r="P88">
        <f>IFERROR(IF(MAXIFS(Documents!$E$2:$E$619,Documents!$A$2:$A$619,$A88,Documents!$C$2:$C$619,"sustainability")=0,"",MAXIFS(Documents!$E$2:$E$619,Documents!$A$2:$A$619,$A88,Documents!$C$2:$C$619,"sustainability")),"")</f>
        <v/>
      </c>
      <c r="Q88">
        <f>IFERROR(IF(MAXIFS(Documents!$E$2:$E$619,Documents!$A$2:$A$619,$A88,Documents!$C$2:$C$619,"calendar")=0,"",MAXIFS(Documents!$E$2:$E$619,Documents!$A$2:$A$619,$A88,Documents!$C$2:$C$619,"calendar")),"")</f>
        <v/>
      </c>
      <c r="R88">
        <f>IFERROR(IF(MAXIFS(Documents!$E$2:$E$619,Documents!$A$2:$A$619,$A88,Documents!$C$2:$C$619,"brochure")=0,"",MAXIFS(Documents!$E$2:$E$619,Documents!$A$2:$A$619,$A88,Documents!$C$2:$C$619,"brochure")),"")</f>
        <v/>
      </c>
      <c r="S88">
        <f>IFERROR(IF(MAXIFS(Documents!$E$2:$E$619,Documents!$A$2:$A$619,$A88,Documents!$C$2:$C$619,"press_kit")=0,"",MAXIFS(Documents!$E$2:$E$619,Documents!$A$2:$A$619,$A88,Documents!$C$2:$C$619,"press_kit")),"")</f>
        <v/>
      </c>
      <c r="T88">
        <f>IFERROR(IF(MAXIFS(Documents!$E$2:$E$619,Documents!$A$2:$A$619,$A88,Documents!$C$2:$C$619,"other")=0,"",MAXIFS(Documents!$E$2:$E$619,Documents!$A$2:$A$619,$A88,Documents!$C$2:$C$619,"other")),"")</f>
        <v/>
      </c>
      <c r="U88">
        <f>IFERROR(IF(MAXIFS(Documents!$E$2:$E$619,Documents!$A$2:$A$619,$A88,Documents!$C$2:$C$619,"obsolete")=0,"",MAXIFS(Documents!$E$2:$E$619,Documents!$A$2:$A$619,$A88,Documents!$C$2:$C$619,"obsolete")),"")</f>
        <v/>
      </c>
      <c r="V88">
        <f>COUNTIFS(Documents!$A$2:$A$619,$A88)</f>
        <v/>
      </c>
      <c r="W88">
        <f>COUNTIFS(Documents!$A$2:$A$619,$A88,Documents!$R$2:$R$619,"current")</f>
        <v/>
      </c>
      <c r="X88" t="inlineStr"/>
      <c r="Y88" t="inlineStr">
        <is>
          <t>factsheet, wedding, events</t>
        </is>
      </c>
      <c r="Z88" t="inlineStr"/>
    </row>
    <row r="89">
      <c r="A89" t="n">
        <v>88</v>
      </c>
      <c r="B89" t="inlineStr">
        <is>
          <t>Holiday Inn Resort Kandooma Maldives</t>
        </is>
      </c>
      <c r="C89" t="inlineStr">
        <is>
          <t>not crawled</t>
        </is>
      </c>
      <c r="D89">
        <f>IFERROR(IF(MAXIFS(Documents!$E$2:$E$619,Documents!$A$2:$A$619,$A89,Documents!$C$2:$C$619,"factsheet")=0,"",MAXIFS(Documents!$E$2:$E$619,Documents!$A$2:$A$619,$A89,Documents!$C$2:$C$619,"factsheet")),"")</f>
        <v/>
      </c>
      <c r="E89">
        <f>IFERROR(IF(MAXIFS(Documents!$E$2:$E$619,Documents!$A$2:$A$619,$A89,Documents!$C$2:$C$619,"wedding")=0,"",MAXIFS(Documents!$E$2:$E$619,Documents!$A$2:$A$619,$A89,Documents!$C$2:$C$619,"wedding")),"")</f>
        <v/>
      </c>
      <c r="F89">
        <f>IFERROR(IF(MAXIFS(Documents!$E$2:$E$619,Documents!$A$2:$A$619,$A89,Documents!$C$2:$C$619,"events")=0,"",MAXIFS(Documents!$E$2:$E$619,Documents!$A$2:$A$619,$A89,Documents!$C$2:$C$619,"events")),"")</f>
        <v/>
      </c>
      <c r="G89">
        <f>IFERROR(IF(MAXIFS(Documents!$E$2:$E$619,Documents!$A$2:$A$619,$A89,Documents!$C$2:$C$619,"map")=0,"",MAXIFS(Documents!$E$2:$E$619,Documents!$A$2:$A$619,$A89,Documents!$C$2:$C$619,"map")),"")</f>
        <v/>
      </c>
      <c r="H89">
        <f>IFERROR(IF(MAXIFS(Documents!$E$2:$E$619,Documents!$A$2:$A$619,$A89,Documents!$C$2:$C$619,"dive_map")=0,"",MAXIFS(Documents!$E$2:$E$619,Documents!$A$2:$A$619,$A89,Documents!$C$2:$C$619,"dive_map")),"")</f>
        <v/>
      </c>
      <c r="I89">
        <f>IFERROR(IF(MAXIFS(Documents!$E$2:$E$619,Documents!$A$2:$A$619,$A89,Documents!$C$2:$C$619,"spa_menu")=0,"",MAXIFS(Documents!$E$2:$E$619,Documents!$A$2:$A$619,$A89,Documents!$C$2:$C$619,"spa_menu")),"")</f>
        <v/>
      </c>
      <c r="J89">
        <f>IFERROR(IF(MAXIFS(Documents!$E$2:$E$619,Documents!$A$2:$A$619,$A89,Documents!$C$2:$C$619,"dining_menu")=0,"",MAXIFS(Documents!$E$2:$E$619,Documents!$A$2:$A$619,$A89,Documents!$C$2:$C$619,"dining_menu")),"")</f>
        <v/>
      </c>
      <c r="K89">
        <f>IFERROR(IF(MAXIFS(Documents!$E$2:$E$619,Documents!$A$2:$A$619,$A89,Documents!$C$2:$C$619,"dive_prices")=0,"",MAXIFS(Documents!$E$2:$E$619,Documents!$A$2:$A$619,$A89,Documents!$C$2:$C$619,"dive_prices")),"")</f>
        <v/>
      </c>
      <c r="L89">
        <f>IFERROR(IF(MAXIFS(Documents!$E$2:$E$619,Documents!$A$2:$A$619,$A89,Documents!$C$2:$C$619,"excursions")=0,"",MAXIFS(Documents!$E$2:$E$619,Documents!$A$2:$A$619,$A89,Documents!$C$2:$C$619,"excursions")),"")</f>
        <v/>
      </c>
      <c r="M89">
        <f>IFERROR(IF(MAXIFS(Documents!$E$2:$E$619,Documents!$A$2:$A$619,$A89,Documents!$C$2:$C$619,"kids")=0,"",MAXIFS(Documents!$E$2:$E$619,Documents!$A$2:$A$619,$A89,Documents!$C$2:$C$619,"kids")),"")</f>
        <v/>
      </c>
      <c r="N89">
        <f>IFERROR(IF(MAXIFS(Documents!$E$2:$E$619,Documents!$A$2:$A$619,$A89,Documents!$C$2:$C$619,"villa_plans")=0,"",MAXIFS(Documents!$E$2:$E$619,Documents!$A$2:$A$619,$A89,Documents!$C$2:$C$619,"villa_plans")),"")</f>
        <v/>
      </c>
      <c r="O89">
        <f>IFERROR(IF(MAXIFS(Documents!$E$2:$E$619,Documents!$A$2:$A$619,$A89,Documents!$C$2:$C$619,"all_inclusive")=0,"",MAXIFS(Documents!$E$2:$E$619,Documents!$A$2:$A$619,$A89,Documents!$C$2:$C$619,"all_inclusive")),"")</f>
        <v/>
      </c>
      <c r="P89">
        <f>IFERROR(IF(MAXIFS(Documents!$E$2:$E$619,Documents!$A$2:$A$619,$A89,Documents!$C$2:$C$619,"sustainability")=0,"",MAXIFS(Documents!$E$2:$E$619,Documents!$A$2:$A$619,$A89,Documents!$C$2:$C$619,"sustainability")),"")</f>
        <v/>
      </c>
      <c r="Q89">
        <f>IFERROR(IF(MAXIFS(Documents!$E$2:$E$619,Documents!$A$2:$A$619,$A89,Documents!$C$2:$C$619,"calendar")=0,"",MAXIFS(Documents!$E$2:$E$619,Documents!$A$2:$A$619,$A89,Documents!$C$2:$C$619,"calendar")),"")</f>
        <v/>
      </c>
      <c r="R89">
        <f>IFERROR(IF(MAXIFS(Documents!$E$2:$E$619,Documents!$A$2:$A$619,$A89,Documents!$C$2:$C$619,"brochure")=0,"",MAXIFS(Documents!$E$2:$E$619,Documents!$A$2:$A$619,$A89,Documents!$C$2:$C$619,"brochure")),"")</f>
        <v/>
      </c>
      <c r="S89">
        <f>IFERROR(IF(MAXIFS(Documents!$E$2:$E$619,Documents!$A$2:$A$619,$A89,Documents!$C$2:$C$619,"press_kit")=0,"",MAXIFS(Documents!$E$2:$E$619,Documents!$A$2:$A$619,$A89,Documents!$C$2:$C$619,"press_kit")),"")</f>
        <v/>
      </c>
      <c r="T89">
        <f>IFERROR(IF(MAXIFS(Documents!$E$2:$E$619,Documents!$A$2:$A$619,$A89,Documents!$C$2:$C$619,"other")=0,"",MAXIFS(Documents!$E$2:$E$619,Documents!$A$2:$A$619,$A89,Documents!$C$2:$C$619,"other")),"")</f>
        <v/>
      </c>
      <c r="U89">
        <f>IFERROR(IF(MAXIFS(Documents!$E$2:$E$619,Documents!$A$2:$A$619,$A89,Documents!$C$2:$C$619,"obsolete")=0,"",MAXIFS(Documents!$E$2:$E$619,Documents!$A$2:$A$619,$A89,Documents!$C$2:$C$619,"obsolete")),"")</f>
        <v/>
      </c>
      <c r="V89">
        <f>COUNTIFS(Documents!$A$2:$A$619,$A89)</f>
        <v/>
      </c>
      <c r="W89">
        <f>COUNTIFS(Documents!$A$2:$A$619,$A89,Documents!$R$2:$R$619,"current")</f>
        <v/>
      </c>
      <c r="X89" t="inlineStr"/>
      <c r="Y89" t="inlineStr">
        <is>
          <t>factsheet, wedding, events</t>
        </is>
      </c>
      <c r="Z89" t="inlineStr"/>
    </row>
    <row r="90">
      <c r="A90" t="n">
        <v>89</v>
      </c>
      <c r="B90" t="inlineStr">
        <is>
          <t>Inter Continental Maldives Maamunagau</t>
        </is>
      </c>
      <c r="C90" t="inlineStr">
        <is>
          <t>not crawled</t>
        </is>
      </c>
      <c r="D90">
        <f>IFERROR(IF(MAXIFS(Documents!$E$2:$E$619,Documents!$A$2:$A$619,$A90,Documents!$C$2:$C$619,"factsheet")=0,"",MAXIFS(Documents!$E$2:$E$619,Documents!$A$2:$A$619,$A90,Documents!$C$2:$C$619,"factsheet")),"")</f>
        <v/>
      </c>
      <c r="E90">
        <f>IFERROR(IF(MAXIFS(Documents!$E$2:$E$619,Documents!$A$2:$A$619,$A90,Documents!$C$2:$C$619,"wedding")=0,"",MAXIFS(Documents!$E$2:$E$619,Documents!$A$2:$A$619,$A90,Documents!$C$2:$C$619,"wedding")),"")</f>
        <v/>
      </c>
      <c r="F90">
        <f>IFERROR(IF(MAXIFS(Documents!$E$2:$E$619,Documents!$A$2:$A$619,$A90,Documents!$C$2:$C$619,"events")=0,"",MAXIFS(Documents!$E$2:$E$619,Documents!$A$2:$A$619,$A90,Documents!$C$2:$C$619,"events")),"")</f>
        <v/>
      </c>
      <c r="G90">
        <f>IFERROR(IF(MAXIFS(Documents!$E$2:$E$619,Documents!$A$2:$A$619,$A90,Documents!$C$2:$C$619,"map")=0,"",MAXIFS(Documents!$E$2:$E$619,Documents!$A$2:$A$619,$A90,Documents!$C$2:$C$619,"map")),"")</f>
        <v/>
      </c>
      <c r="H90">
        <f>IFERROR(IF(MAXIFS(Documents!$E$2:$E$619,Documents!$A$2:$A$619,$A90,Documents!$C$2:$C$619,"dive_map")=0,"",MAXIFS(Documents!$E$2:$E$619,Documents!$A$2:$A$619,$A90,Documents!$C$2:$C$619,"dive_map")),"")</f>
        <v/>
      </c>
      <c r="I90">
        <f>IFERROR(IF(MAXIFS(Documents!$E$2:$E$619,Documents!$A$2:$A$619,$A90,Documents!$C$2:$C$619,"spa_menu")=0,"",MAXIFS(Documents!$E$2:$E$619,Documents!$A$2:$A$619,$A90,Documents!$C$2:$C$619,"spa_menu")),"")</f>
        <v/>
      </c>
      <c r="J90">
        <f>IFERROR(IF(MAXIFS(Documents!$E$2:$E$619,Documents!$A$2:$A$619,$A90,Documents!$C$2:$C$619,"dining_menu")=0,"",MAXIFS(Documents!$E$2:$E$619,Documents!$A$2:$A$619,$A90,Documents!$C$2:$C$619,"dining_menu")),"")</f>
        <v/>
      </c>
      <c r="K90">
        <f>IFERROR(IF(MAXIFS(Documents!$E$2:$E$619,Documents!$A$2:$A$619,$A90,Documents!$C$2:$C$619,"dive_prices")=0,"",MAXIFS(Documents!$E$2:$E$619,Documents!$A$2:$A$619,$A90,Documents!$C$2:$C$619,"dive_prices")),"")</f>
        <v/>
      </c>
      <c r="L90">
        <f>IFERROR(IF(MAXIFS(Documents!$E$2:$E$619,Documents!$A$2:$A$619,$A90,Documents!$C$2:$C$619,"excursions")=0,"",MAXIFS(Documents!$E$2:$E$619,Documents!$A$2:$A$619,$A90,Documents!$C$2:$C$619,"excursions")),"")</f>
        <v/>
      </c>
      <c r="M90">
        <f>IFERROR(IF(MAXIFS(Documents!$E$2:$E$619,Documents!$A$2:$A$619,$A90,Documents!$C$2:$C$619,"kids")=0,"",MAXIFS(Documents!$E$2:$E$619,Documents!$A$2:$A$619,$A90,Documents!$C$2:$C$619,"kids")),"")</f>
        <v/>
      </c>
      <c r="N90">
        <f>IFERROR(IF(MAXIFS(Documents!$E$2:$E$619,Documents!$A$2:$A$619,$A90,Documents!$C$2:$C$619,"villa_plans")=0,"",MAXIFS(Documents!$E$2:$E$619,Documents!$A$2:$A$619,$A90,Documents!$C$2:$C$619,"villa_plans")),"")</f>
        <v/>
      </c>
      <c r="O90">
        <f>IFERROR(IF(MAXIFS(Documents!$E$2:$E$619,Documents!$A$2:$A$619,$A90,Documents!$C$2:$C$619,"all_inclusive")=0,"",MAXIFS(Documents!$E$2:$E$619,Documents!$A$2:$A$619,$A90,Documents!$C$2:$C$619,"all_inclusive")),"")</f>
        <v/>
      </c>
      <c r="P90">
        <f>IFERROR(IF(MAXIFS(Documents!$E$2:$E$619,Documents!$A$2:$A$619,$A90,Documents!$C$2:$C$619,"sustainability")=0,"",MAXIFS(Documents!$E$2:$E$619,Documents!$A$2:$A$619,$A90,Documents!$C$2:$C$619,"sustainability")),"")</f>
        <v/>
      </c>
      <c r="Q90">
        <f>IFERROR(IF(MAXIFS(Documents!$E$2:$E$619,Documents!$A$2:$A$619,$A90,Documents!$C$2:$C$619,"calendar")=0,"",MAXIFS(Documents!$E$2:$E$619,Documents!$A$2:$A$619,$A90,Documents!$C$2:$C$619,"calendar")),"")</f>
        <v/>
      </c>
      <c r="R90">
        <f>IFERROR(IF(MAXIFS(Documents!$E$2:$E$619,Documents!$A$2:$A$619,$A90,Documents!$C$2:$C$619,"brochure")=0,"",MAXIFS(Documents!$E$2:$E$619,Documents!$A$2:$A$619,$A90,Documents!$C$2:$C$619,"brochure")),"")</f>
        <v/>
      </c>
      <c r="S90">
        <f>IFERROR(IF(MAXIFS(Documents!$E$2:$E$619,Documents!$A$2:$A$619,$A90,Documents!$C$2:$C$619,"press_kit")=0,"",MAXIFS(Documents!$E$2:$E$619,Documents!$A$2:$A$619,$A90,Documents!$C$2:$C$619,"press_kit")),"")</f>
        <v/>
      </c>
      <c r="T90">
        <f>IFERROR(IF(MAXIFS(Documents!$E$2:$E$619,Documents!$A$2:$A$619,$A90,Documents!$C$2:$C$619,"other")=0,"",MAXIFS(Documents!$E$2:$E$619,Documents!$A$2:$A$619,$A90,Documents!$C$2:$C$619,"other")),"")</f>
        <v/>
      </c>
      <c r="U90">
        <f>IFERROR(IF(MAXIFS(Documents!$E$2:$E$619,Documents!$A$2:$A$619,$A90,Documents!$C$2:$C$619,"obsolete")=0,"",MAXIFS(Documents!$E$2:$E$619,Documents!$A$2:$A$619,$A90,Documents!$C$2:$C$619,"obsolete")),"")</f>
        <v/>
      </c>
      <c r="V90">
        <f>COUNTIFS(Documents!$A$2:$A$619,$A90)</f>
        <v/>
      </c>
      <c r="W90">
        <f>COUNTIFS(Documents!$A$2:$A$619,$A90,Documents!$R$2:$R$619,"current")</f>
        <v/>
      </c>
      <c r="X90">
        <f>HYPERLINK("https://www.neoscapesmaldives.com/wp-content/uploads/InterContinental-Maldives-Maamunagau-Resort-Factsheet-NEO.pdf","2020_InterContinental-Maldives-Maamunaga")</f>
        <v/>
      </c>
      <c r="Y90" t="inlineStr">
        <is>
          <t>wedding, events</t>
        </is>
      </c>
      <c r="Z90" t="inlineStr"/>
    </row>
    <row r="91">
      <c r="A91" t="n">
        <v>90</v>
      </c>
      <c r="B91" t="inlineStr">
        <is>
          <t>Six Senses Kanuhura</t>
        </is>
      </c>
      <c r="C91" t="inlineStr">
        <is>
          <t>not crawled</t>
        </is>
      </c>
      <c r="D91">
        <f>IFERROR(IF(MAXIFS(Documents!$E$2:$E$619,Documents!$A$2:$A$619,$A91,Documents!$C$2:$C$619,"factsheet")=0,"",MAXIFS(Documents!$E$2:$E$619,Documents!$A$2:$A$619,$A91,Documents!$C$2:$C$619,"factsheet")),"")</f>
        <v/>
      </c>
      <c r="E91">
        <f>IFERROR(IF(MAXIFS(Documents!$E$2:$E$619,Documents!$A$2:$A$619,$A91,Documents!$C$2:$C$619,"wedding")=0,"",MAXIFS(Documents!$E$2:$E$619,Documents!$A$2:$A$619,$A91,Documents!$C$2:$C$619,"wedding")),"")</f>
        <v/>
      </c>
      <c r="F91">
        <f>IFERROR(IF(MAXIFS(Documents!$E$2:$E$619,Documents!$A$2:$A$619,$A91,Documents!$C$2:$C$619,"events")=0,"",MAXIFS(Documents!$E$2:$E$619,Documents!$A$2:$A$619,$A91,Documents!$C$2:$C$619,"events")),"")</f>
        <v/>
      </c>
      <c r="G91">
        <f>IFERROR(IF(MAXIFS(Documents!$E$2:$E$619,Documents!$A$2:$A$619,$A91,Documents!$C$2:$C$619,"map")=0,"",MAXIFS(Documents!$E$2:$E$619,Documents!$A$2:$A$619,$A91,Documents!$C$2:$C$619,"map")),"")</f>
        <v/>
      </c>
      <c r="H91">
        <f>IFERROR(IF(MAXIFS(Documents!$E$2:$E$619,Documents!$A$2:$A$619,$A91,Documents!$C$2:$C$619,"dive_map")=0,"",MAXIFS(Documents!$E$2:$E$619,Documents!$A$2:$A$619,$A91,Documents!$C$2:$C$619,"dive_map")),"")</f>
        <v/>
      </c>
      <c r="I91">
        <f>IFERROR(IF(MAXIFS(Documents!$E$2:$E$619,Documents!$A$2:$A$619,$A91,Documents!$C$2:$C$619,"spa_menu")=0,"",MAXIFS(Documents!$E$2:$E$619,Documents!$A$2:$A$619,$A91,Documents!$C$2:$C$619,"spa_menu")),"")</f>
        <v/>
      </c>
      <c r="J91">
        <f>IFERROR(IF(MAXIFS(Documents!$E$2:$E$619,Documents!$A$2:$A$619,$A91,Documents!$C$2:$C$619,"dining_menu")=0,"",MAXIFS(Documents!$E$2:$E$619,Documents!$A$2:$A$619,$A91,Documents!$C$2:$C$619,"dining_menu")),"")</f>
        <v/>
      </c>
      <c r="K91">
        <f>IFERROR(IF(MAXIFS(Documents!$E$2:$E$619,Documents!$A$2:$A$619,$A91,Documents!$C$2:$C$619,"dive_prices")=0,"",MAXIFS(Documents!$E$2:$E$619,Documents!$A$2:$A$619,$A91,Documents!$C$2:$C$619,"dive_prices")),"")</f>
        <v/>
      </c>
      <c r="L91">
        <f>IFERROR(IF(MAXIFS(Documents!$E$2:$E$619,Documents!$A$2:$A$619,$A91,Documents!$C$2:$C$619,"excursions")=0,"",MAXIFS(Documents!$E$2:$E$619,Documents!$A$2:$A$619,$A91,Documents!$C$2:$C$619,"excursions")),"")</f>
        <v/>
      </c>
      <c r="M91">
        <f>IFERROR(IF(MAXIFS(Documents!$E$2:$E$619,Documents!$A$2:$A$619,$A91,Documents!$C$2:$C$619,"kids")=0,"",MAXIFS(Documents!$E$2:$E$619,Documents!$A$2:$A$619,$A91,Documents!$C$2:$C$619,"kids")),"")</f>
        <v/>
      </c>
      <c r="N91">
        <f>IFERROR(IF(MAXIFS(Documents!$E$2:$E$619,Documents!$A$2:$A$619,$A91,Documents!$C$2:$C$619,"villa_plans")=0,"",MAXIFS(Documents!$E$2:$E$619,Documents!$A$2:$A$619,$A91,Documents!$C$2:$C$619,"villa_plans")),"")</f>
        <v/>
      </c>
      <c r="O91">
        <f>IFERROR(IF(MAXIFS(Documents!$E$2:$E$619,Documents!$A$2:$A$619,$A91,Documents!$C$2:$C$619,"all_inclusive")=0,"",MAXIFS(Documents!$E$2:$E$619,Documents!$A$2:$A$619,$A91,Documents!$C$2:$C$619,"all_inclusive")),"")</f>
        <v/>
      </c>
      <c r="P91">
        <f>IFERROR(IF(MAXIFS(Documents!$E$2:$E$619,Documents!$A$2:$A$619,$A91,Documents!$C$2:$C$619,"sustainability")=0,"",MAXIFS(Documents!$E$2:$E$619,Documents!$A$2:$A$619,$A91,Documents!$C$2:$C$619,"sustainability")),"")</f>
        <v/>
      </c>
      <c r="Q91">
        <f>IFERROR(IF(MAXIFS(Documents!$E$2:$E$619,Documents!$A$2:$A$619,$A91,Documents!$C$2:$C$619,"calendar")=0,"",MAXIFS(Documents!$E$2:$E$619,Documents!$A$2:$A$619,$A91,Documents!$C$2:$C$619,"calendar")),"")</f>
        <v/>
      </c>
      <c r="R91">
        <f>IFERROR(IF(MAXIFS(Documents!$E$2:$E$619,Documents!$A$2:$A$619,$A91,Documents!$C$2:$C$619,"brochure")=0,"",MAXIFS(Documents!$E$2:$E$619,Documents!$A$2:$A$619,$A91,Documents!$C$2:$C$619,"brochure")),"")</f>
        <v/>
      </c>
      <c r="S91">
        <f>IFERROR(IF(MAXIFS(Documents!$E$2:$E$619,Documents!$A$2:$A$619,$A91,Documents!$C$2:$C$619,"press_kit")=0,"",MAXIFS(Documents!$E$2:$E$619,Documents!$A$2:$A$619,$A91,Documents!$C$2:$C$619,"press_kit")),"")</f>
        <v/>
      </c>
      <c r="T91">
        <f>IFERROR(IF(MAXIFS(Documents!$E$2:$E$619,Documents!$A$2:$A$619,$A91,Documents!$C$2:$C$619,"other")=0,"",MAXIFS(Documents!$E$2:$E$619,Documents!$A$2:$A$619,$A91,Documents!$C$2:$C$619,"other")),"")</f>
        <v/>
      </c>
      <c r="U91">
        <f>IFERROR(IF(MAXIFS(Documents!$E$2:$E$619,Documents!$A$2:$A$619,$A91,Documents!$C$2:$C$619,"obsolete")=0,"",MAXIFS(Documents!$E$2:$E$619,Documents!$A$2:$A$619,$A91,Documents!$C$2:$C$619,"obsolete")),"")</f>
        <v/>
      </c>
      <c r="V91">
        <f>COUNTIFS(Documents!$A$2:$A$619,$A91)</f>
        <v/>
      </c>
      <c r="W91">
        <f>COUNTIFS(Documents!$A$2:$A$619,$A91,Documents!$R$2:$R$619,"current")</f>
        <v/>
      </c>
      <c r="X91">
        <f>HYPERLINK("https://www.neoscapesmaldives.com/wp-content/uploads/Factsheet_2018_NEW.pdf","2018_Factsheet_2018_NEW.pdf")</f>
        <v/>
      </c>
      <c r="Y91" t="inlineStr">
        <is>
          <t>wedding, events</t>
        </is>
      </c>
      <c r="Z91" t="inlineStr"/>
    </row>
    <row r="92">
      <c r="A92" t="n">
        <v>91</v>
      </c>
      <c r="B92" t="inlineStr">
        <is>
          <t>Lily Beach Resort</t>
        </is>
      </c>
      <c r="C92" t="inlineStr">
        <is>
          <t>not crawled</t>
        </is>
      </c>
      <c r="D92">
        <f>IFERROR(IF(MAXIFS(Documents!$E$2:$E$619,Documents!$A$2:$A$619,$A92,Documents!$C$2:$C$619,"factsheet")=0,"",MAXIFS(Documents!$E$2:$E$619,Documents!$A$2:$A$619,$A92,Documents!$C$2:$C$619,"factsheet")),"")</f>
        <v/>
      </c>
      <c r="E92">
        <f>IFERROR(IF(MAXIFS(Documents!$E$2:$E$619,Documents!$A$2:$A$619,$A92,Documents!$C$2:$C$619,"wedding")=0,"",MAXIFS(Documents!$E$2:$E$619,Documents!$A$2:$A$619,$A92,Documents!$C$2:$C$619,"wedding")),"")</f>
        <v/>
      </c>
      <c r="F92">
        <f>IFERROR(IF(MAXIFS(Documents!$E$2:$E$619,Documents!$A$2:$A$619,$A92,Documents!$C$2:$C$619,"events")=0,"",MAXIFS(Documents!$E$2:$E$619,Documents!$A$2:$A$619,$A92,Documents!$C$2:$C$619,"events")),"")</f>
        <v/>
      </c>
      <c r="G92">
        <f>IFERROR(IF(MAXIFS(Documents!$E$2:$E$619,Documents!$A$2:$A$619,$A92,Documents!$C$2:$C$619,"map")=0,"",MAXIFS(Documents!$E$2:$E$619,Documents!$A$2:$A$619,$A92,Documents!$C$2:$C$619,"map")),"")</f>
        <v/>
      </c>
      <c r="H92">
        <f>IFERROR(IF(MAXIFS(Documents!$E$2:$E$619,Documents!$A$2:$A$619,$A92,Documents!$C$2:$C$619,"dive_map")=0,"",MAXIFS(Documents!$E$2:$E$619,Documents!$A$2:$A$619,$A92,Documents!$C$2:$C$619,"dive_map")),"")</f>
        <v/>
      </c>
      <c r="I92">
        <f>IFERROR(IF(MAXIFS(Documents!$E$2:$E$619,Documents!$A$2:$A$619,$A92,Documents!$C$2:$C$619,"spa_menu")=0,"",MAXIFS(Documents!$E$2:$E$619,Documents!$A$2:$A$619,$A92,Documents!$C$2:$C$619,"spa_menu")),"")</f>
        <v/>
      </c>
      <c r="J92">
        <f>IFERROR(IF(MAXIFS(Documents!$E$2:$E$619,Documents!$A$2:$A$619,$A92,Documents!$C$2:$C$619,"dining_menu")=0,"",MAXIFS(Documents!$E$2:$E$619,Documents!$A$2:$A$619,$A92,Documents!$C$2:$C$619,"dining_menu")),"")</f>
        <v/>
      </c>
      <c r="K92">
        <f>IFERROR(IF(MAXIFS(Documents!$E$2:$E$619,Documents!$A$2:$A$619,$A92,Documents!$C$2:$C$619,"dive_prices")=0,"",MAXIFS(Documents!$E$2:$E$619,Documents!$A$2:$A$619,$A92,Documents!$C$2:$C$619,"dive_prices")),"")</f>
        <v/>
      </c>
      <c r="L92">
        <f>IFERROR(IF(MAXIFS(Documents!$E$2:$E$619,Documents!$A$2:$A$619,$A92,Documents!$C$2:$C$619,"excursions")=0,"",MAXIFS(Documents!$E$2:$E$619,Documents!$A$2:$A$619,$A92,Documents!$C$2:$C$619,"excursions")),"")</f>
        <v/>
      </c>
      <c r="M92">
        <f>IFERROR(IF(MAXIFS(Documents!$E$2:$E$619,Documents!$A$2:$A$619,$A92,Documents!$C$2:$C$619,"kids")=0,"",MAXIFS(Documents!$E$2:$E$619,Documents!$A$2:$A$619,$A92,Documents!$C$2:$C$619,"kids")),"")</f>
        <v/>
      </c>
      <c r="N92">
        <f>IFERROR(IF(MAXIFS(Documents!$E$2:$E$619,Documents!$A$2:$A$619,$A92,Documents!$C$2:$C$619,"villa_plans")=0,"",MAXIFS(Documents!$E$2:$E$619,Documents!$A$2:$A$619,$A92,Documents!$C$2:$C$619,"villa_plans")),"")</f>
        <v/>
      </c>
      <c r="O92">
        <f>IFERROR(IF(MAXIFS(Documents!$E$2:$E$619,Documents!$A$2:$A$619,$A92,Documents!$C$2:$C$619,"all_inclusive")=0,"",MAXIFS(Documents!$E$2:$E$619,Documents!$A$2:$A$619,$A92,Documents!$C$2:$C$619,"all_inclusive")),"")</f>
        <v/>
      </c>
      <c r="P92">
        <f>IFERROR(IF(MAXIFS(Documents!$E$2:$E$619,Documents!$A$2:$A$619,$A92,Documents!$C$2:$C$619,"sustainability")=0,"",MAXIFS(Documents!$E$2:$E$619,Documents!$A$2:$A$619,$A92,Documents!$C$2:$C$619,"sustainability")),"")</f>
        <v/>
      </c>
      <c r="Q92">
        <f>IFERROR(IF(MAXIFS(Documents!$E$2:$E$619,Documents!$A$2:$A$619,$A92,Documents!$C$2:$C$619,"calendar")=0,"",MAXIFS(Documents!$E$2:$E$619,Documents!$A$2:$A$619,$A92,Documents!$C$2:$C$619,"calendar")),"")</f>
        <v/>
      </c>
      <c r="R92">
        <f>IFERROR(IF(MAXIFS(Documents!$E$2:$E$619,Documents!$A$2:$A$619,$A92,Documents!$C$2:$C$619,"brochure")=0,"",MAXIFS(Documents!$E$2:$E$619,Documents!$A$2:$A$619,$A92,Documents!$C$2:$C$619,"brochure")),"")</f>
        <v/>
      </c>
      <c r="S92">
        <f>IFERROR(IF(MAXIFS(Documents!$E$2:$E$619,Documents!$A$2:$A$619,$A92,Documents!$C$2:$C$619,"press_kit")=0,"",MAXIFS(Documents!$E$2:$E$619,Documents!$A$2:$A$619,$A92,Documents!$C$2:$C$619,"press_kit")),"")</f>
        <v/>
      </c>
      <c r="T92">
        <f>IFERROR(IF(MAXIFS(Documents!$E$2:$E$619,Documents!$A$2:$A$619,$A92,Documents!$C$2:$C$619,"other")=0,"",MAXIFS(Documents!$E$2:$E$619,Documents!$A$2:$A$619,$A92,Documents!$C$2:$C$619,"other")),"")</f>
        <v/>
      </c>
      <c r="U92">
        <f>IFERROR(IF(MAXIFS(Documents!$E$2:$E$619,Documents!$A$2:$A$619,$A92,Documents!$C$2:$C$619,"obsolete")=0,"",MAXIFS(Documents!$E$2:$E$619,Documents!$A$2:$A$619,$A92,Documents!$C$2:$C$619,"obsolete")),"")</f>
        <v/>
      </c>
      <c r="V92">
        <f>COUNTIFS(Documents!$A$2:$A$619,$A92)</f>
        <v/>
      </c>
      <c r="W92">
        <f>COUNTIFS(Documents!$A$2:$A$619,$A92,Documents!$R$2:$R$619,"current")</f>
        <v/>
      </c>
      <c r="X92">
        <f>HYPERLINK("https://www.neoscapesmaldives.com/wp-content/uploads/LilyBeach-Factsheet-Resort-NEO.pdf","2020_LilyBeach-Factsheet-Resort-NEO.pdf")</f>
        <v/>
      </c>
      <c r="Y92" t="inlineStr">
        <is>
          <t>wedding, events</t>
        </is>
      </c>
      <c r="Z92" t="inlineStr"/>
    </row>
    <row r="93">
      <c r="A93" t="n">
        <v>92</v>
      </c>
      <c r="B93" t="inlineStr">
        <is>
          <t>Amaya Kuda Rah Maldives</t>
        </is>
      </c>
      <c r="C93" t="inlineStr">
        <is>
          <t>not crawled</t>
        </is>
      </c>
      <c r="D93">
        <f>IFERROR(IF(MAXIFS(Documents!$E$2:$E$619,Documents!$A$2:$A$619,$A93,Documents!$C$2:$C$619,"factsheet")=0,"",MAXIFS(Documents!$E$2:$E$619,Documents!$A$2:$A$619,$A93,Documents!$C$2:$C$619,"factsheet")),"")</f>
        <v/>
      </c>
      <c r="E93">
        <f>IFERROR(IF(MAXIFS(Documents!$E$2:$E$619,Documents!$A$2:$A$619,$A93,Documents!$C$2:$C$619,"wedding")=0,"",MAXIFS(Documents!$E$2:$E$619,Documents!$A$2:$A$619,$A93,Documents!$C$2:$C$619,"wedding")),"")</f>
        <v/>
      </c>
      <c r="F93">
        <f>IFERROR(IF(MAXIFS(Documents!$E$2:$E$619,Documents!$A$2:$A$619,$A93,Documents!$C$2:$C$619,"events")=0,"",MAXIFS(Documents!$E$2:$E$619,Documents!$A$2:$A$619,$A93,Documents!$C$2:$C$619,"events")),"")</f>
        <v/>
      </c>
      <c r="G93">
        <f>IFERROR(IF(MAXIFS(Documents!$E$2:$E$619,Documents!$A$2:$A$619,$A93,Documents!$C$2:$C$619,"map")=0,"",MAXIFS(Documents!$E$2:$E$619,Documents!$A$2:$A$619,$A93,Documents!$C$2:$C$619,"map")),"")</f>
        <v/>
      </c>
      <c r="H93">
        <f>IFERROR(IF(MAXIFS(Documents!$E$2:$E$619,Documents!$A$2:$A$619,$A93,Documents!$C$2:$C$619,"dive_map")=0,"",MAXIFS(Documents!$E$2:$E$619,Documents!$A$2:$A$619,$A93,Documents!$C$2:$C$619,"dive_map")),"")</f>
        <v/>
      </c>
      <c r="I93">
        <f>IFERROR(IF(MAXIFS(Documents!$E$2:$E$619,Documents!$A$2:$A$619,$A93,Documents!$C$2:$C$619,"spa_menu")=0,"",MAXIFS(Documents!$E$2:$E$619,Documents!$A$2:$A$619,$A93,Documents!$C$2:$C$619,"spa_menu")),"")</f>
        <v/>
      </c>
      <c r="J93">
        <f>IFERROR(IF(MAXIFS(Documents!$E$2:$E$619,Documents!$A$2:$A$619,$A93,Documents!$C$2:$C$619,"dining_menu")=0,"",MAXIFS(Documents!$E$2:$E$619,Documents!$A$2:$A$619,$A93,Documents!$C$2:$C$619,"dining_menu")),"")</f>
        <v/>
      </c>
      <c r="K93">
        <f>IFERROR(IF(MAXIFS(Documents!$E$2:$E$619,Documents!$A$2:$A$619,$A93,Documents!$C$2:$C$619,"dive_prices")=0,"",MAXIFS(Documents!$E$2:$E$619,Documents!$A$2:$A$619,$A93,Documents!$C$2:$C$619,"dive_prices")),"")</f>
        <v/>
      </c>
      <c r="L93">
        <f>IFERROR(IF(MAXIFS(Documents!$E$2:$E$619,Documents!$A$2:$A$619,$A93,Documents!$C$2:$C$619,"excursions")=0,"",MAXIFS(Documents!$E$2:$E$619,Documents!$A$2:$A$619,$A93,Documents!$C$2:$C$619,"excursions")),"")</f>
        <v/>
      </c>
      <c r="M93">
        <f>IFERROR(IF(MAXIFS(Documents!$E$2:$E$619,Documents!$A$2:$A$619,$A93,Documents!$C$2:$C$619,"kids")=0,"",MAXIFS(Documents!$E$2:$E$619,Documents!$A$2:$A$619,$A93,Documents!$C$2:$C$619,"kids")),"")</f>
        <v/>
      </c>
      <c r="N93">
        <f>IFERROR(IF(MAXIFS(Documents!$E$2:$E$619,Documents!$A$2:$A$619,$A93,Documents!$C$2:$C$619,"villa_plans")=0,"",MAXIFS(Documents!$E$2:$E$619,Documents!$A$2:$A$619,$A93,Documents!$C$2:$C$619,"villa_plans")),"")</f>
        <v/>
      </c>
      <c r="O93">
        <f>IFERROR(IF(MAXIFS(Documents!$E$2:$E$619,Documents!$A$2:$A$619,$A93,Documents!$C$2:$C$619,"all_inclusive")=0,"",MAXIFS(Documents!$E$2:$E$619,Documents!$A$2:$A$619,$A93,Documents!$C$2:$C$619,"all_inclusive")),"")</f>
        <v/>
      </c>
      <c r="P93">
        <f>IFERROR(IF(MAXIFS(Documents!$E$2:$E$619,Documents!$A$2:$A$619,$A93,Documents!$C$2:$C$619,"sustainability")=0,"",MAXIFS(Documents!$E$2:$E$619,Documents!$A$2:$A$619,$A93,Documents!$C$2:$C$619,"sustainability")),"")</f>
        <v/>
      </c>
      <c r="Q93">
        <f>IFERROR(IF(MAXIFS(Documents!$E$2:$E$619,Documents!$A$2:$A$619,$A93,Documents!$C$2:$C$619,"calendar")=0,"",MAXIFS(Documents!$E$2:$E$619,Documents!$A$2:$A$619,$A93,Documents!$C$2:$C$619,"calendar")),"")</f>
        <v/>
      </c>
      <c r="R93">
        <f>IFERROR(IF(MAXIFS(Documents!$E$2:$E$619,Documents!$A$2:$A$619,$A93,Documents!$C$2:$C$619,"brochure")=0,"",MAXIFS(Documents!$E$2:$E$619,Documents!$A$2:$A$619,$A93,Documents!$C$2:$C$619,"brochure")),"")</f>
        <v/>
      </c>
      <c r="S93">
        <f>IFERROR(IF(MAXIFS(Documents!$E$2:$E$619,Documents!$A$2:$A$619,$A93,Documents!$C$2:$C$619,"press_kit")=0,"",MAXIFS(Documents!$E$2:$E$619,Documents!$A$2:$A$619,$A93,Documents!$C$2:$C$619,"press_kit")),"")</f>
        <v/>
      </c>
      <c r="T93">
        <f>IFERROR(IF(MAXIFS(Documents!$E$2:$E$619,Documents!$A$2:$A$619,$A93,Documents!$C$2:$C$619,"other")=0,"",MAXIFS(Documents!$E$2:$E$619,Documents!$A$2:$A$619,$A93,Documents!$C$2:$C$619,"other")),"")</f>
        <v/>
      </c>
      <c r="U93">
        <f>IFERROR(IF(MAXIFS(Documents!$E$2:$E$619,Documents!$A$2:$A$619,$A93,Documents!$C$2:$C$619,"obsolete")=0,"",MAXIFS(Documents!$E$2:$E$619,Documents!$A$2:$A$619,$A93,Documents!$C$2:$C$619,"obsolete")),"")</f>
        <v/>
      </c>
      <c r="V93">
        <f>COUNTIFS(Documents!$A$2:$A$619,$A93)</f>
        <v/>
      </c>
      <c r="W93">
        <f>COUNTIFS(Documents!$A$2:$A$619,$A93,Documents!$R$2:$R$619,"current")</f>
        <v/>
      </c>
      <c r="X93">
        <f>HYPERLINK("https://www.neoscapesmaldives.com/wp-content/uploads/NH-Maldives-Kuda-Rah-Fact-Sheet.pdf","2024_NH-Maldives-Kuda-Rah-Fact-Sheet.pdf")</f>
        <v/>
      </c>
      <c r="Y93" t="inlineStr">
        <is>
          <t>wedding, events</t>
        </is>
      </c>
      <c r="Z93" t="inlineStr">
        <is>
          <t>NH Maldives Kuda Rah</t>
        </is>
      </c>
    </row>
    <row r="94">
      <c r="A94" t="n">
        <v>93</v>
      </c>
      <c r="B94" t="inlineStr">
        <is>
          <t>Maayafushi Tourist Resort</t>
        </is>
      </c>
      <c r="C94" t="inlineStr">
        <is>
          <t>not crawled</t>
        </is>
      </c>
      <c r="D94">
        <f>IFERROR(IF(MAXIFS(Documents!$E$2:$E$619,Documents!$A$2:$A$619,$A94,Documents!$C$2:$C$619,"factsheet")=0,"",MAXIFS(Documents!$E$2:$E$619,Documents!$A$2:$A$619,$A94,Documents!$C$2:$C$619,"factsheet")),"")</f>
        <v/>
      </c>
      <c r="E94">
        <f>IFERROR(IF(MAXIFS(Documents!$E$2:$E$619,Documents!$A$2:$A$619,$A94,Documents!$C$2:$C$619,"wedding")=0,"",MAXIFS(Documents!$E$2:$E$619,Documents!$A$2:$A$619,$A94,Documents!$C$2:$C$619,"wedding")),"")</f>
        <v/>
      </c>
      <c r="F94">
        <f>IFERROR(IF(MAXIFS(Documents!$E$2:$E$619,Documents!$A$2:$A$619,$A94,Documents!$C$2:$C$619,"events")=0,"",MAXIFS(Documents!$E$2:$E$619,Documents!$A$2:$A$619,$A94,Documents!$C$2:$C$619,"events")),"")</f>
        <v/>
      </c>
      <c r="G94">
        <f>IFERROR(IF(MAXIFS(Documents!$E$2:$E$619,Documents!$A$2:$A$619,$A94,Documents!$C$2:$C$619,"map")=0,"",MAXIFS(Documents!$E$2:$E$619,Documents!$A$2:$A$619,$A94,Documents!$C$2:$C$619,"map")),"")</f>
        <v/>
      </c>
      <c r="H94">
        <f>IFERROR(IF(MAXIFS(Documents!$E$2:$E$619,Documents!$A$2:$A$619,$A94,Documents!$C$2:$C$619,"dive_map")=0,"",MAXIFS(Documents!$E$2:$E$619,Documents!$A$2:$A$619,$A94,Documents!$C$2:$C$619,"dive_map")),"")</f>
        <v/>
      </c>
      <c r="I94">
        <f>IFERROR(IF(MAXIFS(Documents!$E$2:$E$619,Documents!$A$2:$A$619,$A94,Documents!$C$2:$C$619,"spa_menu")=0,"",MAXIFS(Documents!$E$2:$E$619,Documents!$A$2:$A$619,$A94,Documents!$C$2:$C$619,"spa_menu")),"")</f>
        <v/>
      </c>
      <c r="J94">
        <f>IFERROR(IF(MAXIFS(Documents!$E$2:$E$619,Documents!$A$2:$A$619,$A94,Documents!$C$2:$C$619,"dining_menu")=0,"",MAXIFS(Documents!$E$2:$E$619,Documents!$A$2:$A$619,$A94,Documents!$C$2:$C$619,"dining_menu")),"")</f>
        <v/>
      </c>
      <c r="K94">
        <f>IFERROR(IF(MAXIFS(Documents!$E$2:$E$619,Documents!$A$2:$A$619,$A94,Documents!$C$2:$C$619,"dive_prices")=0,"",MAXIFS(Documents!$E$2:$E$619,Documents!$A$2:$A$619,$A94,Documents!$C$2:$C$619,"dive_prices")),"")</f>
        <v/>
      </c>
      <c r="L94">
        <f>IFERROR(IF(MAXIFS(Documents!$E$2:$E$619,Documents!$A$2:$A$619,$A94,Documents!$C$2:$C$619,"excursions")=0,"",MAXIFS(Documents!$E$2:$E$619,Documents!$A$2:$A$619,$A94,Documents!$C$2:$C$619,"excursions")),"")</f>
        <v/>
      </c>
      <c r="M94">
        <f>IFERROR(IF(MAXIFS(Documents!$E$2:$E$619,Documents!$A$2:$A$619,$A94,Documents!$C$2:$C$619,"kids")=0,"",MAXIFS(Documents!$E$2:$E$619,Documents!$A$2:$A$619,$A94,Documents!$C$2:$C$619,"kids")),"")</f>
        <v/>
      </c>
      <c r="N94">
        <f>IFERROR(IF(MAXIFS(Documents!$E$2:$E$619,Documents!$A$2:$A$619,$A94,Documents!$C$2:$C$619,"villa_plans")=0,"",MAXIFS(Documents!$E$2:$E$619,Documents!$A$2:$A$619,$A94,Documents!$C$2:$C$619,"villa_plans")),"")</f>
        <v/>
      </c>
      <c r="O94">
        <f>IFERROR(IF(MAXIFS(Documents!$E$2:$E$619,Documents!$A$2:$A$619,$A94,Documents!$C$2:$C$619,"all_inclusive")=0,"",MAXIFS(Documents!$E$2:$E$619,Documents!$A$2:$A$619,$A94,Documents!$C$2:$C$619,"all_inclusive")),"")</f>
        <v/>
      </c>
      <c r="P94">
        <f>IFERROR(IF(MAXIFS(Documents!$E$2:$E$619,Documents!$A$2:$A$619,$A94,Documents!$C$2:$C$619,"sustainability")=0,"",MAXIFS(Documents!$E$2:$E$619,Documents!$A$2:$A$619,$A94,Documents!$C$2:$C$619,"sustainability")),"")</f>
        <v/>
      </c>
      <c r="Q94">
        <f>IFERROR(IF(MAXIFS(Documents!$E$2:$E$619,Documents!$A$2:$A$619,$A94,Documents!$C$2:$C$619,"calendar")=0,"",MAXIFS(Documents!$E$2:$E$619,Documents!$A$2:$A$619,$A94,Documents!$C$2:$C$619,"calendar")),"")</f>
        <v/>
      </c>
      <c r="R94">
        <f>IFERROR(IF(MAXIFS(Documents!$E$2:$E$619,Documents!$A$2:$A$619,$A94,Documents!$C$2:$C$619,"brochure")=0,"",MAXIFS(Documents!$E$2:$E$619,Documents!$A$2:$A$619,$A94,Documents!$C$2:$C$619,"brochure")),"")</f>
        <v/>
      </c>
      <c r="S94">
        <f>IFERROR(IF(MAXIFS(Documents!$E$2:$E$619,Documents!$A$2:$A$619,$A94,Documents!$C$2:$C$619,"press_kit")=0,"",MAXIFS(Documents!$E$2:$E$619,Documents!$A$2:$A$619,$A94,Documents!$C$2:$C$619,"press_kit")),"")</f>
        <v/>
      </c>
      <c r="T94">
        <f>IFERROR(IF(MAXIFS(Documents!$E$2:$E$619,Documents!$A$2:$A$619,$A94,Documents!$C$2:$C$619,"other")=0,"",MAXIFS(Documents!$E$2:$E$619,Documents!$A$2:$A$619,$A94,Documents!$C$2:$C$619,"other")),"")</f>
        <v/>
      </c>
      <c r="U94">
        <f>IFERROR(IF(MAXIFS(Documents!$E$2:$E$619,Documents!$A$2:$A$619,$A94,Documents!$C$2:$C$619,"obsolete")=0,"",MAXIFS(Documents!$E$2:$E$619,Documents!$A$2:$A$619,$A94,Documents!$C$2:$C$619,"obsolete")),"")</f>
        <v/>
      </c>
      <c r="V94">
        <f>COUNTIFS(Documents!$A$2:$A$619,$A94)</f>
        <v/>
      </c>
      <c r="W94">
        <f>COUNTIFS(Documents!$A$2:$A$619,$A94,Documents!$R$2:$R$619,"current")</f>
        <v/>
      </c>
      <c r="X94" t="inlineStr"/>
      <c r="Y94" t="inlineStr">
        <is>
          <t>factsheet, wedding, events</t>
        </is>
      </c>
      <c r="Z94" t="inlineStr"/>
    </row>
    <row r="95">
      <c r="A95" t="n">
        <v>94</v>
      </c>
      <c r="B95" t="inlineStr">
        <is>
          <t>Reethi Faru Resort</t>
        </is>
      </c>
      <c r="C95" t="inlineStr">
        <is>
          <t>not crawled</t>
        </is>
      </c>
      <c r="D95">
        <f>IFERROR(IF(MAXIFS(Documents!$E$2:$E$619,Documents!$A$2:$A$619,$A95,Documents!$C$2:$C$619,"factsheet")=0,"",MAXIFS(Documents!$E$2:$E$619,Documents!$A$2:$A$619,$A95,Documents!$C$2:$C$619,"factsheet")),"")</f>
        <v/>
      </c>
      <c r="E95">
        <f>IFERROR(IF(MAXIFS(Documents!$E$2:$E$619,Documents!$A$2:$A$619,$A95,Documents!$C$2:$C$619,"wedding")=0,"",MAXIFS(Documents!$E$2:$E$619,Documents!$A$2:$A$619,$A95,Documents!$C$2:$C$619,"wedding")),"")</f>
        <v/>
      </c>
      <c r="F95">
        <f>IFERROR(IF(MAXIFS(Documents!$E$2:$E$619,Documents!$A$2:$A$619,$A95,Documents!$C$2:$C$619,"events")=0,"",MAXIFS(Documents!$E$2:$E$619,Documents!$A$2:$A$619,$A95,Documents!$C$2:$C$619,"events")),"")</f>
        <v/>
      </c>
      <c r="G95">
        <f>IFERROR(IF(MAXIFS(Documents!$E$2:$E$619,Documents!$A$2:$A$619,$A95,Documents!$C$2:$C$619,"map")=0,"",MAXIFS(Documents!$E$2:$E$619,Documents!$A$2:$A$619,$A95,Documents!$C$2:$C$619,"map")),"")</f>
        <v/>
      </c>
      <c r="H95">
        <f>IFERROR(IF(MAXIFS(Documents!$E$2:$E$619,Documents!$A$2:$A$619,$A95,Documents!$C$2:$C$619,"dive_map")=0,"",MAXIFS(Documents!$E$2:$E$619,Documents!$A$2:$A$619,$A95,Documents!$C$2:$C$619,"dive_map")),"")</f>
        <v/>
      </c>
      <c r="I95">
        <f>IFERROR(IF(MAXIFS(Documents!$E$2:$E$619,Documents!$A$2:$A$619,$A95,Documents!$C$2:$C$619,"spa_menu")=0,"",MAXIFS(Documents!$E$2:$E$619,Documents!$A$2:$A$619,$A95,Documents!$C$2:$C$619,"spa_menu")),"")</f>
        <v/>
      </c>
      <c r="J95">
        <f>IFERROR(IF(MAXIFS(Documents!$E$2:$E$619,Documents!$A$2:$A$619,$A95,Documents!$C$2:$C$619,"dining_menu")=0,"",MAXIFS(Documents!$E$2:$E$619,Documents!$A$2:$A$619,$A95,Documents!$C$2:$C$619,"dining_menu")),"")</f>
        <v/>
      </c>
      <c r="K95">
        <f>IFERROR(IF(MAXIFS(Documents!$E$2:$E$619,Documents!$A$2:$A$619,$A95,Documents!$C$2:$C$619,"dive_prices")=0,"",MAXIFS(Documents!$E$2:$E$619,Documents!$A$2:$A$619,$A95,Documents!$C$2:$C$619,"dive_prices")),"")</f>
        <v/>
      </c>
      <c r="L95">
        <f>IFERROR(IF(MAXIFS(Documents!$E$2:$E$619,Documents!$A$2:$A$619,$A95,Documents!$C$2:$C$619,"excursions")=0,"",MAXIFS(Documents!$E$2:$E$619,Documents!$A$2:$A$619,$A95,Documents!$C$2:$C$619,"excursions")),"")</f>
        <v/>
      </c>
      <c r="M95">
        <f>IFERROR(IF(MAXIFS(Documents!$E$2:$E$619,Documents!$A$2:$A$619,$A95,Documents!$C$2:$C$619,"kids")=0,"",MAXIFS(Documents!$E$2:$E$619,Documents!$A$2:$A$619,$A95,Documents!$C$2:$C$619,"kids")),"")</f>
        <v/>
      </c>
      <c r="N95">
        <f>IFERROR(IF(MAXIFS(Documents!$E$2:$E$619,Documents!$A$2:$A$619,$A95,Documents!$C$2:$C$619,"villa_plans")=0,"",MAXIFS(Documents!$E$2:$E$619,Documents!$A$2:$A$619,$A95,Documents!$C$2:$C$619,"villa_plans")),"")</f>
        <v/>
      </c>
      <c r="O95">
        <f>IFERROR(IF(MAXIFS(Documents!$E$2:$E$619,Documents!$A$2:$A$619,$A95,Documents!$C$2:$C$619,"all_inclusive")=0,"",MAXIFS(Documents!$E$2:$E$619,Documents!$A$2:$A$619,$A95,Documents!$C$2:$C$619,"all_inclusive")),"")</f>
        <v/>
      </c>
      <c r="P95">
        <f>IFERROR(IF(MAXIFS(Documents!$E$2:$E$619,Documents!$A$2:$A$619,$A95,Documents!$C$2:$C$619,"sustainability")=0,"",MAXIFS(Documents!$E$2:$E$619,Documents!$A$2:$A$619,$A95,Documents!$C$2:$C$619,"sustainability")),"")</f>
        <v/>
      </c>
      <c r="Q95">
        <f>IFERROR(IF(MAXIFS(Documents!$E$2:$E$619,Documents!$A$2:$A$619,$A95,Documents!$C$2:$C$619,"calendar")=0,"",MAXIFS(Documents!$E$2:$E$619,Documents!$A$2:$A$619,$A95,Documents!$C$2:$C$619,"calendar")),"")</f>
        <v/>
      </c>
      <c r="R95">
        <f>IFERROR(IF(MAXIFS(Documents!$E$2:$E$619,Documents!$A$2:$A$619,$A95,Documents!$C$2:$C$619,"brochure")=0,"",MAXIFS(Documents!$E$2:$E$619,Documents!$A$2:$A$619,$A95,Documents!$C$2:$C$619,"brochure")),"")</f>
        <v/>
      </c>
      <c r="S95">
        <f>IFERROR(IF(MAXIFS(Documents!$E$2:$E$619,Documents!$A$2:$A$619,$A95,Documents!$C$2:$C$619,"press_kit")=0,"",MAXIFS(Documents!$E$2:$E$619,Documents!$A$2:$A$619,$A95,Documents!$C$2:$C$619,"press_kit")),"")</f>
        <v/>
      </c>
      <c r="T95">
        <f>IFERROR(IF(MAXIFS(Documents!$E$2:$E$619,Documents!$A$2:$A$619,$A95,Documents!$C$2:$C$619,"other")=0,"",MAXIFS(Documents!$E$2:$E$619,Documents!$A$2:$A$619,$A95,Documents!$C$2:$C$619,"other")),"")</f>
        <v/>
      </c>
      <c r="U95">
        <f>IFERROR(IF(MAXIFS(Documents!$E$2:$E$619,Documents!$A$2:$A$619,$A95,Documents!$C$2:$C$619,"obsolete")=0,"",MAXIFS(Documents!$E$2:$E$619,Documents!$A$2:$A$619,$A95,Documents!$C$2:$C$619,"obsolete")),"")</f>
        <v/>
      </c>
      <c r="V95">
        <f>COUNTIFS(Documents!$A$2:$A$619,$A95)</f>
        <v/>
      </c>
      <c r="W95">
        <f>COUNTIFS(Documents!$A$2:$A$619,$A95,Documents!$R$2:$R$619,"current")</f>
        <v/>
      </c>
      <c r="X95" t="inlineStr"/>
      <c r="Y95" t="inlineStr">
        <is>
          <t>factsheet, wedding, events</t>
        </is>
      </c>
      <c r="Z95" t="inlineStr"/>
    </row>
    <row r="96">
      <c r="A96" t="n">
        <v>95</v>
      </c>
      <c r="B96" t="inlineStr">
        <is>
          <t>Malahini Kuda Bandos</t>
        </is>
      </c>
      <c r="C96" t="inlineStr">
        <is>
          <t>not crawled</t>
        </is>
      </c>
      <c r="D96">
        <f>IFERROR(IF(MAXIFS(Documents!$E$2:$E$619,Documents!$A$2:$A$619,$A96,Documents!$C$2:$C$619,"factsheet")=0,"",MAXIFS(Documents!$E$2:$E$619,Documents!$A$2:$A$619,$A96,Documents!$C$2:$C$619,"factsheet")),"")</f>
        <v/>
      </c>
      <c r="E96">
        <f>IFERROR(IF(MAXIFS(Documents!$E$2:$E$619,Documents!$A$2:$A$619,$A96,Documents!$C$2:$C$619,"wedding")=0,"",MAXIFS(Documents!$E$2:$E$619,Documents!$A$2:$A$619,$A96,Documents!$C$2:$C$619,"wedding")),"")</f>
        <v/>
      </c>
      <c r="F96">
        <f>IFERROR(IF(MAXIFS(Documents!$E$2:$E$619,Documents!$A$2:$A$619,$A96,Documents!$C$2:$C$619,"events")=0,"",MAXIFS(Documents!$E$2:$E$619,Documents!$A$2:$A$619,$A96,Documents!$C$2:$C$619,"events")),"")</f>
        <v/>
      </c>
      <c r="G96">
        <f>IFERROR(IF(MAXIFS(Documents!$E$2:$E$619,Documents!$A$2:$A$619,$A96,Documents!$C$2:$C$619,"map")=0,"",MAXIFS(Documents!$E$2:$E$619,Documents!$A$2:$A$619,$A96,Documents!$C$2:$C$619,"map")),"")</f>
        <v/>
      </c>
      <c r="H96">
        <f>IFERROR(IF(MAXIFS(Documents!$E$2:$E$619,Documents!$A$2:$A$619,$A96,Documents!$C$2:$C$619,"dive_map")=0,"",MAXIFS(Documents!$E$2:$E$619,Documents!$A$2:$A$619,$A96,Documents!$C$2:$C$619,"dive_map")),"")</f>
        <v/>
      </c>
      <c r="I96">
        <f>IFERROR(IF(MAXIFS(Documents!$E$2:$E$619,Documents!$A$2:$A$619,$A96,Documents!$C$2:$C$619,"spa_menu")=0,"",MAXIFS(Documents!$E$2:$E$619,Documents!$A$2:$A$619,$A96,Documents!$C$2:$C$619,"spa_menu")),"")</f>
        <v/>
      </c>
      <c r="J96">
        <f>IFERROR(IF(MAXIFS(Documents!$E$2:$E$619,Documents!$A$2:$A$619,$A96,Documents!$C$2:$C$619,"dining_menu")=0,"",MAXIFS(Documents!$E$2:$E$619,Documents!$A$2:$A$619,$A96,Documents!$C$2:$C$619,"dining_menu")),"")</f>
        <v/>
      </c>
      <c r="K96">
        <f>IFERROR(IF(MAXIFS(Documents!$E$2:$E$619,Documents!$A$2:$A$619,$A96,Documents!$C$2:$C$619,"dive_prices")=0,"",MAXIFS(Documents!$E$2:$E$619,Documents!$A$2:$A$619,$A96,Documents!$C$2:$C$619,"dive_prices")),"")</f>
        <v/>
      </c>
      <c r="L96">
        <f>IFERROR(IF(MAXIFS(Documents!$E$2:$E$619,Documents!$A$2:$A$619,$A96,Documents!$C$2:$C$619,"excursions")=0,"",MAXIFS(Documents!$E$2:$E$619,Documents!$A$2:$A$619,$A96,Documents!$C$2:$C$619,"excursions")),"")</f>
        <v/>
      </c>
      <c r="M96">
        <f>IFERROR(IF(MAXIFS(Documents!$E$2:$E$619,Documents!$A$2:$A$619,$A96,Documents!$C$2:$C$619,"kids")=0,"",MAXIFS(Documents!$E$2:$E$619,Documents!$A$2:$A$619,$A96,Documents!$C$2:$C$619,"kids")),"")</f>
        <v/>
      </c>
      <c r="N96">
        <f>IFERROR(IF(MAXIFS(Documents!$E$2:$E$619,Documents!$A$2:$A$619,$A96,Documents!$C$2:$C$619,"villa_plans")=0,"",MAXIFS(Documents!$E$2:$E$619,Documents!$A$2:$A$619,$A96,Documents!$C$2:$C$619,"villa_plans")),"")</f>
        <v/>
      </c>
      <c r="O96">
        <f>IFERROR(IF(MAXIFS(Documents!$E$2:$E$619,Documents!$A$2:$A$619,$A96,Documents!$C$2:$C$619,"all_inclusive")=0,"",MAXIFS(Documents!$E$2:$E$619,Documents!$A$2:$A$619,$A96,Documents!$C$2:$C$619,"all_inclusive")),"")</f>
        <v/>
      </c>
      <c r="P96">
        <f>IFERROR(IF(MAXIFS(Documents!$E$2:$E$619,Documents!$A$2:$A$619,$A96,Documents!$C$2:$C$619,"sustainability")=0,"",MAXIFS(Documents!$E$2:$E$619,Documents!$A$2:$A$619,$A96,Documents!$C$2:$C$619,"sustainability")),"")</f>
        <v/>
      </c>
      <c r="Q96">
        <f>IFERROR(IF(MAXIFS(Documents!$E$2:$E$619,Documents!$A$2:$A$619,$A96,Documents!$C$2:$C$619,"calendar")=0,"",MAXIFS(Documents!$E$2:$E$619,Documents!$A$2:$A$619,$A96,Documents!$C$2:$C$619,"calendar")),"")</f>
        <v/>
      </c>
      <c r="R96">
        <f>IFERROR(IF(MAXIFS(Documents!$E$2:$E$619,Documents!$A$2:$A$619,$A96,Documents!$C$2:$C$619,"brochure")=0,"",MAXIFS(Documents!$E$2:$E$619,Documents!$A$2:$A$619,$A96,Documents!$C$2:$C$619,"brochure")),"")</f>
        <v/>
      </c>
      <c r="S96">
        <f>IFERROR(IF(MAXIFS(Documents!$E$2:$E$619,Documents!$A$2:$A$619,$A96,Documents!$C$2:$C$619,"press_kit")=0,"",MAXIFS(Documents!$E$2:$E$619,Documents!$A$2:$A$619,$A96,Documents!$C$2:$C$619,"press_kit")),"")</f>
        <v/>
      </c>
      <c r="T96">
        <f>IFERROR(IF(MAXIFS(Documents!$E$2:$E$619,Documents!$A$2:$A$619,$A96,Documents!$C$2:$C$619,"other")=0,"",MAXIFS(Documents!$E$2:$E$619,Documents!$A$2:$A$619,$A96,Documents!$C$2:$C$619,"other")),"")</f>
        <v/>
      </c>
      <c r="U96">
        <f>IFERROR(IF(MAXIFS(Documents!$E$2:$E$619,Documents!$A$2:$A$619,$A96,Documents!$C$2:$C$619,"obsolete")=0,"",MAXIFS(Documents!$E$2:$E$619,Documents!$A$2:$A$619,$A96,Documents!$C$2:$C$619,"obsolete")),"")</f>
        <v/>
      </c>
      <c r="V96">
        <f>COUNTIFS(Documents!$A$2:$A$619,$A96)</f>
        <v/>
      </c>
      <c r="W96">
        <f>COUNTIFS(Documents!$A$2:$A$619,$A96,Documents!$R$2:$R$619,"current")</f>
        <v/>
      </c>
      <c r="X96">
        <f>HYPERLINK("https://www.neoscapesmaldives.com/wp-content/uploads/Malahini-Kuda-Bandos-E-factsheet_2017.pdf","2017_Malahini-Kuda-Bandos-E-factsheet_20")</f>
        <v/>
      </c>
      <c r="Y96" t="inlineStr">
        <is>
          <t>wedding, events</t>
        </is>
      </c>
      <c r="Z96" t="inlineStr"/>
    </row>
    <row r="97">
      <c r="A97" t="n">
        <v>96</v>
      </c>
      <c r="B97" t="inlineStr">
        <is>
          <t>Dhawa Ihuru</t>
        </is>
      </c>
      <c r="C97" t="inlineStr">
        <is>
          <t>not crawled</t>
        </is>
      </c>
      <c r="D97">
        <f>IFERROR(IF(MAXIFS(Documents!$E$2:$E$619,Documents!$A$2:$A$619,$A97,Documents!$C$2:$C$619,"factsheet")=0,"",MAXIFS(Documents!$E$2:$E$619,Documents!$A$2:$A$619,$A97,Documents!$C$2:$C$619,"factsheet")),"")</f>
        <v/>
      </c>
      <c r="E97">
        <f>IFERROR(IF(MAXIFS(Documents!$E$2:$E$619,Documents!$A$2:$A$619,$A97,Documents!$C$2:$C$619,"wedding")=0,"",MAXIFS(Documents!$E$2:$E$619,Documents!$A$2:$A$619,$A97,Documents!$C$2:$C$619,"wedding")),"")</f>
        <v/>
      </c>
      <c r="F97">
        <f>IFERROR(IF(MAXIFS(Documents!$E$2:$E$619,Documents!$A$2:$A$619,$A97,Documents!$C$2:$C$619,"events")=0,"",MAXIFS(Documents!$E$2:$E$619,Documents!$A$2:$A$619,$A97,Documents!$C$2:$C$619,"events")),"")</f>
        <v/>
      </c>
      <c r="G97">
        <f>IFERROR(IF(MAXIFS(Documents!$E$2:$E$619,Documents!$A$2:$A$619,$A97,Documents!$C$2:$C$619,"map")=0,"",MAXIFS(Documents!$E$2:$E$619,Documents!$A$2:$A$619,$A97,Documents!$C$2:$C$619,"map")),"")</f>
        <v/>
      </c>
      <c r="H97">
        <f>IFERROR(IF(MAXIFS(Documents!$E$2:$E$619,Documents!$A$2:$A$619,$A97,Documents!$C$2:$C$619,"dive_map")=0,"",MAXIFS(Documents!$E$2:$E$619,Documents!$A$2:$A$619,$A97,Documents!$C$2:$C$619,"dive_map")),"")</f>
        <v/>
      </c>
      <c r="I97">
        <f>IFERROR(IF(MAXIFS(Documents!$E$2:$E$619,Documents!$A$2:$A$619,$A97,Documents!$C$2:$C$619,"spa_menu")=0,"",MAXIFS(Documents!$E$2:$E$619,Documents!$A$2:$A$619,$A97,Documents!$C$2:$C$619,"spa_menu")),"")</f>
        <v/>
      </c>
      <c r="J97">
        <f>IFERROR(IF(MAXIFS(Documents!$E$2:$E$619,Documents!$A$2:$A$619,$A97,Documents!$C$2:$C$619,"dining_menu")=0,"",MAXIFS(Documents!$E$2:$E$619,Documents!$A$2:$A$619,$A97,Documents!$C$2:$C$619,"dining_menu")),"")</f>
        <v/>
      </c>
      <c r="K97">
        <f>IFERROR(IF(MAXIFS(Documents!$E$2:$E$619,Documents!$A$2:$A$619,$A97,Documents!$C$2:$C$619,"dive_prices")=0,"",MAXIFS(Documents!$E$2:$E$619,Documents!$A$2:$A$619,$A97,Documents!$C$2:$C$619,"dive_prices")),"")</f>
        <v/>
      </c>
      <c r="L97">
        <f>IFERROR(IF(MAXIFS(Documents!$E$2:$E$619,Documents!$A$2:$A$619,$A97,Documents!$C$2:$C$619,"excursions")=0,"",MAXIFS(Documents!$E$2:$E$619,Documents!$A$2:$A$619,$A97,Documents!$C$2:$C$619,"excursions")),"")</f>
        <v/>
      </c>
      <c r="M97">
        <f>IFERROR(IF(MAXIFS(Documents!$E$2:$E$619,Documents!$A$2:$A$619,$A97,Documents!$C$2:$C$619,"kids")=0,"",MAXIFS(Documents!$E$2:$E$619,Documents!$A$2:$A$619,$A97,Documents!$C$2:$C$619,"kids")),"")</f>
        <v/>
      </c>
      <c r="N97">
        <f>IFERROR(IF(MAXIFS(Documents!$E$2:$E$619,Documents!$A$2:$A$619,$A97,Documents!$C$2:$C$619,"villa_plans")=0,"",MAXIFS(Documents!$E$2:$E$619,Documents!$A$2:$A$619,$A97,Documents!$C$2:$C$619,"villa_plans")),"")</f>
        <v/>
      </c>
      <c r="O97">
        <f>IFERROR(IF(MAXIFS(Documents!$E$2:$E$619,Documents!$A$2:$A$619,$A97,Documents!$C$2:$C$619,"all_inclusive")=0,"",MAXIFS(Documents!$E$2:$E$619,Documents!$A$2:$A$619,$A97,Documents!$C$2:$C$619,"all_inclusive")),"")</f>
        <v/>
      </c>
      <c r="P97">
        <f>IFERROR(IF(MAXIFS(Documents!$E$2:$E$619,Documents!$A$2:$A$619,$A97,Documents!$C$2:$C$619,"sustainability")=0,"",MAXIFS(Documents!$E$2:$E$619,Documents!$A$2:$A$619,$A97,Documents!$C$2:$C$619,"sustainability")),"")</f>
        <v/>
      </c>
      <c r="Q97">
        <f>IFERROR(IF(MAXIFS(Documents!$E$2:$E$619,Documents!$A$2:$A$619,$A97,Documents!$C$2:$C$619,"calendar")=0,"",MAXIFS(Documents!$E$2:$E$619,Documents!$A$2:$A$619,$A97,Documents!$C$2:$C$619,"calendar")),"")</f>
        <v/>
      </c>
      <c r="R97">
        <f>IFERROR(IF(MAXIFS(Documents!$E$2:$E$619,Documents!$A$2:$A$619,$A97,Documents!$C$2:$C$619,"brochure")=0,"",MAXIFS(Documents!$E$2:$E$619,Documents!$A$2:$A$619,$A97,Documents!$C$2:$C$619,"brochure")),"")</f>
        <v/>
      </c>
      <c r="S97">
        <f>IFERROR(IF(MAXIFS(Documents!$E$2:$E$619,Documents!$A$2:$A$619,$A97,Documents!$C$2:$C$619,"press_kit")=0,"",MAXIFS(Documents!$E$2:$E$619,Documents!$A$2:$A$619,$A97,Documents!$C$2:$C$619,"press_kit")),"")</f>
        <v/>
      </c>
      <c r="T97">
        <f>IFERROR(IF(MAXIFS(Documents!$E$2:$E$619,Documents!$A$2:$A$619,$A97,Documents!$C$2:$C$619,"other")=0,"",MAXIFS(Documents!$E$2:$E$619,Documents!$A$2:$A$619,$A97,Documents!$C$2:$C$619,"other")),"")</f>
        <v/>
      </c>
      <c r="U97">
        <f>IFERROR(IF(MAXIFS(Documents!$E$2:$E$619,Documents!$A$2:$A$619,$A97,Documents!$C$2:$C$619,"obsolete")=0,"",MAXIFS(Documents!$E$2:$E$619,Documents!$A$2:$A$619,$A97,Documents!$C$2:$C$619,"obsolete")),"")</f>
        <v/>
      </c>
      <c r="V97">
        <f>COUNTIFS(Documents!$A$2:$A$619,$A97)</f>
        <v/>
      </c>
      <c r="W97">
        <f>COUNTIFS(Documents!$A$2:$A$619,$A97,Documents!$R$2:$R$619,"current")</f>
        <v/>
      </c>
      <c r="X97">
        <f>HYPERLINK("https://www.neoscapesmaldives.com/wp-content/uploads/DHMVIH-Fact-Sheet.pdf","2025_DHMVIH-Fact-Sheet.pdf")</f>
        <v/>
      </c>
      <c r="Y97" t="inlineStr">
        <is>
          <t>wedding, events</t>
        </is>
      </c>
      <c r="Z97" t="inlineStr">
        <is>
          <t>Angsana Ihuru (older name), file code DHMVIH</t>
        </is>
      </c>
    </row>
    <row r="98">
      <c r="A98" t="n">
        <v>97</v>
      </c>
      <c r="B98" t="inlineStr">
        <is>
          <t>Angsana Resort &amp; Spa Maldives - Velavaru</t>
        </is>
      </c>
      <c r="C98" t="inlineStr">
        <is>
          <t>not crawled</t>
        </is>
      </c>
      <c r="D98">
        <f>IFERROR(IF(MAXIFS(Documents!$E$2:$E$619,Documents!$A$2:$A$619,$A98,Documents!$C$2:$C$619,"factsheet")=0,"",MAXIFS(Documents!$E$2:$E$619,Documents!$A$2:$A$619,$A98,Documents!$C$2:$C$619,"factsheet")),"")</f>
        <v/>
      </c>
      <c r="E98">
        <f>IFERROR(IF(MAXIFS(Documents!$E$2:$E$619,Documents!$A$2:$A$619,$A98,Documents!$C$2:$C$619,"wedding")=0,"",MAXIFS(Documents!$E$2:$E$619,Documents!$A$2:$A$619,$A98,Documents!$C$2:$C$619,"wedding")),"")</f>
        <v/>
      </c>
      <c r="F98">
        <f>IFERROR(IF(MAXIFS(Documents!$E$2:$E$619,Documents!$A$2:$A$619,$A98,Documents!$C$2:$C$619,"events")=0,"",MAXIFS(Documents!$E$2:$E$619,Documents!$A$2:$A$619,$A98,Documents!$C$2:$C$619,"events")),"")</f>
        <v/>
      </c>
      <c r="G98">
        <f>IFERROR(IF(MAXIFS(Documents!$E$2:$E$619,Documents!$A$2:$A$619,$A98,Documents!$C$2:$C$619,"map")=0,"",MAXIFS(Documents!$E$2:$E$619,Documents!$A$2:$A$619,$A98,Documents!$C$2:$C$619,"map")),"")</f>
        <v/>
      </c>
      <c r="H98">
        <f>IFERROR(IF(MAXIFS(Documents!$E$2:$E$619,Documents!$A$2:$A$619,$A98,Documents!$C$2:$C$619,"dive_map")=0,"",MAXIFS(Documents!$E$2:$E$619,Documents!$A$2:$A$619,$A98,Documents!$C$2:$C$619,"dive_map")),"")</f>
        <v/>
      </c>
      <c r="I98">
        <f>IFERROR(IF(MAXIFS(Documents!$E$2:$E$619,Documents!$A$2:$A$619,$A98,Documents!$C$2:$C$619,"spa_menu")=0,"",MAXIFS(Documents!$E$2:$E$619,Documents!$A$2:$A$619,$A98,Documents!$C$2:$C$619,"spa_menu")),"")</f>
        <v/>
      </c>
      <c r="J98">
        <f>IFERROR(IF(MAXIFS(Documents!$E$2:$E$619,Documents!$A$2:$A$619,$A98,Documents!$C$2:$C$619,"dining_menu")=0,"",MAXIFS(Documents!$E$2:$E$619,Documents!$A$2:$A$619,$A98,Documents!$C$2:$C$619,"dining_menu")),"")</f>
        <v/>
      </c>
      <c r="K98">
        <f>IFERROR(IF(MAXIFS(Documents!$E$2:$E$619,Documents!$A$2:$A$619,$A98,Documents!$C$2:$C$619,"dive_prices")=0,"",MAXIFS(Documents!$E$2:$E$619,Documents!$A$2:$A$619,$A98,Documents!$C$2:$C$619,"dive_prices")),"")</f>
        <v/>
      </c>
      <c r="L98">
        <f>IFERROR(IF(MAXIFS(Documents!$E$2:$E$619,Documents!$A$2:$A$619,$A98,Documents!$C$2:$C$619,"excursions")=0,"",MAXIFS(Documents!$E$2:$E$619,Documents!$A$2:$A$619,$A98,Documents!$C$2:$C$619,"excursions")),"")</f>
        <v/>
      </c>
      <c r="M98">
        <f>IFERROR(IF(MAXIFS(Documents!$E$2:$E$619,Documents!$A$2:$A$619,$A98,Documents!$C$2:$C$619,"kids")=0,"",MAXIFS(Documents!$E$2:$E$619,Documents!$A$2:$A$619,$A98,Documents!$C$2:$C$619,"kids")),"")</f>
        <v/>
      </c>
      <c r="N98">
        <f>IFERROR(IF(MAXIFS(Documents!$E$2:$E$619,Documents!$A$2:$A$619,$A98,Documents!$C$2:$C$619,"villa_plans")=0,"",MAXIFS(Documents!$E$2:$E$619,Documents!$A$2:$A$619,$A98,Documents!$C$2:$C$619,"villa_plans")),"")</f>
        <v/>
      </c>
      <c r="O98">
        <f>IFERROR(IF(MAXIFS(Documents!$E$2:$E$619,Documents!$A$2:$A$619,$A98,Documents!$C$2:$C$619,"all_inclusive")=0,"",MAXIFS(Documents!$E$2:$E$619,Documents!$A$2:$A$619,$A98,Documents!$C$2:$C$619,"all_inclusive")),"")</f>
        <v/>
      </c>
      <c r="P98">
        <f>IFERROR(IF(MAXIFS(Documents!$E$2:$E$619,Documents!$A$2:$A$619,$A98,Documents!$C$2:$C$619,"sustainability")=0,"",MAXIFS(Documents!$E$2:$E$619,Documents!$A$2:$A$619,$A98,Documents!$C$2:$C$619,"sustainability")),"")</f>
        <v/>
      </c>
      <c r="Q98">
        <f>IFERROR(IF(MAXIFS(Documents!$E$2:$E$619,Documents!$A$2:$A$619,$A98,Documents!$C$2:$C$619,"calendar")=0,"",MAXIFS(Documents!$E$2:$E$619,Documents!$A$2:$A$619,$A98,Documents!$C$2:$C$619,"calendar")),"")</f>
        <v/>
      </c>
      <c r="R98">
        <f>IFERROR(IF(MAXIFS(Documents!$E$2:$E$619,Documents!$A$2:$A$619,$A98,Documents!$C$2:$C$619,"brochure")=0,"",MAXIFS(Documents!$E$2:$E$619,Documents!$A$2:$A$619,$A98,Documents!$C$2:$C$619,"brochure")),"")</f>
        <v/>
      </c>
      <c r="S98">
        <f>IFERROR(IF(MAXIFS(Documents!$E$2:$E$619,Documents!$A$2:$A$619,$A98,Documents!$C$2:$C$619,"press_kit")=0,"",MAXIFS(Documents!$E$2:$E$619,Documents!$A$2:$A$619,$A98,Documents!$C$2:$C$619,"press_kit")),"")</f>
        <v/>
      </c>
      <c r="T98">
        <f>IFERROR(IF(MAXIFS(Documents!$E$2:$E$619,Documents!$A$2:$A$619,$A98,Documents!$C$2:$C$619,"other")=0,"",MAXIFS(Documents!$E$2:$E$619,Documents!$A$2:$A$619,$A98,Documents!$C$2:$C$619,"other")),"")</f>
        <v/>
      </c>
      <c r="U98">
        <f>IFERROR(IF(MAXIFS(Documents!$E$2:$E$619,Documents!$A$2:$A$619,$A98,Documents!$C$2:$C$619,"obsolete")=0,"",MAXIFS(Documents!$E$2:$E$619,Documents!$A$2:$A$619,$A98,Documents!$C$2:$C$619,"obsolete")),"")</f>
        <v/>
      </c>
      <c r="V98">
        <f>COUNTIFS(Documents!$A$2:$A$619,$A98)</f>
        <v/>
      </c>
      <c r="W98">
        <f>COUNTIFS(Documents!$A$2:$A$619,$A98,Documents!$R$2:$R$619,"current")</f>
        <v/>
      </c>
      <c r="X98">
        <f>HYPERLINK("https://www.neoscapesmaldives.com/wp-content/uploads/Fact-Sheet-Angsana-Velavaru.pdf","2023_Fact-Sheet-Angsana-Velavaru.pdf")</f>
        <v/>
      </c>
      <c r="Y98" t="inlineStr">
        <is>
          <t>wedding, events</t>
        </is>
      </c>
      <c r="Z98" t="inlineStr"/>
    </row>
    <row r="99">
      <c r="A99" t="n">
        <v>98</v>
      </c>
      <c r="B99" t="inlineStr">
        <is>
          <t>Madifushi Private Island</t>
        </is>
      </c>
      <c r="C99" t="inlineStr">
        <is>
          <t>not crawled</t>
        </is>
      </c>
      <c r="D99">
        <f>IFERROR(IF(MAXIFS(Documents!$E$2:$E$619,Documents!$A$2:$A$619,$A99,Documents!$C$2:$C$619,"factsheet")=0,"",MAXIFS(Documents!$E$2:$E$619,Documents!$A$2:$A$619,$A99,Documents!$C$2:$C$619,"factsheet")),"")</f>
        <v/>
      </c>
      <c r="E99">
        <f>IFERROR(IF(MAXIFS(Documents!$E$2:$E$619,Documents!$A$2:$A$619,$A99,Documents!$C$2:$C$619,"wedding")=0,"",MAXIFS(Documents!$E$2:$E$619,Documents!$A$2:$A$619,$A99,Documents!$C$2:$C$619,"wedding")),"")</f>
        <v/>
      </c>
      <c r="F99">
        <f>IFERROR(IF(MAXIFS(Documents!$E$2:$E$619,Documents!$A$2:$A$619,$A99,Documents!$C$2:$C$619,"events")=0,"",MAXIFS(Documents!$E$2:$E$619,Documents!$A$2:$A$619,$A99,Documents!$C$2:$C$619,"events")),"")</f>
        <v/>
      </c>
      <c r="G99">
        <f>IFERROR(IF(MAXIFS(Documents!$E$2:$E$619,Documents!$A$2:$A$619,$A99,Documents!$C$2:$C$619,"map")=0,"",MAXIFS(Documents!$E$2:$E$619,Documents!$A$2:$A$619,$A99,Documents!$C$2:$C$619,"map")),"")</f>
        <v/>
      </c>
      <c r="H99">
        <f>IFERROR(IF(MAXIFS(Documents!$E$2:$E$619,Documents!$A$2:$A$619,$A99,Documents!$C$2:$C$619,"dive_map")=0,"",MAXIFS(Documents!$E$2:$E$619,Documents!$A$2:$A$619,$A99,Documents!$C$2:$C$619,"dive_map")),"")</f>
        <v/>
      </c>
      <c r="I99">
        <f>IFERROR(IF(MAXIFS(Documents!$E$2:$E$619,Documents!$A$2:$A$619,$A99,Documents!$C$2:$C$619,"spa_menu")=0,"",MAXIFS(Documents!$E$2:$E$619,Documents!$A$2:$A$619,$A99,Documents!$C$2:$C$619,"spa_menu")),"")</f>
        <v/>
      </c>
      <c r="J99">
        <f>IFERROR(IF(MAXIFS(Documents!$E$2:$E$619,Documents!$A$2:$A$619,$A99,Documents!$C$2:$C$619,"dining_menu")=0,"",MAXIFS(Documents!$E$2:$E$619,Documents!$A$2:$A$619,$A99,Documents!$C$2:$C$619,"dining_menu")),"")</f>
        <v/>
      </c>
      <c r="K99">
        <f>IFERROR(IF(MAXIFS(Documents!$E$2:$E$619,Documents!$A$2:$A$619,$A99,Documents!$C$2:$C$619,"dive_prices")=0,"",MAXIFS(Documents!$E$2:$E$619,Documents!$A$2:$A$619,$A99,Documents!$C$2:$C$619,"dive_prices")),"")</f>
        <v/>
      </c>
      <c r="L99">
        <f>IFERROR(IF(MAXIFS(Documents!$E$2:$E$619,Documents!$A$2:$A$619,$A99,Documents!$C$2:$C$619,"excursions")=0,"",MAXIFS(Documents!$E$2:$E$619,Documents!$A$2:$A$619,$A99,Documents!$C$2:$C$619,"excursions")),"")</f>
        <v/>
      </c>
      <c r="M99">
        <f>IFERROR(IF(MAXIFS(Documents!$E$2:$E$619,Documents!$A$2:$A$619,$A99,Documents!$C$2:$C$619,"kids")=0,"",MAXIFS(Documents!$E$2:$E$619,Documents!$A$2:$A$619,$A99,Documents!$C$2:$C$619,"kids")),"")</f>
        <v/>
      </c>
      <c r="N99">
        <f>IFERROR(IF(MAXIFS(Documents!$E$2:$E$619,Documents!$A$2:$A$619,$A99,Documents!$C$2:$C$619,"villa_plans")=0,"",MAXIFS(Documents!$E$2:$E$619,Documents!$A$2:$A$619,$A99,Documents!$C$2:$C$619,"villa_plans")),"")</f>
        <v/>
      </c>
      <c r="O99">
        <f>IFERROR(IF(MAXIFS(Documents!$E$2:$E$619,Documents!$A$2:$A$619,$A99,Documents!$C$2:$C$619,"all_inclusive")=0,"",MAXIFS(Documents!$E$2:$E$619,Documents!$A$2:$A$619,$A99,Documents!$C$2:$C$619,"all_inclusive")),"")</f>
        <v/>
      </c>
      <c r="P99">
        <f>IFERROR(IF(MAXIFS(Documents!$E$2:$E$619,Documents!$A$2:$A$619,$A99,Documents!$C$2:$C$619,"sustainability")=0,"",MAXIFS(Documents!$E$2:$E$619,Documents!$A$2:$A$619,$A99,Documents!$C$2:$C$619,"sustainability")),"")</f>
        <v/>
      </c>
      <c r="Q99">
        <f>IFERROR(IF(MAXIFS(Documents!$E$2:$E$619,Documents!$A$2:$A$619,$A99,Documents!$C$2:$C$619,"calendar")=0,"",MAXIFS(Documents!$E$2:$E$619,Documents!$A$2:$A$619,$A99,Documents!$C$2:$C$619,"calendar")),"")</f>
        <v/>
      </c>
      <c r="R99">
        <f>IFERROR(IF(MAXIFS(Documents!$E$2:$E$619,Documents!$A$2:$A$619,$A99,Documents!$C$2:$C$619,"brochure")=0,"",MAXIFS(Documents!$E$2:$E$619,Documents!$A$2:$A$619,$A99,Documents!$C$2:$C$619,"brochure")),"")</f>
        <v/>
      </c>
      <c r="S99">
        <f>IFERROR(IF(MAXIFS(Documents!$E$2:$E$619,Documents!$A$2:$A$619,$A99,Documents!$C$2:$C$619,"press_kit")=0,"",MAXIFS(Documents!$E$2:$E$619,Documents!$A$2:$A$619,$A99,Documents!$C$2:$C$619,"press_kit")),"")</f>
        <v/>
      </c>
      <c r="T99">
        <f>IFERROR(IF(MAXIFS(Documents!$E$2:$E$619,Documents!$A$2:$A$619,$A99,Documents!$C$2:$C$619,"other")=0,"",MAXIFS(Documents!$E$2:$E$619,Documents!$A$2:$A$619,$A99,Documents!$C$2:$C$619,"other")),"")</f>
        <v/>
      </c>
      <c r="U99">
        <f>IFERROR(IF(MAXIFS(Documents!$E$2:$E$619,Documents!$A$2:$A$619,$A99,Documents!$C$2:$C$619,"obsolete")=0,"",MAXIFS(Documents!$E$2:$E$619,Documents!$A$2:$A$619,$A99,Documents!$C$2:$C$619,"obsolete")),"")</f>
        <v/>
      </c>
      <c r="V99">
        <f>COUNTIFS(Documents!$A$2:$A$619,$A99)</f>
        <v/>
      </c>
      <c r="W99">
        <f>COUNTIFS(Documents!$A$2:$A$619,$A99,Documents!$R$2:$R$619,"current")</f>
        <v/>
      </c>
      <c r="X99" t="inlineStr"/>
      <c r="Y99" t="inlineStr">
        <is>
          <t>factsheet, wedding, events</t>
        </is>
      </c>
      <c r="Z99" t="inlineStr"/>
    </row>
    <row r="100">
      <c r="A100" t="n">
        <v>99</v>
      </c>
      <c r="B100" t="inlineStr">
        <is>
          <t>Conrad Maldives Rangali Island</t>
        </is>
      </c>
      <c r="C100" t="inlineStr">
        <is>
          <t>not crawled</t>
        </is>
      </c>
      <c r="D100">
        <f>IFERROR(IF(MAXIFS(Documents!$E$2:$E$619,Documents!$A$2:$A$619,$A100,Documents!$C$2:$C$619,"factsheet")=0,"",MAXIFS(Documents!$E$2:$E$619,Documents!$A$2:$A$619,$A100,Documents!$C$2:$C$619,"factsheet")),"")</f>
        <v/>
      </c>
      <c r="E100">
        <f>IFERROR(IF(MAXIFS(Documents!$E$2:$E$619,Documents!$A$2:$A$619,$A100,Documents!$C$2:$C$619,"wedding")=0,"",MAXIFS(Documents!$E$2:$E$619,Documents!$A$2:$A$619,$A100,Documents!$C$2:$C$619,"wedding")),"")</f>
        <v/>
      </c>
      <c r="F100">
        <f>IFERROR(IF(MAXIFS(Documents!$E$2:$E$619,Documents!$A$2:$A$619,$A100,Documents!$C$2:$C$619,"events")=0,"",MAXIFS(Documents!$E$2:$E$619,Documents!$A$2:$A$619,$A100,Documents!$C$2:$C$619,"events")),"")</f>
        <v/>
      </c>
      <c r="G100">
        <f>IFERROR(IF(MAXIFS(Documents!$E$2:$E$619,Documents!$A$2:$A$619,$A100,Documents!$C$2:$C$619,"map")=0,"",MAXIFS(Documents!$E$2:$E$619,Documents!$A$2:$A$619,$A100,Documents!$C$2:$C$619,"map")),"")</f>
        <v/>
      </c>
      <c r="H100">
        <f>IFERROR(IF(MAXIFS(Documents!$E$2:$E$619,Documents!$A$2:$A$619,$A100,Documents!$C$2:$C$619,"dive_map")=0,"",MAXIFS(Documents!$E$2:$E$619,Documents!$A$2:$A$619,$A100,Documents!$C$2:$C$619,"dive_map")),"")</f>
        <v/>
      </c>
      <c r="I100">
        <f>IFERROR(IF(MAXIFS(Documents!$E$2:$E$619,Documents!$A$2:$A$619,$A100,Documents!$C$2:$C$619,"spa_menu")=0,"",MAXIFS(Documents!$E$2:$E$619,Documents!$A$2:$A$619,$A100,Documents!$C$2:$C$619,"spa_menu")),"")</f>
        <v/>
      </c>
      <c r="J100">
        <f>IFERROR(IF(MAXIFS(Documents!$E$2:$E$619,Documents!$A$2:$A$619,$A100,Documents!$C$2:$C$619,"dining_menu")=0,"",MAXIFS(Documents!$E$2:$E$619,Documents!$A$2:$A$619,$A100,Documents!$C$2:$C$619,"dining_menu")),"")</f>
        <v/>
      </c>
      <c r="K100">
        <f>IFERROR(IF(MAXIFS(Documents!$E$2:$E$619,Documents!$A$2:$A$619,$A100,Documents!$C$2:$C$619,"dive_prices")=0,"",MAXIFS(Documents!$E$2:$E$619,Documents!$A$2:$A$619,$A100,Documents!$C$2:$C$619,"dive_prices")),"")</f>
        <v/>
      </c>
      <c r="L100">
        <f>IFERROR(IF(MAXIFS(Documents!$E$2:$E$619,Documents!$A$2:$A$619,$A100,Documents!$C$2:$C$619,"excursions")=0,"",MAXIFS(Documents!$E$2:$E$619,Documents!$A$2:$A$619,$A100,Documents!$C$2:$C$619,"excursions")),"")</f>
        <v/>
      </c>
      <c r="M100">
        <f>IFERROR(IF(MAXIFS(Documents!$E$2:$E$619,Documents!$A$2:$A$619,$A100,Documents!$C$2:$C$619,"kids")=0,"",MAXIFS(Documents!$E$2:$E$619,Documents!$A$2:$A$619,$A100,Documents!$C$2:$C$619,"kids")),"")</f>
        <v/>
      </c>
      <c r="N100">
        <f>IFERROR(IF(MAXIFS(Documents!$E$2:$E$619,Documents!$A$2:$A$619,$A100,Documents!$C$2:$C$619,"villa_plans")=0,"",MAXIFS(Documents!$E$2:$E$619,Documents!$A$2:$A$619,$A100,Documents!$C$2:$C$619,"villa_plans")),"")</f>
        <v/>
      </c>
      <c r="O100">
        <f>IFERROR(IF(MAXIFS(Documents!$E$2:$E$619,Documents!$A$2:$A$619,$A100,Documents!$C$2:$C$619,"all_inclusive")=0,"",MAXIFS(Documents!$E$2:$E$619,Documents!$A$2:$A$619,$A100,Documents!$C$2:$C$619,"all_inclusive")),"")</f>
        <v/>
      </c>
      <c r="P100">
        <f>IFERROR(IF(MAXIFS(Documents!$E$2:$E$619,Documents!$A$2:$A$619,$A100,Documents!$C$2:$C$619,"sustainability")=0,"",MAXIFS(Documents!$E$2:$E$619,Documents!$A$2:$A$619,$A100,Documents!$C$2:$C$619,"sustainability")),"")</f>
        <v/>
      </c>
      <c r="Q100">
        <f>IFERROR(IF(MAXIFS(Documents!$E$2:$E$619,Documents!$A$2:$A$619,$A100,Documents!$C$2:$C$619,"calendar")=0,"",MAXIFS(Documents!$E$2:$E$619,Documents!$A$2:$A$619,$A100,Documents!$C$2:$C$619,"calendar")),"")</f>
        <v/>
      </c>
      <c r="R100">
        <f>IFERROR(IF(MAXIFS(Documents!$E$2:$E$619,Documents!$A$2:$A$619,$A100,Documents!$C$2:$C$619,"brochure")=0,"",MAXIFS(Documents!$E$2:$E$619,Documents!$A$2:$A$619,$A100,Documents!$C$2:$C$619,"brochure")),"")</f>
        <v/>
      </c>
      <c r="S100">
        <f>IFERROR(IF(MAXIFS(Documents!$E$2:$E$619,Documents!$A$2:$A$619,$A100,Documents!$C$2:$C$619,"press_kit")=0,"",MAXIFS(Documents!$E$2:$E$619,Documents!$A$2:$A$619,$A100,Documents!$C$2:$C$619,"press_kit")),"")</f>
        <v/>
      </c>
      <c r="T100">
        <f>IFERROR(IF(MAXIFS(Documents!$E$2:$E$619,Documents!$A$2:$A$619,$A100,Documents!$C$2:$C$619,"other")=0,"",MAXIFS(Documents!$E$2:$E$619,Documents!$A$2:$A$619,$A100,Documents!$C$2:$C$619,"other")),"")</f>
        <v/>
      </c>
      <c r="U100">
        <f>IFERROR(IF(MAXIFS(Documents!$E$2:$E$619,Documents!$A$2:$A$619,$A100,Documents!$C$2:$C$619,"obsolete")=0,"",MAXIFS(Documents!$E$2:$E$619,Documents!$A$2:$A$619,$A100,Documents!$C$2:$C$619,"obsolete")),"")</f>
        <v/>
      </c>
      <c r="V100">
        <f>COUNTIFS(Documents!$A$2:$A$619,$A100)</f>
        <v/>
      </c>
      <c r="W100">
        <f>COUNTIFS(Documents!$A$2:$A$619,$A100,Documents!$R$2:$R$619,"current")</f>
        <v/>
      </c>
      <c r="X100">
        <f>HYPERLINK("https://www.neoscapesmaldives.com/wp-content/uploads/CMRI-Villa-Factsheet.pdf","2025_CMRI-Villa-Factsheet.pdf")</f>
        <v/>
      </c>
      <c r="Y100" t="inlineStr">
        <is>
          <t>wedding, events</t>
        </is>
      </c>
      <c r="Z100" t="inlineStr"/>
    </row>
    <row r="101">
      <c r="A101" t="n">
        <v>100</v>
      </c>
      <c r="B101" t="inlineStr">
        <is>
          <t>Club Med Kanifinolhu</t>
        </is>
      </c>
      <c r="C101" t="inlineStr">
        <is>
          <t>not crawled</t>
        </is>
      </c>
      <c r="D101">
        <f>IFERROR(IF(MAXIFS(Documents!$E$2:$E$619,Documents!$A$2:$A$619,$A101,Documents!$C$2:$C$619,"factsheet")=0,"",MAXIFS(Documents!$E$2:$E$619,Documents!$A$2:$A$619,$A101,Documents!$C$2:$C$619,"factsheet")),"")</f>
        <v/>
      </c>
      <c r="E101">
        <f>IFERROR(IF(MAXIFS(Documents!$E$2:$E$619,Documents!$A$2:$A$619,$A101,Documents!$C$2:$C$619,"wedding")=0,"",MAXIFS(Documents!$E$2:$E$619,Documents!$A$2:$A$619,$A101,Documents!$C$2:$C$619,"wedding")),"")</f>
        <v/>
      </c>
      <c r="F101">
        <f>IFERROR(IF(MAXIFS(Documents!$E$2:$E$619,Documents!$A$2:$A$619,$A101,Documents!$C$2:$C$619,"events")=0,"",MAXIFS(Documents!$E$2:$E$619,Documents!$A$2:$A$619,$A101,Documents!$C$2:$C$619,"events")),"")</f>
        <v/>
      </c>
      <c r="G101">
        <f>IFERROR(IF(MAXIFS(Documents!$E$2:$E$619,Documents!$A$2:$A$619,$A101,Documents!$C$2:$C$619,"map")=0,"",MAXIFS(Documents!$E$2:$E$619,Documents!$A$2:$A$619,$A101,Documents!$C$2:$C$619,"map")),"")</f>
        <v/>
      </c>
      <c r="H101">
        <f>IFERROR(IF(MAXIFS(Documents!$E$2:$E$619,Documents!$A$2:$A$619,$A101,Documents!$C$2:$C$619,"dive_map")=0,"",MAXIFS(Documents!$E$2:$E$619,Documents!$A$2:$A$619,$A101,Documents!$C$2:$C$619,"dive_map")),"")</f>
        <v/>
      </c>
      <c r="I101">
        <f>IFERROR(IF(MAXIFS(Documents!$E$2:$E$619,Documents!$A$2:$A$619,$A101,Documents!$C$2:$C$619,"spa_menu")=0,"",MAXIFS(Documents!$E$2:$E$619,Documents!$A$2:$A$619,$A101,Documents!$C$2:$C$619,"spa_menu")),"")</f>
        <v/>
      </c>
      <c r="J101">
        <f>IFERROR(IF(MAXIFS(Documents!$E$2:$E$619,Documents!$A$2:$A$619,$A101,Documents!$C$2:$C$619,"dining_menu")=0,"",MAXIFS(Documents!$E$2:$E$619,Documents!$A$2:$A$619,$A101,Documents!$C$2:$C$619,"dining_menu")),"")</f>
        <v/>
      </c>
      <c r="K101">
        <f>IFERROR(IF(MAXIFS(Documents!$E$2:$E$619,Documents!$A$2:$A$619,$A101,Documents!$C$2:$C$619,"dive_prices")=0,"",MAXIFS(Documents!$E$2:$E$619,Documents!$A$2:$A$619,$A101,Documents!$C$2:$C$619,"dive_prices")),"")</f>
        <v/>
      </c>
      <c r="L101">
        <f>IFERROR(IF(MAXIFS(Documents!$E$2:$E$619,Documents!$A$2:$A$619,$A101,Documents!$C$2:$C$619,"excursions")=0,"",MAXIFS(Documents!$E$2:$E$619,Documents!$A$2:$A$619,$A101,Documents!$C$2:$C$619,"excursions")),"")</f>
        <v/>
      </c>
      <c r="M101">
        <f>IFERROR(IF(MAXIFS(Documents!$E$2:$E$619,Documents!$A$2:$A$619,$A101,Documents!$C$2:$C$619,"kids")=0,"",MAXIFS(Documents!$E$2:$E$619,Documents!$A$2:$A$619,$A101,Documents!$C$2:$C$619,"kids")),"")</f>
        <v/>
      </c>
      <c r="N101">
        <f>IFERROR(IF(MAXIFS(Documents!$E$2:$E$619,Documents!$A$2:$A$619,$A101,Documents!$C$2:$C$619,"villa_plans")=0,"",MAXIFS(Documents!$E$2:$E$619,Documents!$A$2:$A$619,$A101,Documents!$C$2:$C$619,"villa_plans")),"")</f>
        <v/>
      </c>
      <c r="O101">
        <f>IFERROR(IF(MAXIFS(Documents!$E$2:$E$619,Documents!$A$2:$A$619,$A101,Documents!$C$2:$C$619,"all_inclusive")=0,"",MAXIFS(Documents!$E$2:$E$619,Documents!$A$2:$A$619,$A101,Documents!$C$2:$C$619,"all_inclusive")),"")</f>
        <v/>
      </c>
      <c r="P101">
        <f>IFERROR(IF(MAXIFS(Documents!$E$2:$E$619,Documents!$A$2:$A$619,$A101,Documents!$C$2:$C$619,"sustainability")=0,"",MAXIFS(Documents!$E$2:$E$619,Documents!$A$2:$A$619,$A101,Documents!$C$2:$C$619,"sustainability")),"")</f>
        <v/>
      </c>
      <c r="Q101">
        <f>IFERROR(IF(MAXIFS(Documents!$E$2:$E$619,Documents!$A$2:$A$619,$A101,Documents!$C$2:$C$619,"calendar")=0,"",MAXIFS(Documents!$E$2:$E$619,Documents!$A$2:$A$619,$A101,Documents!$C$2:$C$619,"calendar")),"")</f>
        <v/>
      </c>
      <c r="R101">
        <f>IFERROR(IF(MAXIFS(Documents!$E$2:$E$619,Documents!$A$2:$A$619,$A101,Documents!$C$2:$C$619,"brochure")=0,"",MAXIFS(Documents!$E$2:$E$619,Documents!$A$2:$A$619,$A101,Documents!$C$2:$C$619,"brochure")),"")</f>
        <v/>
      </c>
      <c r="S101">
        <f>IFERROR(IF(MAXIFS(Documents!$E$2:$E$619,Documents!$A$2:$A$619,$A101,Documents!$C$2:$C$619,"press_kit")=0,"",MAXIFS(Documents!$E$2:$E$619,Documents!$A$2:$A$619,$A101,Documents!$C$2:$C$619,"press_kit")),"")</f>
        <v/>
      </c>
      <c r="T101">
        <f>IFERROR(IF(MAXIFS(Documents!$E$2:$E$619,Documents!$A$2:$A$619,$A101,Documents!$C$2:$C$619,"other")=0,"",MAXIFS(Documents!$E$2:$E$619,Documents!$A$2:$A$619,$A101,Documents!$C$2:$C$619,"other")),"")</f>
        <v/>
      </c>
      <c r="U101">
        <f>IFERROR(IF(MAXIFS(Documents!$E$2:$E$619,Documents!$A$2:$A$619,$A101,Documents!$C$2:$C$619,"obsolete")=0,"",MAXIFS(Documents!$E$2:$E$619,Documents!$A$2:$A$619,$A101,Documents!$C$2:$C$619,"obsolete")),"")</f>
        <v/>
      </c>
      <c r="V101">
        <f>COUNTIFS(Documents!$A$2:$A$619,$A101)</f>
        <v/>
      </c>
      <c r="W101">
        <f>COUNTIFS(Documents!$A$2:$A$619,$A101,Documents!$R$2:$R$619,"current")</f>
        <v/>
      </c>
      <c r="X101" t="inlineStr"/>
      <c r="Y101" t="inlineStr">
        <is>
          <t>factsheet, wedding, events</t>
        </is>
      </c>
      <c r="Z101" t="inlineStr"/>
    </row>
    <row r="102">
      <c r="A102" t="n">
        <v>101</v>
      </c>
      <c r="B102" t="inlineStr">
        <is>
          <t>Club Med Finolhu Villas</t>
        </is>
      </c>
      <c r="C102" t="inlineStr">
        <is>
          <t>not crawled</t>
        </is>
      </c>
      <c r="D102">
        <f>IFERROR(IF(MAXIFS(Documents!$E$2:$E$619,Documents!$A$2:$A$619,$A102,Documents!$C$2:$C$619,"factsheet")=0,"",MAXIFS(Documents!$E$2:$E$619,Documents!$A$2:$A$619,$A102,Documents!$C$2:$C$619,"factsheet")),"")</f>
        <v/>
      </c>
      <c r="E102">
        <f>IFERROR(IF(MAXIFS(Documents!$E$2:$E$619,Documents!$A$2:$A$619,$A102,Documents!$C$2:$C$619,"wedding")=0,"",MAXIFS(Documents!$E$2:$E$619,Documents!$A$2:$A$619,$A102,Documents!$C$2:$C$619,"wedding")),"")</f>
        <v/>
      </c>
      <c r="F102">
        <f>IFERROR(IF(MAXIFS(Documents!$E$2:$E$619,Documents!$A$2:$A$619,$A102,Documents!$C$2:$C$619,"events")=0,"",MAXIFS(Documents!$E$2:$E$619,Documents!$A$2:$A$619,$A102,Documents!$C$2:$C$619,"events")),"")</f>
        <v/>
      </c>
      <c r="G102">
        <f>IFERROR(IF(MAXIFS(Documents!$E$2:$E$619,Documents!$A$2:$A$619,$A102,Documents!$C$2:$C$619,"map")=0,"",MAXIFS(Documents!$E$2:$E$619,Documents!$A$2:$A$619,$A102,Documents!$C$2:$C$619,"map")),"")</f>
        <v/>
      </c>
      <c r="H102">
        <f>IFERROR(IF(MAXIFS(Documents!$E$2:$E$619,Documents!$A$2:$A$619,$A102,Documents!$C$2:$C$619,"dive_map")=0,"",MAXIFS(Documents!$E$2:$E$619,Documents!$A$2:$A$619,$A102,Documents!$C$2:$C$619,"dive_map")),"")</f>
        <v/>
      </c>
      <c r="I102">
        <f>IFERROR(IF(MAXIFS(Documents!$E$2:$E$619,Documents!$A$2:$A$619,$A102,Documents!$C$2:$C$619,"spa_menu")=0,"",MAXIFS(Documents!$E$2:$E$619,Documents!$A$2:$A$619,$A102,Documents!$C$2:$C$619,"spa_menu")),"")</f>
        <v/>
      </c>
      <c r="J102">
        <f>IFERROR(IF(MAXIFS(Documents!$E$2:$E$619,Documents!$A$2:$A$619,$A102,Documents!$C$2:$C$619,"dining_menu")=0,"",MAXIFS(Documents!$E$2:$E$619,Documents!$A$2:$A$619,$A102,Documents!$C$2:$C$619,"dining_menu")),"")</f>
        <v/>
      </c>
      <c r="K102">
        <f>IFERROR(IF(MAXIFS(Documents!$E$2:$E$619,Documents!$A$2:$A$619,$A102,Documents!$C$2:$C$619,"dive_prices")=0,"",MAXIFS(Documents!$E$2:$E$619,Documents!$A$2:$A$619,$A102,Documents!$C$2:$C$619,"dive_prices")),"")</f>
        <v/>
      </c>
      <c r="L102">
        <f>IFERROR(IF(MAXIFS(Documents!$E$2:$E$619,Documents!$A$2:$A$619,$A102,Documents!$C$2:$C$619,"excursions")=0,"",MAXIFS(Documents!$E$2:$E$619,Documents!$A$2:$A$619,$A102,Documents!$C$2:$C$619,"excursions")),"")</f>
        <v/>
      </c>
      <c r="M102">
        <f>IFERROR(IF(MAXIFS(Documents!$E$2:$E$619,Documents!$A$2:$A$619,$A102,Documents!$C$2:$C$619,"kids")=0,"",MAXIFS(Documents!$E$2:$E$619,Documents!$A$2:$A$619,$A102,Documents!$C$2:$C$619,"kids")),"")</f>
        <v/>
      </c>
      <c r="N102">
        <f>IFERROR(IF(MAXIFS(Documents!$E$2:$E$619,Documents!$A$2:$A$619,$A102,Documents!$C$2:$C$619,"villa_plans")=0,"",MAXIFS(Documents!$E$2:$E$619,Documents!$A$2:$A$619,$A102,Documents!$C$2:$C$619,"villa_plans")),"")</f>
        <v/>
      </c>
      <c r="O102">
        <f>IFERROR(IF(MAXIFS(Documents!$E$2:$E$619,Documents!$A$2:$A$619,$A102,Documents!$C$2:$C$619,"all_inclusive")=0,"",MAXIFS(Documents!$E$2:$E$619,Documents!$A$2:$A$619,$A102,Documents!$C$2:$C$619,"all_inclusive")),"")</f>
        <v/>
      </c>
      <c r="P102">
        <f>IFERROR(IF(MAXIFS(Documents!$E$2:$E$619,Documents!$A$2:$A$619,$A102,Documents!$C$2:$C$619,"sustainability")=0,"",MAXIFS(Documents!$E$2:$E$619,Documents!$A$2:$A$619,$A102,Documents!$C$2:$C$619,"sustainability")),"")</f>
        <v/>
      </c>
      <c r="Q102">
        <f>IFERROR(IF(MAXIFS(Documents!$E$2:$E$619,Documents!$A$2:$A$619,$A102,Documents!$C$2:$C$619,"calendar")=0,"",MAXIFS(Documents!$E$2:$E$619,Documents!$A$2:$A$619,$A102,Documents!$C$2:$C$619,"calendar")),"")</f>
        <v/>
      </c>
      <c r="R102">
        <f>IFERROR(IF(MAXIFS(Documents!$E$2:$E$619,Documents!$A$2:$A$619,$A102,Documents!$C$2:$C$619,"brochure")=0,"",MAXIFS(Documents!$E$2:$E$619,Documents!$A$2:$A$619,$A102,Documents!$C$2:$C$619,"brochure")),"")</f>
        <v/>
      </c>
      <c r="S102">
        <f>IFERROR(IF(MAXIFS(Documents!$E$2:$E$619,Documents!$A$2:$A$619,$A102,Documents!$C$2:$C$619,"press_kit")=0,"",MAXIFS(Documents!$E$2:$E$619,Documents!$A$2:$A$619,$A102,Documents!$C$2:$C$619,"press_kit")),"")</f>
        <v/>
      </c>
      <c r="T102">
        <f>IFERROR(IF(MAXIFS(Documents!$E$2:$E$619,Documents!$A$2:$A$619,$A102,Documents!$C$2:$C$619,"other")=0,"",MAXIFS(Documents!$E$2:$E$619,Documents!$A$2:$A$619,$A102,Documents!$C$2:$C$619,"other")),"")</f>
        <v/>
      </c>
      <c r="U102">
        <f>IFERROR(IF(MAXIFS(Documents!$E$2:$E$619,Documents!$A$2:$A$619,$A102,Documents!$C$2:$C$619,"obsolete")=0,"",MAXIFS(Documents!$E$2:$E$619,Documents!$A$2:$A$619,$A102,Documents!$C$2:$C$619,"obsolete")),"")</f>
        <v/>
      </c>
      <c r="V102">
        <f>COUNTIFS(Documents!$A$2:$A$619,$A102)</f>
        <v/>
      </c>
      <c r="W102">
        <f>COUNTIFS(Documents!$A$2:$A$619,$A102,Documents!$R$2:$R$619,"current")</f>
        <v/>
      </c>
      <c r="X102" t="inlineStr"/>
      <c r="Y102" t="inlineStr">
        <is>
          <t>factsheet, wedding, events</t>
        </is>
      </c>
      <c r="Z102" t="inlineStr"/>
    </row>
    <row r="103">
      <c r="A103" t="n">
        <v>102</v>
      </c>
      <c r="B103" t="inlineStr">
        <is>
          <t>W Maldives</t>
        </is>
      </c>
      <c r="C103" t="inlineStr">
        <is>
          <t>not crawled</t>
        </is>
      </c>
      <c r="D103">
        <f>IFERROR(IF(MAXIFS(Documents!$E$2:$E$619,Documents!$A$2:$A$619,$A103,Documents!$C$2:$C$619,"factsheet")=0,"",MAXIFS(Documents!$E$2:$E$619,Documents!$A$2:$A$619,$A103,Documents!$C$2:$C$619,"factsheet")),"")</f>
        <v/>
      </c>
      <c r="E103">
        <f>IFERROR(IF(MAXIFS(Documents!$E$2:$E$619,Documents!$A$2:$A$619,$A103,Documents!$C$2:$C$619,"wedding")=0,"",MAXIFS(Documents!$E$2:$E$619,Documents!$A$2:$A$619,$A103,Documents!$C$2:$C$619,"wedding")),"")</f>
        <v/>
      </c>
      <c r="F103">
        <f>IFERROR(IF(MAXIFS(Documents!$E$2:$E$619,Documents!$A$2:$A$619,$A103,Documents!$C$2:$C$619,"events")=0,"",MAXIFS(Documents!$E$2:$E$619,Documents!$A$2:$A$619,$A103,Documents!$C$2:$C$619,"events")),"")</f>
        <v/>
      </c>
      <c r="G103">
        <f>IFERROR(IF(MAXIFS(Documents!$E$2:$E$619,Documents!$A$2:$A$619,$A103,Documents!$C$2:$C$619,"map")=0,"",MAXIFS(Documents!$E$2:$E$619,Documents!$A$2:$A$619,$A103,Documents!$C$2:$C$619,"map")),"")</f>
        <v/>
      </c>
      <c r="H103">
        <f>IFERROR(IF(MAXIFS(Documents!$E$2:$E$619,Documents!$A$2:$A$619,$A103,Documents!$C$2:$C$619,"dive_map")=0,"",MAXIFS(Documents!$E$2:$E$619,Documents!$A$2:$A$619,$A103,Documents!$C$2:$C$619,"dive_map")),"")</f>
        <v/>
      </c>
      <c r="I103">
        <f>IFERROR(IF(MAXIFS(Documents!$E$2:$E$619,Documents!$A$2:$A$619,$A103,Documents!$C$2:$C$619,"spa_menu")=0,"",MAXIFS(Documents!$E$2:$E$619,Documents!$A$2:$A$619,$A103,Documents!$C$2:$C$619,"spa_menu")),"")</f>
        <v/>
      </c>
      <c r="J103">
        <f>IFERROR(IF(MAXIFS(Documents!$E$2:$E$619,Documents!$A$2:$A$619,$A103,Documents!$C$2:$C$619,"dining_menu")=0,"",MAXIFS(Documents!$E$2:$E$619,Documents!$A$2:$A$619,$A103,Documents!$C$2:$C$619,"dining_menu")),"")</f>
        <v/>
      </c>
      <c r="K103">
        <f>IFERROR(IF(MAXIFS(Documents!$E$2:$E$619,Documents!$A$2:$A$619,$A103,Documents!$C$2:$C$619,"dive_prices")=0,"",MAXIFS(Documents!$E$2:$E$619,Documents!$A$2:$A$619,$A103,Documents!$C$2:$C$619,"dive_prices")),"")</f>
        <v/>
      </c>
      <c r="L103">
        <f>IFERROR(IF(MAXIFS(Documents!$E$2:$E$619,Documents!$A$2:$A$619,$A103,Documents!$C$2:$C$619,"excursions")=0,"",MAXIFS(Documents!$E$2:$E$619,Documents!$A$2:$A$619,$A103,Documents!$C$2:$C$619,"excursions")),"")</f>
        <v/>
      </c>
      <c r="M103">
        <f>IFERROR(IF(MAXIFS(Documents!$E$2:$E$619,Documents!$A$2:$A$619,$A103,Documents!$C$2:$C$619,"kids")=0,"",MAXIFS(Documents!$E$2:$E$619,Documents!$A$2:$A$619,$A103,Documents!$C$2:$C$619,"kids")),"")</f>
        <v/>
      </c>
      <c r="N103">
        <f>IFERROR(IF(MAXIFS(Documents!$E$2:$E$619,Documents!$A$2:$A$619,$A103,Documents!$C$2:$C$619,"villa_plans")=0,"",MAXIFS(Documents!$E$2:$E$619,Documents!$A$2:$A$619,$A103,Documents!$C$2:$C$619,"villa_plans")),"")</f>
        <v/>
      </c>
      <c r="O103">
        <f>IFERROR(IF(MAXIFS(Documents!$E$2:$E$619,Documents!$A$2:$A$619,$A103,Documents!$C$2:$C$619,"all_inclusive")=0,"",MAXIFS(Documents!$E$2:$E$619,Documents!$A$2:$A$619,$A103,Documents!$C$2:$C$619,"all_inclusive")),"")</f>
        <v/>
      </c>
      <c r="P103">
        <f>IFERROR(IF(MAXIFS(Documents!$E$2:$E$619,Documents!$A$2:$A$619,$A103,Documents!$C$2:$C$619,"sustainability")=0,"",MAXIFS(Documents!$E$2:$E$619,Documents!$A$2:$A$619,$A103,Documents!$C$2:$C$619,"sustainability")),"")</f>
        <v/>
      </c>
      <c r="Q103">
        <f>IFERROR(IF(MAXIFS(Documents!$E$2:$E$619,Documents!$A$2:$A$619,$A103,Documents!$C$2:$C$619,"calendar")=0,"",MAXIFS(Documents!$E$2:$E$619,Documents!$A$2:$A$619,$A103,Documents!$C$2:$C$619,"calendar")),"")</f>
        <v/>
      </c>
      <c r="R103">
        <f>IFERROR(IF(MAXIFS(Documents!$E$2:$E$619,Documents!$A$2:$A$619,$A103,Documents!$C$2:$C$619,"brochure")=0,"",MAXIFS(Documents!$E$2:$E$619,Documents!$A$2:$A$619,$A103,Documents!$C$2:$C$619,"brochure")),"")</f>
        <v/>
      </c>
      <c r="S103">
        <f>IFERROR(IF(MAXIFS(Documents!$E$2:$E$619,Documents!$A$2:$A$619,$A103,Documents!$C$2:$C$619,"press_kit")=0,"",MAXIFS(Documents!$E$2:$E$619,Documents!$A$2:$A$619,$A103,Documents!$C$2:$C$619,"press_kit")),"")</f>
        <v/>
      </c>
      <c r="T103">
        <f>IFERROR(IF(MAXIFS(Documents!$E$2:$E$619,Documents!$A$2:$A$619,$A103,Documents!$C$2:$C$619,"other")=0,"",MAXIFS(Documents!$E$2:$E$619,Documents!$A$2:$A$619,$A103,Documents!$C$2:$C$619,"other")),"")</f>
        <v/>
      </c>
      <c r="U103">
        <f>IFERROR(IF(MAXIFS(Documents!$E$2:$E$619,Documents!$A$2:$A$619,$A103,Documents!$C$2:$C$619,"obsolete")=0,"",MAXIFS(Documents!$E$2:$E$619,Documents!$A$2:$A$619,$A103,Documents!$C$2:$C$619,"obsolete")),"")</f>
        <v/>
      </c>
      <c r="V103">
        <f>COUNTIFS(Documents!$A$2:$A$619,$A103)</f>
        <v/>
      </c>
      <c r="W103">
        <f>COUNTIFS(Documents!$A$2:$A$619,$A103,Documents!$R$2:$R$619,"current")</f>
        <v/>
      </c>
      <c r="X103">
        <f>HYPERLINK("https://neoscapesmaldives.com/wp-content/uploads/W_Retreat-Maldives-Factsheet.pdf","2019_W_Retreat-Maldives-Factsheet.pdf")</f>
        <v/>
      </c>
      <c r="Y103" t="inlineStr">
        <is>
          <t>wedding, events</t>
        </is>
      </c>
      <c r="Z103" t="inlineStr"/>
    </row>
    <row r="104">
      <c r="A104" t="n">
        <v>103</v>
      </c>
      <c r="B104" t="inlineStr">
        <is>
          <t>Sheraton Maldives Full Moon Resort &amp; Spa</t>
        </is>
      </c>
      <c r="C104" t="inlineStr">
        <is>
          <t>not crawled</t>
        </is>
      </c>
      <c r="D104">
        <f>IFERROR(IF(MAXIFS(Documents!$E$2:$E$619,Documents!$A$2:$A$619,$A104,Documents!$C$2:$C$619,"factsheet")=0,"",MAXIFS(Documents!$E$2:$E$619,Documents!$A$2:$A$619,$A104,Documents!$C$2:$C$619,"factsheet")),"")</f>
        <v/>
      </c>
      <c r="E104">
        <f>IFERROR(IF(MAXIFS(Documents!$E$2:$E$619,Documents!$A$2:$A$619,$A104,Documents!$C$2:$C$619,"wedding")=0,"",MAXIFS(Documents!$E$2:$E$619,Documents!$A$2:$A$619,$A104,Documents!$C$2:$C$619,"wedding")),"")</f>
        <v/>
      </c>
      <c r="F104">
        <f>IFERROR(IF(MAXIFS(Documents!$E$2:$E$619,Documents!$A$2:$A$619,$A104,Documents!$C$2:$C$619,"events")=0,"",MAXIFS(Documents!$E$2:$E$619,Documents!$A$2:$A$619,$A104,Documents!$C$2:$C$619,"events")),"")</f>
        <v/>
      </c>
      <c r="G104">
        <f>IFERROR(IF(MAXIFS(Documents!$E$2:$E$619,Documents!$A$2:$A$619,$A104,Documents!$C$2:$C$619,"map")=0,"",MAXIFS(Documents!$E$2:$E$619,Documents!$A$2:$A$619,$A104,Documents!$C$2:$C$619,"map")),"")</f>
        <v/>
      </c>
      <c r="H104">
        <f>IFERROR(IF(MAXIFS(Documents!$E$2:$E$619,Documents!$A$2:$A$619,$A104,Documents!$C$2:$C$619,"dive_map")=0,"",MAXIFS(Documents!$E$2:$E$619,Documents!$A$2:$A$619,$A104,Documents!$C$2:$C$619,"dive_map")),"")</f>
        <v/>
      </c>
      <c r="I104">
        <f>IFERROR(IF(MAXIFS(Documents!$E$2:$E$619,Documents!$A$2:$A$619,$A104,Documents!$C$2:$C$619,"spa_menu")=0,"",MAXIFS(Documents!$E$2:$E$619,Documents!$A$2:$A$619,$A104,Documents!$C$2:$C$619,"spa_menu")),"")</f>
        <v/>
      </c>
      <c r="J104">
        <f>IFERROR(IF(MAXIFS(Documents!$E$2:$E$619,Documents!$A$2:$A$619,$A104,Documents!$C$2:$C$619,"dining_menu")=0,"",MAXIFS(Documents!$E$2:$E$619,Documents!$A$2:$A$619,$A104,Documents!$C$2:$C$619,"dining_menu")),"")</f>
        <v/>
      </c>
      <c r="K104">
        <f>IFERROR(IF(MAXIFS(Documents!$E$2:$E$619,Documents!$A$2:$A$619,$A104,Documents!$C$2:$C$619,"dive_prices")=0,"",MAXIFS(Documents!$E$2:$E$619,Documents!$A$2:$A$619,$A104,Documents!$C$2:$C$619,"dive_prices")),"")</f>
        <v/>
      </c>
      <c r="L104">
        <f>IFERROR(IF(MAXIFS(Documents!$E$2:$E$619,Documents!$A$2:$A$619,$A104,Documents!$C$2:$C$619,"excursions")=0,"",MAXIFS(Documents!$E$2:$E$619,Documents!$A$2:$A$619,$A104,Documents!$C$2:$C$619,"excursions")),"")</f>
        <v/>
      </c>
      <c r="M104">
        <f>IFERROR(IF(MAXIFS(Documents!$E$2:$E$619,Documents!$A$2:$A$619,$A104,Documents!$C$2:$C$619,"kids")=0,"",MAXIFS(Documents!$E$2:$E$619,Documents!$A$2:$A$619,$A104,Documents!$C$2:$C$619,"kids")),"")</f>
        <v/>
      </c>
      <c r="N104">
        <f>IFERROR(IF(MAXIFS(Documents!$E$2:$E$619,Documents!$A$2:$A$619,$A104,Documents!$C$2:$C$619,"villa_plans")=0,"",MAXIFS(Documents!$E$2:$E$619,Documents!$A$2:$A$619,$A104,Documents!$C$2:$C$619,"villa_plans")),"")</f>
        <v/>
      </c>
      <c r="O104">
        <f>IFERROR(IF(MAXIFS(Documents!$E$2:$E$619,Documents!$A$2:$A$619,$A104,Documents!$C$2:$C$619,"all_inclusive")=0,"",MAXIFS(Documents!$E$2:$E$619,Documents!$A$2:$A$619,$A104,Documents!$C$2:$C$619,"all_inclusive")),"")</f>
        <v/>
      </c>
      <c r="P104">
        <f>IFERROR(IF(MAXIFS(Documents!$E$2:$E$619,Documents!$A$2:$A$619,$A104,Documents!$C$2:$C$619,"sustainability")=0,"",MAXIFS(Documents!$E$2:$E$619,Documents!$A$2:$A$619,$A104,Documents!$C$2:$C$619,"sustainability")),"")</f>
        <v/>
      </c>
      <c r="Q104">
        <f>IFERROR(IF(MAXIFS(Documents!$E$2:$E$619,Documents!$A$2:$A$619,$A104,Documents!$C$2:$C$619,"calendar")=0,"",MAXIFS(Documents!$E$2:$E$619,Documents!$A$2:$A$619,$A104,Documents!$C$2:$C$619,"calendar")),"")</f>
        <v/>
      </c>
      <c r="R104">
        <f>IFERROR(IF(MAXIFS(Documents!$E$2:$E$619,Documents!$A$2:$A$619,$A104,Documents!$C$2:$C$619,"brochure")=0,"",MAXIFS(Documents!$E$2:$E$619,Documents!$A$2:$A$619,$A104,Documents!$C$2:$C$619,"brochure")),"")</f>
        <v/>
      </c>
      <c r="S104">
        <f>IFERROR(IF(MAXIFS(Documents!$E$2:$E$619,Documents!$A$2:$A$619,$A104,Documents!$C$2:$C$619,"press_kit")=0,"",MAXIFS(Documents!$E$2:$E$619,Documents!$A$2:$A$619,$A104,Documents!$C$2:$C$619,"press_kit")),"")</f>
        <v/>
      </c>
      <c r="T104">
        <f>IFERROR(IF(MAXIFS(Documents!$E$2:$E$619,Documents!$A$2:$A$619,$A104,Documents!$C$2:$C$619,"other")=0,"",MAXIFS(Documents!$E$2:$E$619,Documents!$A$2:$A$619,$A104,Documents!$C$2:$C$619,"other")),"")</f>
        <v/>
      </c>
      <c r="U104">
        <f>IFERROR(IF(MAXIFS(Documents!$E$2:$E$619,Documents!$A$2:$A$619,$A104,Documents!$C$2:$C$619,"obsolete")=0,"",MAXIFS(Documents!$E$2:$E$619,Documents!$A$2:$A$619,$A104,Documents!$C$2:$C$619,"obsolete")),"")</f>
        <v/>
      </c>
      <c r="V104">
        <f>COUNTIFS(Documents!$A$2:$A$619,$A104)</f>
        <v/>
      </c>
      <c r="W104">
        <f>COUNTIFS(Documents!$A$2:$A$619,$A104,Documents!$R$2:$R$619,"current")</f>
        <v/>
      </c>
      <c r="X104">
        <f>HYPERLINK("https://www.neoscapesmaldives.com/wp-content/uploads/Fact-Sheet_EN.pdf","2018_Fact-Sheet_EN.pdf")</f>
        <v/>
      </c>
      <c r="Y104" t="inlineStr">
        <is>
          <t>wedding, events</t>
        </is>
      </c>
      <c r="Z104" t="inlineStr"/>
    </row>
    <row r="105">
      <c r="A105" t="n">
        <v>104</v>
      </c>
      <c r="B105" t="inlineStr">
        <is>
          <t>Medhufushi Island Resort</t>
        </is>
      </c>
      <c r="C105" t="inlineStr">
        <is>
          <t>not crawled</t>
        </is>
      </c>
      <c r="D105">
        <f>IFERROR(IF(MAXIFS(Documents!$E$2:$E$619,Documents!$A$2:$A$619,$A105,Documents!$C$2:$C$619,"factsheet")=0,"",MAXIFS(Documents!$E$2:$E$619,Documents!$A$2:$A$619,$A105,Documents!$C$2:$C$619,"factsheet")),"")</f>
        <v/>
      </c>
      <c r="E105">
        <f>IFERROR(IF(MAXIFS(Documents!$E$2:$E$619,Documents!$A$2:$A$619,$A105,Documents!$C$2:$C$619,"wedding")=0,"",MAXIFS(Documents!$E$2:$E$619,Documents!$A$2:$A$619,$A105,Documents!$C$2:$C$619,"wedding")),"")</f>
        <v/>
      </c>
      <c r="F105">
        <f>IFERROR(IF(MAXIFS(Documents!$E$2:$E$619,Documents!$A$2:$A$619,$A105,Documents!$C$2:$C$619,"events")=0,"",MAXIFS(Documents!$E$2:$E$619,Documents!$A$2:$A$619,$A105,Documents!$C$2:$C$619,"events")),"")</f>
        <v/>
      </c>
      <c r="G105">
        <f>IFERROR(IF(MAXIFS(Documents!$E$2:$E$619,Documents!$A$2:$A$619,$A105,Documents!$C$2:$C$619,"map")=0,"",MAXIFS(Documents!$E$2:$E$619,Documents!$A$2:$A$619,$A105,Documents!$C$2:$C$619,"map")),"")</f>
        <v/>
      </c>
      <c r="H105">
        <f>IFERROR(IF(MAXIFS(Documents!$E$2:$E$619,Documents!$A$2:$A$619,$A105,Documents!$C$2:$C$619,"dive_map")=0,"",MAXIFS(Documents!$E$2:$E$619,Documents!$A$2:$A$619,$A105,Documents!$C$2:$C$619,"dive_map")),"")</f>
        <v/>
      </c>
      <c r="I105">
        <f>IFERROR(IF(MAXIFS(Documents!$E$2:$E$619,Documents!$A$2:$A$619,$A105,Documents!$C$2:$C$619,"spa_menu")=0,"",MAXIFS(Documents!$E$2:$E$619,Documents!$A$2:$A$619,$A105,Documents!$C$2:$C$619,"spa_menu")),"")</f>
        <v/>
      </c>
      <c r="J105">
        <f>IFERROR(IF(MAXIFS(Documents!$E$2:$E$619,Documents!$A$2:$A$619,$A105,Documents!$C$2:$C$619,"dining_menu")=0,"",MAXIFS(Documents!$E$2:$E$619,Documents!$A$2:$A$619,$A105,Documents!$C$2:$C$619,"dining_menu")),"")</f>
        <v/>
      </c>
      <c r="K105">
        <f>IFERROR(IF(MAXIFS(Documents!$E$2:$E$619,Documents!$A$2:$A$619,$A105,Documents!$C$2:$C$619,"dive_prices")=0,"",MAXIFS(Documents!$E$2:$E$619,Documents!$A$2:$A$619,$A105,Documents!$C$2:$C$619,"dive_prices")),"")</f>
        <v/>
      </c>
      <c r="L105">
        <f>IFERROR(IF(MAXIFS(Documents!$E$2:$E$619,Documents!$A$2:$A$619,$A105,Documents!$C$2:$C$619,"excursions")=0,"",MAXIFS(Documents!$E$2:$E$619,Documents!$A$2:$A$619,$A105,Documents!$C$2:$C$619,"excursions")),"")</f>
        <v/>
      </c>
      <c r="M105">
        <f>IFERROR(IF(MAXIFS(Documents!$E$2:$E$619,Documents!$A$2:$A$619,$A105,Documents!$C$2:$C$619,"kids")=0,"",MAXIFS(Documents!$E$2:$E$619,Documents!$A$2:$A$619,$A105,Documents!$C$2:$C$619,"kids")),"")</f>
        <v/>
      </c>
      <c r="N105">
        <f>IFERROR(IF(MAXIFS(Documents!$E$2:$E$619,Documents!$A$2:$A$619,$A105,Documents!$C$2:$C$619,"villa_plans")=0,"",MAXIFS(Documents!$E$2:$E$619,Documents!$A$2:$A$619,$A105,Documents!$C$2:$C$619,"villa_plans")),"")</f>
        <v/>
      </c>
      <c r="O105">
        <f>IFERROR(IF(MAXIFS(Documents!$E$2:$E$619,Documents!$A$2:$A$619,$A105,Documents!$C$2:$C$619,"all_inclusive")=0,"",MAXIFS(Documents!$E$2:$E$619,Documents!$A$2:$A$619,$A105,Documents!$C$2:$C$619,"all_inclusive")),"")</f>
        <v/>
      </c>
      <c r="P105">
        <f>IFERROR(IF(MAXIFS(Documents!$E$2:$E$619,Documents!$A$2:$A$619,$A105,Documents!$C$2:$C$619,"sustainability")=0,"",MAXIFS(Documents!$E$2:$E$619,Documents!$A$2:$A$619,$A105,Documents!$C$2:$C$619,"sustainability")),"")</f>
        <v/>
      </c>
      <c r="Q105">
        <f>IFERROR(IF(MAXIFS(Documents!$E$2:$E$619,Documents!$A$2:$A$619,$A105,Documents!$C$2:$C$619,"calendar")=0,"",MAXIFS(Documents!$E$2:$E$619,Documents!$A$2:$A$619,$A105,Documents!$C$2:$C$619,"calendar")),"")</f>
        <v/>
      </c>
      <c r="R105">
        <f>IFERROR(IF(MAXIFS(Documents!$E$2:$E$619,Documents!$A$2:$A$619,$A105,Documents!$C$2:$C$619,"brochure")=0,"",MAXIFS(Documents!$E$2:$E$619,Documents!$A$2:$A$619,$A105,Documents!$C$2:$C$619,"brochure")),"")</f>
        <v/>
      </c>
      <c r="S105">
        <f>IFERROR(IF(MAXIFS(Documents!$E$2:$E$619,Documents!$A$2:$A$619,$A105,Documents!$C$2:$C$619,"press_kit")=0,"",MAXIFS(Documents!$E$2:$E$619,Documents!$A$2:$A$619,$A105,Documents!$C$2:$C$619,"press_kit")),"")</f>
        <v/>
      </c>
      <c r="T105">
        <f>IFERROR(IF(MAXIFS(Documents!$E$2:$E$619,Documents!$A$2:$A$619,$A105,Documents!$C$2:$C$619,"other")=0,"",MAXIFS(Documents!$E$2:$E$619,Documents!$A$2:$A$619,$A105,Documents!$C$2:$C$619,"other")),"")</f>
        <v/>
      </c>
      <c r="U105">
        <f>IFERROR(IF(MAXIFS(Documents!$E$2:$E$619,Documents!$A$2:$A$619,$A105,Documents!$C$2:$C$619,"obsolete")=0,"",MAXIFS(Documents!$E$2:$E$619,Documents!$A$2:$A$619,$A105,Documents!$C$2:$C$619,"obsolete")),"")</f>
        <v/>
      </c>
      <c r="V105">
        <f>COUNTIFS(Documents!$A$2:$A$619,$A105)</f>
        <v/>
      </c>
      <c r="W105">
        <f>COUNTIFS(Documents!$A$2:$A$619,$A105,Documents!$R$2:$R$619,"current")</f>
        <v/>
      </c>
      <c r="X105" t="inlineStr"/>
      <c r="Y105" t="inlineStr">
        <is>
          <t>factsheet, wedding, events</t>
        </is>
      </c>
      <c r="Z105" t="inlineStr"/>
    </row>
    <row r="106">
      <c r="A106" t="n">
        <v>105</v>
      </c>
      <c r="B106" t="inlineStr">
        <is>
          <t>Kuda Villingili Resort Maldives</t>
        </is>
      </c>
      <c r="C106" t="inlineStr">
        <is>
          <t>not crawled</t>
        </is>
      </c>
      <c r="D106">
        <f>IFERROR(IF(MAXIFS(Documents!$E$2:$E$619,Documents!$A$2:$A$619,$A106,Documents!$C$2:$C$619,"factsheet")=0,"",MAXIFS(Documents!$E$2:$E$619,Documents!$A$2:$A$619,$A106,Documents!$C$2:$C$619,"factsheet")),"")</f>
        <v/>
      </c>
      <c r="E106">
        <f>IFERROR(IF(MAXIFS(Documents!$E$2:$E$619,Documents!$A$2:$A$619,$A106,Documents!$C$2:$C$619,"wedding")=0,"",MAXIFS(Documents!$E$2:$E$619,Documents!$A$2:$A$619,$A106,Documents!$C$2:$C$619,"wedding")),"")</f>
        <v/>
      </c>
      <c r="F106">
        <f>IFERROR(IF(MAXIFS(Documents!$E$2:$E$619,Documents!$A$2:$A$619,$A106,Documents!$C$2:$C$619,"events")=0,"",MAXIFS(Documents!$E$2:$E$619,Documents!$A$2:$A$619,$A106,Documents!$C$2:$C$619,"events")),"")</f>
        <v/>
      </c>
      <c r="G106">
        <f>IFERROR(IF(MAXIFS(Documents!$E$2:$E$619,Documents!$A$2:$A$619,$A106,Documents!$C$2:$C$619,"map")=0,"",MAXIFS(Documents!$E$2:$E$619,Documents!$A$2:$A$619,$A106,Documents!$C$2:$C$619,"map")),"")</f>
        <v/>
      </c>
      <c r="H106">
        <f>IFERROR(IF(MAXIFS(Documents!$E$2:$E$619,Documents!$A$2:$A$619,$A106,Documents!$C$2:$C$619,"dive_map")=0,"",MAXIFS(Documents!$E$2:$E$619,Documents!$A$2:$A$619,$A106,Documents!$C$2:$C$619,"dive_map")),"")</f>
        <v/>
      </c>
      <c r="I106">
        <f>IFERROR(IF(MAXIFS(Documents!$E$2:$E$619,Documents!$A$2:$A$619,$A106,Documents!$C$2:$C$619,"spa_menu")=0,"",MAXIFS(Documents!$E$2:$E$619,Documents!$A$2:$A$619,$A106,Documents!$C$2:$C$619,"spa_menu")),"")</f>
        <v/>
      </c>
      <c r="J106">
        <f>IFERROR(IF(MAXIFS(Documents!$E$2:$E$619,Documents!$A$2:$A$619,$A106,Documents!$C$2:$C$619,"dining_menu")=0,"",MAXIFS(Documents!$E$2:$E$619,Documents!$A$2:$A$619,$A106,Documents!$C$2:$C$619,"dining_menu")),"")</f>
        <v/>
      </c>
      <c r="K106">
        <f>IFERROR(IF(MAXIFS(Documents!$E$2:$E$619,Documents!$A$2:$A$619,$A106,Documents!$C$2:$C$619,"dive_prices")=0,"",MAXIFS(Documents!$E$2:$E$619,Documents!$A$2:$A$619,$A106,Documents!$C$2:$C$619,"dive_prices")),"")</f>
        <v/>
      </c>
      <c r="L106">
        <f>IFERROR(IF(MAXIFS(Documents!$E$2:$E$619,Documents!$A$2:$A$619,$A106,Documents!$C$2:$C$619,"excursions")=0,"",MAXIFS(Documents!$E$2:$E$619,Documents!$A$2:$A$619,$A106,Documents!$C$2:$C$619,"excursions")),"")</f>
        <v/>
      </c>
      <c r="M106">
        <f>IFERROR(IF(MAXIFS(Documents!$E$2:$E$619,Documents!$A$2:$A$619,$A106,Documents!$C$2:$C$619,"kids")=0,"",MAXIFS(Documents!$E$2:$E$619,Documents!$A$2:$A$619,$A106,Documents!$C$2:$C$619,"kids")),"")</f>
        <v/>
      </c>
      <c r="N106">
        <f>IFERROR(IF(MAXIFS(Documents!$E$2:$E$619,Documents!$A$2:$A$619,$A106,Documents!$C$2:$C$619,"villa_plans")=0,"",MAXIFS(Documents!$E$2:$E$619,Documents!$A$2:$A$619,$A106,Documents!$C$2:$C$619,"villa_plans")),"")</f>
        <v/>
      </c>
      <c r="O106">
        <f>IFERROR(IF(MAXIFS(Documents!$E$2:$E$619,Documents!$A$2:$A$619,$A106,Documents!$C$2:$C$619,"all_inclusive")=0,"",MAXIFS(Documents!$E$2:$E$619,Documents!$A$2:$A$619,$A106,Documents!$C$2:$C$619,"all_inclusive")),"")</f>
        <v/>
      </c>
      <c r="P106">
        <f>IFERROR(IF(MAXIFS(Documents!$E$2:$E$619,Documents!$A$2:$A$619,$A106,Documents!$C$2:$C$619,"sustainability")=0,"",MAXIFS(Documents!$E$2:$E$619,Documents!$A$2:$A$619,$A106,Documents!$C$2:$C$619,"sustainability")),"")</f>
        <v/>
      </c>
      <c r="Q106">
        <f>IFERROR(IF(MAXIFS(Documents!$E$2:$E$619,Documents!$A$2:$A$619,$A106,Documents!$C$2:$C$619,"calendar")=0,"",MAXIFS(Documents!$E$2:$E$619,Documents!$A$2:$A$619,$A106,Documents!$C$2:$C$619,"calendar")),"")</f>
        <v/>
      </c>
      <c r="R106">
        <f>IFERROR(IF(MAXIFS(Documents!$E$2:$E$619,Documents!$A$2:$A$619,$A106,Documents!$C$2:$C$619,"brochure")=0,"",MAXIFS(Documents!$E$2:$E$619,Documents!$A$2:$A$619,$A106,Documents!$C$2:$C$619,"brochure")),"")</f>
        <v/>
      </c>
      <c r="S106">
        <f>IFERROR(IF(MAXIFS(Documents!$E$2:$E$619,Documents!$A$2:$A$619,$A106,Documents!$C$2:$C$619,"press_kit")=0,"",MAXIFS(Documents!$E$2:$E$619,Documents!$A$2:$A$619,$A106,Documents!$C$2:$C$619,"press_kit")),"")</f>
        <v/>
      </c>
      <c r="T106">
        <f>IFERROR(IF(MAXIFS(Documents!$E$2:$E$619,Documents!$A$2:$A$619,$A106,Documents!$C$2:$C$619,"other")=0,"",MAXIFS(Documents!$E$2:$E$619,Documents!$A$2:$A$619,$A106,Documents!$C$2:$C$619,"other")),"")</f>
        <v/>
      </c>
      <c r="U106">
        <f>IFERROR(IF(MAXIFS(Documents!$E$2:$E$619,Documents!$A$2:$A$619,$A106,Documents!$C$2:$C$619,"obsolete")=0,"",MAXIFS(Documents!$E$2:$E$619,Documents!$A$2:$A$619,$A106,Documents!$C$2:$C$619,"obsolete")),"")</f>
        <v/>
      </c>
      <c r="V106">
        <f>COUNTIFS(Documents!$A$2:$A$619,$A106)</f>
        <v/>
      </c>
      <c r="W106">
        <f>COUNTIFS(Documents!$A$2:$A$619,$A106,Documents!$R$2:$R$619,"current")</f>
        <v/>
      </c>
      <c r="X106">
        <f>HYPERLINK("https://www.neoscapesmaldives.com/wp-content/uploads/241220_-_Factsheet.pdf","2025_241220_-_Factsheet.pdf")</f>
        <v/>
      </c>
      <c r="Y106" t="inlineStr">
        <is>
          <t>wedding, events</t>
        </is>
      </c>
      <c r="Z106" t="inlineStr"/>
    </row>
    <row r="107">
      <c r="A107" t="n">
        <v>106</v>
      </c>
      <c r="B107" t="inlineStr">
        <is>
          <t>Anantara Kihavah Villas</t>
        </is>
      </c>
      <c r="C107" t="inlineStr">
        <is>
          <t>not crawled</t>
        </is>
      </c>
      <c r="D107">
        <f>IFERROR(IF(MAXIFS(Documents!$E$2:$E$619,Documents!$A$2:$A$619,$A107,Documents!$C$2:$C$619,"factsheet")=0,"",MAXIFS(Documents!$E$2:$E$619,Documents!$A$2:$A$619,$A107,Documents!$C$2:$C$619,"factsheet")),"")</f>
        <v/>
      </c>
      <c r="E107">
        <f>IFERROR(IF(MAXIFS(Documents!$E$2:$E$619,Documents!$A$2:$A$619,$A107,Documents!$C$2:$C$619,"wedding")=0,"",MAXIFS(Documents!$E$2:$E$619,Documents!$A$2:$A$619,$A107,Documents!$C$2:$C$619,"wedding")),"")</f>
        <v/>
      </c>
      <c r="F107">
        <f>IFERROR(IF(MAXIFS(Documents!$E$2:$E$619,Documents!$A$2:$A$619,$A107,Documents!$C$2:$C$619,"events")=0,"",MAXIFS(Documents!$E$2:$E$619,Documents!$A$2:$A$619,$A107,Documents!$C$2:$C$619,"events")),"")</f>
        <v/>
      </c>
      <c r="G107">
        <f>IFERROR(IF(MAXIFS(Documents!$E$2:$E$619,Documents!$A$2:$A$619,$A107,Documents!$C$2:$C$619,"map")=0,"",MAXIFS(Documents!$E$2:$E$619,Documents!$A$2:$A$619,$A107,Documents!$C$2:$C$619,"map")),"")</f>
        <v/>
      </c>
      <c r="H107">
        <f>IFERROR(IF(MAXIFS(Documents!$E$2:$E$619,Documents!$A$2:$A$619,$A107,Documents!$C$2:$C$619,"dive_map")=0,"",MAXIFS(Documents!$E$2:$E$619,Documents!$A$2:$A$619,$A107,Documents!$C$2:$C$619,"dive_map")),"")</f>
        <v/>
      </c>
      <c r="I107">
        <f>IFERROR(IF(MAXIFS(Documents!$E$2:$E$619,Documents!$A$2:$A$619,$A107,Documents!$C$2:$C$619,"spa_menu")=0,"",MAXIFS(Documents!$E$2:$E$619,Documents!$A$2:$A$619,$A107,Documents!$C$2:$C$619,"spa_menu")),"")</f>
        <v/>
      </c>
      <c r="J107">
        <f>IFERROR(IF(MAXIFS(Documents!$E$2:$E$619,Documents!$A$2:$A$619,$A107,Documents!$C$2:$C$619,"dining_menu")=0,"",MAXIFS(Documents!$E$2:$E$619,Documents!$A$2:$A$619,$A107,Documents!$C$2:$C$619,"dining_menu")),"")</f>
        <v/>
      </c>
      <c r="K107">
        <f>IFERROR(IF(MAXIFS(Documents!$E$2:$E$619,Documents!$A$2:$A$619,$A107,Documents!$C$2:$C$619,"dive_prices")=0,"",MAXIFS(Documents!$E$2:$E$619,Documents!$A$2:$A$619,$A107,Documents!$C$2:$C$619,"dive_prices")),"")</f>
        <v/>
      </c>
      <c r="L107">
        <f>IFERROR(IF(MAXIFS(Documents!$E$2:$E$619,Documents!$A$2:$A$619,$A107,Documents!$C$2:$C$619,"excursions")=0,"",MAXIFS(Documents!$E$2:$E$619,Documents!$A$2:$A$619,$A107,Documents!$C$2:$C$619,"excursions")),"")</f>
        <v/>
      </c>
      <c r="M107">
        <f>IFERROR(IF(MAXIFS(Documents!$E$2:$E$619,Documents!$A$2:$A$619,$A107,Documents!$C$2:$C$619,"kids")=0,"",MAXIFS(Documents!$E$2:$E$619,Documents!$A$2:$A$619,$A107,Documents!$C$2:$C$619,"kids")),"")</f>
        <v/>
      </c>
      <c r="N107">
        <f>IFERROR(IF(MAXIFS(Documents!$E$2:$E$619,Documents!$A$2:$A$619,$A107,Documents!$C$2:$C$619,"villa_plans")=0,"",MAXIFS(Documents!$E$2:$E$619,Documents!$A$2:$A$619,$A107,Documents!$C$2:$C$619,"villa_plans")),"")</f>
        <v/>
      </c>
      <c r="O107">
        <f>IFERROR(IF(MAXIFS(Documents!$E$2:$E$619,Documents!$A$2:$A$619,$A107,Documents!$C$2:$C$619,"all_inclusive")=0,"",MAXIFS(Documents!$E$2:$E$619,Documents!$A$2:$A$619,$A107,Documents!$C$2:$C$619,"all_inclusive")),"")</f>
        <v/>
      </c>
      <c r="P107">
        <f>IFERROR(IF(MAXIFS(Documents!$E$2:$E$619,Documents!$A$2:$A$619,$A107,Documents!$C$2:$C$619,"sustainability")=0,"",MAXIFS(Documents!$E$2:$E$619,Documents!$A$2:$A$619,$A107,Documents!$C$2:$C$619,"sustainability")),"")</f>
        <v/>
      </c>
      <c r="Q107">
        <f>IFERROR(IF(MAXIFS(Documents!$E$2:$E$619,Documents!$A$2:$A$619,$A107,Documents!$C$2:$C$619,"calendar")=0,"",MAXIFS(Documents!$E$2:$E$619,Documents!$A$2:$A$619,$A107,Documents!$C$2:$C$619,"calendar")),"")</f>
        <v/>
      </c>
      <c r="R107">
        <f>IFERROR(IF(MAXIFS(Documents!$E$2:$E$619,Documents!$A$2:$A$619,$A107,Documents!$C$2:$C$619,"brochure")=0,"",MAXIFS(Documents!$E$2:$E$619,Documents!$A$2:$A$619,$A107,Documents!$C$2:$C$619,"brochure")),"")</f>
        <v/>
      </c>
      <c r="S107">
        <f>IFERROR(IF(MAXIFS(Documents!$E$2:$E$619,Documents!$A$2:$A$619,$A107,Documents!$C$2:$C$619,"press_kit")=0,"",MAXIFS(Documents!$E$2:$E$619,Documents!$A$2:$A$619,$A107,Documents!$C$2:$C$619,"press_kit")),"")</f>
        <v/>
      </c>
      <c r="T107">
        <f>IFERROR(IF(MAXIFS(Documents!$E$2:$E$619,Documents!$A$2:$A$619,$A107,Documents!$C$2:$C$619,"other")=0,"",MAXIFS(Documents!$E$2:$E$619,Documents!$A$2:$A$619,$A107,Documents!$C$2:$C$619,"other")),"")</f>
        <v/>
      </c>
      <c r="U107">
        <f>IFERROR(IF(MAXIFS(Documents!$E$2:$E$619,Documents!$A$2:$A$619,$A107,Documents!$C$2:$C$619,"obsolete")=0,"",MAXIFS(Documents!$E$2:$E$619,Documents!$A$2:$A$619,$A107,Documents!$C$2:$C$619,"obsolete")),"")</f>
        <v/>
      </c>
      <c r="V107">
        <f>COUNTIFS(Documents!$A$2:$A$619,$A107)</f>
        <v/>
      </c>
      <c r="W107">
        <f>COUNTIFS(Documents!$A$2:$A$619,$A107,Documents!$R$2:$R$619,"current")</f>
        <v/>
      </c>
      <c r="X107">
        <f>HYPERLINK("https://www.neoscapesmaldives.com/wp-content/uploads/Anantara_Kihavah_Maldives_Villas_Factsheet_Resort.pdf","2021_Anantara_Kihavah_Maldives_Villas_Fa")</f>
        <v/>
      </c>
      <c r="Y107" t="inlineStr">
        <is>
          <t>wedding, events</t>
        </is>
      </c>
      <c r="Z107" t="inlineStr"/>
    </row>
    <row r="108">
      <c r="A108" t="n">
        <v>107</v>
      </c>
      <c r="B108" t="inlineStr">
        <is>
          <t>The Westin Maldives Miriandhoo Resort</t>
        </is>
      </c>
      <c r="C108" t="inlineStr">
        <is>
          <t>not crawled</t>
        </is>
      </c>
      <c r="D108">
        <f>IFERROR(IF(MAXIFS(Documents!$E$2:$E$619,Documents!$A$2:$A$619,$A108,Documents!$C$2:$C$619,"factsheet")=0,"",MAXIFS(Documents!$E$2:$E$619,Documents!$A$2:$A$619,$A108,Documents!$C$2:$C$619,"factsheet")),"")</f>
        <v/>
      </c>
      <c r="E108">
        <f>IFERROR(IF(MAXIFS(Documents!$E$2:$E$619,Documents!$A$2:$A$619,$A108,Documents!$C$2:$C$619,"wedding")=0,"",MAXIFS(Documents!$E$2:$E$619,Documents!$A$2:$A$619,$A108,Documents!$C$2:$C$619,"wedding")),"")</f>
        <v/>
      </c>
      <c r="F108">
        <f>IFERROR(IF(MAXIFS(Documents!$E$2:$E$619,Documents!$A$2:$A$619,$A108,Documents!$C$2:$C$619,"events")=0,"",MAXIFS(Documents!$E$2:$E$619,Documents!$A$2:$A$619,$A108,Documents!$C$2:$C$619,"events")),"")</f>
        <v/>
      </c>
      <c r="G108">
        <f>IFERROR(IF(MAXIFS(Documents!$E$2:$E$619,Documents!$A$2:$A$619,$A108,Documents!$C$2:$C$619,"map")=0,"",MAXIFS(Documents!$E$2:$E$619,Documents!$A$2:$A$619,$A108,Documents!$C$2:$C$619,"map")),"")</f>
        <v/>
      </c>
      <c r="H108">
        <f>IFERROR(IF(MAXIFS(Documents!$E$2:$E$619,Documents!$A$2:$A$619,$A108,Documents!$C$2:$C$619,"dive_map")=0,"",MAXIFS(Documents!$E$2:$E$619,Documents!$A$2:$A$619,$A108,Documents!$C$2:$C$619,"dive_map")),"")</f>
        <v/>
      </c>
      <c r="I108">
        <f>IFERROR(IF(MAXIFS(Documents!$E$2:$E$619,Documents!$A$2:$A$619,$A108,Documents!$C$2:$C$619,"spa_menu")=0,"",MAXIFS(Documents!$E$2:$E$619,Documents!$A$2:$A$619,$A108,Documents!$C$2:$C$619,"spa_menu")),"")</f>
        <v/>
      </c>
      <c r="J108">
        <f>IFERROR(IF(MAXIFS(Documents!$E$2:$E$619,Documents!$A$2:$A$619,$A108,Documents!$C$2:$C$619,"dining_menu")=0,"",MAXIFS(Documents!$E$2:$E$619,Documents!$A$2:$A$619,$A108,Documents!$C$2:$C$619,"dining_menu")),"")</f>
        <v/>
      </c>
      <c r="K108">
        <f>IFERROR(IF(MAXIFS(Documents!$E$2:$E$619,Documents!$A$2:$A$619,$A108,Documents!$C$2:$C$619,"dive_prices")=0,"",MAXIFS(Documents!$E$2:$E$619,Documents!$A$2:$A$619,$A108,Documents!$C$2:$C$619,"dive_prices")),"")</f>
        <v/>
      </c>
      <c r="L108">
        <f>IFERROR(IF(MAXIFS(Documents!$E$2:$E$619,Documents!$A$2:$A$619,$A108,Documents!$C$2:$C$619,"excursions")=0,"",MAXIFS(Documents!$E$2:$E$619,Documents!$A$2:$A$619,$A108,Documents!$C$2:$C$619,"excursions")),"")</f>
        <v/>
      </c>
      <c r="M108">
        <f>IFERROR(IF(MAXIFS(Documents!$E$2:$E$619,Documents!$A$2:$A$619,$A108,Documents!$C$2:$C$619,"kids")=0,"",MAXIFS(Documents!$E$2:$E$619,Documents!$A$2:$A$619,$A108,Documents!$C$2:$C$619,"kids")),"")</f>
        <v/>
      </c>
      <c r="N108">
        <f>IFERROR(IF(MAXIFS(Documents!$E$2:$E$619,Documents!$A$2:$A$619,$A108,Documents!$C$2:$C$619,"villa_plans")=0,"",MAXIFS(Documents!$E$2:$E$619,Documents!$A$2:$A$619,$A108,Documents!$C$2:$C$619,"villa_plans")),"")</f>
        <v/>
      </c>
      <c r="O108">
        <f>IFERROR(IF(MAXIFS(Documents!$E$2:$E$619,Documents!$A$2:$A$619,$A108,Documents!$C$2:$C$619,"all_inclusive")=0,"",MAXIFS(Documents!$E$2:$E$619,Documents!$A$2:$A$619,$A108,Documents!$C$2:$C$619,"all_inclusive")),"")</f>
        <v/>
      </c>
      <c r="P108">
        <f>IFERROR(IF(MAXIFS(Documents!$E$2:$E$619,Documents!$A$2:$A$619,$A108,Documents!$C$2:$C$619,"sustainability")=0,"",MAXIFS(Documents!$E$2:$E$619,Documents!$A$2:$A$619,$A108,Documents!$C$2:$C$619,"sustainability")),"")</f>
        <v/>
      </c>
      <c r="Q108">
        <f>IFERROR(IF(MAXIFS(Documents!$E$2:$E$619,Documents!$A$2:$A$619,$A108,Documents!$C$2:$C$619,"calendar")=0,"",MAXIFS(Documents!$E$2:$E$619,Documents!$A$2:$A$619,$A108,Documents!$C$2:$C$619,"calendar")),"")</f>
        <v/>
      </c>
      <c r="R108">
        <f>IFERROR(IF(MAXIFS(Documents!$E$2:$E$619,Documents!$A$2:$A$619,$A108,Documents!$C$2:$C$619,"brochure")=0,"",MAXIFS(Documents!$E$2:$E$619,Documents!$A$2:$A$619,$A108,Documents!$C$2:$C$619,"brochure")),"")</f>
        <v/>
      </c>
      <c r="S108">
        <f>IFERROR(IF(MAXIFS(Documents!$E$2:$E$619,Documents!$A$2:$A$619,$A108,Documents!$C$2:$C$619,"press_kit")=0,"",MAXIFS(Documents!$E$2:$E$619,Documents!$A$2:$A$619,$A108,Documents!$C$2:$C$619,"press_kit")),"")</f>
        <v/>
      </c>
      <c r="T108">
        <f>IFERROR(IF(MAXIFS(Documents!$E$2:$E$619,Documents!$A$2:$A$619,$A108,Documents!$C$2:$C$619,"other")=0,"",MAXIFS(Documents!$E$2:$E$619,Documents!$A$2:$A$619,$A108,Documents!$C$2:$C$619,"other")),"")</f>
        <v/>
      </c>
      <c r="U108">
        <f>IFERROR(IF(MAXIFS(Documents!$E$2:$E$619,Documents!$A$2:$A$619,$A108,Documents!$C$2:$C$619,"obsolete")=0,"",MAXIFS(Documents!$E$2:$E$619,Documents!$A$2:$A$619,$A108,Documents!$C$2:$C$619,"obsolete")),"")</f>
        <v/>
      </c>
      <c r="V108">
        <f>COUNTIFS(Documents!$A$2:$A$619,$A108)</f>
        <v/>
      </c>
      <c r="W108">
        <f>COUNTIFS(Documents!$A$2:$A$619,$A108,Documents!$R$2:$R$619,"current")</f>
        <v/>
      </c>
      <c r="X108" t="inlineStr"/>
      <c r="Y108" t="inlineStr">
        <is>
          <t>factsheet, wedding, events</t>
        </is>
      </c>
      <c r="Z108" t="inlineStr"/>
    </row>
    <row r="109">
      <c r="A109" t="n">
        <v>108</v>
      </c>
      <c r="B109" t="inlineStr">
        <is>
          <t>Rahaa Resort</t>
        </is>
      </c>
      <c r="C109" t="inlineStr">
        <is>
          <t>not crawled</t>
        </is>
      </c>
      <c r="D109">
        <f>IFERROR(IF(MAXIFS(Documents!$E$2:$E$619,Documents!$A$2:$A$619,$A109,Documents!$C$2:$C$619,"factsheet")=0,"",MAXIFS(Documents!$E$2:$E$619,Documents!$A$2:$A$619,$A109,Documents!$C$2:$C$619,"factsheet")),"")</f>
        <v/>
      </c>
      <c r="E109">
        <f>IFERROR(IF(MAXIFS(Documents!$E$2:$E$619,Documents!$A$2:$A$619,$A109,Documents!$C$2:$C$619,"wedding")=0,"",MAXIFS(Documents!$E$2:$E$619,Documents!$A$2:$A$619,$A109,Documents!$C$2:$C$619,"wedding")),"")</f>
        <v/>
      </c>
      <c r="F109">
        <f>IFERROR(IF(MAXIFS(Documents!$E$2:$E$619,Documents!$A$2:$A$619,$A109,Documents!$C$2:$C$619,"events")=0,"",MAXIFS(Documents!$E$2:$E$619,Documents!$A$2:$A$619,$A109,Documents!$C$2:$C$619,"events")),"")</f>
        <v/>
      </c>
      <c r="G109">
        <f>IFERROR(IF(MAXIFS(Documents!$E$2:$E$619,Documents!$A$2:$A$619,$A109,Documents!$C$2:$C$619,"map")=0,"",MAXIFS(Documents!$E$2:$E$619,Documents!$A$2:$A$619,$A109,Documents!$C$2:$C$619,"map")),"")</f>
        <v/>
      </c>
      <c r="H109">
        <f>IFERROR(IF(MAXIFS(Documents!$E$2:$E$619,Documents!$A$2:$A$619,$A109,Documents!$C$2:$C$619,"dive_map")=0,"",MAXIFS(Documents!$E$2:$E$619,Documents!$A$2:$A$619,$A109,Documents!$C$2:$C$619,"dive_map")),"")</f>
        <v/>
      </c>
      <c r="I109">
        <f>IFERROR(IF(MAXIFS(Documents!$E$2:$E$619,Documents!$A$2:$A$619,$A109,Documents!$C$2:$C$619,"spa_menu")=0,"",MAXIFS(Documents!$E$2:$E$619,Documents!$A$2:$A$619,$A109,Documents!$C$2:$C$619,"spa_menu")),"")</f>
        <v/>
      </c>
      <c r="J109">
        <f>IFERROR(IF(MAXIFS(Documents!$E$2:$E$619,Documents!$A$2:$A$619,$A109,Documents!$C$2:$C$619,"dining_menu")=0,"",MAXIFS(Documents!$E$2:$E$619,Documents!$A$2:$A$619,$A109,Documents!$C$2:$C$619,"dining_menu")),"")</f>
        <v/>
      </c>
      <c r="K109">
        <f>IFERROR(IF(MAXIFS(Documents!$E$2:$E$619,Documents!$A$2:$A$619,$A109,Documents!$C$2:$C$619,"dive_prices")=0,"",MAXIFS(Documents!$E$2:$E$619,Documents!$A$2:$A$619,$A109,Documents!$C$2:$C$619,"dive_prices")),"")</f>
        <v/>
      </c>
      <c r="L109">
        <f>IFERROR(IF(MAXIFS(Documents!$E$2:$E$619,Documents!$A$2:$A$619,$A109,Documents!$C$2:$C$619,"excursions")=0,"",MAXIFS(Documents!$E$2:$E$619,Documents!$A$2:$A$619,$A109,Documents!$C$2:$C$619,"excursions")),"")</f>
        <v/>
      </c>
      <c r="M109">
        <f>IFERROR(IF(MAXIFS(Documents!$E$2:$E$619,Documents!$A$2:$A$619,$A109,Documents!$C$2:$C$619,"kids")=0,"",MAXIFS(Documents!$E$2:$E$619,Documents!$A$2:$A$619,$A109,Documents!$C$2:$C$619,"kids")),"")</f>
        <v/>
      </c>
      <c r="N109">
        <f>IFERROR(IF(MAXIFS(Documents!$E$2:$E$619,Documents!$A$2:$A$619,$A109,Documents!$C$2:$C$619,"villa_plans")=0,"",MAXIFS(Documents!$E$2:$E$619,Documents!$A$2:$A$619,$A109,Documents!$C$2:$C$619,"villa_plans")),"")</f>
        <v/>
      </c>
      <c r="O109">
        <f>IFERROR(IF(MAXIFS(Documents!$E$2:$E$619,Documents!$A$2:$A$619,$A109,Documents!$C$2:$C$619,"all_inclusive")=0,"",MAXIFS(Documents!$E$2:$E$619,Documents!$A$2:$A$619,$A109,Documents!$C$2:$C$619,"all_inclusive")),"")</f>
        <v/>
      </c>
      <c r="P109">
        <f>IFERROR(IF(MAXIFS(Documents!$E$2:$E$619,Documents!$A$2:$A$619,$A109,Documents!$C$2:$C$619,"sustainability")=0,"",MAXIFS(Documents!$E$2:$E$619,Documents!$A$2:$A$619,$A109,Documents!$C$2:$C$619,"sustainability")),"")</f>
        <v/>
      </c>
      <c r="Q109">
        <f>IFERROR(IF(MAXIFS(Documents!$E$2:$E$619,Documents!$A$2:$A$619,$A109,Documents!$C$2:$C$619,"calendar")=0,"",MAXIFS(Documents!$E$2:$E$619,Documents!$A$2:$A$619,$A109,Documents!$C$2:$C$619,"calendar")),"")</f>
        <v/>
      </c>
      <c r="R109">
        <f>IFERROR(IF(MAXIFS(Documents!$E$2:$E$619,Documents!$A$2:$A$619,$A109,Documents!$C$2:$C$619,"brochure")=0,"",MAXIFS(Documents!$E$2:$E$619,Documents!$A$2:$A$619,$A109,Documents!$C$2:$C$619,"brochure")),"")</f>
        <v/>
      </c>
      <c r="S109">
        <f>IFERROR(IF(MAXIFS(Documents!$E$2:$E$619,Documents!$A$2:$A$619,$A109,Documents!$C$2:$C$619,"press_kit")=0,"",MAXIFS(Documents!$E$2:$E$619,Documents!$A$2:$A$619,$A109,Documents!$C$2:$C$619,"press_kit")),"")</f>
        <v/>
      </c>
      <c r="T109">
        <f>IFERROR(IF(MAXIFS(Documents!$E$2:$E$619,Documents!$A$2:$A$619,$A109,Documents!$C$2:$C$619,"other")=0,"",MAXIFS(Documents!$E$2:$E$619,Documents!$A$2:$A$619,$A109,Documents!$C$2:$C$619,"other")),"")</f>
        <v/>
      </c>
      <c r="U109">
        <f>IFERROR(IF(MAXIFS(Documents!$E$2:$E$619,Documents!$A$2:$A$619,$A109,Documents!$C$2:$C$619,"obsolete")=0,"",MAXIFS(Documents!$E$2:$E$619,Documents!$A$2:$A$619,$A109,Documents!$C$2:$C$619,"obsolete")),"")</f>
        <v/>
      </c>
      <c r="V109">
        <f>COUNTIFS(Documents!$A$2:$A$619,$A109)</f>
        <v/>
      </c>
      <c r="W109">
        <f>COUNTIFS(Documents!$A$2:$A$619,$A109,Documents!$R$2:$R$619,"current")</f>
        <v/>
      </c>
      <c r="X109" t="inlineStr"/>
      <c r="Y109" t="inlineStr">
        <is>
          <t>factsheet, wedding, events</t>
        </is>
      </c>
      <c r="Z109" t="inlineStr"/>
    </row>
    <row r="110">
      <c r="A110" t="n">
        <v>109</v>
      </c>
      <c r="B110" t="inlineStr">
        <is>
          <t>Constance Moofushi Resort</t>
        </is>
      </c>
      <c r="C110" t="inlineStr">
        <is>
          <t>not crawled</t>
        </is>
      </c>
      <c r="D110">
        <f>IFERROR(IF(MAXIFS(Documents!$E$2:$E$619,Documents!$A$2:$A$619,$A110,Documents!$C$2:$C$619,"factsheet")=0,"",MAXIFS(Documents!$E$2:$E$619,Documents!$A$2:$A$619,$A110,Documents!$C$2:$C$619,"factsheet")),"")</f>
        <v/>
      </c>
      <c r="E110">
        <f>IFERROR(IF(MAXIFS(Documents!$E$2:$E$619,Documents!$A$2:$A$619,$A110,Documents!$C$2:$C$619,"wedding")=0,"",MAXIFS(Documents!$E$2:$E$619,Documents!$A$2:$A$619,$A110,Documents!$C$2:$C$619,"wedding")),"")</f>
        <v/>
      </c>
      <c r="F110">
        <f>IFERROR(IF(MAXIFS(Documents!$E$2:$E$619,Documents!$A$2:$A$619,$A110,Documents!$C$2:$C$619,"events")=0,"",MAXIFS(Documents!$E$2:$E$619,Documents!$A$2:$A$619,$A110,Documents!$C$2:$C$619,"events")),"")</f>
        <v/>
      </c>
      <c r="G110">
        <f>IFERROR(IF(MAXIFS(Documents!$E$2:$E$619,Documents!$A$2:$A$619,$A110,Documents!$C$2:$C$619,"map")=0,"",MAXIFS(Documents!$E$2:$E$619,Documents!$A$2:$A$619,$A110,Documents!$C$2:$C$619,"map")),"")</f>
        <v/>
      </c>
      <c r="H110">
        <f>IFERROR(IF(MAXIFS(Documents!$E$2:$E$619,Documents!$A$2:$A$619,$A110,Documents!$C$2:$C$619,"dive_map")=0,"",MAXIFS(Documents!$E$2:$E$619,Documents!$A$2:$A$619,$A110,Documents!$C$2:$C$619,"dive_map")),"")</f>
        <v/>
      </c>
      <c r="I110">
        <f>IFERROR(IF(MAXIFS(Documents!$E$2:$E$619,Documents!$A$2:$A$619,$A110,Documents!$C$2:$C$619,"spa_menu")=0,"",MAXIFS(Documents!$E$2:$E$619,Documents!$A$2:$A$619,$A110,Documents!$C$2:$C$619,"spa_menu")),"")</f>
        <v/>
      </c>
      <c r="J110">
        <f>IFERROR(IF(MAXIFS(Documents!$E$2:$E$619,Documents!$A$2:$A$619,$A110,Documents!$C$2:$C$619,"dining_menu")=0,"",MAXIFS(Documents!$E$2:$E$619,Documents!$A$2:$A$619,$A110,Documents!$C$2:$C$619,"dining_menu")),"")</f>
        <v/>
      </c>
      <c r="K110">
        <f>IFERROR(IF(MAXIFS(Documents!$E$2:$E$619,Documents!$A$2:$A$619,$A110,Documents!$C$2:$C$619,"dive_prices")=0,"",MAXIFS(Documents!$E$2:$E$619,Documents!$A$2:$A$619,$A110,Documents!$C$2:$C$619,"dive_prices")),"")</f>
        <v/>
      </c>
      <c r="L110">
        <f>IFERROR(IF(MAXIFS(Documents!$E$2:$E$619,Documents!$A$2:$A$619,$A110,Documents!$C$2:$C$619,"excursions")=0,"",MAXIFS(Documents!$E$2:$E$619,Documents!$A$2:$A$619,$A110,Documents!$C$2:$C$619,"excursions")),"")</f>
        <v/>
      </c>
      <c r="M110">
        <f>IFERROR(IF(MAXIFS(Documents!$E$2:$E$619,Documents!$A$2:$A$619,$A110,Documents!$C$2:$C$619,"kids")=0,"",MAXIFS(Documents!$E$2:$E$619,Documents!$A$2:$A$619,$A110,Documents!$C$2:$C$619,"kids")),"")</f>
        <v/>
      </c>
      <c r="N110">
        <f>IFERROR(IF(MAXIFS(Documents!$E$2:$E$619,Documents!$A$2:$A$619,$A110,Documents!$C$2:$C$619,"villa_plans")=0,"",MAXIFS(Documents!$E$2:$E$619,Documents!$A$2:$A$619,$A110,Documents!$C$2:$C$619,"villa_plans")),"")</f>
        <v/>
      </c>
      <c r="O110">
        <f>IFERROR(IF(MAXIFS(Documents!$E$2:$E$619,Documents!$A$2:$A$619,$A110,Documents!$C$2:$C$619,"all_inclusive")=0,"",MAXIFS(Documents!$E$2:$E$619,Documents!$A$2:$A$619,$A110,Documents!$C$2:$C$619,"all_inclusive")),"")</f>
        <v/>
      </c>
      <c r="P110">
        <f>IFERROR(IF(MAXIFS(Documents!$E$2:$E$619,Documents!$A$2:$A$619,$A110,Documents!$C$2:$C$619,"sustainability")=0,"",MAXIFS(Documents!$E$2:$E$619,Documents!$A$2:$A$619,$A110,Documents!$C$2:$C$619,"sustainability")),"")</f>
        <v/>
      </c>
      <c r="Q110">
        <f>IFERROR(IF(MAXIFS(Documents!$E$2:$E$619,Documents!$A$2:$A$619,$A110,Documents!$C$2:$C$619,"calendar")=0,"",MAXIFS(Documents!$E$2:$E$619,Documents!$A$2:$A$619,$A110,Documents!$C$2:$C$619,"calendar")),"")</f>
        <v/>
      </c>
      <c r="R110">
        <f>IFERROR(IF(MAXIFS(Documents!$E$2:$E$619,Documents!$A$2:$A$619,$A110,Documents!$C$2:$C$619,"brochure")=0,"",MAXIFS(Documents!$E$2:$E$619,Documents!$A$2:$A$619,$A110,Documents!$C$2:$C$619,"brochure")),"")</f>
        <v/>
      </c>
      <c r="S110">
        <f>IFERROR(IF(MAXIFS(Documents!$E$2:$E$619,Documents!$A$2:$A$619,$A110,Documents!$C$2:$C$619,"press_kit")=0,"",MAXIFS(Documents!$E$2:$E$619,Documents!$A$2:$A$619,$A110,Documents!$C$2:$C$619,"press_kit")),"")</f>
        <v/>
      </c>
      <c r="T110">
        <f>IFERROR(IF(MAXIFS(Documents!$E$2:$E$619,Documents!$A$2:$A$619,$A110,Documents!$C$2:$C$619,"other")=0,"",MAXIFS(Documents!$E$2:$E$619,Documents!$A$2:$A$619,$A110,Documents!$C$2:$C$619,"other")),"")</f>
        <v/>
      </c>
      <c r="U110">
        <f>IFERROR(IF(MAXIFS(Documents!$E$2:$E$619,Documents!$A$2:$A$619,$A110,Documents!$C$2:$C$619,"obsolete")=0,"",MAXIFS(Documents!$E$2:$E$619,Documents!$A$2:$A$619,$A110,Documents!$C$2:$C$619,"obsolete")),"")</f>
        <v/>
      </c>
      <c r="V110">
        <f>COUNTIFS(Documents!$A$2:$A$619,$A110)</f>
        <v/>
      </c>
      <c r="W110">
        <f>COUNTIFS(Documents!$A$2:$A$619,$A110,Documents!$R$2:$R$619,"current")</f>
        <v/>
      </c>
      <c r="X110">
        <f>HYPERLINK("https://www.neoscapesmaldives.com/wp-content/uploads/moofushi-factsheet-en-24april2023.pdf","2023_moofushi-factsheet-en-24april2023.p")</f>
        <v/>
      </c>
      <c r="Y110" t="inlineStr">
        <is>
          <t>wedding, events</t>
        </is>
      </c>
      <c r="Z110" t="inlineStr"/>
    </row>
    <row r="111">
      <c r="A111" t="n">
        <v>110</v>
      </c>
      <c r="B111" t="inlineStr">
        <is>
          <t>Furaveri Island Resort &amp; Spa</t>
        </is>
      </c>
      <c r="C111" t="inlineStr">
        <is>
          <t>not crawled</t>
        </is>
      </c>
      <c r="D111">
        <f>IFERROR(IF(MAXIFS(Documents!$E$2:$E$619,Documents!$A$2:$A$619,$A111,Documents!$C$2:$C$619,"factsheet")=0,"",MAXIFS(Documents!$E$2:$E$619,Documents!$A$2:$A$619,$A111,Documents!$C$2:$C$619,"factsheet")),"")</f>
        <v/>
      </c>
      <c r="E111">
        <f>IFERROR(IF(MAXIFS(Documents!$E$2:$E$619,Documents!$A$2:$A$619,$A111,Documents!$C$2:$C$619,"wedding")=0,"",MAXIFS(Documents!$E$2:$E$619,Documents!$A$2:$A$619,$A111,Documents!$C$2:$C$619,"wedding")),"")</f>
        <v/>
      </c>
      <c r="F111">
        <f>IFERROR(IF(MAXIFS(Documents!$E$2:$E$619,Documents!$A$2:$A$619,$A111,Documents!$C$2:$C$619,"events")=0,"",MAXIFS(Documents!$E$2:$E$619,Documents!$A$2:$A$619,$A111,Documents!$C$2:$C$619,"events")),"")</f>
        <v/>
      </c>
      <c r="G111">
        <f>IFERROR(IF(MAXIFS(Documents!$E$2:$E$619,Documents!$A$2:$A$619,$A111,Documents!$C$2:$C$619,"map")=0,"",MAXIFS(Documents!$E$2:$E$619,Documents!$A$2:$A$619,$A111,Documents!$C$2:$C$619,"map")),"")</f>
        <v/>
      </c>
      <c r="H111">
        <f>IFERROR(IF(MAXIFS(Documents!$E$2:$E$619,Documents!$A$2:$A$619,$A111,Documents!$C$2:$C$619,"dive_map")=0,"",MAXIFS(Documents!$E$2:$E$619,Documents!$A$2:$A$619,$A111,Documents!$C$2:$C$619,"dive_map")),"")</f>
        <v/>
      </c>
      <c r="I111">
        <f>IFERROR(IF(MAXIFS(Documents!$E$2:$E$619,Documents!$A$2:$A$619,$A111,Documents!$C$2:$C$619,"spa_menu")=0,"",MAXIFS(Documents!$E$2:$E$619,Documents!$A$2:$A$619,$A111,Documents!$C$2:$C$619,"spa_menu")),"")</f>
        <v/>
      </c>
      <c r="J111">
        <f>IFERROR(IF(MAXIFS(Documents!$E$2:$E$619,Documents!$A$2:$A$619,$A111,Documents!$C$2:$C$619,"dining_menu")=0,"",MAXIFS(Documents!$E$2:$E$619,Documents!$A$2:$A$619,$A111,Documents!$C$2:$C$619,"dining_menu")),"")</f>
        <v/>
      </c>
      <c r="K111">
        <f>IFERROR(IF(MAXIFS(Documents!$E$2:$E$619,Documents!$A$2:$A$619,$A111,Documents!$C$2:$C$619,"dive_prices")=0,"",MAXIFS(Documents!$E$2:$E$619,Documents!$A$2:$A$619,$A111,Documents!$C$2:$C$619,"dive_prices")),"")</f>
        <v/>
      </c>
      <c r="L111">
        <f>IFERROR(IF(MAXIFS(Documents!$E$2:$E$619,Documents!$A$2:$A$619,$A111,Documents!$C$2:$C$619,"excursions")=0,"",MAXIFS(Documents!$E$2:$E$619,Documents!$A$2:$A$619,$A111,Documents!$C$2:$C$619,"excursions")),"")</f>
        <v/>
      </c>
      <c r="M111">
        <f>IFERROR(IF(MAXIFS(Documents!$E$2:$E$619,Documents!$A$2:$A$619,$A111,Documents!$C$2:$C$619,"kids")=0,"",MAXIFS(Documents!$E$2:$E$619,Documents!$A$2:$A$619,$A111,Documents!$C$2:$C$619,"kids")),"")</f>
        <v/>
      </c>
      <c r="N111">
        <f>IFERROR(IF(MAXIFS(Documents!$E$2:$E$619,Documents!$A$2:$A$619,$A111,Documents!$C$2:$C$619,"villa_plans")=0,"",MAXIFS(Documents!$E$2:$E$619,Documents!$A$2:$A$619,$A111,Documents!$C$2:$C$619,"villa_plans")),"")</f>
        <v/>
      </c>
      <c r="O111">
        <f>IFERROR(IF(MAXIFS(Documents!$E$2:$E$619,Documents!$A$2:$A$619,$A111,Documents!$C$2:$C$619,"all_inclusive")=0,"",MAXIFS(Documents!$E$2:$E$619,Documents!$A$2:$A$619,$A111,Documents!$C$2:$C$619,"all_inclusive")),"")</f>
        <v/>
      </c>
      <c r="P111">
        <f>IFERROR(IF(MAXIFS(Documents!$E$2:$E$619,Documents!$A$2:$A$619,$A111,Documents!$C$2:$C$619,"sustainability")=0,"",MAXIFS(Documents!$E$2:$E$619,Documents!$A$2:$A$619,$A111,Documents!$C$2:$C$619,"sustainability")),"")</f>
        <v/>
      </c>
      <c r="Q111">
        <f>IFERROR(IF(MAXIFS(Documents!$E$2:$E$619,Documents!$A$2:$A$619,$A111,Documents!$C$2:$C$619,"calendar")=0,"",MAXIFS(Documents!$E$2:$E$619,Documents!$A$2:$A$619,$A111,Documents!$C$2:$C$619,"calendar")),"")</f>
        <v/>
      </c>
      <c r="R111">
        <f>IFERROR(IF(MAXIFS(Documents!$E$2:$E$619,Documents!$A$2:$A$619,$A111,Documents!$C$2:$C$619,"brochure")=0,"",MAXIFS(Documents!$E$2:$E$619,Documents!$A$2:$A$619,$A111,Documents!$C$2:$C$619,"brochure")),"")</f>
        <v/>
      </c>
      <c r="S111">
        <f>IFERROR(IF(MAXIFS(Documents!$E$2:$E$619,Documents!$A$2:$A$619,$A111,Documents!$C$2:$C$619,"press_kit")=0,"",MAXIFS(Documents!$E$2:$E$619,Documents!$A$2:$A$619,$A111,Documents!$C$2:$C$619,"press_kit")),"")</f>
        <v/>
      </c>
      <c r="T111">
        <f>IFERROR(IF(MAXIFS(Documents!$E$2:$E$619,Documents!$A$2:$A$619,$A111,Documents!$C$2:$C$619,"other")=0,"",MAXIFS(Documents!$E$2:$E$619,Documents!$A$2:$A$619,$A111,Documents!$C$2:$C$619,"other")),"")</f>
        <v/>
      </c>
      <c r="U111">
        <f>IFERROR(IF(MAXIFS(Documents!$E$2:$E$619,Documents!$A$2:$A$619,$A111,Documents!$C$2:$C$619,"obsolete")=0,"",MAXIFS(Documents!$E$2:$E$619,Documents!$A$2:$A$619,$A111,Documents!$C$2:$C$619,"obsolete")),"")</f>
        <v/>
      </c>
      <c r="V111">
        <f>COUNTIFS(Documents!$A$2:$A$619,$A111)</f>
        <v/>
      </c>
      <c r="W111">
        <f>COUNTIFS(Documents!$A$2:$A$619,$A111,Documents!$R$2:$R$619,"current")</f>
        <v/>
      </c>
      <c r="X111" t="inlineStr"/>
      <c r="Y111" t="inlineStr">
        <is>
          <t>factsheet, wedding, events</t>
        </is>
      </c>
      <c r="Z111" t="inlineStr"/>
    </row>
    <row r="112">
      <c r="A112" t="n">
        <v>111</v>
      </c>
      <c r="B112" t="inlineStr">
        <is>
          <t>Huvafenfushi Maldives</t>
        </is>
      </c>
      <c r="C112" t="inlineStr">
        <is>
          <t>not crawled</t>
        </is>
      </c>
      <c r="D112">
        <f>IFERROR(IF(MAXIFS(Documents!$E$2:$E$619,Documents!$A$2:$A$619,$A112,Documents!$C$2:$C$619,"factsheet")=0,"",MAXIFS(Documents!$E$2:$E$619,Documents!$A$2:$A$619,$A112,Documents!$C$2:$C$619,"factsheet")),"")</f>
        <v/>
      </c>
      <c r="E112">
        <f>IFERROR(IF(MAXIFS(Documents!$E$2:$E$619,Documents!$A$2:$A$619,$A112,Documents!$C$2:$C$619,"wedding")=0,"",MAXIFS(Documents!$E$2:$E$619,Documents!$A$2:$A$619,$A112,Documents!$C$2:$C$619,"wedding")),"")</f>
        <v/>
      </c>
      <c r="F112">
        <f>IFERROR(IF(MAXIFS(Documents!$E$2:$E$619,Documents!$A$2:$A$619,$A112,Documents!$C$2:$C$619,"events")=0,"",MAXIFS(Documents!$E$2:$E$619,Documents!$A$2:$A$619,$A112,Documents!$C$2:$C$619,"events")),"")</f>
        <v/>
      </c>
      <c r="G112">
        <f>IFERROR(IF(MAXIFS(Documents!$E$2:$E$619,Documents!$A$2:$A$619,$A112,Documents!$C$2:$C$619,"map")=0,"",MAXIFS(Documents!$E$2:$E$619,Documents!$A$2:$A$619,$A112,Documents!$C$2:$C$619,"map")),"")</f>
        <v/>
      </c>
      <c r="H112">
        <f>IFERROR(IF(MAXIFS(Documents!$E$2:$E$619,Documents!$A$2:$A$619,$A112,Documents!$C$2:$C$619,"dive_map")=0,"",MAXIFS(Documents!$E$2:$E$619,Documents!$A$2:$A$619,$A112,Documents!$C$2:$C$619,"dive_map")),"")</f>
        <v/>
      </c>
      <c r="I112">
        <f>IFERROR(IF(MAXIFS(Documents!$E$2:$E$619,Documents!$A$2:$A$619,$A112,Documents!$C$2:$C$619,"spa_menu")=0,"",MAXIFS(Documents!$E$2:$E$619,Documents!$A$2:$A$619,$A112,Documents!$C$2:$C$619,"spa_menu")),"")</f>
        <v/>
      </c>
      <c r="J112">
        <f>IFERROR(IF(MAXIFS(Documents!$E$2:$E$619,Documents!$A$2:$A$619,$A112,Documents!$C$2:$C$619,"dining_menu")=0,"",MAXIFS(Documents!$E$2:$E$619,Documents!$A$2:$A$619,$A112,Documents!$C$2:$C$619,"dining_menu")),"")</f>
        <v/>
      </c>
      <c r="K112">
        <f>IFERROR(IF(MAXIFS(Documents!$E$2:$E$619,Documents!$A$2:$A$619,$A112,Documents!$C$2:$C$619,"dive_prices")=0,"",MAXIFS(Documents!$E$2:$E$619,Documents!$A$2:$A$619,$A112,Documents!$C$2:$C$619,"dive_prices")),"")</f>
        <v/>
      </c>
      <c r="L112">
        <f>IFERROR(IF(MAXIFS(Documents!$E$2:$E$619,Documents!$A$2:$A$619,$A112,Documents!$C$2:$C$619,"excursions")=0,"",MAXIFS(Documents!$E$2:$E$619,Documents!$A$2:$A$619,$A112,Documents!$C$2:$C$619,"excursions")),"")</f>
        <v/>
      </c>
      <c r="M112">
        <f>IFERROR(IF(MAXIFS(Documents!$E$2:$E$619,Documents!$A$2:$A$619,$A112,Documents!$C$2:$C$619,"kids")=0,"",MAXIFS(Documents!$E$2:$E$619,Documents!$A$2:$A$619,$A112,Documents!$C$2:$C$619,"kids")),"")</f>
        <v/>
      </c>
      <c r="N112">
        <f>IFERROR(IF(MAXIFS(Documents!$E$2:$E$619,Documents!$A$2:$A$619,$A112,Documents!$C$2:$C$619,"villa_plans")=0,"",MAXIFS(Documents!$E$2:$E$619,Documents!$A$2:$A$619,$A112,Documents!$C$2:$C$619,"villa_plans")),"")</f>
        <v/>
      </c>
      <c r="O112">
        <f>IFERROR(IF(MAXIFS(Documents!$E$2:$E$619,Documents!$A$2:$A$619,$A112,Documents!$C$2:$C$619,"all_inclusive")=0,"",MAXIFS(Documents!$E$2:$E$619,Documents!$A$2:$A$619,$A112,Documents!$C$2:$C$619,"all_inclusive")),"")</f>
        <v/>
      </c>
      <c r="P112">
        <f>IFERROR(IF(MAXIFS(Documents!$E$2:$E$619,Documents!$A$2:$A$619,$A112,Documents!$C$2:$C$619,"sustainability")=0,"",MAXIFS(Documents!$E$2:$E$619,Documents!$A$2:$A$619,$A112,Documents!$C$2:$C$619,"sustainability")),"")</f>
        <v/>
      </c>
      <c r="Q112">
        <f>IFERROR(IF(MAXIFS(Documents!$E$2:$E$619,Documents!$A$2:$A$619,$A112,Documents!$C$2:$C$619,"calendar")=0,"",MAXIFS(Documents!$E$2:$E$619,Documents!$A$2:$A$619,$A112,Documents!$C$2:$C$619,"calendar")),"")</f>
        <v/>
      </c>
      <c r="R112">
        <f>IFERROR(IF(MAXIFS(Documents!$E$2:$E$619,Documents!$A$2:$A$619,$A112,Documents!$C$2:$C$619,"brochure")=0,"",MAXIFS(Documents!$E$2:$E$619,Documents!$A$2:$A$619,$A112,Documents!$C$2:$C$619,"brochure")),"")</f>
        <v/>
      </c>
      <c r="S112">
        <f>IFERROR(IF(MAXIFS(Documents!$E$2:$E$619,Documents!$A$2:$A$619,$A112,Documents!$C$2:$C$619,"press_kit")=0,"",MAXIFS(Documents!$E$2:$E$619,Documents!$A$2:$A$619,$A112,Documents!$C$2:$C$619,"press_kit")),"")</f>
        <v/>
      </c>
      <c r="T112">
        <f>IFERROR(IF(MAXIFS(Documents!$E$2:$E$619,Documents!$A$2:$A$619,$A112,Documents!$C$2:$C$619,"other")=0,"",MAXIFS(Documents!$E$2:$E$619,Documents!$A$2:$A$619,$A112,Documents!$C$2:$C$619,"other")),"")</f>
        <v/>
      </c>
      <c r="U112">
        <f>IFERROR(IF(MAXIFS(Documents!$E$2:$E$619,Documents!$A$2:$A$619,$A112,Documents!$C$2:$C$619,"obsolete")=0,"",MAXIFS(Documents!$E$2:$E$619,Documents!$A$2:$A$619,$A112,Documents!$C$2:$C$619,"obsolete")),"")</f>
        <v/>
      </c>
      <c r="V112">
        <f>COUNTIFS(Documents!$A$2:$A$619,$A112)</f>
        <v/>
      </c>
      <c r="W112">
        <f>COUNTIFS(Documents!$A$2:$A$619,$A112,Documents!$R$2:$R$619,"current")</f>
        <v/>
      </c>
      <c r="X112">
        <f>HYPERLINK("https://www.neoscapesmaldives.com/wp-content/uploads/Huvafen-Fushi-Factsheet-2020-Digital_rdc.pdf","2020_Huvafen-Fushi-Factsheet-2020-Digita")</f>
        <v/>
      </c>
      <c r="Y112" t="inlineStr">
        <is>
          <t>wedding, events</t>
        </is>
      </c>
      <c r="Z112" t="inlineStr"/>
    </row>
    <row r="113">
      <c r="A113" t="n">
        <v>112</v>
      </c>
      <c r="B113" t="inlineStr">
        <is>
          <t>Nika Island Resort and Spa</t>
        </is>
      </c>
      <c r="C113" t="inlineStr">
        <is>
          <t>not crawled</t>
        </is>
      </c>
      <c r="D113">
        <f>IFERROR(IF(MAXIFS(Documents!$E$2:$E$619,Documents!$A$2:$A$619,$A113,Documents!$C$2:$C$619,"factsheet")=0,"",MAXIFS(Documents!$E$2:$E$619,Documents!$A$2:$A$619,$A113,Documents!$C$2:$C$619,"factsheet")),"")</f>
        <v/>
      </c>
      <c r="E113">
        <f>IFERROR(IF(MAXIFS(Documents!$E$2:$E$619,Documents!$A$2:$A$619,$A113,Documents!$C$2:$C$619,"wedding")=0,"",MAXIFS(Documents!$E$2:$E$619,Documents!$A$2:$A$619,$A113,Documents!$C$2:$C$619,"wedding")),"")</f>
        <v/>
      </c>
      <c r="F113">
        <f>IFERROR(IF(MAXIFS(Documents!$E$2:$E$619,Documents!$A$2:$A$619,$A113,Documents!$C$2:$C$619,"events")=0,"",MAXIFS(Documents!$E$2:$E$619,Documents!$A$2:$A$619,$A113,Documents!$C$2:$C$619,"events")),"")</f>
        <v/>
      </c>
      <c r="G113">
        <f>IFERROR(IF(MAXIFS(Documents!$E$2:$E$619,Documents!$A$2:$A$619,$A113,Documents!$C$2:$C$619,"map")=0,"",MAXIFS(Documents!$E$2:$E$619,Documents!$A$2:$A$619,$A113,Documents!$C$2:$C$619,"map")),"")</f>
        <v/>
      </c>
      <c r="H113">
        <f>IFERROR(IF(MAXIFS(Documents!$E$2:$E$619,Documents!$A$2:$A$619,$A113,Documents!$C$2:$C$619,"dive_map")=0,"",MAXIFS(Documents!$E$2:$E$619,Documents!$A$2:$A$619,$A113,Documents!$C$2:$C$619,"dive_map")),"")</f>
        <v/>
      </c>
      <c r="I113">
        <f>IFERROR(IF(MAXIFS(Documents!$E$2:$E$619,Documents!$A$2:$A$619,$A113,Documents!$C$2:$C$619,"spa_menu")=0,"",MAXIFS(Documents!$E$2:$E$619,Documents!$A$2:$A$619,$A113,Documents!$C$2:$C$619,"spa_menu")),"")</f>
        <v/>
      </c>
      <c r="J113">
        <f>IFERROR(IF(MAXIFS(Documents!$E$2:$E$619,Documents!$A$2:$A$619,$A113,Documents!$C$2:$C$619,"dining_menu")=0,"",MAXIFS(Documents!$E$2:$E$619,Documents!$A$2:$A$619,$A113,Documents!$C$2:$C$619,"dining_menu")),"")</f>
        <v/>
      </c>
      <c r="K113">
        <f>IFERROR(IF(MAXIFS(Documents!$E$2:$E$619,Documents!$A$2:$A$619,$A113,Documents!$C$2:$C$619,"dive_prices")=0,"",MAXIFS(Documents!$E$2:$E$619,Documents!$A$2:$A$619,$A113,Documents!$C$2:$C$619,"dive_prices")),"")</f>
        <v/>
      </c>
      <c r="L113">
        <f>IFERROR(IF(MAXIFS(Documents!$E$2:$E$619,Documents!$A$2:$A$619,$A113,Documents!$C$2:$C$619,"excursions")=0,"",MAXIFS(Documents!$E$2:$E$619,Documents!$A$2:$A$619,$A113,Documents!$C$2:$C$619,"excursions")),"")</f>
        <v/>
      </c>
      <c r="M113">
        <f>IFERROR(IF(MAXIFS(Documents!$E$2:$E$619,Documents!$A$2:$A$619,$A113,Documents!$C$2:$C$619,"kids")=0,"",MAXIFS(Documents!$E$2:$E$619,Documents!$A$2:$A$619,$A113,Documents!$C$2:$C$619,"kids")),"")</f>
        <v/>
      </c>
      <c r="N113">
        <f>IFERROR(IF(MAXIFS(Documents!$E$2:$E$619,Documents!$A$2:$A$619,$A113,Documents!$C$2:$C$619,"villa_plans")=0,"",MAXIFS(Documents!$E$2:$E$619,Documents!$A$2:$A$619,$A113,Documents!$C$2:$C$619,"villa_plans")),"")</f>
        <v/>
      </c>
      <c r="O113">
        <f>IFERROR(IF(MAXIFS(Documents!$E$2:$E$619,Documents!$A$2:$A$619,$A113,Documents!$C$2:$C$619,"all_inclusive")=0,"",MAXIFS(Documents!$E$2:$E$619,Documents!$A$2:$A$619,$A113,Documents!$C$2:$C$619,"all_inclusive")),"")</f>
        <v/>
      </c>
      <c r="P113">
        <f>IFERROR(IF(MAXIFS(Documents!$E$2:$E$619,Documents!$A$2:$A$619,$A113,Documents!$C$2:$C$619,"sustainability")=0,"",MAXIFS(Documents!$E$2:$E$619,Documents!$A$2:$A$619,$A113,Documents!$C$2:$C$619,"sustainability")),"")</f>
        <v/>
      </c>
      <c r="Q113">
        <f>IFERROR(IF(MAXIFS(Documents!$E$2:$E$619,Documents!$A$2:$A$619,$A113,Documents!$C$2:$C$619,"calendar")=0,"",MAXIFS(Documents!$E$2:$E$619,Documents!$A$2:$A$619,$A113,Documents!$C$2:$C$619,"calendar")),"")</f>
        <v/>
      </c>
      <c r="R113">
        <f>IFERROR(IF(MAXIFS(Documents!$E$2:$E$619,Documents!$A$2:$A$619,$A113,Documents!$C$2:$C$619,"brochure")=0,"",MAXIFS(Documents!$E$2:$E$619,Documents!$A$2:$A$619,$A113,Documents!$C$2:$C$619,"brochure")),"")</f>
        <v/>
      </c>
      <c r="S113">
        <f>IFERROR(IF(MAXIFS(Documents!$E$2:$E$619,Documents!$A$2:$A$619,$A113,Documents!$C$2:$C$619,"press_kit")=0,"",MAXIFS(Documents!$E$2:$E$619,Documents!$A$2:$A$619,$A113,Documents!$C$2:$C$619,"press_kit")),"")</f>
        <v/>
      </c>
      <c r="T113">
        <f>IFERROR(IF(MAXIFS(Documents!$E$2:$E$619,Documents!$A$2:$A$619,$A113,Documents!$C$2:$C$619,"other")=0,"",MAXIFS(Documents!$E$2:$E$619,Documents!$A$2:$A$619,$A113,Documents!$C$2:$C$619,"other")),"")</f>
        <v/>
      </c>
      <c r="U113">
        <f>IFERROR(IF(MAXIFS(Documents!$E$2:$E$619,Documents!$A$2:$A$619,$A113,Documents!$C$2:$C$619,"obsolete")=0,"",MAXIFS(Documents!$E$2:$E$619,Documents!$A$2:$A$619,$A113,Documents!$C$2:$C$619,"obsolete")),"")</f>
        <v/>
      </c>
      <c r="V113">
        <f>COUNTIFS(Documents!$A$2:$A$619,$A113)</f>
        <v/>
      </c>
      <c r="W113">
        <f>COUNTIFS(Documents!$A$2:$A$619,$A113,Documents!$R$2:$R$619,"current")</f>
        <v/>
      </c>
      <c r="X113">
        <f>HYPERLINK("https://www.neoscapesmaldives.com/wp-content/uploads/NIKA-FACT-SHEET-Nika-Island-Resort.pdf","2020_NIKA-FACT-SHEET-Nika-Island-Resort.")</f>
        <v/>
      </c>
      <c r="Y113" t="inlineStr">
        <is>
          <t>wedding, events</t>
        </is>
      </c>
      <c r="Z113" t="inlineStr"/>
    </row>
    <row r="114">
      <c r="A114" t="n">
        <v>113</v>
      </c>
      <c r="B114" t="inlineStr">
        <is>
          <t>Mercure Maldives Kooddoo</t>
        </is>
      </c>
      <c r="C114" t="inlineStr">
        <is>
          <t>not crawled</t>
        </is>
      </c>
      <c r="D114">
        <f>IFERROR(IF(MAXIFS(Documents!$E$2:$E$619,Documents!$A$2:$A$619,$A114,Documents!$C$2:$C$619,"factsheet")=0,"",MAXIFS(Documents!$E$2:$E$619,Documents!$A$2:$A$619,$A114,Documents!$C$2:$C$619,"factsheet")),"")</f>
        <v/>
      </c>
      <c r="E114">
        <f>IFERROR(IF(MAXIFS(Documents!$E$2:$E$619,Documents!$A$2:$A$619,$A114,Documents!$C$2:$C$619,"wedding")=0,"",MAXIFS(Documents!$E$2:$E$619,Documents!$A$2:$A$619,$A114,Documents!$C$2:$C$619,"wedding")),"")</f>
        <v/>
      </c>
      <c r="F114">
        <f>IFERROR(IF(MAXIFS(Documents!$E$2:$E$619,Documents!$A$2:$A$619,$A114,Documents!$C$2:$C$619,"events")=0,"",MAXIFS(Documents!$E$2:$E$619,Documents!$A$2:$A$619,$A114,Documents!$C$2:$C$619,"events")),"")</f>
        <v/>
      </c>
      <c r="G114">
        <f>IFERROR(IF(MAXIFS(Documents!$E$2:$E$619,Documents!$A$2:$A$619,$A114,Documents!$C$2:$C$619,"map")=0,"",MAXIFS(Documents!$E$2:$E$619,Documents!$A$2:$A$619,$A114,Documents!$C$2:$C$619,"map")),"")</f>
        <v/>
      </c>
      <c r="H114">
        <f>IFERROR(IF(MAXIFS(Documents!$E$2:$E$619,Documents!$A$2:$A$619,$A114,Documents!$C$2:$C$619,"dive_map")=0,"",MAXIFS(Documents!$E$2:$E$619,Documents!$A$2:$A$619,$A114,Documents!$C$2:$C$619,"dive_map")),"")</f>
        <v/>
      </c>
      <c r="I114">
        <f>IFERROR(IF(MAXIFS(Documents!$E$2:$E$619,Documents!$A$2:$A$619,$A114,Documents!$C$2:$C$619,"spa_menu")=0,"",MAXIFS(Documents!$E$2:$E$619,Documents!$A$2:$A$619,$A114,Documents!$C$2:$C$619,"spa_menu")),"")</f>
        <v/>
      </c>
      <c r="J114">
        <f>IFERROR(IF(MAXIFS(Documents!$E$2:$E$619,Documents!$A$2:$A$619,$A114,Documents!$C$2:$C$619,"dining_menu")=0,"",MAXIFS(Documents!$E$2:$E$619,Documents!$A$2:$A$619,$A114,Documents!$C$2:$C$619,"dining_menu")),"")</f>
        <v/>
      </c>
      <c r="K114">
        <f>IFERROR(IF(MAXIFS(Documents!$E$2:$E$619,Documents!$A$2:$A$619,$A114,Documents!$C$2:$C$619,"dive_prices")=0,"",MAXIFS(Documents!$E$2:$E$619,Documents!$A$2:$A$619,$A114,Documents!$C$2:$C$619,"dive_prices")),"")</f>
        <v/>
      </c>
      <c r="L114">
        <f>IFERROR(IF(MAXIFS(Documents!$E$2:$E$619,Documents!$A$2:$A$619,$A114,Documents!$C$2:$C$619,"excursions")=0,"",MAXIFS(Documents!$E$2:$E$619,Documents!$A$2:$A$619,$A114,Documents!$C$2:$C$619,"excursions")),"")</f>
        <v/>
      </c>
      <c r="M114">
        <f>IFERROR(IF(MAXIFS(Documents!$E$2:$E$619,Documents!$A$2:$A$619,$A114,Documents!$C$2:$C$619,"kids")=0,"",MAXIFS(Documents!$E$2:$E$619,Documents!$A$2:$A$619,$A114,Documents!$C$2:$C$619,"kids")),"")</f>
        <v/>
      </c>
      <c r="N114">
        <f>IFERROR(IF(MAXIFS(Documents!$E$2:$E$619,Documents!$A$2:$A$619,$A114,Documents!$C$2:$C$619,"villa_plans")=0,"",MAXIFS(Documents!$E$2:$E$619,Documents!$A$2:$A$619,$A114,Documents!$C$2:$C$619,"villa_plans")),"")</f>
        <v/>
      </c>
      <c r="O114">
        <f>IFERROR(IF(MAXIFS(Documents!$E$2:$E$619,Documents!$A$2:$A$619,$A114,Documents!$C$2:$C$619,"all_inclusive")=0,"",MAXIFS(Documents!$E$2:$E$619,Documents!$A$2:$A$619,$A114,Documents!$C$2:$C$619,"all_inclusive")),"")</f>
        <v/>
      </c>
      <c r="P114">
        <f>IFERROR(IF(MAXIFS(Documents!$E$2:$E$619,Documents!$A$2:$A$619,$A114,Documents!$C$2:$C$619,"sustainability")=0,"",MAXIFS(Documents!$E$2:$E$619,Documents!$A$2:$A$619,$A114,Documents!$C$2:$C$619,"sustainability")),"")</f>
        <v/>
      </c>
      <c r="Q114">
        <f>IFERROR(IF(MAXIFS(Documents!$E$2:$E$619,Documents!$A$2:$A$619,$A114,Documents!$C$2:$C$619,"calendar")=0,"",MAXIFS(Documents!$E$2:$E$619,Documents!$A$2:$A$619,$A114,Documents!$C$2:$C$619,"calendar")),"")</f>
        <v/>
      </c>
      <c r="R114">
        <f>IFERROR(IF(MAXIFS(Documents!$E$2:$E$619,Documents!$A$2:$A$619,$A114,Documents!$C$2:$C$619,"brochure")=0,"",MAXIFS(Documents!$E$2:$E$619,Documents!$A$2:$A$619,$A114,Documents!$C$2:$C$619,"brochure")),"")</f>
        <v/>
      </c>
      <c r="S114">
        <f>IFERROR(IF(MAXIFS(Documents!$E$2:$E$619,Documents!$A$2:$A$619,$A114,Documents!$C$2:$C$619,"press_kit")=0,"",MAXIFS(Documents!$E$2:$E$619,Documents!$A$2:$A$619,$A114,Documents!$C$2:$C$619,"press_kit")),"")</f>
        <v/>
      </c>
      <c r="T114">
        <f>IFERROR(IF(MAXIFS(Documents!$E$2:$E$619,Documents!$A$2:$A$619,$A114,Documents!$C$2:$C$619,"other")=0,"",MAXIFS(Documents!$E$2:$E$619,Documents!$A$2:$A$619,$A114,Documents!$C$2:$C$619,"other")),"")</f>
        <v/>
      </c>
      <c r="U114">
        <f>IFERROR(IF(MAXIFS(Documents!$E$2:$E$619,Documents!$A$2:$A$619,$A114,Documents!$C$2:$C$619,"obsolete")=0,"",MAXIFS(Documents!$E$2:$E$619,Documents!$A$2:$A$619,$A114,Documents!$C$2:$C$619,"obsolete")),"")</f>
        <v/>
      </c>
      <c r="V114">
        <f>COUNTIFS(Documents!$A$2:$A$619,$A114)</f>
        <v/>
      </c>
      <c r="W114">
        <f>COUNTIFS(Documents!$A$2:$A$619,$A114,Documents!$R$2:$R$619,"current")</f>
        <v/>
      </c>
      <c r="X114" t="inlineStr"/>
      <c r="Y114" t="inlineStr">
        <is>
          <t>factsheet, wedding, events</t>
        </is>
      </c>
      <c r="Z114" t="inlineStr"/>
    </row>
    <row r="115">
      <c r="A115" t="n">
        <v>114</v>
      </c>
      <c r="B115" t="inlineStr">
        <is>
          <t>Gangehi Island Resort</t>
        </is>
      </c>
      <c r="C115" t="inlineStr">
        <is>
          <t>not crawled</t>
        </is>
      </c>
      <c r="D115">
        <f>IFERROR(IF(MAXIFS(Documents!$E$2:$E$619,Documents!$A$2:$A$619,$A115,Documents!$C$2:$C$619,"factsheet")=0,"",MAXIFS(Documents!$E$2:$E$619,Documents!$A$2:$A$619,$A115,Documents!$C$2:$C$619,"factsheet")),"")</f>
        <v/>
      </c>
      <c r="E115">
        <f>IFERROR(IF(MAXIFS(Documents!$E$2:$E$619,Documents!$A$2:$A$619,$A115,Documents!$C$2:$C$619,"wedding")=0,"",MAXIFS(Documents!$E$2:$E$619,Documents!$A$2:$A$619,$A115,Documents!$C$2:$C$619,"wedding")),"")</f>
        <v/>
      </c>
      <c r="F115">
        <f>IFERROR(IF(MAXIFS(Documents!$E$2:$E$619,Documents!$A$2:$A$619,$A115,Documents!$C$2:$C$619,"events")=0,"",MAXIFS(Documents!$E$2:$E$619,Documents!$A$2:$A$619,$A115,Documents!$C$2:$C$619,"events")),"")</f>
        <v/>
      </c>
      <c r="G115">
        <f>IFERROR(IF(MAXIFS(Documents!$E$2:$E$619,Documents!$A$2:$A$619,$A115,Documents!$C$2:$C$619,"map")=0,"",MAXIFS(Documents!$E$2:$E$619,Documents!$A$2:$A$619,$A115,Documents!$C$2:$C$619,"map")),"")</f>
        <v/>
      </c>
      <c r="H115">
        <f>IFERROR(IF(MAXIFS(Documents!$E$2:$E$619,Documents!$A$2:$A$619,$A115,Documents!$C$2:$C$619,"dive_map")=0,"",MAXIFS(Documents!$E$2:$E$619,Documents!$A$2:$A$619,$A115,Documents!$C$2:$C$619,"dive_map")),"")</f>
        <v/>
      </c>
      <c r="I115">
        <f>IFERROR(IF(MAXIFS(Documents!$E$2:$E$619,Documents!$A$2:$A$619,$A115,Documents!$C$2:$C$619,"spa_menu")=0,"",MAXIFS(Documents!$E$2:$E$619,Documents!$A$2:$A$619,$A115,Documents!$C$2:$C$619,"spa_menu")),"")</f>
        <v/>
      </c>
      <c r="J115">
        <f>IFERROR(IF(MAXIFS(Documents!$E$2:$E$619,Documents!$A$2:$A$619,$A115,Documents!$C$2:$C$619,"dining_menu")=0,"",MAXIFS(Documents!$E$2:$E$619,Documents!$A$2:$A$619,$A115,Documents!$C$2:$C$619,"dining_menu")),"")</f>
        <v/>
      </c>
      <c r="K115">
        <f>IFERROR(IF(MAXIFS(Documents!$E$2:$E$619,Documents!$A$2:$A$619,$A115,Documents!$C$2:$C$619,"dive_prices")=0,"",MAXIFS(Documents!$E$2:$E$619,Documents!$A$2:$A$619,$A115,Documents!$C$2:$C$619,"dive_prices")),"")</f>
        <v/>
      </c>
      <c r="L115">
        <f>IFERROR(IF(MAXIFS(Documents!$E$2:$E$619,Documents!$A$2:$A$619,$A115,Documents!$C$2:$C$619,"excursions")=0,"",MAXIFS(Documents!$E$2:$E$619,Documents!$A$2:$A$619,$A115,Documents!$C$2:$C$619,"excursions")),"")</f>
        <v/>
      </c>
      <c r="M115">
        <f>IFERROR(IF(MAXIFS(Documents!$E$2:$E$619,Documents!$A$2:$A$619,$A115,Documents!$C$2:$C$619,"kids")=0,"",MAXIFS(Documents!$E$2:$E$619,Documents!$A$2:$A$619,$A115,Documents!$C$2:$C$619,"kids")),"")</f>
        <v/>
      </c>
      <c r="N115">
        <f>IFERROR(IF(MAXIFS(Documents!$E$2:$E$619,Documents!$A$2:$A$619,$A115,Documents!$C$2:$C$619,"villa_plans")=0,"",MAXIFS(Documents!$E$2:$E$619,Documents!$A$2:$A$619,$A115,Documents!$C$2:$C$619,"villa_plans")),"")</f>
        <v/>
      </c>
      <c r="O115">
        <f>IFERROR(IF(MAXIFS(Documents!$E$2:$E$619,Documents!$A$2:$A$619,$A115,Documents!$C$2:$C$619,"all_inclusive")=0,"",MAXIFS(Documents!$E$2:$E$619,Documents!$A$2:$A$619,$A115,Documents!$C$2:$C$619,"all_inclusive")),"")</f>
        <v/>
      </c>
      <c r="P115">
        <f>IFERROR(IF(MAXIFS(Documents!$E$2:$E$619,Documents!$A$2:$A$619,$A115,Documents!$C$2:$C$619,"sustainability")=0,"",MAXIFS(Documents!$E$2:$E$619,Documents!$A$2:$A$619,$A115,Documents!$C$2:$C$619,"sustainability")),"")</f>
        <v/>
      </c>
      <c r="Q115">
        <f>IFERROR(IF(MAXIFS(Documents!$E$2:$E$619,Documents!$A$2:$A$619,$A115,Documents!$C$2:$C$619,"calendar")=0,"",MAXIFS(Documents!$E$2:$E$619,Documents!$A$2:$A$619,$A115,Documents!$C$2:$C$619,"calendar")),"")</f>
        <v/>
      </c>
      <c r="R115">
        <f>IFERROR(IF(MAXIFS(Documents!$E$2:$E$619,Documents!$A$2:$A$619,$A115,Documents!$C$2:$C$619,"brochure")=0,"",MAXIFS(Documents!$E$2:$E$619,Documents!$A$2:$A$619,$A115,Documents!$C$2:$C$619,"brochure")),"")</f>
        <v/>
      </c>
      <c r="S115">
        <f>IFERROR(IF(MAXIFS(Documents!$E$2:$E$619,Documents!$A$2:$A$619,$A115,Documents!$C$2:$C$619,"press_kit")=0,"",MAXIFS(Documents!$E$2:$E$619,Documents!$A$2:$A$619,$A115,Documents!$C$2:$C$619,"press_kit")),"")</f>
        <v/>
      </c>
      <c r="T115">
        <f>IFERROR(IF(MAXIFS(Documents!$E$2:$E$619,Documents!$A$2:$A$619,$A115,Documents!$C$2:$C$619,"other")=0,"",MAXIFS(Documents!$E$2:$E$619,Documents!$A$2:$A$619,$A115,Documents!$C$2:$C$619,"other")),"")</f>
        <v/>
      </c>
      <c r="U115">
        <f>IFERROR(IF(MAXIFS(Documents!$E$2:$E$619,Documents!$A$2:$A$619,$A115,Documents!$C$2:$C$619,"obsolete")=0,"",MAXIFS(Documents!$E$2:$E$619,Documents!$A$2:$A$619,$A115,Documents!$C$2:$C$619,"obsolete")),"")</f>
        <v/>
      </c>
      <c r="V115">
        <f>COUNTIFS(Documents!$A$2:$A$619,$A115)</f>
        <v/>
      </c>
      <c r="W115">
        <f>COUNTIFS(Documents!$A$2:$A$619,$A115,Documents!$R$2:$R$619,"current")</f>
        <v/>
      </c>
      <c r="X115" t="inlineStr"/>
      <c r="Y115" t="inlineStr">
        <is>
          <t>factsheet, wedding, events</t>
        </is>
      </c>
      <c r="Z115" t="inlineStr"/>
    </row>
    <row r="116">
      <c r="A116" t="n">
        <v>115</v>
      </c>
      <c r="B116" t="inlineStr">
        <is>
          <t>Oblu Select by Atmosphere at Sangeli</t>
        </is>
      </c>
      <c r="C116" t="inlineStr">
        <is>
          <t>not crawled</t>
        </is>
      </c>
      <c r="D116">
        <f>IFERROR(IF(MAXIFS(Documents!$E$2:$E$619,Documents!$A$2:$A$619,$A116,Documents!$C$2:$C$619,"factsheet")=0,"",MAXIFS(Documents!$E$2:$E$619,Documents!$A$2:$A$619,$A116,Documents!$C$2:$C$619,"factsheet")),"")</f>
        <v/>
      </c>
      <c r="E116">
        <f>IFERROR(IF(MAXIFS(Documents!$E$2:$E$619,Documents!$A$2:$A$619,$A116,Documents!$C$2:$C$619,"wedding")=0,"",MAXIFS(Documents!$E$2:$E$619,Documents!$A$2:$A$619,$A116,Documents!$C$2:$C$619,"wedding")),"")</f>
        <v/>
      </c>
      <c r="F116">
        <f>IFERROR(IF(MAXIFS(Documents!$E$2:$E$619,Documents!$A$2:$A$619,$A116,Documents!$C$2:$C$619,"events")=0,"",MAXIFS(Documents!$E$2:$E$619,Documents!$A$2:$A$619,$A116,Documents!$C$2:$C$619,"events")),"")</f>
        <v/>
      </c>
      <c r="G116">
        <f>IFERROR(IF(MAXIFS(Documents!$E$2:$E$619,Documents!$A$2:$A$619,$A116,Documents!$C$2:$C$619,"map")=0,"",MAXIFS(Documents!$E$2:$E$619,Documents!$A$2:$A$619,$A116,Documents!$C$2:$C$619,"map")),"")</f>
        <v/>
      </c>
      <c r="H116">
        <f>IFERROR(IF(MAXIFS(Documents!$E$2:$E$619,Documents!$A$2:$A$619,$A116,Documents!$C$2:$C$619,"dive_map")=0,"",MAXIFS(Documents!$E$2:$E$619,Documents!$A$2:$A$619,$A116,Documents!$C$2:$C$619,"dive_map")),"")</f>
        <v/>
      </c>
      <c r="I116">
        <f>IFERROR(IF(MAXIFS(Documents!$E$2:$E$619,Documents!$A$2:$A$619,$A116,Documents!$C$2:$C$619,"spa_menu")=0,"",MAXIFS(Documents!$E$2:$E$619,Documents!$A$2:$A$619,$A116,Documents!$C$2:$C$619,"spa_menu")),"")</f>
        <v/>
      </c>
      <c r="J116">
        <f>IFERROR(IF(MAXIFS(Documents!$E$2:$E$619,Documents!$A$2:$A$619,$A116,Documents!$C$2:$C$619,"dining_menu")=0,"",MAXIFS(Documents!$E$2:$E$619,Documents!$A$2:$A$619,$A116,Documents!$C$2:$C$619,"dining_menu")),"")</f>
        <v/>
      </c>
      <c r="K116">
        <f>IFERROR(IF(MAXIFS(Documents!$E$2:$E$619,Documents!$A$2:$A$619,$A116,Documents!$C$2:$C$619,"dive_prices")=0,"",MAXIFS(Documents!$E$2:$E$619,Documents!$A$2:$A$619,$A116,Documents!$C$2:$C$619,"dive_prices")),"")</f>
        <v/>
      </c>
      <c r="L116">
        <f>IFERROR(IF(MAXIFS(Documents!$E$2:$E$619,Documents!$A$2:$A$619,$A116,Documents!$C$2:$C$619,"excursions")=0,"",MAXIFS(Documents!$E$2:$E$619,Documents!$A$2:$A$619,$A116,Documents!$C$2:$C$619,"excursions")),"")</f>
        <v/>
      </c>
      <c r="M116">
        <f>IFERROR(IF(MAXIFS(Documents!$E$2:$E$619,Documents!$A$2:$A$619,$A116,Documents!$C$2:$C$619,"kids")=0,"",MAXIFS(Documents!$E$2:$E$619,Documents!$A$2:$A$619,$A116,Documents!$C$2:$C$619,"kids")),"")</f>
        <v/>
      </c>
      <c r="N116">
        <f>IFERROR(IF(MAXIFS(Documents!$E$2:$E$619,Documents!$A$2:$A$619,$A116,Documents!$C$2:$C$619,"villa_plans")=0,"",MAXIFS(Documents!$E$2:$E$619,Documents!$A$2:$A$619,$A116,Documents!$C$2:$C$619,"villa_plans")),"")</f>
        <v/>
      </c>
      <c r="O116">
        <f>IFERROR(IF(MAXIFS(Documents!$E$2:$E$619,Documents!$A$2:$A$619,$A116,Documents!$C$2:$C$619,"all_inclusive")=0,"",MAXIFS(Documents!$E$2:$E$619,Documents!$A$2:$A$619,$A116,Documents!$C$2:$C$619,"all_inclusive")),"")</f>
        <v/>
      </c>
      <c r="P116">
        <f>IFERROR(IF(MAXIFS(Documents!$E$2:$E$619,Documents!$A$2:$A$619,$A116,Documents!$C$2:$C$619,"sustainability")=0,"",MAXIFS(Documents!$E$2:$E$619,Documents!$A$2:$A$619,$A116,Documents!$C$2:$C$619,"sustainability")),"")</f>
        <v/>
      </c>
      <c r="Q116">
        <f>IFERROR(IF(MAXIFS(Documents!$E$2:$E$619,Documents!$A$2:$A$619,$A116,Documents!$C$2:$C$619,"calendar")=0,"",MAXIFS(Documents!$E$2:$E$619,Documents!$A$2:$A$619,$A116,Documents!$C$2:$C$619,"calendar")),"")</f>
        <v/>
      </c>
      <c r="R116">
        <f>IFERROR(IF(MAXIFS(Documents!$E$2:$E$619,Documents!$A$2:$A$619,$A116,Documents!$C$2:$C$619,"brochure")=0,"",MAXIFS(Documents!$E$2:$E$619,Documents!$A$2:$A$619,$A116,Documents!$C$2:$C$619,"brochure")),"")</f>
        <v/>
      </c>
      <c r="S116">
        <f>IFERROR(IF(MAXIFS(Documents!$E$2:$E$619,Documents!$A$2:$A$619,$A116,Documents!$C$2:$C$619,"press_kit")=0,"",MAXIFS(Documents!$E$2:$E$619,Documents!$A$2:$A$619,$A116,Documents!$C$2:$C$619,"press_kit")),"")</f>
        <v/>
      </c>
      <c r="T116">
        <f>IFERROR(IF(MAXIFS(Documents!$E$2:$E$619,Documents!$A$2:$A$619,$A116,Documents!$C$2:$C$619,"other")=0,"",MAXIFS(Documents!$E$2:$E$619,Documents!$A$2:$A$619,$A116,Documents!$C$2:$C$619,"other")),"")</f>
        <v/>
      </c>
      <c r="U116">
        <f>IFERROR(IF(MAXIFS(Documents!$E$2:$E$619,Documents!$A$2:$A$619,$A116,Documents!$C$2:$C$619,"obsolete")=0,"",MAXIFS(Documents!$E$2:$E$619,Documents!$A$2:$A$619,$A116,Documents!$C$2:$C$619,"obsolete")),"")</f>
        <v/>
      </c>
      <c r="V116">
        <f>COUNTIFS(Documents!$A$2:$A$619,$A116)</f>
        <v/>
      </c>
      <c r="W116">
        <f>COUNTIFS(Documents!$A$2:$A$619,$A116,Documents!$R$2:$R$619,"current")</f>
        <v/>
      </c>
      <c r="X116" t="inlineStr"/>
      <c r="Y116" t="inlineStr">
        <is>
          <t>factsheet, wedding, events</t>
        </is>
      </c>
      <c r="Z116" t="inlineStr"/>
    </row>
    <row r="117">
      <c r="A117" t="n">
        <v>116</v>
      </c>
      <c r="B117" t="inlineStr">
        <is>
          <t>Nova Maldives</t>
        </is>
      </c>
      <c r="C117" t="inlineStr">
        <is>
          <t>not crawled</t>
        </is>
      </c>
      <c r="D117">
        <f>IFERROR(IF(MAXIFS(Documents!$E$2:$E$619,Documents!$A$2:$A$619,$A117,Documents!$C$2:$C$619,"factsheet")=0,"",MAXIFS(Documents!$E$2:$E$619,Documents!$A$2:$A$619,$A117,Documents!$C$2:$C$619,"factsheet")),"")</f>
        <v/>
      </c>
      <c r="E117">
        <f>IFERROR(IF(MAXIFS(Documents!$E$2:$E$619,Documents!$A$2:$A$619,$A117,Documents!$C$2:$C$619,"wedding")=0,"",MAXIFS(Documents!$E$2:$E$619,Documents!$A$2:$A$619,$A117,Documents!$C$2:$C$619,"wedding")),"")</f>
        <v/>
      </c>
      <c r="F117">
        <f>IFERROR(IF(MAXIFS(Documents!$E$2:$E$619,Documents!$A$2:$A$619,$A117,Documents!$C$2:$C$619,"events")=0,"",MAXIFS(Documents!$E$2:$E$619,Documents!$A$2:$A$619,$A117,Documents!$C$2:$C$619,"events")),"")</f>
        <v/>
      </c>
      <c r="G117">
        <f>IFERROR(IF(MAXIFS(Documents!$E$2:$E$619,Documents!$A$2:$A$619,$A117,Documents!$C$2:$C$619,"map")=0,"",MAXIFS(Documents!$E$2:$E$619,Documents!$A$2:$A$619,$A117,Documents!$C$2:$C$619,"map")),"")</f>
        <v/>
      </c>
      <c r="H117">
        <f>IFERROR(IF(MAXIFS(Documents!$E$2:$E$619,Documents!$A$2:$A$619,$A117,Documents!$C$2:$C$619,"dive_map")=0,"",MAXIFS(Documents!$E$2:$E$619,Documents!$A$2:$A$619,$A117,Documents!$C$2:$C$619,"dive_map")),"")</f>
        <v/>
      </c>
      <c r="I117">
        <f>IFERROR(IF(MAXIFS(Documents!$E$2:$E$619,Documents!$A$2:$A$619,$A117,Documents!$C$2:$C$619,"spa_menu")=0,"",MAXIFS(Documents!$E$2:$E$619,Documents!$A$2:$A$619,$A117,Documents!$C$2:$C$619,"spa_menu")),"")</f>
        <v/>
      </c>
      <c r="J117">
        <f>IFERROR(IF(MAXIFS(Documents!$E$2:$E$619,Documents!$A$2:$A$619,$A117,Documents!$C$2:$C$619,"dining_menu")=0,"",MAXIFS(Documents!$E$2:$E$619,Documents!$A$2:$A$619,$A117,Documents!$C$2:$C$619,"dining_menu")),"")</f>
        <v/>
      </c>
      <c r="K117">
        <f>IFERROR(IF(MAXIFS(Documents!$E$2:$E$619,Documents!$A$2:$A$619,$A117,Documents!$C$2:$C$619,"dive_prices")=0,"",MAXIFS(Documents!$E$2:$E$619,Documents!$A$2:$A$619,$A117,Documents!$C$2:$C$619,"dive_prices")),"")</f>
        <v/>
      </c>
      <c r="L117">
        <f>IFERROR(IF(MAXIFS(Documents!$E$2:$E$619,Documents!$A$2:$A$619,$A117,Documents!$C$2:$C$619,"excursions")=0,"",MAXIFS(Documents!$E$2:$E$619,Documents!$A$2:$A$619,$A117,Documents!$C$2:$C$619,"excursions")),"")</f>
        <v/>
      </c>
      <c r="M117">
        <f>IFERROR(IF(MAXIFS(Documents!$E$2:$E$619,Documents!$A$2:$A$619,$A117,Documents!$C$2:$C$619,"kids")=0,"",MAXIFS(Documents!$E$2:$E$619,Documents!$A$2:$A$619,$A117,Documents!$C$2:$C$619,"kids")),"")</f>
        <v/>
      </c>
      <c r="N117">
        <f>IFERROR(IF(MAXIFS(Documents!$E$2:$E$619,Documents!$A$2:$A$619,$A117,Documents!$C$2:$C$619,"villa_plans")=0,"",MAXIFS(Documents!$E$2:$E$619,Documents!$A$2:$A$619,$A117,Documents!$C$2:$C$619,"villa_plans")),"")</f>
        <v/>
      </c>
      <c r="O117">
        <f>IFERROR(IF(MAXIFS(Documents!$E$2:$E$619,Documents!$A$2:$A$619,$A117,Documents!$C$2:$C$619,"all_inclusive")=0,"",MAXIFS(Documents!$E$2:$E$619,Documents!$A$2:$A$619,$A117,Documents!$C$2:$C$619,"all_inclusive")),"")</f>
        <v/>
      </c>
      <c r="P117">
        <f>IFERROR(IF(MAXIFS(Documents!$E$2:$E$619,Documents!$A$2:$A$619,$A117,Documents!$C$2:$C$619,"sustainability")=0,"",MAXIFS(Documents!$E$2:$E$619,Documents!$A$2:$A$619,$A117,Documents!$C$2:$C$619,"sustainability")),"")</f>
        <v/>
      </c>
      <c r="Q117">
        <f>IFERROR(IF(MAXIFS(Documents!$E$2:$E$619,Documents!$A$2:$A$619,$A117,Documents!$C$2:$C$619,"calendar")=0,"",MAXIFS(Documents!$E$2:$E$619,Documents!$A$2:$A$619,$A117,Documents!$C$2:$C$619,"calendar")),"")</f>
        <v/>
      </c>
      <c r="R117">
        <f>IFERROR(IF(MAXIFS(Documents!$E$2:$E$619,Documents!$A$2:$A$619,$A117,Documents!$C$2:$C$619,"brochure")=0,"",MAXIFS(Documents!$E$2:$E$619,Documents!$A$2:$A$619,$A117,Documents!$C$2:$C$619,"brochure")),"")</f>
        <v/>
      </c>
      <c r="S117">
        <f>IFERROR(IF(MAXIFS(Documents!$E$2:$E$619,Documents!$A$2:$A$619,$A117,Documents!$C$2:$C$619,"press_kit")=0,"",MAXIFS(Documents!$E$2:$E$619,Documents!$A$2:$A$619,$A117,Documents!$C$2:$C$619,"press_kit")),"")</f>
        <v/>
      </c>
      <c r="T117">
        <f>IFERROR(IF(MAXIFS(Documents!$E$2:$E$619,Documents!$A$2:$A$619,$A117,Documents!$C$2:$C$619,"other")=0,"",MAXIFS(Documents!$E$2:$E$619,Documents!$A$2:$A$619,$A117,Documents!$C$2:$C$619,"other")),"")</f>
        <v/>
      </c>
      <c r="U117">
        <f>IFERROR(IF(MAXIFS(Documents!$E$2:$E$619,Documents!$A$2:$A$619,$A117,Documents!$C$2:$C$619,"obsolete")=0,"",MAXIFS(Documents!$E$2:$E$619,Documents!$A$2:$A$619,$A117,Documents!$C$2:$C$619,"obsolete")),"")</f>
        <v/>
      </c>
      <c r="V117">
        <f>COUNTIFS(Documents!$A$2:$A$619,$A117)</f>
        <v/>
      </c>
      <c r="W117">
        <f>COUNTIFS(Documents!$A$2:$A$619,$A117,Documents!$R$2:$R$619,"current")</f>
        <v/>
      </c>
      <c r="X117">
        <f>HYPERLINK("https://www.neoscapesmaldives.com/wp-content/uploads/Factsheet-Nova-Maldives-NEO.pdf","2022_Factsheet-Nova-Maldives-NEO.pdf")</f>
        <v/>
      </c>
      <c r="Y117" t="inlineStr">
        <is>
          <t>wedding, events</t>
        </is>
      </c>
      <c r="Z117" t="inlineStr"/>
    </row>
    <row r="118">
      <c r="A118" t="n">
        <v>117</v>
      </c>
      <c r="B118" t="inlineStr">
        <is>
          <t>Niyama Maldives</t>
        </is>
      </c>
      <c r="C118" t="inlineStr">
        <is>
          <t>not crawled</t>
        </is>
      </c>
      <c r="D118">
        <f>IFERROR(IF(MAXIFS(Documents!$E$2:$E$619,Documents!$A$2:$A$619,$A118,Documents!$C$2:$C$619,"factsheet")=0,"",MAXIFS(Documents!$E$2:$E$619,Documents!$A$2:$A$619,$A118,Documents!$C$2:$C$619,"factsheet")),"")</f>
        <v/>
      </c>
      <c r="E118">
        <f>IFERROR(IF(MAXIFS(Documents!$E$2:$E$619,Documents!$A$2:$A$619,$A118,Documents!$C$2:$C$619,"wedding")=0,"",MAXIFS(Documents!$E$2:$E$619,Documents!$A$2:$A$619,$A118,Documents!$C$2:$C$619,"wedding")),"")</f>
        <v/>
      </c>
      <c r="F118">
        <f>IFERROR(IF(MAXIFS(Documents!$E$2:$E$619,Documents!$A$2:$A$619,$A118,Documents!$C$2:$C$619,"events")=0,"",MAXIFS(Documents!$E$2:$E$619,Documents!$A$2:$A$619,$A118,Documents!$C$2:$C$619,"events")),"")</f>
        <v/>
      </c>
      <c r="G118">
        <f>IFERROR(IF(MAXIFS(Documents!$E$2:$E$619,Documents!$A$2:$A$619,$A118,Documents!$C$2:$C$619,"map")=0,"",MAXIFS(Documents!$E$2:$E$619,Documents!$A$2:$A$619,$A118,Documents!$C$2:$C$619,"map")),"")</f>
        <v/>
      </c>
      <c r="H118">
        <f>IFERROR(IF(MAXIFS(Documents!$E$2:$E$619,Documents!$A$2:$A$619,$A118,Documents!$C$2:$C$619,"dive_map")=0,"",MAXIFS(Documents!$E$2:$E$619,Documents!$A$2:$A$619,$A118,Documents!$C$2:$C$619,"dive_map")),"")</f>
        <v/>
      </c>
      <c r="I118">
        <f>IFERROR(IF(MAXIFS(Documents!$E$2:$E$619,Documents!$A$2:$A$619,$A118,Documents!$C$2:$C$619,"spa_menu")=0,"",MAXIFS(Documents!$E$2:$E$619,Documents!$A$2:$A$619,$A118,Documents!$C$2:$C$619,"spa_menu")),"")</f>
        <v/>
      </c>
      <c r="J118">
        <f>IFERROR(IF(MAXIFS(Documents!$E$2:$E$619,Documents!$A$2:$A$619,$A118,Documents!$C$2:$C$619,"dining_menu")=0,"",MAXIFS(Documents!$E$2:$E$619,Documents!$A$2:$A$619,$A118,Documents!$C$2:$C$619,"dining_menu")),"")</f>
        <v/>
      </c>
      <c r="K118">
        <f>IFERROR(IF(MAXIFS(Documents!$E$2:$E$619,Documents!$A$2:$A$619,$A118,Documents!$C$2:$C$619,"dive_prices")=0,"",MAXIFS(Documents!$E$2:$E$619,Documents!$A$2:$A$619,$A118,Documents!$C$2:$C$619,"dive_prices")),"")</f>
        <v/>
      </c>
      <c r="L118">
        <f>IFERROR(IF(MAXIFS(Documents!$E$2:$E$619,Documents!$A$2:$A$619,$A118,Documents!$C$2:$C$619,"excursions")=0,"",MAXIFS(Documents!$E$2:$E$619,Documents!$A$2:$A$619,$A118,Documents!$C$2:$C$619,"excursions")),"")</f>
        <v/>
      </c>
      <c r="M118">
        <f>IFERROR(IF(MAXIFS(Documents!$E$2:$E$619,Documents!$A$2:$A$619,$A118,Documents!$C$2:$C$619,"kids")=0,"",MAXIFS(Documents!$E$2:$E$619,Documents!$A$2:$A$619,$A118,Documents!$C$2:$C$619,"kids")),"")</f>
        <v/>
      </c>
      <c r="N118">
        <f>IFERROR(IF(MAXIFS(Documents!$E$2:$E$619,Documents!$A$2:$A$619,$A118,Documents!$C$2:$C$619,"villa_plans")=0,"",MAXIFS(Documents!$E$2:$E$619,Documents!$A$2:$A$619,$A118,Documents!$C$2:$C$619,"villa_plans")),"")</f>
        <v/>
      </c>
      <c r="O118">
        <f>IFERROR(IF(MAXIFS(Documents!$E$2:$E$619,Documents!$A$2:$A$619,$A118,Documents!$C$2:$C$619,"all_inclusive")=0,"",MAXIFS(Documents!$E$2:$E$619,Documents!$A$2:$A$619,$A118,Documents!$C$2:$C$619,"all_inclusive")),"")</f>
        <v/>
      </c>
      <c r="P118">
        <f>IFERROR(IF(MAXIFS(Documents!$E$2:$E$619,Documents!$A$2:$A$619,$A118,Documents!$C$2:$C$619,"sustainability")=0,"",MAXIFS(Documents!$E$2:$E$619,Documents!$A$2:$A$619,$A118,Documents!$C$2:$C$619,"sustainability")),"")</f>
        <v/>
      </c>
      <c r="Q118">
        <f>IFERROR(IF(MAXIFS(Documents!$E$2:$E$619,Documents!$A$2:$A$619,$A118,Documents!$C$2:$C$619,"calendar")=0,"",MAXIFS(Documents!$E$2:$E$619,Documents!$A$2:$A$619,$A118,Documents!$C$2:$C$619,"calendar")),"")</f>
        <v/>
      </c>
      <c r="R118">
        <f>IFERROR(IF(MAXIFS(Documents!$E$2:$E$619,Documents!$A$2:$A$619,$A118,Documents!$C$2:$C$619,"brochure")=0,"",MAXIFS(Documents!$E$2:$E$619,Documents!$A$2:$A$619,$A118,Documents!$C$2:$C$619,"brochure")),"")</f>
        <v/>
      </c>
      <c r="S118">
        <f>IFERROR(IF(MAXIFS(Documents!$E$2:$E$619,Documents!$A$2:$A$619,$A118,Documents!$C$2:$C$619,"press_kit")=0,"",MAXIFS(Documents!$E$2:$E$619,Documents!$A$2:$A$619,$A118,Documents!$C$2:$C$619,"press_kit")),"")</f>
        <v/>
      </c>
      <c r="T118">
        <f>IFERROR(IF(MAXIFS(Documents!$E$2:$E$619,Documents!$A$2:$A$619,$A118,Documents!$C$2:$C$619,"other")=0,"",MAXIFS(Documents!$E$2:$E$619,Documents!$A$2:$A$619,$A118,Documents!$C$2:$C$619,"other")),"")</f>
        <v/>
      </c>
      <c r="U118">
        <f>IFERROR(IF(MAXIFS(Documents!$E$2:$E$619,Documents!$A$2:$A$619,$A118,Documents!$C$2:$C$619,"obsolete")=0,"",MAXIFS(Documents!$E$2:$E$619,Documents!$A$2:$A$619,$A118,Documents!$C$2:$C$619,"obsolete")),"")</f>
        <v/>
      </c>
      <c r="V118">
        <f>COUNTIFS(Documents!$A$2:$A$619,$A118)</f>
        <v/>
      </c>
      <c r="W118">
        <f>COUNTIFS(Documents!$A$2:$A$619,$A118,Documents!$R$2:$R$619,"current")</f>
        <v/>
      </c>
      <c r="X118">
        <f>HYPERLINK("https://www.neoscapesmaldives.com/wp-content/uploads/Niyama-Private-Islands-Maldives-Factsheet-2025.pdf","2025_Niyama-Private-Islands-Maldives-Fac")</f>
        <v/>
      </c>
      <c r="Y118" t="inlineStr">
        <is>
          <t>wedding, events</t>
        </is>
      </c>
      <c r="Z118" t="inlineStr"/>
    </row>
    <row r="119">
      <c r="A119" t="n">
        <v>118</v>
      </c>
      <c r="B119" t="inlineStr">
        <is>
          <t>Sun Siyam Iru Veli Maldives</t>
        </is>
      </c>
      <c r="C119" t="inlineStr">
        <is>
          <t>not crawled</t>
        </is>
      </c>
      <c r="D119">
        <f>IFERROR(IF(MAXIFS(Documents!$E$2:$E$619,Documents!$A$2:$A$619,$A119,Documents!$C$2:$C$619,"factsheet")=0,"",MAXIFS(Documents!$E$2:$E$619,Documents!$A$2:$A$619,$A119,Documents!$C$2:$C$619,"factsheet")),"")</f>
        <v/>
      </c>
      <c r="E119">
        <f>IFERROR(IF(MAXIFS(Documents!$E$2:$E$619,Documents!$A$2:$A$619,$A119,Documents!$C$2:$C$619,"wedding")=0,"",MAXIFS(Documents!$E$2:$E$619,Documents!$A$2:$A$619,$A119,Documents!$C$2:$C$619,"wedding")),"")</f>
        <v/>
      </c>
      <c r="F119">
        <f>IFERROR(IF(MAXIFS(Documents!$E$2:$E$619,Documents!$A$2:$A$619,$A119,Documents!$C$2:$C$619,"events")=0,"",MAXIFS(Documents!$E$2:$E$619,Documents!$A$2:$A$619,$A119,Documents!$C$2:$C$619,"events")),"")</f>
        <v/>
      </c>
      <c r="G119">
        <f>IFERROR(IF(MAXIFS(Documents!$E$2:$E$619,Documents!$A$2:$A$619,$A119,Documents!$C$2:$C$619,"map")=0,"",MAXIFS(Documents!$E$2:$E$619,Documents!$A$2:$A$619,$A119,Documents!$C$2:$C$619,"map")),"")</f>
        <v/>
      </c>
      <c r="H119">
        <f>IFERROR(IF(MAXIFS(Documents!$E$2:$E$619,Documents!$A$2:$A$619,$A119,Documents!$C$2:$C$619,"dive_map")=0,"",MAXIFS(Documents!$E$2:$E$619,Documents!$A$2:$A$619,$A119,Documents!$C$2:$C$619,"dive_map")),"")</f>
        <v/>
      </c>
      <c r="I119">
        <f>IFERROR(IF(MAXIFS(Documents!$E$2:$E$619,Documents!$A$2:$A$619,$A119,Documents!$C$2:$C$619,"spa_menu")=0,"",MAXIFS(Documents!$E$2:$E$619,Documents!$A$2:$A$619,$A119,Documents!$C$2:$C$619,"spa_menu")),"")</f>
        <v/>
      </c>
      <c r="J119">
        <f>IFERROR(IF(MAXIFS(Documents!$E$2:$E$619,Documents!$A$2:$A$619,$A119,Documents!$C$2:$C$619,"dining_menu")=0,"",MAXIFS(Documents!$E$2:$E$619,Documents!$A$2:$A$619,$A119,Documents!$C$2:$C$619,"dining_menu")),"")</f>
        <v/>
      </c>
      <c r="K119">
        <f>IFERROR(IF(MAXIFS(Documents!$E$2:$E$619,Documents!$A$2:$A$619,$A119,Documents!$C$2:$C$619,"dive_prices")=0,"",MAXIFS(Documents!$E$2:$E$619,Documents!$A$2:$A$619,$A119,Documents!$C$2:$C$619,"dive_prices")),"")</f>
        <v/>
      </c>
      <c r="L119">
        <f>IFERROR(IF(MAXIFS(Documents!$E$2:$E$619,Documents!$A$2:$A$619,$A119,Documents!$C$2:$C$619,"excursions")=0,"",MAXIFS(Documents!$E$2:$E$619,Documents!$A$2:$A$619,$A119,Documents!$C$2:$C$619,"excursions")),"")</f>
        <v/>
      </c>
      <c r="M119">
        <f>IFERROR(IF(MAXIFS(Documents!$E$2:$E$619,Documents!$A$2:$A$619,$A119,Documents!$C$2:$C$619,"kids")=0,"",MAXIFS(Documents!$E$2:$E$619,Documents!$A$2:$A$619,$A119,Documents!$C$2:$C$619,"kids")),"")</f>
        <v/>
      </c>
      <c r="N119">
        <f>IFERROR(IF(MAXIFS(Documents!$E$2:$E$619,Documents!$A$2:$A$619,$A119,Documents!$C$2:$C$619,"villa_plans")=0,"",MAXIFS(Documents!$E$2:$E$619,Documents!$A$2:$A$619,$A119,Documents!$C$2:$C$619,"villa_plans")),"")</f>
        <v/>
      </c>
      <c r="O119">
        <f>IFERROR(IF(MAXIFS(Documents!$E$2:$E$619,Documents!$A$2:$A$619,$A119,Documents!$C$2:$C$619,"all_inclusive")=0,"",MAXIFS(Documents!$E$2:$E$619,Documents!$A$2:$A$619,$A119,Documents!$C$2:$C$619,"all_inclusive")),"")</f>
        <v/>
      </c>
      <c r="P119">
        <f>IFERROR(IF(MAXIFS(Documents!$E$2:$E$619,Documents!$A$2:$A$619,$A119,Documents!$C$2:$C$619,"sustainability")=0,"",MAXIFS(Documents!$E$2:$E$619,Documents!$A$2:$A$619,$A119,Documents!$C$2:$C$619,"sustainability")),"")</f>
        <v/>
      </c>
      <c r="Q119">
        <f>IFERROR(IF(MAXIFS(Documents!$E$2:$E$619,Documents!$A$2:$A$619,$A119,Documents!$C$2:$C$619,"calendar")=0,"",MAXIFS(Documents!$E$2:$E$619,Documents!$A$2:$A$619,$A119,Documents!$C$2:$C$619,"calendar")),"")</f>
        <v/>
      </c>
      <c r="R119">
        <f>IFERROR(IF(MAXIFS(Documents!$E$2:$E$619,Documents!$A$2:$A$619,$A119,Documents!$C$2:$C$619,"brochure")=0,"",MAXIFS(Documents!$E$2:$E$619,Documents!$A$2:$A$619,$A119,Documents!$C$2:$C$619,"brochure")),"")</f>
        <v/>
      </c>
      <c r="S119">
        <f>IFERROR(IF(MAXIFS(Documents!$E$2:$E$619,Documents!$A$2:$A$619,$A119,Documents!$C$2:$C$619,"press_kit")=0,"",MAXIFS(Documents!$E$2:$E$619,Documents!$A$2:$A$619,$A119,Documents!$C$2:$C$619,"press_kit")),"")</f>
        <v/>
      </c>
      <c r="T119">
        <f>IFERROR(IF(MAXIFS(Documents!$E$2:$E$619,Documents!$A$2:$A$619,$A119,Documents!$C$2:$C$619,"other")=0,"",MAXIFS(Documents!$E$2:$E$619,Documents!$A$2:$A$619,$A119,Documents!$C$2:$C$619,"other")),"")</f>
        <v/>
      </c>
      <c r="U119">
        <f>IFERROR(IF(MAXIFS(Documents!$E$2:$E$619,Documents!$A$2:$A$619,$A119,Documents!$C$2:$C$619,"obsolete")=0,"",MAXIFS(Documents!$E$2:$E$619,Documents!$A$2:$A$619,$A119,Documents!$C$2:$C$619,"obsolete")),"")</f>
        <v/>
      </c>
      <c r="V119">
        <f>COUNTIFS(Documents!$A$2:$A$619,$A119)</f>
        <v/>
      </c>
      <c r="W119">
        <f>COUNTIFS(Documents!$A$2:$A$619,$A119,Documents!$R$2:$R$619,"current")</f>
        <v/>
      </c>
      <c r="X119">
        <f>HYPERLINK("https://www.neoscapesmaldives.com/wp-content/uploads/Iru-Veli-Factsheet-EN.pdf","2021_Iru-Veli-Factsheet-EN.pdf")</f>
        <v/>
      </c>
      <c r="Y119" t="inlineStr">
        <is>
          <t>wedding, events</t>
        </is>
      </c>
      <c r="Z119" t="inlineStr"/>
    </row>
    <row r="120">
      <c r="A120" t="n">
        <v>119</v>
      </c>
      <c r="B120" t="inlineStr">
        <is>
          <t>Outrigger Maldives Maafushivaru Resort</t>
        </is>
      </c>
      <c r="C120" t="inlineStr">
        <is>
          <t>not crawled</t>
        </is>
      </c>
      <c r="D120">
        <f>IFERROR(IF(MAXIFS(Documents!$E$2:$E$619,Documents!$A$2:$A$619,$A120,Documents!$C$2:$C$619,"factsheet")=0,"",MAXIFS(Documents!$E$2:$E$619,Documents!$A$2:$A$619,$A120,Documents!$C$2:$C$619,"factsheet")),"")</f>
        <v/>
      </c>
      <c r="E120">
        <f>IFERROR(IF(MAXIFS(Documents!$E$2:$E$619,Documents!$A$2:$A$619,$A120,Documents!$C$2:$C$619,"wedding")=0,"",MAXIFS(Documents!$E$2:$E$619,Documents!$A$2:$A$619,$A120,Documents!$C$2:$C$619,"wedding")),"")</f>
        <v/>
      </c>
      <c r="F120">
        <f>IFERROR(IF(MAXIFS(Documents!$E$2:$E$619,Documents!$A$2:$A$619,$A120,Documents!$C$2:$C$619,"events")=0,"",MAXIFS(Documents!$E$2:$E$619,Documents!$A$2:$A$619,$A120,Documents!$C$2:$C$619,"events")),"")</f>
        <v/>
      </c>
      <c r="G120">
        <f>IFERROR(IF(MAXIFS(Documents!$E$2:$E$619,Documents!$A$2:$A$619,$A120,Documents!$C$2:$C$619,"map")=0,"",MAXIFS(Documents!$E$2:$E$619,Documents!$A$2:$A$619,$A120,Documents!$C$2:$C$619,"map")),"")</f>
        <v/>
      </c>
      <c r="H120">
        <f>IFERROR(IF(MAXIFS(Documents!$E$2:$E$619,Documents!$A$2:$A$619,$A120,Documents!$C$2:$C$619,"dive_map")=0,"",MAXIFS(Documents!$E$2:$E$619,Documents!$A$2:$A$619,$A120,Documents!$C$2:$C$619,"dive_map")),"")</f>
        <v/>
      </c>
      <c r="I120">
        <f>IFERROR(IF(MAXIFS(Documents!$E$2:$E$619,Documents!$A$2:$A$619,$A120,Documents!$C$2:$C$619,"spa_menu")=0,"",MAXIFS(Documents!$E$2:$E$619,Documents!$A$2:$A$619,$A120,Documents!$C$2:$C$619,"spa_menu")),"")</f>
        <v/>
      </c>
      <c r="J120">
        <f>IFERROR(IF(MAXIFS(Documents!$E$2:$E$619,Documents!$A$2:$A$619,$A120,Documents!$C$2:$C$619,"dining_menu")=0,"",MAXIFS(Documents!$E$2:$E$619,Documents!$A$2:$A$619,$A120,Documents!$C$2:$C$619,"dining_menu")),"")</f>
        <v/>
      </c>
      <c r="K120">
        <f>IFERROR(IF(MAXIFS(Documents!$E$2:$E$619,Documents!$A$2:$A$619,$A120,Documents!$C$2:$C$619,"dive_prices")=0,"",MAXIFS(Documents!$E$2:$E$619,Documents!$A$2:$A$619,$A120,Documents!$C$2:$C$619,"dive_prices")),"")</f>
        <v/>
      </c>
      <c r="L120">
        <f>IFERROR(IF(MAXIFS(Documents!$E$2:$E$619,Documents!$A$2:$A$619,$A120,Documents!$C$2:$C$619,"excursions")=0,"",MAXIFS(Documents!$E$2:$E$619,Documents!$A$2:$A$619,$A120,Documents!$C$2:$C$619,"excursions")),"")</f>
        <v/>
      </c>
      <c r="M120">
        <f>IFERROR(IF(MAXIFS(Documents!$E$2:$E$619,Documents!$A$2:$A$619,$A120,Documents!$C$2:$C$619,"kids")=0,"",MAXIFS(Documents!$E$2:$E$619,Documents!$A$2:$A$619,$A120,Documents!$C$2:$C$619,"kids")),"")</f>
        <v/>
      </c>
      <c r="N120">
        <f>IFERROR(IF(MAXIFS(Documents!$E$2:$E$619,Documents!$A$2:$A$619,$A120,Documents!$C$2:$C$619,"villa_plans")=0,"",MAXIFS(Documents!$E$2:$E$619,Documents!$A$2:$A$619,$A120,Documents!$C$2:$C$619,"villa_plans")),"")</f>
        <v/>
      </c>
      <c r="O120">
        <f>IFERROR(IF(MAXIFS(Documents!$E$2:$E$619,Documents!$A$2:$A$619,$A120,Documents!$C$2:$C$619,"all_inclusive")=0,"",MAXIFS(Documents!$E$2:$E$619,Documents!$A$2:$A$619,$A120,Documents!$C$2:$C$619,"all_inclusive")),"")</f>
        <v/>
      </c>
      <c r="P120">
        <f>IFERROR(IF(MAXIFS(Documents!$E$2:$E$619,Documents!$A$2:$A$619,$A120,Documents!$C$2:$C$619,"sustainability")=0,"",MAXIFS(Documents!$E$2:$E$619,Documents!$A$2:$A$619,$A120,Documents!$C$2:$C$619,"sustainability")),"")</f>
        <v/>
      </c>
      <c r="Q120">
        <f>IFERROR(IF(MAXIFS(Documents!$E$2:$E$619,Documents!$A$2:$A$619,$A120,Documents!$C$2:$C$619,"calendar")=0,"",MAXIFS(Documents!$E$2:$E$619,Documents!$A$2:$A$619,$A120,Documents!$C$2:$C$619,"calendar")),"")</f>
        <v/>
      </c>
      <c r="R120">
        <f>IFERROR(IF(MAXIFS(Documents!$E$2:$E$619,Documents!$A$2:$A$619,$A120,Documents!$C$2:$C$619,"brochure")=0,"",MAXIFS(Documents!$E$2:$E$619,Documents!$A$2:$A$619,$A120,Documents!$C$2:$C$619,"brochure")),"")</f>
        <v/>
      </c>
      <c r="S120">
        <f>IFERROR(IF(MAXIFS(Documents!$E$2:$E$619,Documents!$A$2:$A$619,$A120,Documents!$C$2:$C$619,"press_kit")=0,"",MAXIFS(Documents!$E$2:$E$619,Documents!$A$2:$A$619,$A120,Documents!$C$2:$C$619,"press_kit")),"")</f>
        <v/>
      </c>
      <c r="T120">
        <f>IFERROR(IF(MAXIFS(Documents!$E$2:$E$619,Documents!$A$2:$A$619,$A120,Documents!$C$2:$C$619,"other")=0,"",MAXIFS(Documents!$E$2:$E$619,Documents!$A$2:$A$619,$A120,Documents!$C$2:$C$619,"other")),"")</f>
        <v/>
      </c>
      <c r="U120">
        <f>IFERROR(IF(MAXIFS(Documents!$E$2:$E$619,Documents!$A$2:$A$619,$A120,Documents!$C$2:$C$619,"obsolete")=0,"",MAXIFS(Documents!$E$2:$E$619,Documents!$A$2:$A$619,$A120,Documents!$C$2:$C$619,"obsolete")),"")</f>
        <v/>
      </c>
      <c r="V120">
        <f>COUNTIFS(Documents!$A$2:$A$619,$A120)</f>
        <v/>
      </c>
      <c r="W120">
        <f>COUNTIFS(Documents!$A$2:$A$619,$A120,Documents!$R$2:$R$619,"current")</f>
        <v/>
      </c>
      <c r="X120" t="inlineStr"/>
      <c r="Y120" t="inlineStr">
        <is>
          <t>factsheet, wedding, events</t>
        </is>
      </c>
      <c r="Z120" t="inlineStr">
        <is>
          <t>Lti Maafushivaru (older name)</t>
        </is>
      </c>
    </row>
    <row r="121">
      <c r="A121" t="n">
        <v>120</v>
      </c>
      <c r="B121" t="inlineStr">
        <is>
          <t>Bandos Maldives</t>
        </is>
      </c>
      <c r="C121" t="inlineStr">
        <is>
          <t>not crawled</t>
        </is>
      </c>
      <c r="D121">
        <f>IFERROR(IF(MAXIFS(Documents!$E$2:$E$619,Documents!$A$2:$A$619,$A121,Documents!$C$2:$C$619,"factsheet")=0,"",MAXIFS(Documents!$E$2:$E$619,Documents!$A$2:$A$619,$A121,Documents!$C$2:$C$619,"factsheet")),"")</f>
        <v/>
      </c>
      <c r="E121">
        <f>IFERROR(IF(MAXIFS(Documents!$E$2:$E$619,Documents!$A$2:$A$619,$A121,Documents!$C$2:$C$619,"wedding")=0,"",MAXIFS(Documents!$E$2:$E$619,Documents!$A$2:$A$619,$A121,Documents!$C$2:$C$619,"wedding")),"")</f>
        <v/>
      </c>
      <c r="F121">
        <f>IFERROR(IF(MAXIFS(Documents!$E$2:$E$619,Documents!$A$2:$A$619,$A121,Documents!$C$2:$C$619,"events")=0,"",MAXIFS(Documents!$E$2:$E$619,Documents!$A$2:$A$619,$A121,Documents!$C$2:$C$619,"events")),"")</f>
        <v/>
      </c>
      <c r="G121">
        <f>IFERROR(IF(MAXIFS(Documents!$E$2:$E$619,Documents!$A$2:$A$619,$A121,Documents!$C$2:$C$619,"map")=0,"",MAXIFS(Documents!$E$2:$E$619,Documents!$A$2:$A$619,$A121,Documents!$C$2:$C$619,"map")),"")</f>
        <v/>
      </c>
      <c r="H121">
        <f>IFERROR(IF(MAXIFS(Documents!$E$2:$E$619,Documents!$A$2:$A$619,$A121,Documents!$C$2:$C$619,"dive_map")=0,"",MAXIFS(Documents!$E$2:$E$619,Documents!$A$2:$A$619,$A121,Documents!$C$2:$C$619,"dive_map")),"")</f>
        <v/>
      </c>
      <c r="I121">
        <f>IFERROR(IF(MAXIFS(Documents!$E$2:$E$619,Documents!$A$2:$A$619,$A121,Documents!$C$2:$C$619,"spa_menu")=0,"",MAXIFS(Documents!$E$2:$E$619,Documents!$A$2:$A$619,$A121,Documents!$C$2:$C$619,"spa_menu")),"")</f>
        <v/>
      </c>
      <c r="J121">
        <f>IFERROR(IF(MAXIFS(Documents!$E$2:$E$619,Documents!$A$2:$A$619,$A121,Documents!$C$2:$C$619,"dining_menu")=0,"",MAXIFS(Documents!$E$2:$E$619,Documents!$A$2:$A$619,$A121,Documents!$C$2:$C$619,"dining_menu")),"")</f>
        <v/>
      </c>
      <c r="K121">
        <f>IFERROR(IF(MAXIFS(Documents!$E$2:$E$619,Documents!$A$2:$A$619,$A121,Documents!$C$2:$C$619,"dive_prices")=0,"",MAXIFS(Documents!$E$2:$E$619,Documents!$A$2:$A$619,$A121,Documents!$C$2:$C$619,"dive_prices")),"")</f>
        <v/>
      </c>
      <c r="L121">
        <f>IFERROR(IF(MAXIFS(Documents!$E$2:$E$619,Documents!$A$2:$A$619,$A121,Documents!$C$2:$C$619,"excursions")=0,"",MAXIFS(Documents!$E$2:$E$619,Documents!$A$2:$A$619,$A121,Documents!$C$2:$C$619,"excursions")),"")</f>
        <v/>
      </c>
      <c r="M121">
        <f>IFERROR(IF(MAXIFS(Documents!$E$2:$E$619,Documents!$A$2:$A$619,$A121,Documents!$C$2:$C$619,"kids")=0,"",MAXIFS(Documents!$E$2:$E$619,Documents!$A$2:$A$619,$A121,Documents!$C$2:$C$619,"kids")),"")</f>
        <v/>
      </c>
      <c r="N121">
        <f>IFERROR(IF(MAXIFS(Documents!$E$2:$E$619,Documents!$A$2:$A$619,$A121,Documents!$C$2:$C$619,"villa_plans")=0,"",MAXIFS(Documents!$E$2:$E$619,Documents!$A$2:$A$619,$A121,Documents!$C$2:$C$619,"villa_plans")),"")</f>
        <v/>
      </c>
      <c r="O121">
        <f>IFERROR(IF(MAXIFS(Documents!$E$2:$E$619,Documents!$A$2:$A$619,$A121,Documents!$C$2:$C$619,"all_inclusive")=0,"",MAXIFS(Documents!$E$2:$E$619,Documents!$A$2:$A$619,$A121,Documents!$C$2:$C$619,"all_inclusive")),"")</f>
        <v/>
      </c>
      <c r="P121">
        <f>IFERROR(IF(MAXIFS(Documents!$E$2:$E$619,Documents!$A$2:$A$619,$A121,Documents!$C$2:$C$619,"sustainability")=0,"",MAXIFS(Documents!$E$2:$E$619,Documents!$A$2:$A$619,$A121,Documents!$C$2:$C$619,"sustainability")),"")</f>
        <v/>
      </c>
      <c r="Q121">
        <f>IFERROR(IF(MAXIFS(Documents!$E$2:$E$619,Documents!$A$2:$A$619,$A121,Documents!$C$2:$C$619,"calendar")=0,"",MAXIFS(Documents!$E$2:$E$619,Documents!$A$2:$A$619,$A121,Documents!$C$2:$C$619,"calendar")),"")</f>
        <v/>
      </c>
      <c r="R121">
        <f>IFERROR(IF(MAXIFS(Documents!$E$2:$E$619,Documents!$A$2:$A$619,$A121,Documents!$C$2:$C$619,"brochure")=0,"",MAXIFS(Documents!$E$2:$E$619,Documents!$A$2:$A$619,$A121,Documents!$C$2:$C$619,"brochure")),"")</f>
        <v/>
      </c>
      <c r="S121">
        <f>IFERROR(IF(MAXIFS(Documents!$E$2:$E$619,Documents!$A$2:$A$619,$A121,Documents!$C$2:$C$619,"press_kit")=0,"",MAXIFS(Documents!$E$2:$E$619,Documents!$A$2:$A$619,$A121,Documents!$C$2:$C$619,"press_kit")),"")</f>
        <v/>
      </c>
      <c r="T121">
        <f>IFERROR(IF(MAXIFS(Documents!$E$2:$E$619,Documents!$A$2:$A$619,$A121,Documents!$C$2:$C$619,"other")=0,"",MAXIFS(Documents!$E$2:$E$619,Documents!$A$2:$A$619,$A121,Documents!$C$2:$C$619,"other")),"")</f>
        <v/>
      </c>
      <c r="U121">
        <f>IFERROR(IF(MAXIFS(Documents!$E$2:$E$619,Documents!$A$2:$A$619,$A121,Documents!$C$2:$C$619,"obsolete")=0,"",MAXIFS(Documents!$E$2:$E$619,Documents!$A$2:$A$619,$A121,Documents!$C$2:$C$619,"obsolete")),"")</f>
        <v/>
      </c>
      <c r="V121">
        <f>COUNTIFS(Documents!$A$2:$A$619,$A121)</f>
        <v/>
      </c>
      <c r="W121">
        <f>COUNTIFS(Documents!$A$2:$A$619,$A121,Documents!$R$2:$R$619,"current")</f>
        <v/>
      </c>
      <c r="X121">
        <f>HYPERLINK("https://www.neoscapesmaldives.com/wp-content/uploads/BM_Factsheet-2026.pdf","2026_BM_Factsheet-2026.pdf")</f>
        <v/>
      </c>
      <c r="Y121" t="inlineStr">
        <is>
          <t>wedding, events</t>
        </is>
      </c>
      <c r="Z121" t="inlineStr"/>
    </row>
    <row r="122">
      <c r="A122" t="n">
        <v>121</v>
      </c>
      <c r="B122" t="inlineStr">
        <is>
          <t>Cocoa Island</t>
        </is>
      </c>
      <c r="C122" t="inlineStr">
        <is>
          <t>not crawled</t>
        </is>
      </c>
      <c r="D122">
        <f>IFERROR(IF(MAXIFS(Documents!$E$2:$E$619,Documents!$A$2:$A$619,$A122,Documents!$C$2:$C$619,"factsheet")=0,"",MAXIFS(Documents!$E$2:$E$619,Documents!$A$2:$A$619,$A122,Documents!$C$2:$C$619,"factsheet")),"")</f>
        <v/>
      </c>
      <c r="E122">
        <f>IFERROR(IF(MAXIFS(Documents!$E$2:$E$619,Documents!$A$2:$A$619,$A122,Documents!$C$2:$C$619,"wedding")=0,"",MAXIFS(Documents!$E$2:$E$619,Documents!$A$2:$A$619,$A122,Documents!$C$2:$C$619,"wedding")),"")</f>
        <v/>
      </c>
      <c r="F122">
        <f>IFERROR(IF(MAXIFS(Documents!$E$2:$E$619,Documents!$A$2:$A$619,$A122,Documents!$C$2:$C$619,"events")=0,"",MAXIFS(Documents!$E$2:$E$619,Documents!$A$2:$A$619,$A122,Documents!$C$2:$C$619,"events")),"")</f>
        <v/>
      </c>
      <c r="G122">
        <f>IFERROR(IF(MAXIFS(Documents!$E$2:$E$619,Documents!$A$2:$A$619,$A122,Documents!$C$2:$C$619,"map")=0,"",MAXIFS(Documents!$E$2:$E$619,Documents!$A$2:$A$619,$A122,Documents!$C$2:$C$619,"map")),"")</f>
        <v/>
      </c>
      <c r="H122">
        <f>IFERROR(IF(MAXIFS(Documents!$E$2:$E$619,Documents!$A$2:$A$619,$A122,Documents!$C$2:$C$619,"dive_map")=0,"",MAXIFS(Documents!$E$2:$E$619,Documents!$A$2:$A$619,$A122,Documents!$C$2:$C$619,"dive_map")),"")</f>
        <v/>
      </c>
      <c r="I122">
        <f>IFERROR(IF(MAXIFS(Documents!$E$2:$E$619,Documents!$A$2:$A$619,$A122,Documents!$C$2:$C$619,"spa_menu")=0,"",MAXIFS(Documents!$E$2:$E$619,Documents!$A$2:$A$619,$A122,Documents!$C$2:$C$619,"spa_menu")),"")</f>
        <v/>
      </c>
      <c r="J122">
        <f>IFERROR(IF(MAXIFS(Documents!$E$2:$E$619,Documents!$A$2:$A$619,$A122,Documents!$C$2:$C$619,"dining_menu")=0,"",MAXIFS(Documents!$E$2:$E$619,Documents!$A$2:$A$619,$A122,Documents!$C$2:$C$619,"dining_menu")),"")</f>
        <v/>
      </c>
      <c r="K122">
        <f>IFERROR(IF(MAXIFS(Documents!$E$2:$E$619,Documents!$A$2:$A$619,$A122,Documents!$C$2:$C$619,"dive_prices")=0,"",MAXIFS(Documents!$E$2:$E$619,Documents!$A$2:$A$619,$A122,Documents!$C$2:$C$619,"dive_prices")),"")</f>
        <v/>
      </c>
      <c r="L122">
        <f>IFERROR(IF(MAXIFS(Documents!$E$2:$E$619,Documents!$A$2:$A$619,$A122,Documents!$C$2:$C$619,"excursions")=0,"",MAXIFS(Documents!$E$2:$E$619,Documents!$A$2:$A$619,$A122,Documents!$C$2:$C$619,"excursions")),"")</f>
        <v/>
      </c>
      <c r="M122">
        <f>IFERROR(IF(MAXIFS(Documents!$E$2:$E$619,Documents!$A$2:$A$619,$A122,Documents!$C$2:$C$619,"kids")=0,"",MAXIFS(Documents!$E$2:$E$619,Documents!$A$2:$A$619,$A122,Documents!$C$2:$C$619,"kids")),"")</f>
        <v/>
      </c>
      <c r="N122">
        <f>IFERROR(IF(MAXIFS(Documents!$E$2:$E$619,Documents!$A$2:$A$619,$A122,Documents!$C$2:$C$619,"villa_plans")=0,"",MAXIFS(Documents!$E$2:$E$619,Documents!$A$2:$A$619,$A122,Documents!$C$2:$C$619,"villa_plans")),"")</f>
        <v/>
      </c>
      <c r="O122">
        <f>IFERROR(IF(MAXIFS(Documents!$E$2:$E$619,Documents!$A$2:$A$619,$A122,Documents!$C$2:$C$619,"all_inclusive")=0,"",MAXIFS(Documents!$E$2:$E$619,Documents!$A$2:$A$619,$A122,Documents!$C$2:$C$619,"all_inclusive")),"")</f>
        <v/>
      </c>
      <c r="P122">
        <f>IFERROR(IF(MAXIFS(Documents!$E$2:$E$619,Documents!$A$2:$A$619,$A122,Documents!$C$2:$C$619,"sustainability")=0,"",MAXIFS(Documents!$E$2:$E$619,Documents!$A$2:$A$619,$A122,Documents!$C$2:$C$619,"sustainability")),"")</f>
        <v/>
      </c>
      <c r="Q122">
        <f>IFERROR(IF(MAXIFS(Documents!$E$2:$E$619,Documents!$A$2:$A$619,$A122,Documents!$C$2:$C$619,"calendar")=0,"",MAXIFS(Documents!$E$2:$E$619,Documents!$A$2:$A$619,$A122,Documents!$C$2:$C$619,"calendar")),"")</f>
        <v/>
      </c>
      <c r="R122">
        <f>IFERROR(IF(MAXIFS(Documents!$E$2:$E$619,Documents!$A$2:$A$619,$A122,Documents!$C$2:$C$619,"brochure")=0,"",MAXIFS(Documents!$E$2:$E$619,Documents!$A$2:$A$619,$A122,Documents!$C$2:$C$619,"brochure")),"")</f>
        <v/>
      </c>
      <c r="S122">
        <f>IFERROR(IF(MAXIFS(Documents!$E$2:$E$619,Documents!$A$2:$A$619,$A122,Documents!$C$2:$C$619,"press_kit")=0,"",MAXIFS(Documents!$E$2:$E$619,Documents!$A$2:$A$619,$A122,Documents!$C$2:$C$619,"press_kit")),"")</f>
        <v/>
      </c>
      <c r="T122">
        <f>IFERROR(IF(MAXIFS(Documents!$E$2:$E$619,Documents!$A$2:$A$619,$A122,Documents!$C$2:$C$619,"other")=0,"",MAXIFS(Documents!$E$2:$E$619,Documents!$A$2:$A$619,$A122,Documents!$C$2:$C$619,"other")),"")</f>
        <v/>
      </c>
      <c r="U122">
        <f>IFERROR(IF(MAXIFS(Documents!$E$2:$E$619,Documents!$A$2:$A$619,$A122,Documents!$C$2:$C$619,"obsolete")=0,"",MAXIFS(Documents!$E$2:$E$619,Documents!$A$2:$A$619,$A122,Documents!$C$2:$C$619,"obsolete")),"")</f>
        <v/>
      </c>
      <c r="V122">
        <f>COUNTIFS(Documents!$A$2:$A$619,$A122)</f>
        <v/>
      </c>
      <c r="W122">
        <f>COUNTIFS(Documents!$A$2:$A$619,$A122,Documents!$R$2:$R$619,"current")</f>
        <v/>
      </c>
      <c r="X122">
        <f>HYPERLINK("https://neoscapesmaldives.com/wp-content/uploads/COMO-Cocoa-Island-Fact-Sheet-2019.pdf","2019_COMO-Cocoa-Island-Fact-Sheet-2019.p")</f>
        <v/>
      </c>
      <c r="Y122" t="inlineStr">
        <is>
          <t>wedding, events</t>
        </is>
      </c>
      <c r="Z122" t="inlineStr"/>
    </row>
    <row r="123">
      <c r="A123" t="n">
        <v>122</v>
      </c>
      <c r="B123" t="inlineStr">
        <is>
          <t>Avani + Fares Maldives</t>
        </is>
      </c>
      <c r="C123" t="inlineStr">
        <is>
          <t>not crawled</t>
        </is>
      </c>
      <c r="D123">
        <f>IFERROR(IF(MAXIFS(Documents!$E$2:$E$619,Documents!$A$2:$A$619,$A123,Documents!$C$2:$C$619,"factsheet")=0,"",MAXIFS(Documents!$E$2:$E$619,Documents!$A$2:$A$619,$A123,Documents!$C$2:$C$619,"factsheet")),"")</f>
        <v/>
      </c>
      <c r="E123">
        <f>IFERROR(IF(MAXIFS(Documents!$E$2:$E$619,Documents!$A$2:$A$619,$A123,Documents!$C$2:$C$619,"wedding")=0,"",MAXIFS(Documents!$E$2:$E$619,Documents!$A$2:$A$619,$A123,Documents!$C$2:$C$619,"wedding")),"")</f>
        <v/>
      </c>
      <c r="F123">
        <f>IFERROR(IF(MAXIFS(Documents!$E$2:$E$619,Documents!$A$2:$A$619,$A123,Documents!$C$2:$C$619,"events")=0,"",MAXIFS(Documents!$E$2:$E$619,Documents!$A$2:$A$619,$A123,Documents!$C$2:$C$619,"events")),"")</f>
        <v/>
      </c>
      <c r="G123">
        <f>IFERROR(IF(MAXIFS(Documents!$E$2:$E$619,Documents!$A$2:$A$619,$A123,Documents!$C$2:$C$619,"map")=0,"",MAXIFS(Documents!$E$2:$E$619,Documents!$A$2:$A$619,$A123,Documents!$C$2:$C$619,"map")),"")</f>
        <v/>
      </c>
      <c r="H123">
        <f>IFERROR(IF(MAXIFS(Documents!$E$2:$E$619,Documents!$A$2:$A$619,$A123,Documents!$C$2:$C$619,"dive_map")=0,"",MAXIFS(Documents!$E$2:$E$619,Documents!$A$2:$A$619,$A123,Documents!$C$2:$C$619,"dive_map")),"")</f>
        <v/>
      </c>
      <c r="I123">
        <f>IFERROR(IF(MAXIFS(Documents!$E$2:$E$619,Documents!$A$2:$A$619,$A123,Documents!$C$2:$C$619,"spa_menu")=0,"",MAXIFS(Documents!$E$2:$E$619,Documents!$A$2:$A$619,$A123,Documents!$C$2:$C$619,"spa_menu")),"")</f>
        <v/>
      </c>
      <c r="J123">
        <f>IFERROR(IF(MAXIFS(Documents!$E$2:$E$619,Documents!$A$2:$A$619,$A123,Documents!$C$2:$C$619,"dining_menu")=0,"",MAXIFS(Documents!$E$2:$E$619,Documents!$A$2:$A$619,$A123,Documents!$C$2:$C$619,"dining_menu")),"")</f>
        <v/>
      </c>
      <c r="K123">
        <f>IFERROR(IF(MAXIFS(Documents!$E$2:$E$619,Documents!$A$2:$A$619,$A123,Documents!$C$2:$C$619,"dive_prices")=0,"",MAXIFS(Documents!$E$2:$E$619,Documents!$A$2:$A$619,$A123,Documents!$C$2:$C$619,"dive_prices")),"")</f>
        <v/>
      </c>
      <c r="L123">
        <f>IFERROR(IF(MAXIFS(Documents!$E$2:$E$619,Documents!$A$2:$A$619,$A123,Documents!$C$2:$C$619,"excursions")=0,"",MAXIFS(Documents!$E$2:$E$619,Documents!$A$2:$A$619,$A123,Documents!$C$2:$C$619,"excursions")),"")</f>
        <v/>
      </c>
      <c r="M123">
        <f>IFERROR(IF(MAXIFS(Documents!$E$2:$E$619,Documents!$A$2:$A$619,$A123,Documents!$C$2:$C$619,"kids")=0,"",MAXIFS(Documents!$E$2:$E$619,Documents!$A$2:$A$619,$A123,Documents!$C$2:$C$619,"kids")),"")</f>
        <v/>
      </c>
      <c r="N123">
        <f>IFERROR(IF(MAXIFS(Documents!$E$2:$E$619,Documents!$A$2:$A$619,$A123,Documents!$C$2:$C$619,"villa_plans")=0,"",MAXIFS(Documents!$E$2:$E$619,Documents!$A$2:$A$619,$A123,Documents!$C$2:$C$619,"villa_plans")),"")</f>
        <v/>
      </c>
      <c r="O123">
        <f>IFERROR(IF(MAXIFS(Documents!$E$2:$E$619,Documents!$A$2:$A$619,$A123,Documents!$C$2:$C$619,"all_inclusive")=0,"",MAXIFS(Documents!$E$2:$E$619,Documents!$A$2:$A$619,$A123,Documents!$C$2:$C$619,"all_inclusive")),"")</f>
        <v/>
      </c>
      <c r="P123">
        <f>IFERROR(IF(MAXIFS(Documents!$E$2:$E$619,Documents!$A$2:$A$619,$A123,Documents!$C$2:$C$619,"sustainability")=0,"",MAXIFS(Documents!$E$2:$E$619,Documents!$A$2:$A$619,$A123,Documents!$C$2:$C$619,"sustainability")),"")</f>
        <v/>
      </c>
      <c r="Q123">
        <f>IFERROR(IF(MAXIFS(Documents!$E$2:$E$619,Documents!$A$2:$A$619,$A123,Documents!$C$2:$C$619,"calendar")=0,"",MAXIFS(Documents!$E$2:$E$619,Documents!$A$2:$A$619,$A123,Documents!$C$2:$C$619,"calendar")),"")</f>
        <v/>
      </c>
      <c r="R123">
        <f>IFERROR(IF(MAXIFS(Documents!$E$2:$E$619,Documents!$A$2:$A$619,$A123,Documents!$C$2:$C$619,"brochure")=0,"",MAXIFS(Documents!$E$2:$E$619,Documents!$A$2:$A$619,$A123,Documents!$C$2:$C$619,"brochure")),"")</f>
        <v/>
      </c>
      <c r="S123">
        <f>IFERROR(IF(MAXIFS(Documents!$E$2:$E$619,Documents!$A$2:$A$619,$A123,Documents!$C$2:$C$619,"press_kit")=0,"",MAXIFS(Documents!$E$2:$E$619,Documents!$A$2:$A$619,$A123,Documents!$C$2:$C$619,"press_kit")),"")</f>
        <v/>
      </c>
      <c r="T123">
        <f>IFERROR(IF(MAXIFS(Documents!$E$2:$E$619,Documents!$A$2:$A$619,$A123,Documents!$C$2:$C$619,"other")=0,"",MAXIFS(Documents!$E$2:$E$619,Documents!$A$2:$A$619,$A123,Documents!$C$2:$C$619,"other")),"")</f>
        <v/>
      </c>
      <c r="U123">
        <f>IFERROR(IF(MAXIFS(Documents!$E$2:$E$619,Documents!$A$2:$A$619,$A123,Documents!$C$2:$C$619,"obsolete")=0,"",MAXIFS(Documents!$E$2:$E$619,Documents!$A$2:$A$619,$A123,Documents!$C$2:$C$619,"obsolete")),"")</f>
        <v/>
      </c>
      <c r="V123">
        <f>COUNTIFS(Documents!$A$2:$A$619,$A123)</f>
        <v/>
      </c>
      <c r="W123">
        <f>COUNTIFS(Documents!$A$2:$A$619,$A123,Documents!$R$2:$R$619,"current")</f>
        <v/>
      </c>
      <c r="X123" t="inlineStr"/>
      <c r="Y123" t="inlineStr">
        <is>
          <t>factsheet, wedding, events</t>
        </is>
      </c>
      <c r="Z123" t="inlineStr"/>
    </row>
    <row r="124">
      <c r="A124" t="n">
        <v>123</v>
      </c>
      <c r="B124" t="inlineStr">
        <is>
          <t>Pullman Maldives Maamutaa Resort</t>
        </is>
      </c>
      <c r="C124" t="inlineStr">
        <is>
          <t>not crawled</t>
        </is>
      </c>
      <c r="D124">
        <f>IFERROR(IF(MAXIFS(Documents!$E$2:$E$619,Documents!$A$2:$A$619,$A124,Documents!$C$2:$C$619,"factsheet")=0,"",MAXIFS(Documents!$E$2:$E$619,Documents!$A$2:$A$619,$A124,Documents!$C$2:$C$619,"factsheet")),"")</f>
        <v/>
      </c>
      <c r="E124">
        <f>IFERROR(IF(MAXIFS(Documents!$E$2:$E$619,Documents!$A$2:$A$619,$A124,Documents!$C$2:$C$619,"wedding")=0,"",MAXIFS(Documents!$E$2:$E$619,Documents!$A$2:$A$619,$A124,Documents!$C$2:$C$619,"wedding")),"")</f>
        <v/>
      </c>
      <c r="F124">
        <f>IFERROR(IF(MAXIFS(Documents!$E$2:$E$619,Documents!$A$2:$A$619,$A124,Documents!$C$2:$C$619,"events")=0,"",MAXIFS(Documents!$E$2:$E$619,Documents!$A$2:$A$619,$A124,Documents!$C$2:$C$619,"events")),"")</f>
        <v/>
      </c>
      <c r="G124">
        <f>IFERROR(IF(MAXIFS(Documents!$E$2:$E$619,Documents!$A$2:$A$619,$A124,Documents!$C$2:$C$619,"map")=0,"",MAXIFS(Documents!$E$2:$E$619,Documents!$A$2:$A$619,$A124,Documents!$C$2:$C$619,"map")),"")</f>
        <v/>
      </c>
      <c r="H124">
        <f>IFERROR(IF(MAXIFS(Documents!$E$2:$E$619,Documents!$A$2:$A$619,$A124,Documents!$C$2:$C$619,"dive_map")=0,"",MAXIFS(Documents!$E$2:$E$619,Documents!$A$2:$A$619,$A124,Documents!$C$2:$C$619,"dive_map")),"")</f>
        <v/>
      </c>
      <c r="I124">
        <f>IFERROR(IF(MAXIFS(Documents!$E$2:$E$619,Documents!$A$2:$A$619,$A124,Documents!$C$2:$C$619,"spa_menu")=0,"",MAXIFS(Documents!$E$2:$E$619,Documents!$A$2:$A$619,$A124,Documents!$C$2:$C$619,"spa_menu")),"")</f>
        <v/>
      </c>
      <c r="J124">
        <f>IFERROR(IF(MAXIFS(Documents!$E$2:$E$619,Documents!$A$2:$A$619,$A124,Documents!$C$2:$C$619,"dining_menu")=0,"",MAXIFS(Documents!$E$2:$E$619,Documents!$A$2:$A$619,$A124,Documents!$C$2:$C$619,"dining_menu")),"")</f>
        <v/>
      </c>
      <c r="K124">
        <f>IFERROR(IF(MAXIFS(Documents!$E$2:$E$619,Documents!$A$2:$A$619,$A124,Documents!$C$2:$C$619,"dive_prices")=0,"",MAXIFS(Documents!$E$2:$E$619,Documents!$A$2:$A$619,$A124,Documents!$C$2:$C$619,"dive_prices")),"")</f>
        <v/>
      </c>
      <c r="L124">
        <f>IFERROR(IF(MAXIFS(Documents!$E$2:$E$619,Documents!$A$2:$A$619,$A124,Documents!$C$2:$C$619,"excursions")=0,"",MAXIFS(Documents!$E$2:$E$619,Documents!$A$2:$A$619,$A124,Documents!$C$2:$C$619,"excursions")),"")</f>
        <v/>
      </c>
      <c r="M124">
        <f>IFERROR(IF(MAXIFS(Documents!$E$2:$E$619,Documents!$A$2:$A$619,$A124,Documents!$C$2:$C$619,"kids")=0,"",MAXIFS(Documents!$E$2:$E$619,Documents!$A$2:$A$619,$A124,Documents!$C$2:$C$619,"kids")),"")</f>
        <v/>
      </c>
      <c r="N124">
        <f>IFERROR(IF(MAXIFS(Documents!$E$2:$E$619,Documents!$A$2:$A$619,$A124,Documents!$C$2:$C$619,"villa_plans")=0,"",MAXIFS(Documents!$E$2:$E$619,Documents!$A$2:$A$619,$A124,Documents!$C$2:$C$619,"villa_plans")),"")</f>
        <v/>
      </c>
      <c r="O124">
        <f>IFERROR(IF(MAXIFS(Documents!$E$2:$E$619,Documents!$A$2:$A$619,$A124,Documents!$C$2:$C$619,"all_inclusive")=0,"",MAXIFS(Documents!$E$2:$E$619,Documents!$A$2:$A$619,$A124,Documents!$C$2:$C$619,"all_inclusive")),"")</f>
        <v/>
      </c>
      <c r="P124">
        <f>IFERROR(IF(MAXIFS(Documents!$E$2:$E$619,Documents!$A$2:$A$619,$A124,Documents!$C$2:$C$619,"sustainability")=0,"",MAXIFS(Documents!$E$2:$E$619,Documents!$A$2:$A$619,$A124,Documents!$C$2:$C$619,"sustainability")),"")</f>
        <v/>
      </c>
      <c r="Q124">
        <f>IFERROR(IF(MAXIFS(Documents!$E$2:$E$619,Documents!$A$2:$A$619,$A124,Documents!$C$2:$C$619,"calendar")=0,"",MAXIFS(Documents!$E$2:$E$619,Documents!$A$2:$A$619,$A124,Documents!$C$2:$C$619,"calendar")),"")</f>
        <v/>
      </c>
      <c r="R124">
        <f>IFERROR(IF(MAXIFS(Documents!$E$2:$E$619,Documents!$A$2:$A$619,$A124,Documents!$C$2:$C$619,"brochure")=0,"",MAXIFS(Documents!$E$2:$E$619,Documents!$A$2:$A$619,$A124,Documents!$C$2:$C$619,"brochure")),"")</f>
        <v/>
      </c>
      <c r="S124">
        <f>IFERROR(IF(MAXIFS(Documents!$E$2:$E$619,Documents!$A$2:$A$619,$A124,Documents!$C$2:$C$619,"press_kit")=0,"",MAXIFS(Documents!$E$2:$E$619,Documents!$A$2:$A$619,$A124,Documents!$C$2:$C$619,"press_kit")),"")</f>
        <v/>
      </c>
      <c r="T124">
        <f>IFERROR(IF(MAXIFS(Documents!$E$2:$E$619,Documents!$A$2:$A$619,$A124,Documents!$C$2:$C$619,"other")=0,"",MAXIFS(Documents!$E$2:$E$619,Documents!$A$2:$A$619,$A124,Documents!$C$2:$C$619,"other")),"")</f>
        <v/>
      </c>
      <c r="U124">
        <f>IFERROR(IF(MAXIFS(Documents!$E$2:$E$619,Documents!$A$2:$A$619,$A124,Documents!$C$2:$C$619,"obsolete")=0,"",MAXIFS(Documents!$E$2:$E$619,Documents!$A$2:$A$619,$A124,Documents!$C$2:$C$619,"obsolete")),"")</f>
        <v/>
      </c>
      <c r="V124">
        <f>COUNTIFS(Documents!$A$2:$A$619,$A124)</f>
        <v/>
      </c>
      <c r="W124">
        <f>COUNTIFS(Documents!$A$2:$A$619,$A124,Documents!$R$2:$R$619,"current")</f>
        <v/>
      </c>
      <c r="X124" t="inlineStr"/>
      <c r="Y124" t="inlineStr">
        <is>
          <t>factsheet, wedding, events</t>
        </is>
      </c>
      <c r="Z124" t="inlineStr"/>
    </row>
    <row r="125">
      <c r="A125" t="n">
        <v>124</v>
      </c>
      <c r="B125" t="inlineStr">
        <is>
          <t>Aanugandu Island Resort</t>
        </is>
      </c>
      <c r="C125" t="inlineStr">
        <is>
          <t>not crawled</t>
        </is>
      </c>
      <c r="D125">
        <f>IFERROR(IF(MAXIFS(Documents!$E$2:$E$619,Documents!$A$2:$A$619,$A125,Documents!$C$2:$C$619,"factsheet")=0,"",MAXIFS(Documents!$E$2:$E$619,Documents!$A$2:$A$619,$A125,Documents!$C$2:$C$619,"factsheet")),"")</f>
        <v/>
      </c>
      <c r="E125">
        <f>IFERROR(IF(MAXIFS(Documents!$E$2:$E$619,Documents!$A$2:$A$619,$A125,Documents!$C$2:$C$619,"wedding")=0,"",MAXIFS(Documents!$E$2:$E$619,Documents!$A$2:$A$619,$A125,Documents!$C$2:$C$619,"wedding")),"")</f>
        <v/>
      </c>
      <c r="F125">
        <f>IFERROR(IF(MAXIFS(Documents!$E$2:$E$619,Documents!$A$2:$A$619,$A125,Documents!$C$2:$C$619,"events")=0,"",MAXIFS(Documents!$E$2:$E$619,Documents!$A$2:$A$619,$A125,Documents!$C$2:$C$619,"events")),"")</f>
        <v/>
      </c>
      <c r="G125">
        <f>IFERROR(IF(MAXIFS(Documents!$E$2:$E$619,Documents!$A$2:$A$619,$A125,Documents!$C$2:$C$619,"map")=0,"",MAXIFS(Documents!$E$2:$E$619,Documents!$A$2:$A$619,$A125,Documents!$C$2:$C$619,"map")),"")</f>
        <v/>
      </c>
      <c r="H125">
        <f>IFERROR(IF(MAXIFS(Documents!$E$2:$E$619,Documents!$A$2:$A$619,$A125,Documents!$C$2:$C$619,"dive_map")=0,"",MAXIFS(Documents!$E$2:$E$619,Documents!$A$2:$A$619,$A125,Documents!$C$2:$C$619,"dive_map")),"")</f>
        <v/>
      </c>
      <c r="I125">
        <f>IFERROR(IF(MAXIFS(Documents!$E$2:$E$619,Documents!$A$2:$A$619,$A125,Documents!$C$2:$C$619,"spa_menu")=0,"",MAXIFS(Documents!$E$2:$E$619,Documents!$A$2:$A$619,$A125,Documents!$C$2:$C$619,"spa_menu")),"")</f>
        <v/>
      </c>
      <c r="J125">
        <f>IFERROR(IF(MAXIFS(Documents!$E$2:$E$619,Documents!$A$2:$A$619,$A125,Documents!$C$2:$C$619,"dining_menu")=0,"",MAXIFS(Documents!$E$2:$E$619,Documents!$A$2:$A$619,$A125,Documents!$C$2:$C$619,"dining_menu")),"")</f>
        <v/>
      </c>
      <c r="K125">
        <f>IFERROR(IF(MAXIFS(Documents!$E$2:$E$619,Documents!$A$2:$A$619,$A125,Documents!$C$2:$C$619,"dive_prices")=0,"",MAXIFS(Documents!$E$2:$E$619,Documents!$A$2:$A$619,$A125,Documents!$C$2:$C$619,"dive_prices")),"")</f>
        <v/>
      </c>
      <c r="L125">
        <f>IFERROR(IF(MAXIFS(Documents!$E$2:$E$619,Documents!$A$2:$A$619,$A125,Documents!$C$2:$C$619,"excursions")=0,"",MAXIFS(Documents!$E$2:$E$619,Documents!$A$2:$A$619,$A125,Documents!$C$2:$C$619,"excursions")),"")</f>
        <v/>
      </c>
      <c r="M125">
        <f>IFERROR(IF(MAXIFS(Documents!$E$2:$E$619,Documents!$A$2:$A$619,$A125,Documents!$C$2:$C$619,"kids")=0,"",MAXIFS(Documents!$E$2:$E$619,Documents!$A$2:$A$619,$A125,Documents!$C$2:$C$619,"kids")),"")</f>
        <v/>
      </c>
      <c r="N125">
        <f>IFERROR(IF(MAXIFS(Documents!$E$2:$E$619,Documents!$A$2:$A$619,$A125,Documents!$C$2:$C$619,"villa_plans")=0,"",MAXIFS(Documents!$E$2:$E$619,Documents!$A$2:$A$619,$A125,Documents!$C$2:$C$619,"villa_plans")),"")</f>
        <v/>
      </c>
      <c r="O125">
        <f>IFERROR(IF(MAXIFS(Documents!$E$2:$E$619,Documents!$A$2:$A$619,$A125,Documents!$C$2:$C$619,"all_inclusive")=0,"",MAXIFS(Documents!$E$2:$E$619,Documents!$A$2:$A$619,$A125,Documents!$C$2:$C$619,"all_inclusive")),"")</f>
        <v/>
      </c>
      <c r="P125">
        <f>IFERROR(IF(MAXIFS(Documents!$E$2:$E$619,Documents!$A$2:$A$619,$A125,Documents!$C$2:$C$619,"sustainability")=0,"",MAXIFS(Documents!$E$2:$E$619,Documents!$A$2:$A$619,$A125,Documents!$C$2:$C$619,"sustainability")),"")</f>
        <v/>
      </c>
      <c r="Q125">
        <f>IFERROR(IF(MAXIFS(Documents!$E$2:$E$619,Documents!$A$2:$A$619,$A125,Documents!$C$2:$C$619,"calendar")=0,"",MAXIFS(Documents!$E$2:$E$619,Documents!$A$2:$A$619,$A125,Documents!$C$2:$C$619,"calendar")),"")</f>
        <v/>
      </c>
      <c r="R125">
        <f>IFERROR(IF(MAXIFS(Documents!$E$2:$E$619,Documents!$A$2:$A$619,$A125,Documents!$C$2:$C$619,"brochure")=0,"",MAXIFS(Documents!$E$2:$E$619,Documents!$A$2:$A$619,$A125,Documents!$C$2:$C$619,"brochure")),"")</f>
        <v/>
      </c>
      <c r="S125">
        <f>IFERROR(IF(MAXIFS(Documents!$E$2:$E$619,Documents!$A$2:$A$619,$A125,Documents!$C$2:$C$619,"press_kit")=0,"",MAXIFS(Documents!$E$2:$E$619,Documents!$A$2:$A$619,$A125,Documents!$C$2:$C$619,"press_kit")),"")</f>
        <v/>
      </c>
      <c r="T125">
        <f>IFERROR(IF(MAXIFS(Documents!$E$2:$E$619,Documents!$A$2:$A$619,$A125,Documents!$C$2:$C$619,"other")=0,"",MAXIFS(Documents!$E$2:$E$619,Documents!$A$2:$A$619,$A125,Documents!$C$2:$C$619,"other")),"")</f>
        <v/>
      </c>
      <c r="U125">
        <f>IFERROR(IF(MAXIFS(Documents!$E$2:$E$619,Documents!$A$2:$A$619,$A125,Documents!$C$2:$C$619,"obsolete")=0,"",MAXIFS(Documents!$E$2:$E$619,Documents!$A$2:$A$619,$A125,Documents!$C$2:$C$619,"obsolete")),"")</f>
        <v/>
      </c>
      <c r="V125">
        <f>COUNTIFS(Documents!$A$2:$A$619,$A125)</f>
        <v/>
      </c>
      <c r="W125">
        <f>COUNTIFS(Documents!$A$2:$A$619,$A125,Documents!$R$2:$R$619,"current")</f>
        <v/>
      </c>
      <c r="X125" t="inlineStr"/>
      <c r="Y125" t="inlineStr">
        <is>
          <t>factsheet, wedding, events</t>
        </is>
      </c>
      <c r="Z125" t="inlineStr"/>
    </row>
    <row r="126">
      <c r="A126" t="n">
        <v>125</v>
      </c>
      <c r="B126" t="inlineStr">
        <is>
          <t>Gili Lankanfushi</t>
        </is>
      </c>
      <c r="C126" t="inlineStr">
        <is>
          <t>not crawled</t>
        </is>
      </c>
      <c r="D126">
        <f>IFERROR(IF(MAXIFS(Documents!$E$2:$E$619,Documents!$A$2:$A$619,$A126,Documents!$C$2:$C$619,"factsheet")=0,"",MAXIFS(Documents!$E$2:$E$619,Documents!$A$2:$A$619,$A126,Documents!$C$2:$C$619,"factsheet")),"")</f>
        <v/>
      </c>
      <c r="E126">
        <f>IFERROR(IF(MAXIFS(Documents!$E$2:$E$619,Documents!$A$2:$A$619,$A126,Documents!$C$2:$C$619,"wedding")=0,"",MAXIFS(Documents!$E$2:$E$619,Documents!$A$2:$A$619,$A126,Documents!$C$2:$C$619,"wedding")),"")</f>
        <v/>
      </c>
      <c r="F126">
        <f>IFERROR(IF(MAXIFS(Documents!$E$2:$E$619,Documents!$A$2:$A$619,$A126,Documents!$C$2:$C$619,"events")=0,"",MAXIFS(Documents!$E$2:$E$619,Documents!$A$2:$A$619,$A126,Documents!$C$2:$C$619,"events")),"")</f>
        <v/>
      </c>
      <c r="G126">
        <f>IFERROR(IF(MAXIFS(Documents!$E$2:$E$619,Documents!$A$2:$A$619,$A126,Documents!$C$2:$C$619,"map")=0,"",MAXIFS(Documents!$E$2:$E$619,Documents!$A$2:$A$619,$A126,Documents!$C$2:$C$619,"map")),"")</f>
        <v/>
      </c>
      <c r="H126">
        <f>IFERROR(IF(MAXIFS(Documents!$E$2:$E$619,Documents!$A$2:$A$619,$A126,Documents!$C$2:$C$619,"dive_map")=0,"",MAXIFS(Documents!$E$2:$E$619,Documents!$A$2:$A$619,$A126,Documents!$C$2:$C$619,"dive_map")),"")</f>
        <v/>
      </c>
      <c r="I126">
        <f>IFERROR(IF(MAXIFS(Documents!$E$2:$E$619,Documents!$A$2:$A$619,$A126,Documents!$C$2:$C$619,"spa_menu")=0,"",MAXIFS(Documents!$E$2:$E$619,Documents!$A$2:$A$619,$A126,Documents!$C$2:$C$619,"spa_menu")),"")</f>
        <v/>
      </c>
      <c r="J126">
        <f>IFERROR(IF(MAXIFS(Documents!$E$2:$E$619,Documents!$A$2:$A$619,$A126,Documents!$C$2:$C$619,"dining_menu")=0,"",MAXIFS(Documents!$E$2:$E$619,Documents!$A$2:$A$619,$A126,Documents!$C$2:$C$619,"dining_menu")),"")</f>
        <v/>
      </c>
      <c r="K126">
        <f>IFERROR(IF(MAXIFS(Documents!$E$2:$E$619,Documents!$A$2:$A$619,$A126,Documents!$C$2:$C$619,"dive_prices")=0,"",MAXIFS(Documents!$E$2:$E$619,Documents!$A$2:$A$619,$A126,Documents!$C$2:$C$619,"dive_prices")),"")</f>
        <v/>
      </c>
      <c r="L126">
        <f>IFERROR(IF(MAXIFS(Documents!$E$2:$E$619,Documents!$A$2:$A$619,$A126,Documents!$C$2:$C$619,"excursions")=0,"",MAXIFS(Documents!$E$2:$E$619,Documents!$A$2:$A$619,$A126,Documents!$C$2:$C$619,"excursions")),"")</f>
        <v/>
      </c>
      <c r="M126">
        <f>IFERROR(IF(MAXIFS(Documents!$E$2:$E$619,Documents!$A$2:$A$619,$A126,Documents!$C$2:$C$619,"kids")=0,"",MAXIFS(Documents!$E$2:$E$619,Documents!$A$2:$A$619,$A126,Documents!$C$2:$C$619,"kids")),"")</f>
        <v/>
      </c>
      <c r="N126">
        <f>IFERROR(IF(MAXIFS(Documents!$E$2:$E$619,Documents!$A$2:$A$619,$A126,Documents!$C$2:$C$619,"villa_plans")=0,"",MAXIFS(Documents!$E$2:$E$619,Documents!$A$2:$A$619,$A126,Documents!$C$2:$C$619,"villa_plans")),"")</f>
        <v/>
      </c>
      <c r="O126">
        <f>IFERROR(IF(MAXIFS(Documents!$E$2:$E$619,Documents!$A$2:$A$619,$A126,Documents!$C$2:$C$619,"all_inclusive")=0,"",MAXIFS(Documents!$E$2:$E$619,Documents!$A$2:$A$619,$A126,Documents!$C$2:$C$619,"all_inclusive")),"")</f>
        <v/>
      </c>
      <c r="P126">
        <f>IFERROR(IF(MAXIFS(Documents!$E$2:$E$619,Documents!$A$2:$A$619,$A126,Documents!$C$2:$C$619,"sustainability")=0,"",MAXIFS(Documents!$E$2:$E$619,Documents!$A$2:$A$619,$A126,Documents!$C$2:$C$619,"sustainability")),"")</f>
        <v/>
      </c>
      <c r="Q126">
        <f>IFERROR(IF(MAXIFS(Documents!$E$2:$E$619,Documents!$A$2:$A$619,$A126,Documents!$C$2:$C$619,"calendar")=0,"",MAXIFS(Documents!$E$2:$E$619,Documents!$A$2:$A$619,$A126,Documents!$C$2:$C$619,"calendar")),"")</f>
        <v/>
      </c>
      <c r="R126">
        <f>IFERROR(IF(MAXIFS(Documents!$E$2:$E$619,Documents!$A$2:$A$619,$A126,Documents!$C$2:$C$619,"brochure")=0,"",MAXIFS(Documents!$E$2:$E$619,Documents!$A$2:$A$619,$A126,Documents!$C$2:$C$619,"brochure")),"")</f>
        <v/>
      </c>
      <c r="S126">
        <f>IFERROR(IF(MAXIFS(Documents!$E$2:$E$619,Documents!$A$2:$A$619,$A126,Documents!$C$2:$C$619,"press_kit")=0,"",MAXIFS(Documents!$E$2:$E$619,Documents!$A$2:$A$619,$A126,Documents!$C$2:$C$619,"press_kit")),"")</f>
        <v/>
      </c>
      <c r="T126">
        <f>IFERROR(IF(MAXIFS(Documents!$E$2:$E$619,Documents!$A$2:$A$619,$A126,Documents!$C$2:$C$619,"other")=0,"",MAXIFS(Documents!$E$2:$E$619,Documents!$A$2:$A$619,$A126,Documents!$C$2:$C$619,"other")),"")</f>
        <v/>
      </c>
      <c r="U126">
        <f>IFERROR(IF(MAXIFS(Documents!$E$2:$E$619,Documents!$A$2:$A$619,$A126,Documents!$C$2:$C$619,"obsolete")=0,"",MAXIFS(Documents!$E$2:$E$619,Documents!$A$2:$A$619,$A126,Documents!$C$2:$C$619,"obsolete")),"")</f>
        <v/>
      </c>
      <c r="V126">
        <f>COUNTIFS(Documents!$A$2:$A$619,$A126)</f>
        <v/>
      </c>
      <c r="W126">
        <f>COUNTIFS(Documents!$A$2:$A$619,$A126,Documents!$R$2:$R$619,"current")</f>
        <v/>
      </c>
      <c r="X126" t="inlineStr"/>
      <c r="Y126" t="inlineStr">
        <is>
          <t>factsheet, wedding, events</t>
        </is>
      </c>
      <c r="Z126" t="inlineStr"/>
    </row>
    <row r="127">
      <c r="A127" t="n">
        <v>126</v>
      </c>
      <c r="B127" t="inlineStr">
        <is>
          <t>Centara Grand Island Resort &amp; Spa Maldives</t>
        </is>
      </c>
      <c r="C127" t="inlineStr">
        <is>
          <t>not crawled</t>
        </is>
      </c>
      <c r="D127">
        <f>IFERROR(IF(MAXIFS(Documents!$E$2:$E$619,Documents!$A$2:$A$619,$A127,Documents!$C$2:$C$619,"factsheet")=0,"",MAXIFS(Documents!$E$2:$E$619,Documents!$A$2:$A$619,$A127,Documents!$C$2:$C$619,"factsheet")),"")</f>
        <v/>
      </c>
      <c r="E127">
        <f>IFERROR(IF(MAXIFS(Documents!$E$2:$E$619,Documents!$A$2:$A$619,$A127,Documents!$C$2:$C$619,"wedding")=0,"",MAXIFS(Documents!$E$2:$E$619,Documents!$A$2:$A$619,$A127,Documents!$C$2:$C$619,"wedding")),"")</f>
        <v/>
      </c>
      <c r="F127">
        <f>IFERROR(IF(MAXIFS(Documents!$E$2:$E$619,Documents!$A$2:$A$619,$A127,Documents!$C$2:$C$619,"events")=0,"",MAXIFS(Documents!$E$2:$E$619,Documents!$A$2:$A$619,$A127,Documents!$C$2:$C$619,"events")),"")</f>
        <v/>
      </c>
      <c r="G127">
        <f>IFERROR(IF(MAXIFS(Documents!$E$2:$E$619,Documents!$A$2:$A$619,$A127,Documents!$C$2:$C$619,"map")=0,"",MAXIFS(Documents!$E$2:$E$619,Documents!$A$2:$A$619,$A127,Documents!$C$2:$C$619,"map")),"")</f>
        <v/>
      </c>
      <c r="H127">
        <f>IFERROR(IF(MAXIFS(Documents!$E$2:$E$619,Documents!$A$2:$A$619,$A127,Documents!$C$2:$C$619,"dive_map")=0,"",MAXIFS(Documents!$E$2:$E$619,Documents!$A$2:$A$619,$A127,Documents!$C$2:$C$619,"dive_map")),"")</f>
        <v/>
      </c>
      <c r="I127">
        <f>IFERROR(IF(MAXIFS(Documents!$E$2:$E$619,Documents!$A$2:$A$619,$A127,Documents!$C$2:$C$619,"spa_menu")=0,"",MAXIFS(Documents!$E$2:$E$619,Documents!$A$2:$A$619,$A127,Documents!$C$2:$C$619,"spa_menu")),"")</f>
        <v/>
      </c>
      <c r="J127">
        <f>IFERROR(IF(MAXIFS(Documents!$E$2:$E$619,Documents!$A$2:$A$619,$A127,Documents!$C$2:$C$619,"dining_menu")=0,"",MAXIFS(Documents!$E$2:$E$619,Documents!$A$2:$A$619,$A127,Documents!$C$2:$C$619,"dining_menu")),"")</f>
        <v/>
      </c>
      <c r="K127">
        <f>IFERROR(IF(MAXIFS(Documents!$E$2:$E$619,Documents!$A$2:$A$619,$A127,Documents!$C$2:$C$619,"dive_prices")=0,"",MAXIFS(Documents!$E$2:$E$619,Documents!$A$2:$A$619,$A127,Documents!$C$2:$C$619,"dive_prices")),"")</f>
        <v/>
      </c>
      <c r="L127">
        <f>IFERROR(IF(MAXIFS(Documents!$E$2:$E$619,Documents!$A$2:$A$619,$A127,Documents!$C$2:$C$619,"excursions")=0,"",MAXIFS(Documents!$E$2:$E$619,Documents!$A$2:$A$619,$A127,Documents!$C$2:$C$619,"excursions")),"")</f>
        <v/>
      </c>
      <c r="M127">
        <f>IFERROR(IF(MAXIFS(Documents!$E$2:$E$619,Documents!$A$2:$A$619,$A127,Documents!$C$2:$C$619,"kids")=0,"",MAXIFS(Documents!$E$2:$E$619,Documents!$A$2:$A$619,$A127,Documents!$C$2:$C$619,"kids")),"")</f>
        <v/>
      </c>
      <c r="N127">
        <f>IFERROR(IF(MAXIFS(Documents!$E$2:$E$619,Documents!$A$2:$A$619,$A127,Documents!$C$2:$C$619,"villa_plans")=0,"",MAXIFS(Documents!$E$2:$E$619,Documents!$A$2:$A$619,$A127,Documents!$C$2:$C$619,"villa_plans")),"")</f>
        <v/>
      </c>
      <c r="O127">
        <f>IFERROR(IF(MAXIFS(Documents!$E$2:$E$619,Documents!$A$2:$A$619,$A127,Documents!$C$2:$C$619,"all_inclusive")=0,"",MAXIFS(Documents!$E$2:$E$619,Documents!$A$2:$A$619,$A127,Documents!$C$2:$C$619,"all_inclusive")),"")</f>
        <v/>
      </c>
      <c r="P127">
        <f>IFERROR(IF(MAXIFS(Documents!$E$2:$E$619,Documents!$A$2:$A$619,$A127,Documents!$C$2:$C$619,"sustainability")=0,"",MAXIFS(Documents!$E$2:$E$619,Documents!$A$2:$A$619,$A127,Documents!$C$2:$C$619,"sustainability")),"")</f>
        <v/>
      </c>
      <c r="Q127">
        <f>IFERROR(IF(MAXIFS(Documents!$E$2:$E$619,Documents!$A$2:$A$619,$A127,Documents!$C$2:$C$619,"calendar")=0,"",MAXIFS(Documents!$E$2:$E$619,Documents!$A$2:$A$619,$A127,Documents!$C$2:$C$619,"calendar")),"")</f>
        <v/>
      </c>
      <c r="R127">
        <f>IFERROR(IF(MAXIFS(Documents!$E$2:$E$619,Documents!$A$2:$A$619,$A127,Documents!$C$2:$C$619,"brochure")=0,"",MAXIFS(Documents!$E$2:$E$619,Documents!$A$2:$A$619,$A127,Documents!$C$2:$C$619,"brochure")),"")</f>
        <v/>
      </c>
      <c r="S127">
        <f>IFERROR(IF(MAXIFS(Documents!$E$2:$E$619,Documents!$A$2:$A$619,$A127,Documents!$C$2:$C$619,"press_kit")=0,"",MAXIFS(Documents!$E$2:$E$619,Documents!$A$2:$A$619,$A127,Documents!$C$2:$C$619,"press_kit")),"")</f>
        <v/>
      </c>
      <c r="T127">
        <f>IFERROR(IF(MAXIFS(Documents!$E$2:$E$619,Documents!$A$2:$A$619,$A127,Documents!$C$2:$C$619,"other")=0,"",MAXIFS(Documents!$E$2:$E$619,Documents!$A$2:$A$619,$A127,Documents!$C$2:$C$619,"other")),"")</f>
        <v/>
      </c>
      <c r="U127">
        <f>IFERROR(IF(MAXIFS(Documents!$E$2:$E$619,Documents!$A$2:$A$619,$A127,Documents!$C$2:$C$619,"obsolete")=0,"",MAXIFS(Documents!$E$2:$E$619,Documents!$A$2:$A$619,$A127,Documents!$C$2:$C$619,"obsolete")),"")</f>
        <v/>
      </c>
      <c r="V127">
        <f>COUNTIFS(Documents!$A$2:$A$619,$A127)</f>
        <v/>
      </c>
      <c r="W127">
        <f>COUNTIFS(Documents!$A$2:$A$619,$A127,Documents!$R$2:$R$619,"current")</f>
        <v/>
      </c>
      <c r="X127">
        <f>HYPERLINK("https://neoscapesmaldives.com/wp-content/uploads/cirm-factsheet-en.pdf","2019_cirm-factsheet-en.pdf")</f>
        <v/>
      </c>
      <c r="Y127" t="inlineStr">
        <is>
          <t>wedding, events</t>
        </is>
      </c>
      <c r="Z127" t="inlineStr"/>
    </row>
    <row r="128">
      <c r="A128" t="n">
        <v>127</v>
      </c>
      <c r="B128" t="inlineStr">
        <is>
          <t>Oaga Art Resort</t>
        </is>
      </c>
      <c r="C128" t="inlineStr">
        <is>
          <t>not crawled</t>
        </is>
      </c>
      <c r="D128">
        <f>IFERROR(IF(MAXIFS(Documents!$E$2:$E$619,Documents!$A$2:$A$619,$A128,Documents!$C$2:$C$619,"factsheet")=0,"",MAXIFS(Documents!$E$2:$E$619,Documents!$A$2:$A$619,$A128,Documents!$C$2:$C$619,"factsheet")),"")</f>
        <v/>
      </c>
      <c r="E128">
        <f>IFERROR(IF(MAXIFS(Documents!$E$2:$E$619,Documents!$A$2:$A$619,$A128,Documents!$C$2:$C$619,"wedding")=0,"",MAXIFS(Documents!$E$2:$E$619,Documents!$A$2:$A$619,$A128,Documents!$C$2:$C$619,"wedding")),"")</f>
        <v/>
      </c>
      <c r="F128">
        <f>IFERROR(IF(MAXIFS(Documents!$E$2:$E$619,Documents!$A$2:$A$619,$A128,Documents!$C$2:$C$619,"events")=0,"",MAXIFS(Documents!$E$2:$E$619,Documents!$A$2:$A$619,$A128,Documents!$C$2:$C$619,"events")),"")</f>
        <v/>
      </c>
      <c r="G128">
        <f>IFERROR(IF(MAXIFS(Documents!$E$2:$E$619,Documents!$A$2:$A$619,$A128,Documents!$C$2:$C$619,"map")=0,"",MAXIFS(Documents!$E$2:$E$619,Documents!$A$2:$A$619,$A128,Documents!$C$2:$C$619,"map")),"")</f>
        <v/>
      </c>
      <c r="H128">
        <f>IFERROR(IF(MAXIFS(Documents!$E$2:$E$619,Documents!$A$2:$A$619,$A128,Documents!$C$2:$C$619,"dive_map")=0,"",MAXIFS(Documents!$E$2:$E$619,Documents!$A$2:$A$619,$A128,Documents!$C$2:$C$619,"dive_map")),"")</f>
        <v/>
      </c>
      <c r="I128">
        <f>IFERROR(IF(MAXIFS(Documents!$E$2:$E$619,Documents!$A$2:$A$619,$A128,Documents!$C$2:$C$619,"spa_menu")=0,"",MAXIFS(Documents!$E$2:$E$619,Documents!$A$2:$A$619,$A128,Documents!$C$2:$C$619,"spa_menu")),"")</f>
        <v/>
      </c>
      <c r="J128">
        <f>IFERROR(IF(MAXIFS(Documents!$E$2:$E$619,Documents!$A$2:$A$619,$A128,Documents!$C$2:$C$619,"dining_menu")=0,"",MAXIFS(Documents!$E$2:$E$619,Documents!$A$2:$A$619,$A128,Documents!$C$2:$C$619,"dining_menu")),"")</f>
        <v/>
      </c>
      <c r="K128">
        <f>IFERROR(IF(MAXIFS(Documents!$E$2:$E$619,Documents!$A$2:$A$619,$A128,Documents!$C$2:$C$619,"dive_prices")=0,"",MAXIFS(Documents!$E$2:$E$619,Documents!$A$2:$A$619,$A128,Documents!$C$2:$C$619,"dive_prices")),"")</f>
        <v/>
      </c>
      <c r="L128">
        <f>IFERROR(IF(MAXIFS(Documents!$E$2:$E$619,Documents!$A$2:$A$619,$A128,Documents!$C$2:$C$619,"excursions")=0,"",MAXIFS(Documents!$E$2:$E$619,Documents!$A$2:$A$619,$A128,Documents!$C$2:$C$619,"excursions")),"")</f>
        <v/>
      </c>
      <c r="M128">
        <f>IFERROR(IF(MAXIFS(Documents!$E$2:$E$619,Documents!$A$2:$A$619,$A128,Documents!$C$2:$C$619,"kids")=0,"",MAXIFS(Documents!$E$2:$E$619,Documents!$A$2:$A$619,$A128,Documents!$C$2:$C$619,"kids")),"")</f>
        <v/>
      </c>
      <c r="N128">
        <f>IFERROR(IF(MAXIFS(Documents!$E$2:$E$619,Documents!$A$2:$A$619,$A128,Documents!$C$2:$C$619,"villa_plans")=0,"",MAXIFS(Documents!$E$2:$E$619,Documents!$A$2:$A$619,$A128,Documents!$C$2:$C$619,"villa_plans")),"")</f>
        <v/>
      </c>
      <c r="O128">
        <f>IFERROR(IF(MAXIFS(Documents!$E$2:$E$619,Documents!$A$2:$A$619,$A128,Documents!$C$2:$C$619,"all_inclusive")=0,"",MAXIFS(Documents!$E$2:$E$619,Documents!$A$2:$A$619,$A128,Documents!$C$2:$C$619,"all_inclusive")),"")</f>
        <v/>
      </c>
      <c r="P128">
        <f>IFERROR(IF(MAXIFS(Documents!$E$2:$E$619,Documents!$A$2:$A$619,$A128,Documents!$C$2:$C$619,"sustainability")=0,"",MAXIFS(Documents!$E$2:$E$619,Documents!$A$2:$A$619,$A128,Documents!$C$2:$C$619,"sustainability")),"")</f>
        <v/>
      </c>
      <c r="Q128">
        <f>IFERROR(IF(MAXIFS(Documents!$E$2:$E$619,Documents!$A$2:$A$619,$A128,Documents!$C$2:$C$619,"calendar")=0,"",MAXIFS(Documents!$E$2:$E$619,Documents!$A$2:$A$619,$A128,Documents!$C$2:$C$619,"calendar")),"")</f>
        <v/>
      </c>
      <c r="R128">
        <f>IFERROR(IF(MAXIFS(Documents!$E$2:$E$619,Documents!$A$2:$A$619,$A128,Documents!$C$2:$C$619,"brochure")=0,"",MAXIFS(Documents!$E$2:$E$619,Documents!$A$2:$A$619,$A128,Documents!$C$2:$C$619,"brochure")),"")</f>
        <v/>
      </c>
      <c r="S128">
        <f>IFERROR(IF(MAXIFS(Documents!$E$2:$E$619,Documents!$A$2:$A$619,$A128,Documents!$C$2:$C$619,"press_kit")=0,"",MAXIFS(Documents!$E$2:$E$619,Documents!$A$2:$A$619,$A128,Documents!$C$2:$C$619,"press_kit")),"")</f>
        <v/>
      </c>
      <c r="T128">
        <f>IFERROR(IF(MAXIFS(Documents!$E$2:$E$619,Documents!$A$2:$A$619,$A128,Documents!$C$2:$C$619,"other")=0,"",MAXIFS(Documents!$E$2:$E$619,Documents!$A$2:$A$619,$A128,Documents!$C$2:$C$619,"other")),"")</f>
        <v/>
      </c>
      <c r="U128">
        <f>IFERROR(IF(MAXIFS(Documents!$E$2:$E$619,Documents!$A$2:$A$619,$A128,Documents!$C$2:$C$619,"obsolete")=0,"",MAXIFS(Documents!$E$2:$E$619,Documents!$A$2:$A$619,$A128,Documents!$C$2:$C$619,"obsolete")),"")</f>
        <v/>
      </c>
      <c r="V128">
        <f>COUNTIFS(Documents!$A$2:$A$619,$A128)</f>
        <v/>
      </c>
      <c r="W128">
        <f>COUNTIFS(Documents!$A$2:$A$619,$A128,Documents!$R$2:$R$619,"current")</f>
        <v/>
      </c>
      <c r="X128" t="inlineStr"/>
      <c r="Y128" t="inlineStr">
        <is>
          <t>factsheet, wedding, events</t>
        </is>
      </c>
      <c r="Z128" t="inlineStr"/>
    </row>
    <row r="129">
      <c r="A129" t="n">
        <v>128</v>
      </c>
      <c r="B129" t="inlineStr">
        <is>
          <t>One &amp; Only Reethi Rah, Maldives</t>
        </is>
      </c>
      <c r="C129" t="inlineStr">
        <is>
          <t>not crawled</t>
        </is>
      </c>
      <c r="D129">
        <f>IFERROR(IF(MAXIFS(Documents!$E$2:$E$619,Documents!$A$2:$A$619,$A129,Documents!$C$2:$C$619,"factsheet")=0,"",MAXIFS(Documents!$E$2:$E$619,Documents!$A$2:$A$619,$A129,Documents!$C$2:$C$619,"factsheet")),"")</f>
        <v/>
      </c>
      <c r="E129">
        <f>IFERROR(IF(MAXIFS(Documents!$E$2:$E$619,Documents!$A$2:$A$619,$A129,Documents!$C$2:$C$619,"wedding")=0,"",MAXIFS(Documents!$E$2:$E$619,Documents!$A$2:$A$619,$A129,Documents!$C$2:$C$619,"wedding")),"")</f>
        <v/>
      </c>
      <c r="F129">
        <f>IFERROR(IF(MAXIFS(Documents!$E$2:$E$619,Documents!$A$2:$A$619,$A129,Documents!$C$2:$C$619,"events")=0,"",MAXIFS(Documents!$E$2:$E$619,Documents!$A$2:$A$619,$A129,Documents!$C$2:$C$619,"events")),"")</f>
        <v/>
      </c>
      <c r="G129">
        <f>IFERROR(IF(MAXIFS(Documents!$E$2:$E$619,Documents!$A$2:$A$619,$A129,Documents!$C$2:$C$619,"map")=0,"",MAXIFS(Documents!$E$2:$E$619,Documents!$A$2:$A$619,$A129,Documents!$C$2:$C$619,"map")),"")</f>
        <v/>
      </c>
      <c r="H129">
        <f>IFERROR(IF(MAXIFS(Documents!$E$2:$E$619,Documents!$A$2:$A$619,$A129,Documents!$C$2:$C$619,"dive_map")=0,"",MAXIFS(Documents!$E$2:$E$619,Documents!$A$2:$A$619,$A129,Documents!$C$2:$C$619,"dive_map")),"")</f>
        <v/>
      </c>
      <c r="I129">
        <f>IFERROR(IF(MAXIFS(Documents!$E$2:$E$619,Documents!$A$2:$A$619,$A129,Documents!$C$2:$C$619,"spa_menu")=0,"",MAXIFS(Documents!$E$2:$E$619,Documents!$A$2:$A$619,$A129,Documents!$C$2:$C$619,"spa_menu")),"")</f>
        <v/>
      </c>
      <c r="J129">
        <f>IFERROR(IF(MAXIFS(Documents!$E$2:$E$619,Documents!$A$2:$A$619,$A129,Documents!$C$2:$C$619,"dining_menu")=0,"",MAXIFS(Documents!$E$2:$E$619,Documents!$A$2:$A$619,$A129,Documents!$C$2:$C$619,"dining_menu")),"")</f>
        <v/>
      </c>
      <c r="K129">
        <f>IFERROR(IF(MAXIFS(Documents!$E$2:$E$619,Documents!$A$2:$A$619,$A129,Documents!$C$2:$C$619,"dive_prices")=0,"",MAXIFS(Documents!$E$2:$E$619,Documents!$A$2:$A$619,$A129,Documents!$C$2:$C$619,"dive_prices")),"")</f>
        <v/>
      </c>
      <c r="L129">
        <f>IFERROR(IF(MAXIFS(Documents!$E$2:$E$619,Documents!$A$2:$A$619,$A129,Documents!$C$2:$C$619,"excursions")=0,"",MAXIFS(Documents!$E$2:$E$619,Documents!$A$2:$A$619,$A129,Documents!$C$2:$C$619,"excursions")),"")</f>
        <v/>
      </c>
      <c r="M129">
        <f>IFERROR(IF(MAXIFS(Documents!$E$2:$E$619,Documents!$A$2:$A$619,$A129,Documents!$C$2:$C$619,"kids")=0,"",MAXIFS(Documents!$E$2:$E$619,Documents!$A$2:$A$619,$A129,Documents!$C$2:$C$619,"kids")),"")</f>
        <v/>
      </c>
      <c r="N129">
        <f>IFERROR(IF(MAXIFS(Documents!$E$2:$E$619,Documents!$A$2:$A$619,$A129,Documents!$C$2:$C$619,"villa_plans")=0,"",MAXIFS(Documents!$E$2:$E$619,Documents!$A$2:$A$619,$A129,Documents!$C$2:$C$619,"villa_plans")),"")</f>
        <v/>
      </c>
      <c r="O129">
        <f>IFERROR(IF(MAXIFS(Documents!$E$2:$E$619,Documents!$A$2:$A$619,$A129,Documents!$C$2:$C$619,"all_inclusive")=0,"",MAXIFS(Documents!$E$2:$E$619,Documents!$A$2:$A$619,$A129,Documents!$C$2:$C$619,"all_inclusive")),"")</f>
        <v/>
      </c>
      <c r="P129">
        <f>IFERROR(IF(MAXIFS(Documents!$E$2:$E$619,Documents!$A$2:$A$619,$A129,Documents!$C$2:$C$619,"sustainability")=0,"",MAXIFS(Documents!$E$2:$E$619,Documents!$A$2:$A$619,$A129,Documents!$C$2:$C$619,"sustainability")),"")</f>
        <v/>
      </c>
      <c r="Q129">
        <f>IFERROR(IF(MAXIFS(Documents!$E$2:$E$619,Documents!$A$2:$A$619,$A129,Documents!$C$2:$C$619,"calendar")=0,"",MAXIFS(Documents!$E$2:$E$619,Documents!$A$2:$A$619,$A129,Documents!$C$2:$C$619,"calendar")),"")</f>
        <v/>
      </c>
      <c r="R129">
        <f>IFERROR(IF(MAXIFS(Documents!$E$2:$E$619,Documents!$A$2:$A$619,$A129,Documents!$C$2:$C$619,"brochure")=0,"",MAXIFS(Documents!$E$2:$E$619,Documents!$A$2:$A$619,$A129,Documents!$C$2:$C$619,"brochure")),"")</f>
        <v/>
      </c>
      <c r="S129">
        <f>IFERROR(IF(MAXIFS(Documents!$E$2:$E$619,Documents!$A$2:$A$619,$A129,Documents!$C$2:$C$619,"press_kit")=0,"",MAXIFS(Documents!$E$2:$E$619,Documents!$A$2:$A$619,$A129,Documents!$C$2:$C$619,"press_kit")),"")</f>
        <v/>
      </c>
      <c r="T129">
        <f>IFERROR(IF(MAXIFS(Documents!$E$2:$E$619,Documents!$A$2:$A$619,$A129,Documents!$C$2:$C$619,"other")=0,"",MAXIFS(Documents!$E$2:$E$619,Documents!$A$2:$A$619,$A129,Documents!$C$2:$C$619,"other")),"")</f>
        <v/>
      </c>
      <c r="U129">
        <f>IFERROR(IF(MAXIFS(Documents!$E$2:$E$619,Documents!$A$2:$A$619,$A129,Documents!$C$2:$C$619,"obsolete")=0,"",MAXIFS(Documents!$E$2:$E$619,Documents!$A$2:$A$619,$A129,Documents!$C$2:$C$619,"obsolete")),"")</f>
        <v/>
      </c>
      <c r="V129">
        <f>COUNTIFS(Documents!$A$2:$A$619,$A129)</f>
        <v/>
      </c>
      <c r="W129">
        <f>COUNTIFS(Documents!$A$2:$A$619,$A129,Documents!$R$2:$R$619,"current")</f>
        <v/>
      </c>
      <c r="X129">
        <f>HYPERLINK("https://www.neoscapesmaldives.com/wp-content/uploads/Factsheet-OneOnly-Reethi-Rah.pdf","2019_Factsheet-OneOnly-Reethi-Rah.pdf")</f>
        <v/>
      </c>
      <c r="Y129" t="inlineStr">
        <is>
          <t>wedding, events</t>
        </is>
      </c>
      <c r="Z129" t="inlineStr"/>
    </row>
    <row r="130">
      <c r="A130" t="n">
        <v>129</v>
      </c>
      <c r="B130" t="inlineStr">
        <is>
          <t>Riu Atoll and Riu Palace Maldivas</t>
        </is>
      </c>
      <c r="C130" t="inlineStr">
        <is>
          <t>not crawled</t>
        </is>
      </c>
      <c r="D130">
        <f>IFERROR(IF(MAXIFS(Documents!$E$2:$E$619,Documents!$A$2:$A$619,$A130,Documents!$C$2:$C$619,"factsheet")=0,"",MAXIFS(Documents!$E$2:$E$619,Documents!$A$2:$A$619,$A130,Documents!$C$2:$C$619,"factsheet")),"")</f>
        <v/>
      </c>
      <c r="E130">
        <f>IFERROR(IF(MAXIFS(Documents!$E$2:$E$619,Documents!$A$2:$A$619,$A130,Documents!$C$2:$C$619,"wedding")=0,"",MAXIFS(Documents!$E$2:$E$619,Documents!$A$2:$A$619,$A130,Documents!$C$2:$C$619,"wedding")),"")</f>
        <v/>
      </c>
      <c r="F130">
        <f>IFERROR(IF(MAXIFS(Documents!$E$2:$E$619,Documents!$A$2:$A$619,$A130,Documents!$C$2:$C$619,"events")=0,"",MAXIFS(Documents!$E$2:$E$619,Documents!$A$2:$A$619,$A130,Documents!$C$2:$C$619,"events")),"")</f>
        <v/>
      </c>
      <c r="G130">
        <f>IFERROR(IF(MAXIFS(Documents!$E$2:$E$619,Documents!$A$2:$A$619,$A130,Documents!$C$2:$C$619,"map")=0,"",MAXIFS(Documents!$E$2:$E$619,Documents!$A$2:$A$619,$A130,Documents!$C$2:$C$619,"map")),"")</f>
        <v/>
      </c>
      <c r="H130">
        <f>IFERROR(IF(MAXIFS(Documents!$E$2:$E$619,Documents!$A$2:$A$619,$A130,Documents!$C$2:$C$619,"dive_map")=0,"",MAXIFS(Documents!$E$2:$E$619,Documents!$A$2:$A$619,$A130,Documents!$C$2:$C$619,"dive_map")),"")</f>
        <v/>
      </c>
      <c r="I130">
        <f>IFERROR(IF(MAXIFS(Documents!$E$2:$E$619,Documents!$A$2:$A$619,$A130,Documents!$C$2:$C$619,"spa_menu")=0,"",MAXIFS(Documents!$E$2:$E$619,Documents!$A$2:$A$619,$A130,Documents!$C$2:$C$619,"spa_menu")),"")</f>
        <v/>
      </c>
      <c r="J130">
        <f>IFERROR(IF(MAXIFS(Documents!$E$2:$E$619,Documents!$A$2:$A$619,$A130,Documents!$C$2:$C$619,"dining_menu")=0,"",MAXIFS(Documents!$E$2:$E$619,Documents!$A$2:$A$619,$A130,Documents!$C$2:$C$619,"dining_menu")),"")</f>
        <v/>
      </c>
      <c r="K130">
        <f>IFERROR(IF(MAXIFS(Documents!$E$2:$E$619,Documents!$A$2:$A$619,$A130,Documents!$C$2:$C$619,"dive_prices")=0,"",MAXIFS(Documents!$E$2:$E$619,Documents!$A$2:$A$619,$A130,Documents!$C$2:$C$619,"dive_prices")),"")</f>
        <v/>
      </c>
      <c r="L130">
        <f>IFERROR(IF(MAXIFS(Documents!$E$2:$E$619,Documents!$A$2:$A$619,$A130,Documents!$C$2:$C$619,"excursions")=0,"",MAXIFS(Documents!$E$2:$E$619,Documents!$A$2:$A$619,$A130,Documents!$C$2:$C$619,"excursions")),"")</f>
        <v/>
      </c>
      <c r="M130">
        <f>IFERROR(IF(MAXIFS(Documents!$E$2:$E$619,Documents!$A$2:$A$619,$A130,Documents!$C$2:$C$619,"kids")=0,"",MAXIFS(Documents!$E$2:$E$619,Documents!$A$2:$A$619,$A130,Documents!$C$2:$C$619,"kids")),"")</f>
        <v/>
      </c>
      <c r="N130">
        <f>IFERROR(IF(MAXIFS(Documents!$E$2:$E$619,Documents!$A$2:$A$619,$A130,Documents!$C$2:$C$619,"villa_plans")=0,"",MAXIFS(Documents!$E$2:$E$619,Documents!$A$2:$A$619,$A130,Documents!$C$2:$C$619,"villa_plans")),"")</f>
        <v/>
      </c>
      <c r="O130">
        <f>IFERROR(IF(MAXIFS(Documents!$E$2:$E$619,Documents!$A$2:$A$619,$A130,Documents!$C$2:$C$619,"all_inclusive")=0,"",MAXIFS(Documents!$E$2:$E$619,Documents!$A$2:$A$619,$A130,Documents!$C$2:$C$619,"all_inclusive")),"")</f>
        <v/>
      </c>
      <c r="P130">
        <f>IFERROR(IF(MAXIFS(Documents!$E$2:$E$619,Documents!$A$2:$A$619,$A130,Documents!$C$2:$C$619,"sustainability")=0,"",MAXIFS(Documents!$E$2:$E$619,Documents!$A$2:$A$619,$A130,Documents!$C$2:$C$619,"sustainability")),"")</f>
        <v/>
      </c>
      <c r="Q130">
        <f>IFERROR(IF(MAXIFS(Documents!$E$2:$E$619,Documents!$A$2:$A$619,$A130,Documents!$C$2:$C$619,"calendar")=0,"",MAXIFS(Documents!$E$2:$E$619,Documents!$A$2:$A$619,$A130,Documents!$C$2:$C$619,"calendar")),"")</f>
        <v/>
      </c>
      <c r="R130">
        <f>IFERROR(IF(MAXIFS(Documents!$E$2:$E$619,Documents!$A$2:$A$619,$A130,Documents!$C$2:$C$619,"brochure")=0,"",MAXIFS(Documents!$E$2:$E$619,Documents!$A$2:$A$619,$A130,Documents!$C$2:$C$619,"brochure")),"")</f>
        <v/>
      </c>
      <c r="S130">
        <f>IFERROR(IF(MAXIFS(Documents!$E$2:$E$619,Documents!$A$2:$A$619,$A130,Documents!$C$2:$C$619,"press_kit")=0,"",MAXIFS(Documents!$E$2:$E$619,Documents!$A$2:$A$619,$A130,Documents!$C$2:$C$619,"press_kit")),"")</f>
        <v/>
      </c>
      <c r="T130">
        <f>IFERROR(IF(MAXIFS(Documents!$E$2:$E$619,Documents!$A$2:$A$619,$A130,Documents!$C$2:$C$619,"other")=0,"",MAXIFS(Documents!$E$2:$E$619,Documents!$A$2:$A$619,$A130,Documents!$C$2:$C$619,"other")),"")</f>
        <v/>
      </c>
      <c r="U130">
        <f>IFERROR(IF(MAXIFS(Documents!$E$2:$E$619,Documents!$A$2:$A$619,$A130,Documents!$C$2:$C$619,"obsolete")=0,"",MAXIFS(Documents!$E$2:$E$619,Documents!$A$2:$A$619,$A130,Documents!$C$2:$C$619,"obsolete")),"")</f>
        <v/>
      </c>
      <c r="V130">
        <f>COUNTIFS(Documents!$A$2:$A$619,$A130)</f>
        <v/>
      </c>
      <c r="W130">
        <f>COUNTIFS(Documents!$A$2:$A$619,$A130,Documents!$R$2:$R$619,"current")</f>
        <v/>
      </c>
      <c r="X130" t="inlineStr"/>
      <c r="Y130" t="inlineStr">
        <is>
          <t>factsheet, wedding, events</t>
        </is>
      </c>
      <c r="Z130" t="inlineStr"/>
    </row>
    <row r="131">
      <c r="A131" t="n">
        <v>130</v>
      </c>
      <c r="B131" t="inlineStr">
        <is>
          <t>Robinson Noonu</t>
        </is>
      </c>
      <c r="C131" t="inlineStr">
        <is>
          <t>not crawled</t>
        </is>
      </c>
      <c r="D131">
        <f>IFERROR(IF(MAXIFS(Documents!$E$2:$E$619,Documents!$A$2:$A$619,$A131,Documents!$C$2:$C$619,"factsheet")=0,"",MAXIFS(Documents!$E$2:$E$619,Documents!$A$2:$A$619,$A131,Documents!$C$2:$C$619,"factsheet")),"")</f>
        <v/>
      </c>
      <c r="E131">
        <f>IFERROR(IF(MAXIFS(Documents!$E$2:$E$619,Documents!$A$2:$A$619,$A131,Documents!$C$2:$C$619,"wedding")=0,"",MAXIFS(Documents!$E$2:$E$619,Documents!$A$2:$A$619,$A131,Documents!$C$2:$C$619,"wedding")),"")</f>
        <v/>
      </c>
      <c r="F131">
        <f>IFERROR(IF(MAXIFS(Documents!$E$2:$E$619,Documents!$A$2:$A$619,$A131,Documents!$C$2:$C$619,"events")=0,"",MAXIFS(Documents!$E$2:$E$619,Documents!$A$2:$A$619,$A131,Documents!$C$2:$C$619,"events")),"")</f>
        <v/>
      </c>
      <c r="G131">
        <f>IFERROR(IF(MAXIFS(Documents!$E$2:$E$619,Documents!$A$2:$A$619,$A131,Documents!$C$2:$C$619,"map")=0,"",MAXIFS(Documents!$E$2:$E$619,Documents!$A$2:$A$619,$A131,Documents!$C$2:$C$619,"map")),"")</f>
        <v/>
      </c>
      <c r="H131">
        <f>IFERROR(IF(MAXIFS(Documents!$E$2:$E$619,Documents!$A$2:$A$619,$A131,Documents!$C$2:$C$619,"dive_map")=0,"",MAXIFS(Documents!$E$2:$E$619,Documents!$A$2:$A$619,$A131,Documents!$C$2:$C$619,"dive_map")),"")</f>
        <v/>
      </c>
      <c r="I131">
        <f>IFERROR(IF(MAXIFS(Documents!$E$2:$E$619,Documents!$A$2:$A$619,$A131,Documents!$C$2:$C$619,"spa_menu")=0,"",MAXIFS(Documents!$E$2:$E$619,Documents!$A$2:$A$619,$A131,Documents!$C$2:$C$619,"spa_menu")),"")</f>
        <v/>
      </c>
      <c r="J131">
        <f>IFERROR(IF(MAXIFS(Documents!$E$2:$E$619,Documents!$A$2:$A$619,$A131,Documents!$C$2:$C$619,"dining_menu")=0,"",MAXIFS(Documents!$E$2:$E$619,Documents!$A$2:$A$619,$A131,Documents!$C$2:$C$619,"dining_menu")),"")</f>
        <v/>
      </c>
      <c r="K131">
        <f>IFERROR(IF(MAXIFS(Documents!$E$2:$E$619,Documents!$A$2:$A$619,$A131,Documents!$C$2:$C$619,"dive_prices")=0,"",MAXIFS(Documents!$E$2:$E$619,Documents!$A$2:$A$619,$A131,Documents!$C$2:$C$619,"dive_prices")),"")</f>
        <v/>
      </c>
      <c r="L131">
        <f>IFERROR(IF(MAXIFS(Documents!$E$2:$E$619,Documents!$A$2:$A$619,$A131,Documents!$C$2:$C$619,"excursions")=0,"",MAXIFS(Documents!$E$2:$E$619,Documents!$A$2:$A$619,$A131,Documents!$C$2:$C$619,"excursions")),"")</f>
        <v/>
      </c>
      <c r="M131">
        <f>IFERROR(IF(MAXIFS(Documents!$E$2:$E$619,Documents!$A$2:$A$619,$A131,Documents!$C$2:$C$619,"kids")=0,"",MAXIFS(Documents!$E$2:$E$619,Documents!$A$2:$A$619,$A131,Documents!$C$2:$C$619,"kids")),"")</f>
        <v/>
      </c>
      <c r="N131">
        <f>IFERROR(IF(MAXIFS(Documents!$E$2:$E$619,Documents!$A$2:$A$619,$A131,Documents!$C$2:$C$619,"villa_plans")=0,"",MAXIFS(Documents!$E$2:$E$619,Documents!$A$2:$A$619,$A131,Documents!$C$2:$C$619,"villa_plans")),"")</f>
        <v/>
      </c>
      <c r="O131">
        <f>IFERROR(IF(MAXIFS(Documents!$E$2:$E$619,Documents!$A$2:$A$619,$A131,Documents!$C$2:$C$619,"all_inclusive")=0,"",MAXIFS(Documents!$E$2:$E$619,Documents!$A$2:$A$619,$A131,Documents!$C$2:$C$619,"all_inclusive")),"")</f>
        <v/>
      </c>
      <c r="P131">
        <f>IFERROR(IF(MAXIFS(Documents!$E$2:$E$619,Documents!$A$2:$A$619,$A131,Documents!$C$2:$C$619,"sustainability")=0,"",MAXIFS(Documents!$E$2:$E$619,Documents!$A$2:$A$619,$A131,Documents!$C$2:$C$619,"sustainability")),"")</f>
        <v/>
      </c>
      <c r="Q131">
        <f>IFERROR(IF(MAXIFS(Documents!$E$2:$E$619,Documents!$A$2:$A$619,$A131,Documents!$C$2:$C$619,"calendar")=0,"",MAXIFS(Documents!$E$2:$E$619,Documents!$A$2:$A$619,$A131,Documents!$C$2:$C$619,"calendar")),"")</f>
        <v/>
      </c>
      <c r="R131">
        <f>IFERROR(IF(MAXIFS(Documents!$E$2:$E$619,Documents!$A$2:$A$619,$A131,Documents!$C$2:$C$619,"brochure")=0,"",MAXIFS(Documents!$E$2:$E$619,Documents!$A$2:$A$619,$A131,Documents!$C$2:$C$619,"brochure")),"")</f>
        <v/>
      </c>
      <c r="S131">
        <f>IFERROR(IF(MAXIFS(Documents!$E$2:$E$619,Documents!$A$2:$A$619,$A131,Documents!$C$2:$C$619,"press_kit")=0,"",MAXIFS(Documents!$E$2:$E$619,Documents!$A$2:$A$619,$A131,Documents!$C$2:$C$619,"press_kit")),"")</f>
        <v/>
      </c>
      <c r="T131">
        <f>IFERROR(IF(MAXIFS(Documents!$E$2:$E$619,Documents!$A$2:$A$619,$A131,Documents!$C$2:$C$619,"other")=0,"",MAXIFS(Documents!$E$2:$E$619,Documents!$A$2:$A$619,$A131,Documents!$C$2:$C$619,"other")),"")</f>
        <v/>
      </c>
      <c r="U131">
        <f>IFERROR(IF(MAXIFS(Documents!$E$2:$E$619,Documents!$A$2:$A$619,$A131,Documents!$C$2:$C$619,"obsolete")=0,"",MAXIFS(Documents!$E$2:$E$619,Documents!$A$2:$A$619,$A131,Documents!$C$2:$C$619,"obsolete")),"")</f>
        <v/>
      </c>
      <c r="V131">
        <f>COUNTIFS(Documents!$A$2:$A$619,$A131)</f>
        <v/>
      </c>
      <c r="W131">
        <f>COUNTIFS(Documents!$A$2:$A$619,$A131,Documents!$R$2:$R$619,"current")</f>
        <v/>
      </c>
      <c r="X131" t="inlineStr"/>
      <c r="Y131" t="inlineStr">
        <is>
          <t>factsheet, wedding, events</t>
        </is>
      </c>
      <c r="Z131" t="inlineStr"/>
    </row>
    <row r="132">
      <c r="A132" t="n">
        <v>131</v>
      </c>
      <c r="B132" t="inlineStr">
        <is>
          <t>Robinson Maldives</t>
        </is>
      </c>
      <c r="C132" t="inlineStr">
        <is>
          <t>not crawled</t>
        </is>
      </c>
      <c r="D132">
        <f>IFERROR(IF(MAXIFS(Documents!$E$2:$E$619,Documents!$A$2:$A$619,$A132,Documents!$C$2:$C$619,"factsheet")=0,"",MAXIFS(Documents!$E$2:$E$619,Documents!$A$2:$A$619,$A132,Documents!$C$2:$C$619,"factsheet")),"")</f>
        <v/>
      </c>
      <c r="E132">
        <f>IFERROR(IF(MAXIFS(Documents!$E$2:$E$619,Documents!$A$2:$A$619,$A132,Documents!$C$2:$C$619,"wedding")=0,"",MAXIFS(Documents!$E$2:$E$619,Documents!$A$2:$A$619,$A132,Documents!$C$2:$C$619,"wedding")),"")</f>
        <v/>
      </c>
      <c r="F132">
        <f>IFERROR(IF(MAXIFS(Documents!$E$2:$E$619,Documents!$A$2:$A$619,$A132,Documents!$C$2:$C$619,"events")=0,"",MAXIFS(Documents!$E$2:$E$619,Documents!$A$2:$A$619,$A132,Documents!$C$2:$C$619,"events")),"")</f>
        <v/>
      </c>
      <c r="G132">
        <f>IFERROR(IF(MAXIFS(Documents!$E$2:$E$619,Documents!$A$2:$A$619,$A132,Documents!$C$2:$C$619,"map")=0,"",MAXIFS(Documents!$E$2:$E$619,Documents!$A$2:$A$619,$A132,Documents!$C$2:$C$619,"map")),"")</f>
        <v/>
      </c>
      <c r="H132">
        <f>IFERROR(IF(MAXIFS(Documents!$E$2:$E$619,Documents!$A$2:$A$619,$A132,Documents!$C$2:$C$619,"dive_map")=0,"",MAXIFS(Documents!$E$2:$E$619,Documents!$A$2:$A$619,$A132,Documents!$C$2:$C$619,"dive_map")),"")</f>
        <v/>
      </c>
      <c r="I132">
        <f>IFERROR(IF(MAXIFS(Documents!$E$2:$E$619,Documents!$A$2:$A$619,$A132,Documents!$C$2:$C$619,"spa_menu")=0,"",MAXIFS(Documents!$E$2:$E$619,Documents!$A$2:$A$619,$A132,Documents!$C$2:$C$619,"spa_menu")),"")</f>
        <v/>
      </c>
      <c r="J132">
        <f>IFERROR(IF(MAXIFS(Documents!$E$2:$E$619,Documents!$A$2:$A$619,$A132,Documents!$C$2:$C$619,"dining_menu")=0,"",MAXIFS(Documents!$E$2:$E$619,Documents!$A$2:$A$619,$A132,Documents!$C$2:$C$619,"dining_menu")),"")</f>
        <v/>
      </c>
      <c r="K132">
        <f>IFERROR(IF(MAXIFS(Documents!$E$2:$E$619,Documents!$A$2:$A$619,$A132,Documents!$C$2:$C$619,"dive_prices")=0,"",MAXIFS(Documents!$E$2:$E$619,Documents!$A$2:$A$619,$A132,Documents!$C$2:$C$619,"dive_prices")),"")</f>
        <v/>
      </c>
      <c r="L132">
        <f>IFERROR(IF(MAXIFS(Documents!$E$2:$E$619,Documents!$A$2:$A$619,$A132,Documents!$C$2:$C$619,"excursions")=0,"",MAXIFS(Documents!$E$2:$E$619,Documents!$A$2:$A$619,$A132,Documents!$C$2:$C$619,"excursions")),"")</f>
        <v/>
      </c>
      <c r="M132">
        <f>IFERROR(IF(MAXIFS(Documents!$E$2:$E$619,Documents!$A$2:$A$619,$A132,Documents!$C$2:$C$619,"kids")=0,"",MAXIFS(Documents!$E$2:$E$619,Documents!$A$2:$A$619,$A132,Documents!$C$2:$C$619,"kids")),"")</f>
        <v/>
      </c>
      <c r="N132">
        <f>IFERROR(IF(MAXIFS(Documents!$E$2:$E$619,Documents!$A$2:$A$619,$A132,Documents!$C$2:$C$619,"villa_plans")=0,"",MAXIFS(Documents!$E$2:$E$619,Documents!$A$2:$A$619,$A132,Documents!$C$2:$C$619,"villa_plans")),"")</f>
        <v/>
      </c>
      <c r="O132">
        <f>IFERROR(IF(MAXIFS(Documents!$E$2:$E$619,Documents!$A$2:$A$619,$A132,Documents!$C$2:$C$619,"all_inclusive")=0,"",MAXIFS(Documents!$E$2:$E$619,Documents!$A$2:$A$619,$A132,Documents!$C$2:$C$619,"all_inclusive")),"")</f>
        <v/>
      </c>
      <c r="P132">
        <f>IFERROR(IF(MAXIFS(Documents!$E$2:$E$619,Documents!$A$2:$A$619,$A132,Documents!$C$2:$C$619,"sustainability")=0,"",MAXIFS(Documents!$E$2:$E$619,Documents!$A$2:$A$619,$A132,Documents!$C$2:$C$619,"sustainability")),"")</f>
        <v/>
      </c>
      <c r="Q132">
        <f>IFERROR(IF(MAXIFS(Documents!$E$2:$E$619,Documents!$A$2:$A$619,$A132,Documents!$C$2:$C$619,"calendar")=0,"",MAXIFS(Documents!$E$2:$E$619,Documents!$A$2:$A$619,$A132,Documents!$C$2:$C$619,"calendar")),"")</f>
        <v/>
      </c>
      <c r="R132">
        <f>IFERROR(IF(MAXIFS(Documents!$E$2:$E$619,Documents!$A$2:$A$619,$A132,Documents!$C$2:$C$619,"brochure")=0,"",MAXIFS(Documents!$E$2:$E$619,Documents!$A$2:$A$619,$A132,Documents!$C$2:$C$619,"brochure")),"")</f>
        <v/>
      </c>
      <c r="S132">
        <f>IFERROR(IF(MAXIFS(Documents!$E$2:$E$619,Documents!$A$2:$A$619,$A132,Documents!$C$2:$C$619,"press_kit")=0,"",MAXIFS(Documents!$E$2:$E$619,Documents!$A$2:$A$619,$A132,Documents!$C$2:$C$619,"press_kit")),"")</f>
        <v/>
      </c>
      <c r="T132">
        <f>IFERROR(IF(MAXIFS(Documents!$E$2:$E$619,Documents!$A$2:$A$619,$A132,Documents!$C$2:$C$619,"other")=0,"",MAXIFS(Documents!$E$2:$E$619,Documents!$A$2:$A$619,$A132,Documents!$C$2:$C$619,"other")),"")</f>
        <v/>
      </c>
      <c r="U132">
        <f>IFERROR(IF(MAXIFS(Documents!$E$2:$E$619,Documents!$A$2:$A$619,$A132,Documents!$C$2:$C$619,"obsolete")=0,"",MAXIFS(Documents!$E$2:$E$619,Documents!$A$2:$A$619,$A132,Documents!$C$2:$C$619,"obsolete")),"")</f>
        <v/>
      </c>
      <c r="V132">
        <f>COUNTIFS(Documents!$A$2:$A$619,$A132)</f>
        <v/>
      </c>
      <c r="W132">
        <f>COUNTIFS(Documents!$A$2:$A$619,$A132,Documents!$R$2:$R$619,"current")</f>
        <v/>
      </c>
      <c r="X132" t="inlineStr"/>
      <c r="Y132" t="inlineStr">
        <is>
          <t>factsheet, wedding, events</t>
        </is>
      </c>
      <c r="Z132" t="inlineStr"/>
    </row>
    <row r="133">
      <c r="A133" t="n">
        <v>132</v>
      </c>
      <c r="B133" t="inlineStr">
        <is>
          <t>Noku Maldives</t>
        </is>
      </c>
      <c r="C133" t="inlineStr">
        <is>
          <t>not crawled</t>
        </is>
      </c>
      <c r="D133">
        <f>IFERROR(IF(MAXIFS(Documents!$E$2:$E$619,Documents!$A$2:$A$619,$A133,Documents!$C$2:$C$619,"factsheet")=0,"",MAXIFS(Documents!$E$2:$E$619,Documents!$A$2:$A$619,$A133,Documents!$C$2:$C$619,"factsheet")),"")</f>
        <v/>
      </c>
      <c r="E133">
        <f>IFERROR(IF(MAXIFS(Documents!$E$2:$E$619,Documents!$A$2:$A$619,$A133,Documents!$C$2:$C$619,"wedding")=0,"",MAXIFS(Documents!$E$2:$E$619,Documents!$A$2:$A$619,$A133,Documents!$C$2:$C$619,"wedding")),"")</f>
        <v/>
      </c>
      <c r="F133">
        <f>IFERROR(IF(MAXIFS(Documents!$E$2:$E$619,Documents!$A$2:$A$619,$A133,Documents!$C$2:$C$619,"events")=0,"",MAXIFS(Documents!$E$2:$E$619,Documents!$A$2:$A$619,$A133,Documents!$C$2:$C$619,"events")),"")</f>
        <v/>
      </c>
      <c r="G133">
        <f>IFERROR(IF(MAXIFS(Documents!$E$2:$E$619,Documents!$A$2:$A$619,$A133,Documents!$C$2:$C$619,"map")=0,"",MAXIFS(Documents!$E$2:$E$619,Documents!$A$2:$A$619,$A133,Documents!$C$2:$C$619,"map")),"")</f>
        <v/>
      </c>
      <c r="H133">
        <f>IFERROR(IF(MAXIFS(Documents!$E$2:$E$619,Documents!$A$2:$A$619,$A133,Documents!$C$2:$C$619,"dive_map")=0,"",MAXIFS(Documents!$E$2:$E$619,Documents!$A$2:$A$619,$A133,Documents!$C$2:$C$619,"dive_map")),"")</f>
        <v/>
      </c>
      <c r="I133">
        <f>IFERROR(IF(MAXIFS(Documents!$E$2:$E$619,Documents!$A$2:$A$619,$A133,Documents!$C$2:$C$619,"spa_menu")=0,"",MAXIFS(Documents!$E$2:$E$619,Documents!$A$2:$A$619,$A133,Documents!$C$2:$C$619,"spa_menu")),"")</f>
        <v/>
      </c>
      <c r="J133">
        <f>IFERROR(IF(MAXIFS(Documents!$E$2:$E$619,Documents!$A$2:$A$619,$A133,Documents!$C$2:$C$619,"dining_menu")=0,"",MAXIFS(Documents!$E$2:$E$619,Documents!$A$2:$A$619,$A133,Documents!$C$2:$C$619,"dining_menu")),"")</f>
        <v/>
      </c>
      <c r="K133">
        <f>IFERROR(IF(MAXIFS(Documents!$E$2:$E$619,Documents!$A$2:$A$619,$A133,Documents!$C$2:$C$619,"dive_prices")=0,"",MAXIFS(Documents!$E$2:$E$619,Documents!$A$2:$A$619,$A133,Documents!$C$2:$C$619,"dive_prices")),"")</f>
        <v/>
      </c>
      <c r="L133">
        <f>IFERROR(IF(MAXIFS(Documents!$E$2:$E$619,Documents!$A$2:$A$619,$A133,Documents!$C$2:$C$619,"excursions")=0,"",MAXIFS(Documents!$E$2:$E$619,Documents!$A$2:$A$619,$A133,Documents!$C$2:$C$619,"excursions")),"")</f>
        <v/>
      </c>
      <c r="M133">
        <f>IFERROR(IF(MAXIFS(Documents!$E$2:$E$619,Documents!$A$2:$A$619,$A133,Documents!$C$2:$C$619,"kids")=0,"",MAXIFS(Documents!$E$2:$E$619,Documents!$A$2:$A$619,$A133,Documents!$C$2:$C$619,"kids")),"")</f>
        <v/>
      </c>
      <c r="N133">
        <f>IFERROR(IF(MAXIFS(Documents!$E$2:$E$619,Documents!$A$2:$A$619,$A133,Documents!$C$2:$C$619,"villa_plans")=0,"",MAXIFS(Documents!$E$2:$E$619,Documents!$A$2:$A$619,$A133,Documents!$C$2:$C$619,"villa_plans")),"")</f>
        <v/>
      </c>
      <c r="O133">
        <f>IFERROR(IF(MAXIFS(Documents!$E$2:$E$619,Documents!$A$2:$A$619,$A133,Documents!$C$2:$C$619,"all_inclusive")=0,"",MAXIFS(Documents!$E$2:$E$619,Documents!$A$2:$A$619,$A133,Documents!$C$2:$C$619,"all_inclusive")),"")</f>
        <v/>
      </c>
      <c r="P133">
        <f>IFERROR(IF(MAXIFS(Documents!$E$2:$E$619,Documents!$A$2:$A$619,$A133,Documents!$C$2:$C$619,"sustainability")=0,"",MAXIFS(Documents!$E$2:$E$619,Documents!$A$2:$A$619,$A133,Documents!$C$2:$C$619,"sustainability")),"")</f>
        <v/>
      </c>
      <c r="Q133">
        <f>IFERROR(IF(MAXIFS(Documents!$E$2:$E$619,Documents!$A$2:$A$619,$A133,Documents!$C$2:$C$619,"calendar")=0,"",MAXIFS(Documents!$E$2:$E$619,Documents!$A$2:$A$619,$A133,Documents!$C$2:$C$619,"calendar")),"")</f>
        <v/>
      </c>
      <c r="R133">
        <f>IFERROR(IF(MAXIFS(Documents!$E$2:$E$619,Documents!$A$2:$A$619,$A133,Documents!$C$2:$C$619,"brochure")=0,"",MAXIFS(Documents!$E$2:$E$619,Documents!$A$2:$A$619,$A133,Documents!$C$2:$C$619,"brochure")),"")</f>
        <v/>
      </c>
      <c r="S133">
        <f>IFERROR(IF(MAXIFS(Documents!$E$2:$E$619,Documents!$A$2:$A$619,$A133,Documents!$C$2:$C$619,"press_kit")=0,"",MAXIFS(Documents!$E$2:$E$619,Documents!$A$2:$A$619,$A133,Documents!$C$2:$C$619,"press_kit")),"")</f>
        <v/>
      </c>
      <c r="T133">
        <f>IFERROR(IF(MAXIFS(Documents!$E$2:$E$619,Documents!$A$2:$A$619,$A133,Documents!$C$2:$C$619,"other")=0,"",MAXIFS(Documents!$E$2:$E$619,Documents!$A$2:$A$619,$A133,Documents!$C$2:$C$619,"other")),"")</f>
        <v/>
      </c>
      <c r="U133">
        <f>IFERROR(IF(MAXIFS(Documents!$E$2:$E$619,Documents!$A$2:$A$619,$A133,Documents!$C$2:$C$619,"obsolete")=0,"",MAXIFS(Documents!$E$2:$E$619,Documents!$A$2:$A$619,$A133,Documents!$C$2:$C$619,"obsolete")),"")</f>
        <v/>
      </c>
      <c r="V133">
        <f>COUNTIFS(Documents!$A$2:$A$619,$A133)</f>
        <v/>
      </c>
      <c r="W133">
        <f>COUNTIFS(Documents!$A$2:$A$619,$A133,Documents!$R$2:$R$619,"current")</f>
        <v/>
      </c>
      <c r="X133">
        <f>HYPERLINK("https://www.neoscapesmaldives.com/wp-content/uploads/NM-Factsheet-July2021.pdf","2021_NM-Factsheet-July2021.pdf")</f>
        <v/>
      </c>
      <c r="Y133" t="inlineStr">
        <is>
          <t>wedding, events</t>
        </is>
      </c>
      <c r="Z133" t="inlineStr"/>
    </row>
    <row r="134">
      <c r="A134" t="n">
        <v>133</v>
      </c>
      <c r="B134" t="inlineStr">
        <is>
          <t>Oblu By Atmosphere at Helengeli</t>
        </is>
      </c>
      <c r="C134" t="inlineStr">
        <is>
          <t>not crawled</t>
        </is>
      </c>
      <c r="D134">
        <f>IFERROR(IF(MAXIFS(Documents!$E$2:$E$619,Documents!$A$2:$A$619,$A134,Documents!$C$2:$C$619,"factsheet")=0,"",MAXIFS(Documents!$E$2:$E$619,Documents!$A$2:$A$619,$A134,Documents!$C$2:$C$619,"factsheet")),"")</f>
        <v/>
      </c>
      <c r="E134">
        <f>IFERROR(IF(MAXIFS(Documents!$E$2:$E$619,Documents!$A$2:$A$619,$A134,Documents!$C$2:$C$619,"wedding")=0,"",MAXIFS(Documents!$E$2:$E$619,Documents!$A$2:$A$619,$A134,Documents!$C$2:$C$619,"wedding")),"")</f>
        <v/>
      </c>
      <c r="F134">
        <f>IFERROR(IF(MAXIFS(Documents!$E$2:$E$619,Documents!$A$2:$A$619,$A134,Documents!$C$2:$C$619,"events")=0,"",MAXIFS(Documents!$E$2:$E$619,Documents!$A$2:$A$619,$A134,Documents!$C$2:$C$619,"events")),"")</f>
        <v/>
      </c>
      <c r="G134">
        <f>IFERROR(IF(MAXIFS(Documents!$E$2:$E$619,Documents!$A$2:$A$619,$A134,Documents!$C$2:$C$619,"map")=0,"",MAXIFS(Documents!$E$2:$E$619,Documents!$A$2:$A$619,$A134,Documents!$C$2:$C$619,"map")),"")</f>
        <v/>
      </c>
      <c r="H134">
        <f>IFERROR(IF(MAXIFS(Documents!$E$2:$E$619,Documents!$A$2:$A$619,$A134,Documents!$C$2:$C$619,"dive_map")=0,"",MAXIFS(Documents!$E$2:$E$619,Documents!$A$2:$A$619,$A134,Documents!$C$2:$C$619,"dive_map")),"")</f>
        <v/>
      </c>
      <c r="I134">
        <f>IFERROR(IF(MAXIFS(Documents!$E$2:$E$619,Documents!$A$2:$A$619,$A134,Documents!$C$2:$C$619,"spa_menu")=0,"",MAXIFS(Documents!$E$2:$E$619,Documents!$A$2:$A$619,$A134,Documents!$C$2:$C$619,"spa_menu")),"")</f>
        <v/>
      </c>
      <c r="J134">
        <f>IFERROR(IF(MAXIFS(Documents!$E$2:$E$619,Documents!$A$2:$A$619,$A134,Documents!$C$2:$C$619,"dining_menu")=0,"",MAXIFS(Documents!$E$2:$E$619,Documents!$A$2:$A$619,$A134,Documents!$C$2:$C$619,"dining_menu")),"")</f>
        <v/>
      </c>
      <c r="K134">
        <f>IFERROR(IF(MAXIFS(Documents!$E$2:$E$619,Documents!$A$2:$A$619,$A134,Documents!$C$2:$C$619,"dive_prices")=0,"",MAXIFS(Documents!$E$2:$E$619,Documents!$A$2:$A$619,$A134,Documents!$C$2:$C$619,"dive_prices")),"")</f>
        <v/>
      </c>
      <c r="L134">
        <f>IFERROR(IF(MAXIFS(Documents!$E$2:$E$619,Documents!$A$2:$A$619,$A134,Documents!$C$2:$C$619,"excursions")=0,"",MAXIFS(Documents!$E$2:$E$619,Documents!$A$2:$A$619,$A134,Documents!$C$2:$C$619,"excursions")),"")</f>
        <v/>
      </c>
      <c r="M134">
        <f>IFERROR(IF(MAXIFS(Documents!$E$2:$E$619,Documents!$A$2:$A$619,$A134,Documents!$C$2:$C$619,"kids")=0,"",MAXIFS(Documents!$E$2:$E$619,Documents!$A$2:$A$619,$A134,Documents!$C$2:$C$619,"kids")),"")</f>
        <v/>
      </c>
      <c r="N134">
        <f>IFERROR(IF(MAXIFS(Documents!$E$2:$E$619,Documents!$A$2:$A$619,$A134,Documents!$C$2:$C$619,"villa_plans")=0,"",MAXIFS(Documents!$E$2:$E$619,Documents!$A$2:$A$619,$A134,Documents!$C$2:$C$619,"villa_plans")),"")</f>
        <v/>
      </c>
      <c r="O134">
        <f>IFERROR(IF(MAXIFS(Documents!$E$2:$E$619,Documents!$A$2:$A$619,$A134,Documents!$C$2:$C$619,"all_inclusive")=0,"",MAXIFS(Documents!$E$2:$E$619,Documents!$A$2:$A$619,$A134,Documents!$C$2:$C$619,"all_inclusive")),"")</f>
        <v/>
      </c>
      <c r="P134">
        <f>IFERROR(IF(MAXIFS(Documents!$E$2:$E$619,Documents!$A$2:$A$619,$A134,Documents!$C$2:$C$619,"sustainability")=0,"",MAXIFS(Documents!$E$2:$E$619,Documents!$A$2:$A$619,$A134,Documents!$C$2:$C$619,"sustainability")),"")</f>
        <v/>
      </c>
      <c r="Q134">
        <f>IFERROR(IF(MAXIFS(Documents!$E$2:$E$619,Documents!$A$2:$A$619,$A134,Documents!$C$2:$C$619,"calendar")=0,"",MAXIFS(Documents!$E$2:$E$619,Documents!$A$2:$A$619,$A134,Documents!$C$2:$C$619,"calendar")),"")</f>
        <v/>
      </c>
      <c r="R134">
        <f>IFERROR(IF(MAXIFS(Documents!$E$2:$E$619,Documents!$A$2:$A$619,$A134,Documents!$C$2:$C$619,"brochure")=0,"",MAXIFS(Documents!$E$2:$E$619,Documents!$A$2:$A$619,$A134,Documents!$C$2:$C$619,"brochure")),"")</f>
        <v/>
      </c>
      <c r="S134">
        <f>IFERROR(IF(MAXIFS(Documents!$E$2:$E$619,Documents!$A$2:$A$619,$A134,Documents!$C$2:$C$619,"press_kit")=0,"",MAXIFS(Documents!$E$2:$E$619,Documents!$A$2:$A$619,$A134,Documents!$C$2:$C$619,"press_kit")),"")</f>
        <v/>
      </c>
      <c r="T134">
        <f>IFERROR(IF(MAXIFS(Documents!$E$2:$E$619,Documents!$A$2:$A$619,$A134,Documents!$C$2:$C$619,"other")=0,"",MAXIFS(Documents!$E$2:$E$619,Documents!$A$2:$A$619,$A134,Documents!$C$2:$C$619,"other")),"")</f>
        <v/>
      </c>
      <c r="U134">
        <f>IFERROR(IF(MAXIFS(Documents!$E$2:$E$619,Documents!$A$2:$A$619,$A134,Documents!$C$2:$C$619,"obsolete")=0,"",MAXIFS(Documents!$E$2:$E$619,Documents!$A$2:$A$619,$A134,Documents!$C$2:$C$619,"obsolete")),"")</f>
        <v/>
      </c>
      <c r="V134">
        <f>COUNTIFS(Documents!$A$2:$A$619,$A134)</f>
        <v/>
      </c>
      <c r="W134">
        <f>COUNTIFS(Documents!$A$2:$A$619,$A134,Documents!$R$2:$R$619,"current")</f>
        <v/>
      </c>
      <c r="X134" t="inlineStr"/>
      <c r="Y134" t="inlineStr">
        <is>
          <t>factsheet, wedding, events</t>
        </is>
      </c>
      <c r="Z134" t="inlineStr">
        <is>
          <t>OBLU Nature Helengeli by Sentido</t>
        </is>
      </c>
    </row>
    <row r="135">
      <c r="A135" t="n">
        <v>134</v>
      </c>
      <c r="B135" t="inlineStr">
        <is>
          <t>The St. Regis Vommuli Resort, Maldives</t>
        </is>
      </c>
      <c r="C135" t="inlineStr">
        <is>
          <t>not crawled</t>
        </is>
      </c>
      <c r="D135">
        <f>IFERROR(IF(MAXIFS(Documents!$E$2:$E$619,Documents!$A$2:$A$619,$A135,Documents!$C$2:$C$619,"factsheet")=0,"",MAXIFS(Documents!$E$2:$E$619,Documents!$A$2:$A$619,$A135,Documents!$C$2:$C$619,"factsheet")),"")</f>
        <v/>
      </c>
      <c r="E135">
        <f>IFERROR(IF(MAXIFS(Documents!$E$2:$E$619,Documents!$A$2:$A$619,$A135,Documents!$C$2:$C$619,"wedding")=0,"",MAXIFS(Documents!$E$2:$E$619,Documents!$A$2:$A$619,$A135,Documents!$C$2:$C$619,"wedding")),"")</f>
        <v/>
      </c>
      <c r="F135">
        <f>IFERROR(IF(MAXIFS(Documents!$E$2:$E$619,Documents!$A$2:$A$619,$A135,Documents!$C$2:$C$619,"events")=0,"",MAXIFS(Documents!$E$2:$E$619,Documents!$A$2:$A$619,$A135,Documents!$C$2:$C$619,"events")),"")</f>
        <v/>
      </c>
      <c r="G135">
        <f>IFERROR(IF(MAXIFS(Documents!$E$2:$E$619,Documents!$A$2:$A$619,$A135,Documents!$C$2:$C$619,"map")=0,"",MAXIFS(Documents!$E$2:$E$619,Documents!$A$2:$A$619,$A135,Documents!$C$2:$C$619,"map")),"")</f>
        <v/>
      </c>
      <c r="H135">
        <f>IFERROR(IF(MAXIFS(Documents!$E$2:$E$619,Documents!$A$2:$A$619,$A135,Documents!$C$2:$C$619,"dive_map")=0,"",MAXIFS(Documents!$E$2:$E$619,Documents!$A$2:$A$619,$A135,Documents!$C$2:$C$619,"dive_map")),"")</f>
        <v/>
      </c>
      <c r="I135">
        <f>IFERROR(IF(MAXIFS(Documents!$E$2:$E$619,Documents!$A$2:$A$619,$A135,Documents!$C$2:$C$619,"spa_menu")=0,"",MAXIFS(Documents!$E$2:$E$619,Documents!$A$2:$A$619,$A135,Documents!$C$2:$C$619,"spa_menu")),"")</f>
        <v/>
      </c>
      <c r="J135">
        <f>IFERROR(IF(MAXIFS(Documents!$E$2:$E$619,Documents!$A$2:$A$619,$A135,Documents!$C$2:$C$619,"dining_menu")=0,"",MAXIFS(Documents!$E$2:$E$619,Documents!$A$2:$A$619,$A135,Documents!$C$2:$C$619,"dining_menu")),"")</f>
        <v/>
      </c>
      <c r="K135">
        <f>IFERROR(IF(MAXIFS(Documents!$E$2:$E$619,Documents!$A$2:$A$619,$A135,Documents!$C$2:$C$619,"dive_prices")=0,"",MAXIFS(Documents!$E$2:$E$619,Documents!$A$2:$A$619,$A135,Documents!$C$2:$C$619,"dive_prices")),"")</f>
        <v/>
      </c>
      <c r="L135">
        <f>IFERROR(IF(MAXIFS(Documents!$E$2:$E$619,Documents!$A$2:$A$619,$A135,Documents!$C$2:$C$619,"excursions")=0,"",MAXIFS(Documents!$E$2:$E$619,Documents!$A$2:$A$619,$A135,Documents!$C$2:$C$619,"excursions")),"")</f>
        <v/>
      </c>
      <c r="M135">
        <f>IFERROR(IF(MAXIFS(Documents!$E$2:$E$619,Documents!$A$2:$A$619,$A135,Documents!$C$2:$C$619,"kids")=0,"",MAXIFS(Documents!$E$2:$E$619,Documents!$A$2:$A$619,$A135,Documents!$C$2:$C$619,"kids")),"")</f>
        <v/>
      </c>
      <c r="N135">
        <f>IFERROR(IF(MAXIFS(Documents!$E$2:$E$619,Documents!$A$2:$A$619,$A135,Documents!$C$2:$C$619,"villa_plans")=0,"",MAXIFS(Documents!$E$2:$E$619,Documents!$A$2:$A$619,$A135,Documents!$C$2:$C$619,"villa_plans")),"")</f>
        <v/>
      </c>
      <c r="O135">
        <f>IFERROR(IF(MAXIFS(Documents!$E$2:$E$619,Documents!$A$2:$A$619,$A135,Documents!$C$2:$C$619,"all_inclusive")=0,"",MAXIFS(Documents!$E$2:$E$619,Documents!$A$2:$A$619,$A135,Documents!$C$2:$C$619,"all_inclusive")),"")</f>
        <v/>
      </c>
      <c r="P135">
        <f>IFERROR(IF(MAXIFS(Documents!$E$2:$E$619,Documents!$A$2:$A$619,$A135,Documents!$C$2:$C$619,"sustainability")=0,"",MAXIFS(Documents!$E$2:$E$619,Documents!$A$2:$A$619,$A135,Documents!$C$2:$C$619,"sustainability")),"")</f>
        <v/>
      </c>
      <c r="Q135">
        <f>IFERROR(IF(MAXIFS(Documents!$E$2:$E$619,Documents!$A$2:$A$619,$A135,Documents!$C$2:$C$619,"calendar")=0,"",MAXIFS(Documents!$E$2:$E$619,Documents!$A$2:$A$619,$A135,Documents!$C$2:$C$619,"calendar")),"")</f>
        <v/>
      </c>
      <c r="R135">
        <f>IFERROR(IF(MAXIFS(Documents!$E$2:$E$619,Documents!$A$2:$A$619,$A135,Documents!$C$2:$C$619,"brochure")=0,"",MAXIFS(Documents!$E$2:$E$619,Documents!$A$2:$A$619,$A135,Documents!$C$2:$C$619,"brochure")),"")</f>
        <v/>
      </c>
      <c r="S135">
        <f>IFERROR(IF(MAXIFS(Documents!$E$2:$E$619,Documents!$A$2:$A$619,$A135,Documents!$C$2:$C$619,"press_kit")=0,"",MAXIFS(Documents!$E$2:$E$619,Documents!$A$2:$A$619,$A135,Documents!$C$2:$C$619,"press_kit")),"")</f>
        <v/>
      </c>
      <c r="T135">
        <f>IFERROR(IF(MAXIFS(Documents!$E$2:$E$619,Documents!$A$2:$A$619,$A135,Documents!$C$2:$C$619,"other")=0,"",MAXIFS(Documents!$E$2:$E$619,Documents!$A$2:$A$619,$A135,Documents!$C$2:$C$619,"other")),"")</f>
        <v/>
      </c>
      <c r="U135">
        <f>IFERROR(IF(MAXIFS(Documents!$E$2:$E$619,Documents!$A$2:$A$619,$A135,Documents!$C$2:$C$619,"obsolete")=0,"",MAXIFS(Documents!$E$2:$E$619,Documents!$A$2:$A$619,$A135,Documents!$C$2:$C$619,"obsolete")),"")</f>
        <v/>
      </c>
      <c r="V135">
        <f>COUNTIFS(Documents!$A$2:$A$619,$A135)</f>
        <v/>
      </c>
      <c r="W135">
        <f>COUNTIFS(Documents!$A$2:$A$619,$A135,Documents!$R$2:$R$619,"current")</f>
        <v/>
      </c>
      <c r="X135">
        <f>HYPERLINK("https://www.neoscapesmaldives.com/wp-content/uploads/The-St.-Regis-Maldives-Fact-Sheet.pdf","2021_The-St.-Regis-Maldives-Fact-Sheet.p")</f>
        <v/>
      </c>
      <c r="Y135" t="inlineStr">
        <is>
          <t>wedding, events</t>
        </is>
      </c>
      <c r="Z135" t="inlineStr"/>
    </row>
    <row r="136">
      <c r="A136" t="n">
        <v>135</v>
      </c>
      <c r="B136" t="inlineStr">
        <is>
          <t>Diamonds Thudufushi Beach and Water Villas</t>
        </is>
      </c>
      <c r="C136" t="inlineStr">
        <is>
          <t>not crawled</t>
        </is>
      </c>
      <c r="D136">
        <f>IFERROR(IF(MAXIFS(Documents!$E$2:$E$619,Documents!$A$2:$A$619,$A136,Documents!$C$2:$C$619,"factsheet")=0,"",MAXIFS(Documents!$E$2:$E$619,Documents!$A$2:$A$619,$A136,Documents!$C$2:$C$619,"factsheet")),"")</f>
        <v/>
      </c>
      <c r="E136">
        <f>IFERROR(IF(MAXIFS(Documents!$E$2:$E$619,Documents!$A$2:$A$619,$A136,Documents!$C$2:$C$619,"wedding")=0,"",MAXIFS(Documents!$E$2:$E$619,Documents!$A$2:$A$619,$A136,Documents!$C$2:$C$619,"wedding")),"")</f>
        <v/>
      </c>
      <c r="F136">
        <f>IFERROR(IF(MAXIFS(Documents!$E$2:$E$619,Documents!$A$2:$A$619,$A136,Documents!$C$2:$C$619,"events")=0,"",MAXIFS(Documents!$E$2:$E$619,Documents!$A$2:$A$619,$A136,Documents!$C$2:$C$619,"events")),"")</f>
        <v/>
      </c>
      <c r="G136">
        <f>IFERROR(IF(MAXIFS(Documents!$E$2:$E$619,Documents!$A$2:$A$619,$A136,Documents!$C$2:$C$619,"map")=0,"",MAXIFS(Documents!$E$2:$E$619,Documents!$A$2:$A$619,$A136,Documents!$C$2:$C$619,"map")),"")</f>
        <v/>
      </c>
      <c r="H136">
        <f>IFERROR(IF(MAXIFS(Documents!$E$2:$E$619,Documents!$A$2:$A$619,$A136,Documents!$C$2:$C$619,"dive_map")=0,"",MAXIFS(Documents!$E$2:$E$619,Documents!$A$2:$A$619,$A136,Documents!$C$2:$C$619,"dive_map")),"")</f>
        <v/>
      </c>
      <c r="I136">
        <f>IFERROR(IF(MAXIFS(Documents!$E$2:$E$619,Documents!$A$2:$A$619,$A136,Documents!$C$2:$C$619,"spa_menu")=0,"",MAXIFS(Documents!$E$2:$E$619,Documents!$A$2:$A$619,$A136,Documents!$C$2:$C$619,"spa_menu")),"")</f>
        <v/>
      </c>
      <c r="J136">
        <f>IFERROR(IF(MAXIFS(Documents!$E$2:$E$619,Documents!$A$2:$A$619,$A136,Documents!$C$2:$C$619,"dining_menu")=0,"",MAXIFS(Documents!$E$2:$E$619,Documents!$A$2:$A$619,$A136,Documents!$C$2:$C$619,"dining_menu")),"")</f>
        <v/>
      </c>
      <c r="K136">
        <f>IFERROR(IF(MAXIFS(Documents!$E$2:$E$619,Documents!$A$2:$A$619,$A136,Documents!$C$2:$C$619,"dive_prices")=0,"",MAXIFS(Documents!$E$2:$E$619,Documents!$A$2:$A$619,$A136,Documents!$C$2:$C$619,"dive_prices")),"")</f>
        <v/>
      </c>
      <c r="L136">
        <f>IFERROR(IF(MAXIFS(Documents!$E$2:$E$619,Documents!$A$2:$A$619,$A136,Documents!$C$2:$C$619,"excursions")=0,"",MAXIFS(Documents!$E$2:$E$619,Documents!$A$2:$A$619,$A136,Documents!$C$2:$C$619,"excursions")),"")</f>
        <v/>
      </c>
      <c r="M136">
        <f>IFERROR(IF(MAXIFS(Documents!$E$2:$E$619,Documents!$A$2:$A$619,$A136,Documents!$C$2:$C$619,"kids")=0,"",MAXIFS(Documents!$E$2:$E$619,Documents!$A$2:$A$619,$A136,Documents!$C$2:$C$619,"kids")),"")</f>
        <v/>
      </c>
      <c r="N136">
        <f>IFERROR(IF(MAXIFS(Documents!$E$2:$E$619,Documents!$A$2:$A$619,$A136,Documents!$C$2:$C$619,"villa_plans")=0,"",MAXIFS(Documents!$E$2:$E$619,Documents!$A$2:$A$619,$A136,Documents!$C$2:$C$619,"villa_plans")),"")</f>
        <v/>
      </c>
      <c r="O136">
        <f>IFERROR(IF(MAXIFS(Documents!$E$2:$E$619,Documents!$A$2:$A$619,$A136,Documents!$C$2:$C$619,"all_inclusive")=0,"",MAXIFS(Documents!$E$2:$E$619,Documents!$A$2:$A$619,$A136,Documents!$C$2:$C$619,"all_inclusive")),"")</f>
        <v/>
      </c>
      <c r="P136">
        <f>IFERROR(IF(MAXIFS(Documents!$E$2:$E$619,Documents!$A$2:$A$619,$A136,Documents!$C$2:$C$619,"sustainability")=0,"",MAXIFS(Documents!$E$2:$E$619,Documents!$A$2:$A$619,$A136,Documents!$C$2:$C$619,"sustainability")),"")</f>
        <v/>
      </c>
      <c r="Q136">
        <f>IFERROR(IF(MAXIFS(Documents!$E$2:$E$619,Documents!$A$2:$A$619,$A136,Documents!$C$2:$C$619,"calendar")=0,"",MAXIFS(Documents!$E$2:$E$619,Documents!$A$2:$A$619,$A136,Documents!$C$2:$C$619,"calendar")),"")</f>
        <v/>
      </c>
      <c r="R136">
        <f>IFERROR(IF(MAXIFS(Documents!$E$2:$E$619,Documents!$A$2:$A$619,$A136,Documents!$C$2:$C$619,"brochure")=0,"",MAXIFS(Documents!$E$2:$E$619,Documents!$A$2:$A$619,$A136,Documents!$C$2:$C$619,"brochure")),"")</f>
        <v/>
      </c>
      <c r="S136">
        <f>IFERROR(IF(MAXIFS(Documents!$E$2:$E$619,Documents!$A$2:$A$619,$A136,Documents!$C$2:$C$619,"press_kit")=0,"",MAXIFS(Documents!$E$2:$E$619,Documents!$A$2:$A$619,$A136,Documents!$C$2:$C$619,"press_kit")),"")</f>
        <v/>
      </c>
      <c r="T136">
        <f>IFERROR(IF(MAXIFS(Documents!$E$2:$E$619,Documents!$A$2:$A$619,$A136,Documents!$C$2:$C$619,"other")=0,"",MAXIFS(Documents!$E$2:$E$619,Documents!$A$2:$A$619,$A136,Documents!$C$2:$C$619,"other")),"")</f>
        <v/>
      </c>
      <c r="U136">
        <f>IFERROR(IF(MAXIFS(Documents!$E$2:$E$619,Documents!$A$2:$A$619,$A136,Documents!$C$2:$C$619,"obsolete")=0,"",MAXIFS(Documents!$E$2:$E$619,Documents!$A$2:$A$619,$A136,Documents!$C$2:$C$619,"obsolete")),"")</f>
        <v/>
      </c>
      <c r="V136">
        <f>COUNTIFS(Documents!$A$2:$A$619,$A136)</f>
        <v/>
      </c>
      <c r="W136">
        <f>COUNTIFS(Documents!$A$2:$A$619,$A136,Documents!$R$2:$R$619,"current")</f>
        <v/>
      </c>
      <c r="X136">
        <f>HYPERLINK("https://neoscapesmaldives.com/wp-content/uploads/Diamonds-Thudufushi-Fact-Sheet-2019.pdf","2019_Diamonds-Thudufushi-Fact-Sheet-2019")</f>
        <v/>
      </c>
      <c r="Y136" t="inlineStr">
        <is>
          <t>wedding, events</t>
        </is>
      </c>
      <c r="Z136" t="inlineStr"/>
    </row>
    <row r="137">
      <c r="A137" t="n">
        <v>136</v>
      </c>
      <c r="B137" t="inlineStr">
        <is>
          <t>Finolhu Baa Atoll Maldives</t>
        </is>
      </c>
      <c r="C137" t="inlineStr">
        <is>
          <t>not crawled</t>
        </is>
      </c>
      <c r="D137">
        <f>IFERROR(IF(MAXIFS(Documents!$E$2:$E$619,Documents!$A$2:$A$619,$A137,Documents!$C$2:$C$619,"factsheet")=0,"",MAXIFS(Documents!$E$2:$E$619,Documents!$A$2:$A$619,$A137,Documents!$C$2:$C$619,"factsheet")),"")</f>
        <v/>
      </c>
      <c r="E137">
        <f>IFERROR(IF(MAXIFS(Documents!$E$2:$E$619,Documents!$A$2:$A$619,$A137,Documents!$C$2:$C$619,"wedding")=0,"",MAXIFS(Documents!$E$2:$E$619,Documents!$A$2:$A$619,$A137,Documents!$C$2:$C$619,"wedding")),"")</f>
        <v/>
      </c>
      <c r="F137">
        <f>IFERROR(IF(MAXIFS(Documents!$E$2:$E$619,Documents!$A$2:$A$619,$A137,Documents!$C$2:$C$619,"events")=0,"",MAXIFS(Documents!$E$2:$E$619,Documents!$A$2:$A$619,$A137,Documents!$C$2:$C$619,"events")),"")</f>
        <v/>
      </c>
      <c r="G137">
        <f>IFERROR(IF(MAXIFS(Documents!$E$2:$E$619,Documents!$A$2:$A$619,$A137,Documents!$C$2:$C$619,"map")=0,"",MAXIFS(Documents!$E$2:$E$619,Documents!$A$2:$A$619,$A137,Documents!$C$2:$C$619,"map")),"")</f>
        <v/>
      </c>
      <c r="H137">
        <f>IFERROR(IF(MAXIFS(Documents!$E$2:$E$619,Documents!$A$2:$A$619,$A137,Documents!$C$2:$C$619,"dive_map")=0,"",MAXIFS(Documents!$E$2:$E$619,Documents!$A$2:$A$619,$A137,Documents!$C$2:$C$619,"dive_map")),"")</f>
        <v/>
      </c>
      <c r="I137">
        <f>IFERROR(IF(MAXIFS(Documents!$E$2:$E$619,Documents!$A$2:$A$619,$A137,Documents!$C$2:$C$619,"spa_menu")=0,"",MAXIFS(Documents!$E$2:$E$619,Documents!$A$2:$A$619,$A137,Documents!$C$2:$C$619,"spa_menu")),"")</f>
        <v/>
      </c>
      <c r="J137">
        <f>IFERROR(IF(MAXIFS(Documents!$E$2:$E$619,Documents!$A$2:$A$619,$A137,Documents!$C$2:$C$619,"dining_menu")=0,"",MAXIFS(Documents!$E$2:$E$619,Documents!$A$2:$A$619,$A137,Documents!$C$2:$C$619,"dining_menu")),"")</f>
        <v/>
      </c>
      <c r="K137">
        <f>IFERROR(IF(MAXIFS(Documents!$E$2:$E$619,Documents!$A$2:$A$619,$A137,Documents!$C$2:$C$619,"dive_prices")=0,"",MAXIFS(Documents!$E$2:$E$619,Documents!$A$2:$A$619,$A137,Documents!$C$2:$C$619,"dive_prices")),"")</f>
        <v/>
      </c>
      <c r="L137">
        <f>IFERROR(IF(MAXIFS(Documents!$E$2:$E$619,Documents!$A$2:$A$619,$A137,Documents!$C$2:$C$619,"excursions")=0,"",MAXIFS(Documents!$E$2:$E$619,Documents!$A$2:$A$619,$A137,Documents!$C$2:$C$619,"excursions")),"")</f>
        <v/>
      </c>
      <c r="M137">
        <f>IFERROR(IF(MAXIFS(Documents!$E$2:$E$619,Documents!$A$2:$A$619,$A137,Documents!$C$2:$C$619,"kids")=0,"",MAXIFS(Documents!$E$2:$E$619,Documents!$A$2:$A$619,$A137,Documents!$C$2:$C$619,"kids")),"")</f>
        <v/>
      </c>
      <c r="N137">
        <f>IFERROR(IF(MAXIFS(Documents!$E$2:$E$619,Documents!$A$2:$A$619,$A137,Documents!$C$2:$C$619,"villa_plans")=0,"",MAXIFS(Documents!$E$2:$E$619,Documents!$A$2:$A$619,$A137,Documents!$C$2:$C$619,"villa_plans")),"")</f>
        <v/>
      </c>
      <c r="O137">
        <f>IFERROR(IF(MAXIFS(Documents!$E$2:$E$619,Documents!$A$2:$A$619,$A137,Documents!$C$2:$C$619,"all_inclusive")=0,"",MAXIFS(Documents!$E$2:$E$619,Documents!$A$2:$A$619,$A137,Documents!$C$2:$C$619,"all_inclusive")),"")</f>
        <v/>
      </c>
      <c r="P137">
        <f>IFERROR(IF(MAXIFS(Documents!$E$2:$E$619,Documents!$A$2:$A$619,$A137,Documents!$C$2:$C$619,"sustainability")=0,"",MAXIFS(Documents!$E$2:$E$619,Documents!$A$2:$A$619,$A137,Documents!$C$2:$C$619,"sustainability")),"")</f>
        <v/>
      </c>
      <c r="Q137">
        <f>IFERROR(IF(MAXIFS(Documents!$E$2:$E$619,Documents!$A$2:$A$619,$A137,Documents!$C$2:$C$619,"calendar")=0,"",MAXIFS(Documents!$E$2:$E$619,Documents!$A$2:$A$619,$A137,Documents!$C$2:$C$619,"calendar")),"")</f>
        <v/>
      </c>
      <c r="R137">
        <f>IFERROR(IF(MAXIFS(Documents!$E$2:$E$619,Documents!$A$2:$A$619,$A137,Documents!$C$2:$C$619,"brochure")=0,"",MAXIFS(Documents!$E$2:$E$619,Documents!$A$2:$A$619,$A137,Documents!$C$2:$C$619,"brochure")),"")</f>
        <v/>
      </c>
      <c r="S137">
        <f>IFERROR(IF(MAXIFS(Documents!$E$2:$E$619,Documents!$A$2:$A$619,$A137,Documents!$C$2:$C$619,"press_kit")=0,"",MAXIFS(Documents!$E$2:$E$619,Documents!$A$2:$A$619,$A137,Documents!$C$2:$C$619,"press_kit")),"")</f>
        <v/>
      </c>
      <c r="T137">
        <f>IFERROR(IF(MAXIFS(Documents!$E$2:$E$619,Documents!$A$2:$A$619,$A137,Documents!$C$2:$C$619,"other")=0,"",MAXIFS(Documents!$E$2:$E$619,Documents!$A$2:$A$619,$A137,Documents!$C$2:$C$619,"other")),"")</f>
        <v/>
      </c>
      <c r="U137">
        <f>IFERROR(IF(MAXIFS(Documents!$E$2:$E$619,Documents!$A$2:$A$619,$A137,Documents!$C$2:$C$619,"obsolete")=0,"",MAXIFS(Documents!$E$2:$E$619,Documents!$A$2:$A$619,$A137,Documents!$C$2:$C$619,"obsolete")),"")</f>
        <v/>
      </c>
      <c r="V137">
        <f>COUNTIFS(Documents!$A$2:$A$619,$A137)</f>
        <v/>
      </c>
      <c r="W137">
        <f>COUNTIFS(Documents!$A$2:$A$619,$A137,Documents!$R$2:$R$619,"current")</f>
        <v/>
      </c>
      <c r="X137">
        <f>HYPERLINK("https://www.neoscapesmaldives.com/wp-content/uploads/Finolhu-2021FactSheet_English-1.pdf","2021_Finolhu-2021FactSheet_English-1.pdf")</f>
        <v/>
      </c>
      <c r="Y137" t="inlineStr">
        <is>
          <t>wedding</t>
        </is>
      </c>
      <c r="Z137" t="inlineStr"/>
    </row>
    <row r="138">
      <c r="A138" t="n">
        <v>137</v>
      </c>
      <c r="B138" t="inlineStr">
        <is>
          <t>Soneva Secret</t>
        </is>
      </c>
      <c r="C138" t="inlineStr">
        <is>
          <t>not crawled</t>
        </is>
      </c>
      <c r="D138">
        <f>IFERROR(IF(MAXIFS(Documents!$E$2:$E$619,Documents!$A$2:$A$619,$A138,Documents!$C$2:$C$619,"factsheet")=0,"",MAXIFS(Documents!$E$2:$E$619,Documents!$A$2:$A$619,$A138,Documents!$C$2:$C$619,"factsheet")),"")</f>
        <v/>
      </c>
      <c r="E138">
        <f>IFERROR(IF(MAXIFS(Documents!$E$2:$E$619,Documents!$A$2:$A$619,$A138,Documents!$C$2:$C$619,"wedding")=0,"",MAXIFS(Documents!$E$2:$E$619,Documents!$A$2:$A$619,$A138,Documents!$C$2:$C$619,"wedding")),"")</f>
        <v/>
      </c>
      <c r="F138">
        <f>IFERROR(IF(MAXIFS(Documents!$E$2:$E$619,Documents!$A$2:$A$619,$A138,Documents!$C$2:$C$619,"events")=0,"",MAXIFS(Documents!$E$2:$E$619,Documents!$A$2:$A$619,$A138,Documents!$C$2:$C$619,"events")),"")</f>
        <v/>
      </c>
      <c r="G138">
        <f>IFERROR(IF(MAXIFS(Documents!$E$2:$E$619,Documents!$A$2:$A$619,$A138,Documents!$C$2:$C$619,"map")=0,"",MAXIFS(Documents!$E$2:$E$619,Documents!$A$2:$A$619,$A138,Documents!$C$2:$C$619,"map")),"")</f>
        <v/>
      </c>
      <c r="H138">
        <f>IFERROR(IF(MAXIFS(Documents!$E$2:$E$619,Documents!$A$2:$A$619,$A138,Documents!$C$2:$C$619,"dive_map")=0,"",MAXIFS(Documents!$E$2:$E$619,Documents!$A$2:$A$619,$A138,Documents!$C$2:$C$619,"dive_map")),"")</f>
        <v/>
      </c>
      <c r="I138">
        <f>IFERROR(IF(MAXIFS(Documents!$E$2:$E$619,Documents!$A$2:$A$619,$A138,Documents!$C$2:$C$619,"spa_menu")=0,"",MAXIFS(Documents!$E$2:$E$619,Documents!$A$2:$A$619,$A138,Documents!$C$2:$C$619,"spa_menu")),"")</f>
        <v/>
      </c>
      <c r="J138">
        <f>IFERROR(IF(MAXIFS(Documents!$E$2:$E$619,Documents!$A$2:$A$619,$A138,Documents!$C$2:$C$619,"dining_menu")=0,"",MAXIFS(Documents!$E$2:$E$619,Documents!$A$2:$A$619,$A138,Documents!$C$2:$C$619,"dining_menu")),"")</f>
        <v/>
      </c>
      <c r="K138">
        <f>IFERROR(IF(MAXIFS(Documents!$E$2:$E$619,Documents!$A$2:$A$619,$A138,Documents!$C$2:$C$619,"dive_prices")=0,"",MAXIFS(Documents!$E$2:$E$619,Documents!$A$2:$A$619,$A138,Documents!$C$2:$C$619,"dive_prices")),"")</f>
        <v/>
      </c>
      <c r="L138">
        <f>IFERROR(IF(MAXIFS(Documents!$E$2:$E$619,Documents!$A$2:$A$619,$A138,Documents!$C$2:$C$619,"excursions")=0,"",MAXIFS(Documents!$E$2:$E$619,Documents!$A$2:$A$619,$A138,Documents!$C$2:$C$619,"excursions")),"")</f>
        <v/>
      </c>
      <c r="M138">
        <f>IFERROR(IF(MAXIFS(Documents!$E$2:$E$619,Documents!$A$2:$A$619,$A138,Documents!$C$2:$C$619,"kids")=0,"",MAXIFS(Documents!$E$2:$E$619,Documents!$A$2:$A$619,$A138,Documents!$C$2:$C$619,"kids")),"")</f>
        <v/>
      </c>
      <c r="N138">
        <f>IFERROR(IF(MAXIFS(Documents!$E$2:$E$619,Documents!$A$2:$A$619,$A138,Documents!$C$2:$C$619,"villa_plans")=0,"",MAXIFS(Documents!$E$2:$E$619,Documents!$A$2:$A$619,$A138,Documents!$C$2:$C$619,"villa_plans")),"")</f>
        <v/>
      </c>
      <c r="O138">
        <f>IFERROR(IF(MAXIFS(Documents!$E$2:$E$619,Documents!$A$2:$A$619,$A138,Documents!$C$2:$C$619,"all_inclusive")=0,"",MAXIFS(Documents!$E$2:$E$619,Documents!$A$2:$A$619,$A138,Documents!$C$2:$C$619,"all_inclusive")),"")</f>
        <v/>
      </c>
      <c r="P138">
        <f>IFERROR(IF(MAXIFS(Documents!$E$2:$E$619,Documents!$A$2:$A$619,$A138,Documents!$C$2:$C$619,"sustainability")=0,"",MAXIFS(Documents!$E$2:$E$619,Documents!$A$2:$A$619,$A138,Documents!$C$2:$C$619,"sustainability")),"")</f>
        <v/>
      </c>
      <c r="Q138">
        <f>IFERROR(IF(MAXIFS(Documents!$E$2:$E$619,Documents!$A$2:$A$619,$A138,Documents!$C$2:$C$619,"calendar")=0,"",MAXIFS(Documents!$E$2:$E$619,Documents!$A$2:$A$619,$A138,Documents!$C$2:$C$619,"calendar")),"")</f>
        <v/>
      </c>
      <c r="R138">
        <f>IFERROR(IF(MAXIFS(Documents!$E$2:$E$619,Documents!$A$2:$A$619,$A138,Documents!$C$2:$C$619,"brochure")=0,"",MAXIFS(Documents!$E$2:$E$619,Documents!$A$2:$A$619,$A138,Documents!$C$2:$C$619,"brochure")),"")</f>
        <v/>
      </c>
      <c r="S138">
        <f>IFERROR(IF(MAXIFS(Documents!$E$2:$E$619,Documents!$A$2:$A$619,$A138,Documents!$C$2:$C$619,"press_kit")=0,"",MAXIFS(Documents!$E$2:$E$619,Documents!$A$2:$A$619,$A138,Documents!$C$2:$C$619,"press_kit")),"")</f>
        <v/>
      </c>
      <c r="T138">
        <f>IFERROR(IF(MAXIFS(Documents!$E$2:$E$619,Documents!$A$2:$A$619,$A138,Documents!$C$2:$C$619,"other")=0,"",MAXIFS(Documents!$E$2:$E$619,Documents!$A$2:$A$619,$A138,Documents!$C$2:$C$619,"other")),"")</f>
        <v/>
      </c>
      <c r="U138">
        <f>IFERROR(IF(MAXIFS(Documents!$E$2:$E$619,Documents!$A$2:$A$619,$A138,Documents!$C$2:$C$619,"obsolete")=0,"",MAXIFS(Documents!$E$2:$E$619,Documents!$A$2:$A$619,$A138,Documents!$C$2:$C$619,"obsolete")),"")</f>
        <v/>
      </c>
      <c r="V138">
        <f>COUNTIFS(Documents!$A$2:$A$619,$A138)</f>
        <v/>
      </c>
      <c r="W138">
        <f>COUNTIFS(Documents!$A$2:$A$619,$A138,Documents!$R$2:$R$619,"current")</f>
        <v/>
      </c>
      <c r="X138" t="inlineStr"/>
      <c r="Y138" t="inlineStr">
        <is>
          <t>factsheet, wedding, events</t>
        </is>
      </c>
      <c r="Z138" t="inlineStr"/>
    </row>
    <row r="139">
      <c r="A139" t="n">
        <v>138</v>
      </c>
      <c r="B139" t="inlineStr">
        <is>
          <t>Varu Island Resort</t>
        </is>
      </c>
      <c r="C139" t="inlineStr">
        <is>
          <t>not crawled</t>
        </is>
      </c>
      <c r="D139">
        <f>IFERROR(IF(MAXIFS(Documents!$E$2:$E$619,Documents!$A$2:$A$619,$A139,Documents!$C$2:$C$619,"factsheet")=0,"",MAXIFS(Documents!$E$2:$E$619,Documents!$A$2:$A$619,$A139,Documents!$C$2:$C$619,"factsheet")),"")</f>
        <v/>
      </c>
      <c r="E139">
        <f>IFERROR(IF(MAXIFS(Documents!$E$2:$E$619,Documents!$A$2:$A$619,$A139,Documents!$C$2:$C$619,"wedding")=0,"",MAXIFS(Documents!$E$2:$E$619,Documents!$A$2:$A$619,$A139,Documents!$C$2:$C$619,"wedding")),"")</f>
        <v/>
      </c>
      <c r="F139">
        <f>IFERROR(IF(MAXIFS(Documents!$E$2:$E$619,Documents!$A$2:$A$619,$A139,Documents!$C$2:$C$619,"events")=0,"",MAXIFS(Documents!$E$2:$E$619,Documents!$A$2:$A$619,$A139,Documents!$C$2:$C$619,"events")),"")</f>
        <v/>
      </c>
      <c r="G139">
        <f>IFERROR(IF(MAXIFS(Documents!$E$2:$E$619,Documents!$A$2:$A$619,$A139,Documents!$C$2:$C$619,"map")=0,"",MAXIFS(Documents!$E$2:$E$619,Documents!$A$2:$A$619,$A139,Documents!$C$2:$C$619,"map")),"")</f>
        <v/>
      </c>
      <c r="H139">
        <f>IFERROR(IF(MAXIFS(Documents!$E$2:$E$619,Documents!$A$2:$A$619,$A139,Documents!$C$2:$C$619,"dive_map")=0,"",MAXIFS(Documents!$E$2:$E$619,Documents!$A$2:$A$619,$A139,Documents!$C$2:$C$619,"dive_map")),"")</f>
        <v/>
      </c>
      <c r="I139">
        <f>IFERROR(IF(MAXIFS(Documents!$E$2:$E$619,Documents!$A$2:$A$619,$A139,Documents!$C$2:$C$619,"spa_menu")=0,"",MAXIFS(Documents!$E$2:$E$619,Documents!$A$2:$A$619,$A139,Documents!$C$2:$C$619,"spa_menu")),"")</f>
        <v/>
      </c>
      <c r="J139">
        <f>IFERROR(IF(MAXIFS(Documents!$E$2:$E$619,Documents!$A$2:$A$619,$A139,Documents!$C$2:$C$619,"dining_menu")=0,"",MAXIFS(Documents!$E$2:$E$619,Documents!$A$2:$A$619,$A139,Documents!$C$2:$C$619,"dining_menu")),"")</f>
        <v/>
      </c>
      <c r="K139">
        <f>IFERROR(IF(MAXIFS(Documents!$E$2:$E$619,Documents!$A$2:$A$619,$A139,Documents!$C$2:$C$619,"dive_prices")=0,"",MAXIFS(Documents!$E$2:$E$619,Documents!$A$2:$A$619,$A139,Documents!$C$2:$C$619,"dive_prices")),"")</f>
        <v/>
      </c>
      <c r="L139">
        <f>IFERROR(IF(MAXIFS(Documents!$E$2:$E$619,Documents!$A$2:$A$619,$A139,Documents!$C$2:$C$619,"excursions")=0,"",MAXIFS(Documents!$E$2:$E$619,Documents!$A$2:$A$619,$A139,Documents!$C$2:$C$619,"excursions")),"")</f>
        <v/>
      </c>
      <c r="M139">
        <f>IFERROR(IF(MAXIFS(Documents!$E$2:$E$619,Documents!$A$2:$A$619,$A139,Documents!$C$2:$C$619,"kids")=0,"",MAXIFS(Documents!$E$2:$E$619,Documents!$A$2:$A$619,$A139,Documents!$C$2:$C$619,"kids")),"")</f>
        <v/>
      </c>
      <c r="N139">
        <f>IFERROR(IF(MAXIFS(Documents!$E$2:$E$619,Documents!$A$2:$A$619,$A139,Documents!$C$2:$C$619,"villa_plans")=0,"",MAXIFS(Documents!$E$2:$E$619,Documents!$A$2:$A$619,$A139,Documents!$C$2:$C$619,"villa_plans")),"")</f>
        <v/>
      </c>
      <c r="O139">
        <f>IFERROR(IF(MAXIFS(Documents!$E$2:$E$619,Documents!$A$2:$A$619,$A139,Documents!$C$2:$C$619,"all_inclusive")=0,"",MAXIFS(Documents!$E$2:$E$619,Documents!$A$2:$A$619,$A139,Documents!$C$2:$C$619,"all_inclusive")),"")</f>
        <v/>
      </c>
      <c r="P139">
        <f>IFERROR(IF(MAXIFS(Documents!$E$2:$E$619,Documents!$A$2:$A$619,$A139,Documents!$C$2:$C$619,"sustainability")=0,"",MAXIFS(Documents!$E$2:$E$619,Documents!$A$2:$A$619,$A139,Documents!$C$2:$C$619,"sustainability")),"")</f>
        <v/>
      </c>
      <c r="Q139">
        <f>IFERROR(IF(MAXIFS(Documents!$E$2:$E$619,Documents!$A$2:$A$619,$A139,Documents!$C$2:$C$619,"calendar")=0,"",MAXIFS(Documents!$E$2:$E$619,Documents!$A$2:$A$619,$A139,Documents!$C$2:$C$619,"calendar")),"")</f>
        <v/>
      </c>
      <c r="R139">
        <f>IFERROR(IF(MAXIFS(Documents!$E$2:$E$619,Documents!$A$2:$A$619,$A139,Documents!$C$2:$C$619,"brochure")=0,"",MAXIFS(Documents!$E$2:$E$619,Documents!$A$2:$A$619,$A139,Documents!$C$2:$C$619,"brochure")),"")</f>
        <v/>
      </c>
      <c r="S139">
        <f>IFERROR(IF(MAXIFS(Documents!$E$2:$E$619,Documents!$A$2:$A$619,$A139,Documents!$C$2:$C$619,"press_kit")=0,"",MAXIFS(Documents!$E$2:$E$619,Documents!$A$2:$A$619,$A139,Documents!$C$2:$C$619,"press_kit")),"")</f>
        <v/>
      </c>
      <c r="T139">
        <f>IFERROR(IF(MAXIFS(Documents!$E$2:$E$619,Documents!$A$2:$A$619,$A139,Documents!$C$2:$C$619,"other")=0,"",MAXIFS(Documents!$E$2:$E$619,Documents!$A$2:$A$619,$A139,Documents!$C$2:$C$619,"other")),"")</f>
        <v/>
      </c>
      <c r="U139">
        <f>IFERROR(IF(MAXIFS(Documents!$E$2:$E$619,Documents!$A$2:$A$619,$A139,Documents!$C$2:$C$619,"obsolete")=0,"",MAXIFS(Documents!$E$2:$E$619,Documents!$A$2:$A$619,$A139,Documents!$C$2:$C$619,"obsolete")),"")</f>
        <v/>
      </c>
      <c r="V139">
        <f>COUNTIFS(Documents!$A$2:$A$619,$A139)</f>
        <v/>
      </c>
      <c r="W139">
        <f>COUNTIFS(Documents!$A$2:$A$619,$A139,Documents!$R$2:$R$619,"current")</f>
        <v/>
      </c>
      <c r="X139" t="inlineStr"/>
      <c r="Y139" t="inlineStr">
        <is>
          <t>factsheet, wedding, events</t>
        </is>
      </c>
      <c r="Z139" t="inlineStr"/>
    </row>
    <row r="140">
      <c r="A140" t="n">
        <v>139</v>
      </c>
      <c r="B140" t="inlineStr">
        <is>
          <t>Kudafushi Resort &amp; Spa</t>
        </is>
      </c>
      <c r="C140" t="inlineStr">
        <is>
          <t>not crawled</t>
        </is>
      </c>
      <c r="D140">
        <f>IFERROR(IF(MAXIFS(Documents!$E$2:$E$619,Documents!$A$2:$A$619,$A140,Documents!$C$2:$C$619,"factsheet")=0,"",MAXIFS(Documents!$E$2:$E$619,Documents!$A$2:$A$619,$A140,Documents!$C$2:$C$619,"factsheet")),"")</f>
        <v/>
      </c>
      <c r="E140">
        <f>IFERROR(IF(MAXIFS(Documents!$E$2:$E$619,Documents!$A$2:$A$619,$A140,Documents!$C$2:$C$619,"wedding")=0,"",MAXIFS(Documents!$E$2:$E$619,Documents!$A$2:$A$619,$A140,Documents!$C$2:$C$619,"wedding")),"")</f>
        <v/>
      </c>
      <c r="F140">
        <f>IFERROR(IF(MAXIFS(Documents!$E$2:$E$619,Documents!$A$2:$A$619,$A140,Documents!$C$2:$C$619,"events")=0,"",MAXIFS(Documents!$E$2:$E$619,Documents!$A$2:$A$619,$A140,Documents!$C$2:$C$619,"events")),"")</f>
        <v/>
      </c>
      <c r="G140">
        <f>IFERROR(IF(MAXIFS(Documents!$E$2:$E$619,Documents!$A$2:$A$619,$A140,Documents!$C$2:$C$619,"map")=0,"",MAXIFS(Documents!$E$2:$E$619,Documents!$A$2:$A$619,$A140,Documents!$C$2:$C$619,"map")),"")</f>
        <v/>
      </c>
      <c r="H140">
        <f>IFERROR(IF(MAXIFS(Documents!$E$2:$E$619,Documents!$A$2:$A$619,$A140,Documents!$C$2:$C$619,"dive_map")=0,"",MAXIFS(Documents!$E$2:$E$619,Documents!$A$2:$A$619,$A140,Documents!$C$2:$C$619,"dive_map")),"")</f>
        <v/>
      </c>
      <c r="I140">
        <f>IFERROR(IF(MAXIFS(Documents!$E$2:$E$619,Documents!$A$2:$A$619,$A140,Documents!$C$2:$C$619,"spa_menu")=0,"",MAXIFS(Documents!$E$2:$E$619,Documents!$A$2:$A$619,$A140,Documents!$C$2:$C$619,"spa_menu")),"")</f>
        <v/>
      </c>
      <c r="J140">
        <f>IFERROR(IF(MAXIFS(Documents!$E$2:$E$619,Documents!$A$2:$A$619,$A140,Documents!$C$2:$C$619,"dining_menu")=0,"",MAXIFS(Documents!$E$2:$E$619,Documents!$A$2:$A$619,$A140,Documents!$C$2:$C$619,"dining_menu")),"")</f>
        <v/>
      </c>
      <c r="K140">
        <f>IFERROR(IF(MAXIFS(Documents!$E$2:$E$619,Documents!$A$2:$A$619,$A140,Documents!$C$2:$C$619,"dive_prices")=0,"",MAXIFS(Documents!$E$2:$E$619,Documents!$A$2:$A$619,$A140,Documents!$C$2:$C$619,"dive_prices")),"")</f>
        <v/>
      </c>
      <c r="L140">
        <f>IFERROR(IF(MAXIFS(Documents!$E$2:$E$619,Documents!$A$2:$A$619,$A140,Documents!$C$2:$C$619,"excursions")=0,"",MAXIFS(Documents!$E$2:$E$619,Documents!$A$2:$A$619,$A140,Documents!$C$2:$C$619,"excursions")),"")</f>
        <v/>
      </c>
      <c r="M140">
        <f>IFERROR(IF(MAXIFS(Documents!$E$2:$E$619,Documents!$A$2:$A$619,$A140,Documents!$C$2:$C$619,"kids")=0,"",MAXIFS(Documents!$E$2:$E$619,Documents!$A$2:$A$619,$A140,Documents!$C$2:$C$619,"kids")),"")</f>
        <v/>
      </c>
      <c r="N140">
        <f>IFERROR(IF(MAXIFS(Documents!$E$2:$E$619,Documents!$A$2:$A$619,$A140,Documents!$C$2:$C$619,"villa_plans")=0,"",MAXIFS(Documents!$E$2:$E$619,Documents!$A$2:$A$619,$A140,Documents!$C$2:$C$619,"villa_plans")),"")</f>
        <v/>
      </c>
      <c r="O140">
        <f>IFERROR(IF(MAXIFS(Documents!$E$2:$E$619,Documents!$A$2:$A$619,$A140,Documents!$C$2:$C$619,"all_inclusive")=0,"",MAXIFS(Documents!$E$2:$E$619,Documents!$A$2:$A$619,$A140,Documents!$C$2:$C$619,"all_inclusive")),"")</f>
        <v/>
      </c>
      <c r="P140">
        <f>IFERROR(IF(MAXIFS(Documents!$E$2:$E$619,Documents!$A$2:$A$619,$A140,Documents!$C$2:$C$619,"sustainability")=0,"",MAXIFS(Documents!$E$2:$E$619,Documents!$A$2:$A$619,$A140,Documents!$C$2:$C$619,"sustainability")),"")</f>
        <v/>
      </c>
      <c r="Q140">
        <f>IFERROR(IF(MAXIFS(Documents!$E$2:$E$619,Documents!$A$2:$A$619,$A140,Documents!$C$2:$C$619,"calendar")=0,"",MAXIFS(Documents!$E$2:$E$619,Documents!$A$2:$A$619,$A140,Documents!$C$2:$C$619,"calendar")),"")</f>
        <v/>
      </c>
      <c r="R140">
        <f>IFERROR(IF(MAXIFS(Documents!$E$2:$E$619,Documents!$A$2:$A$619,$A140,Documents!$C$2:$C$619,"brochure")=0,"",MAXIFS(Documents!$E$2:$E$619,Documents!$A$2:$A$619,$A140,Documents!$C$2:$C$619,"brochure")),"")</f>
        <v/>
      </c>
      <c r="S140">
        <f>IFERROR(IF(MAXIFS(Documents!$E$2:$E$619,Documents!$A$2:$A$619,$A140,Documents!$C$2:$C$619,"press_kit")=0,"",MAXIFS(Documents!$E$2:$E$619,Documents!$A$2:$A$619,$A140,Documents!$C$2:$C$619,"press_kit")),"")</f>
        <v/>
      </c>
      <c r="T140">
        <f>IFERROR(IF(MAXIFS(Documents!$E$2:$E$619,Documents!$A$2:$A$619,$A140,Documents!$C$2:$C$619,"other")=0,"",MAXIFS(Documents!$E$2:$E$619,Documents!$A$2:$A$619,$A140,Documents!$C$2:$C$619,"other")),"")</f>
        <v/>
      </c>
      <c r="U140">
        <f>IFERROR(IF(MAXIFS(Documents!$E$2:$E$619,Documents!$A$2:$A$619,$A140,Documents!$C$2:$C$619,"obsolete")=0,"",MAXIFS(Documents!$E$2:$E$619,Documents!$A$2:$A$619,$A140,Documents!$C$2:$C$619,"obsolete")),"")</f>
        <v/>
      </c>
      <c r="V140">
        <f>COUNTIFS(Documents!$A$2:$A$619,$A140)</f>
        <v/>
      </c>
      <c r="W140">
        <f>COUNTIFS(Documents!$A$2:$A$619,$A140,Documents!$R$2:$R$619,"current")</f>
        <v/>
      </c>
      <c r="X140">
        <f>HYPERLINK("https://www.neoscapesmaldives.com/wp-content/uploads/KUDAFUSHI_FACTSHEET.pdf","2019_KUDAFUSHI_FACTSHEET.pdf")</f>
        <v/>
      </c>
      <c r="Y140" t="inlineStr">
        <is>
          <t>wedding, events</t>
        </is>
      </c>
      <c r="Z140" t="inlineStr"/>
    </row>
    <row r="141">
      <c r="A141" t="n">
        <v>140</v>
      </c>
      <c r="B141" t="inlineStr">
        <is>
          <t>The Standard Huruvalhi Maldives</t>
        </is>
      </c>
      <c r="C141" t="inlineStr">
        <is>
          <t>not crawled</t>
        </is>
      </c>
      <c r="D141">
        <f>IFERROR(IF(MAXIFS(Documents!$E$2:$E$619,Documents!$A$2:$A$619,$A141,Documents!$C$2:$C$619,"factsheet")=0,"",MAXIFS(Documents!$E$2:$E$619,Documents!$A$2:$A$619,$A141,Documents!$C$2:$C$619,"factsheet")),"")</f>
        <v/>
      </c>
      <c r="E141">
        <f>IFERROR(IF(MAXIFS(Documents!$E$2:$E$619,Documents!$A$2:$A$619,$A141,Documents!$C$2:$C$619,"wedding")=0,"",MAXIFS(Documents!$E$2:$E$619,Documents!$A$2:$A$619,$A141,Documents!$C$2:$C$619,"wedding")),"")</f>
        <v/>
      </c>
      <c r="F141">
        <f>IFERROR(IF(MAXIFS(Documents!$E$2:$E$619,Documents!$A$2:$A$619,$A141,Documents!$C$2:$C$619,"events")=0,"",MAXIFS(Documents!$E$2:$E$619,Documents!$A$2:$A$619,$A141,Documents!$C$2:$C$619,"events")),"")</f>
        <v/>
      </c>
      <c r="G141">
        <f>IFERROR(IF(MAXIFS(Documents!$E$2:$E$619,Documents!$A$2:$A$619,$A141,Documents!$C$2:$C$619,"map")=0,"",MAXIFS(Documents!$E$2:$E$619,Documents!$A$2:$A$619,$A141,Documents!$C$2:$C$619,"map")),"")</f>
        <v/>
      </c>
      <c r="H141">
        <f>IFERROR(IF(MAXIFS(Documents!$E$2:$E$619,Documents!$A$2:$A$619,$A141,Documents!$C$2:$C$619,"dive_map")=0,"",MAXIFS(Documents!$E$2:$E$619,Documents!$A$2:$A$619,$A141,Documents!$C$2:$C$619,"dive_map")),"")</f>
        <v/>
      </c>
      <c r="I141">
        <f>IFERROR(IF(MAXIFS(Documents!$E$2:$E$619,Documents!$A$2:$A$619,$A141,Documents!$C$2:$C$619,"spa_menu")=0,"",MAXIFS(Documents!$E$2:$E$619,Documents!$A$2:$A$619,$A141,Documents!$C$2:$C$619,"spa_menu")),"")</f>
        <v/>
      </c>
      <c r="J141">
        <f>IFERROR(IF(MAXIFS(Documents!$E$2:$E$619,Documents!$A$2:$A$619,$A141,Documents!$C$2:$C$619,"dining_menu")=0,"",MAXIFS(Documents!$E$2:$E$619,Documents!$A$2:$A$619,$A141,Documents!$C$2:$C$619,"dining_menu")),"")</f>
        <v/>
      </c>
      <c r="K141">
        <f>IFERROR(IF(MAXIFS(Documents!$E$2:$E$619,Documents!$A$2:$A$619,$A141,Documents!$C$2:$C$619,"dive_prices")=0,"",MAXIFS(Documents!$E$2:$E$619,Documents!$A$2:$A$619,$A141,Documents!$C$2:$C$619,"dive_prices")),"")</f>
        <v/>
      </c>
      <c r="L141">
        <f>IFERROR(IF(MAXIFS(Documents!$E$2:$E$619,Documents!$A$2:$A$619,$A141,Documents!$C$2:$C$619,"excursions")=0,"",MAXIFS(Documents!$E$2:$E$619,Documents!$A$2:$A$619,$A141,Documents!$C$2:$C$619,"excursions")),"")</f>
        <v/>
      </c>
      <c r="M141">
        <f>IFERROR(IF(MAXIFS(Documents!$E$2:$E$619,Documents!$A$2:$A$619,$A141,Documents!$C$2:$C$619,"kids")=0,"",MAXIFS(Documents!$E$2:$E$619,Documents!$A$2:$A$619,$A141,Documents!$C$2:$C$619,"kids")),"")</f>
        <v/>
      </c>
      <c r="N141">
        <f>IFERROR(IF(MAXIFS(Documents!$E$2:$E$619,Documents!$A$2:$A$619,$A141,Documents!$C$2:$C$619,"villa_plans")=0,"",MAXIFS(Documents!$E$2:$E$619,Documents!$A$2:$A$619,$A141,Documents!$C$2:$C$619,"villa_plans")),"")</f>
        <v/>
      </c>
      <c r="O141">
        <f>IFERROR(IF(MAXIFS(Documents!$E$2:$E$619,Documents!$A$2:$A$619,$A141,Documents!$C$2:$C$619,"all_inclusive")=0,"",MAXIFS(Documents!$E$2:$E$619,Documents!$A$2:$A$619,$A141,Documents!$C$2:$C$619,"all_inclusive")),"")</f>
        <v/>
      </c>
      <c r="P141">
        <f>IFERROR(IF(MAXIFS(Documents!$E$2:$E$619,Documents!$A$2:$A$619,$A141,Documents!$C$2:$C$619,"sustainability")=0,"",MAXIFS(Documents!$E$2:$E$619,Documents!$A$2:$A$619,$A141,Documents!$C$2:$C$619,"sustainability")),"")</f>
        <v/>
      </c>
      <c r="Q141">
        <f>IFERROR(IF(MAXIFS(Documents!$E$2:$E$619,Documents!$A$2:$A$619,$A141,Documents!$C$2:$C$619,"calendar")=0,"",MAXIFS(Documents!$E$2:$E$619,Documents!$A$2:$A$619,$A141,Documents!$C$2:$C$619,"calendar")),"")</f>
        <v/>
      </c>
      <c r="R141">
        <f>IFERROR(IF(MAXIFS(Documents!$E$2:$E$619,Documents!$A$2:$A$619,$A141,Documents!$C$2:$C$619,"brochure")=0,"",MAXIFS(Documents!$E$2:$E$619,Documents!$A$2:$A$619,$A141,Documents!$C$2:$C$619,"brochure")),"")</f>
        <v/>
      </c>
      <c r="S141">
        <f>IFERROR(IF(MAXIFS(Documents!$E$2:$E$619,Documents!$A$2:$A$619,$A141,Documents!$C$2:$C$619,"press_kit")=0,"",MAXIFS(Documents!$E$2:$E$619,Documents!$A$2:$A$619,$A141,Documents!$C$2:$C$619,"press_kit")),"")</f>
        <v/>
      </c>
      <c r="T141">
        <f>IFERROR(IF(MAXIFS(Documents!$E$2:$E$619,Documents!$A$2:$A$619,$A141,Documents!$C$2:$C$619,"other")=0,"",MAXIFS(Documents!$E$2:$E$619,Documents!$A$2:$A$619,$A141,Documents!$C$2:$C$619,"other")),"")</f>
        <v/>
      </c>
      <c r="U141">
        <f>IFERROR(IF(MAXIFS(Documents!$E$2:$E$619,Documents!$A$2:$A$619,$A141,Documents!$C$2:$C$619,"obsolete")=0,"",MAXIFS(Documents!$E$2:$E$619,Documents!$A$2:$A$619,$A141,Documents!$C$2:$C$619,"obsolete")),"")</f>
        <v/>
      </c>
      <c r="V141">
        <f>COUNTIFS(Documents!$A$2:$A$619,$A141)</f>
        <v/>
      </c>
      <c r="W141">
        <f>COUNTIFS(Documents!$A$2:$A$619,$A141,Documents!$R$2:$R$619,"current")</f>
        <v/>
      </c>
      <c r="X141">
        <f>HYPERLINK("https://www.neoscapesmaldives.com/wp-content/uploads/STMV_Factsheet__Eng-.pdf","2025_STMV_Factsheet__Eng-.pdf")</f>
        <v/>
      </c>
      <c r="Y141" t="inlineStr">
        <is>
          <t>wedding, events</t>
        </is>
      </c>
      <c r="Z141" t="inlineStr"/>
    </row>
    <row r="142">
      <c r="A142" t="n">
        <v>141</v>
      </c>
      <c r="B142" t="inlineStr">
        <is>
          <t>Soneva Fushi Resort</t>
        </is>
      </c>
      <c r="C142" t="inlineStr">
        <is>
          <t>not crawled</t>
        </is>
      </c>
      <c r="D142">
        <f>IFERROR(IF(MAXIFS(Documents!$E$2:$E$619,Documents!$A$2:$A$619,$A142,Documents!$C$2:$C$619,"factsheet")=0,"",MAXIFS(Documents!$E$2:$E$619,Documents!$A$2:$A$619,$A142,Documents!$C$2:$C$619,"factsheet")),"")</f>
        <v/>
      </c>
      <c r="E142">
        <f>IFERROR(IF(MAXIFS(Documents!$E$2:$E$619,Documents!$A$2:$A$619,$A142,Documents!$C$2:$C$619,"wedding")=0,"",MAXIFS(Documents!$E$2:$E$619,Documents!$A$2:$A$619,$A142,Documents!$C$2:$C$619,"wedding")),"")</f>
        <v/>
      </c>
      <c r="F142">
        <f>IFERROR(IF(MAXIFS(Documents!$E$2:$E$619,Documents!$A$2:$A$619,$A142,Documents!$C$2:$C$619,"events")=0,"",MAXIFS(Documents!$E$2:$E$619,Documents!$A$2:$A$619,$A142,Documents!$C$2:$C$619,"events")),"")</f>
        <v/>
      </c>
      <c r="G142">
        <f>IFERROR(IF(MAXIFS(Documents!$E$2:$E$619,Documents!$A$2:$A$619,$A142,Documents!$C$2:$C$619,"map")=0,"",MAXIFS(Documents!$E$2:$E$619,Documents!$A$2:$A$619,$A142,Documents!$C$2:$C$619,"map")),"")</f>
        <v/>
      </c>
      <c r="H142">
        <f>IFERROR(IF(MAXIFS(Documents!$E$2:$E$619,Documents!$A$2:$A$619,$A142,Documents!$C$2:$C$619,"dive_map")=0,"",MAXIFS(Documents!$E$2:$E$619,Documents!$A$2:$A$619,$A142,Documents!$C$2:$C$619,"dive_map")),"")</f>
        <v/>
      </c>
      <c r="I142">
        <f>IFERROR(IF(MAXIFS(Documents!$E$2:$E$619,Documents!$A$2:$A$619,$A142,Documents!$C$2:$C$619,"spa_menu")=0,"",MAXIFS(Documents!$E$2:$E$619,Documents!$A$2:$A$619,$A142,Documents!$C$2:$C$619,"spa_menu")),"")</f>
        <v/>
      </c>
      <c r="J142">
        <f>IFERROR(IF(MAXIFS(Documents!$E$2:$E$619,Documents!$A$2:$A$619,$A142,Documents!$C$2:$C$619,"dining_menu")=0,"",MAXIFS(Documents!$E$2:$E$619,Documents!$A$2:$A$619,$A142,Documents!$C$2:$C$619,"dining_menu")),"")</f>
        <v/>
      </c>
      <c r="K142">
        <f>IFERROR(IF(MAXIFS(Documents!$E$2:$E$619,Documents!$A$2:$A$619,$A142,Documents!$C$2:$C$619,"dive_prices")=0,"",MAXIFS(Documents!$E$2:$E$619,Documents!$A$2:$A$619,$A142,Documents!$C$2:$C$619,"dive_prices")),"")</f>
        <v/>
      </c>
      <c r="L142">
        <f>IFERROR(IF(MAXIFS(Documents!$E$2:$E$619,Documents!$A$2:$A$619,$A142,Documents!$C$2:$C$619,"excursions")=0,"",MAXIFS(Documents!$E$2:$E$619,Documents!$A$2:$A$619,$A142,Documents!$C$2:$C$619,"excursions")),"")</f>
        <v/>
      </c>
      <c r="M142">
        <f>IFERROR(IF(MAXIFS(Documents!$E$2:$E$619,Documents!$A$2:$A$619,$A142,Documents!$C$2:$C$619,"kids")=0,"",MAXIFS(Documents!$E$2:$E$619,Documents!$A$2:$A$619,$A142,Documents!$C$2:$C$619,"kids")),"")</f>
        <v/>
      </c>
      <c r="N142">
        <f>IFERROR(IF(MAXIFS(Documents!$E$2:$E$619,Documents!$A$2:$A$619,$A142,Documents!$C$2:$C$619,"villa_plans")=0,"",MAXIFS(Documents!$E$2:$E$619,Documents!$A$2:$A$619,$A142,Documents!$C$2:$C$619,"villa_plans")),"")</f>
        <v/>
      </c>
      <c r="O142">
        <f>IFERROR(IF(MAXIFS(Documents!$E$2:$E$619,Documents!$A$2:$A$619,$A142,Documents!$C$2:$C$619,"all_inclusive")=0,"",MAXIFS(Documents!$E$2:$E$619,Documents!$A$2:$A$619,$A142,Documents!$C$2:$C$619,"all_inclusive")),"")</f>
        <v/>
      </c>
      <c r="P142">
        <f>IFERROR(IF(MAXIFS(Documents!$E$2:$E$619,Documents!$A$2:$A$619,$A142,Documents!$C$2:$C$619,"sustainability")=0,"",MAXIFS(Documents!$E$2:$E$619,Documents!$A$2:$A$619,$A142,Documents!$C$2:$C$619,"sustainability")),"")</f>
        <v/>
      </c>
      <c r="Q142">
        <f>IFERROR(IF(MAXIFS(Documents!$E$2:$E$619,Documents!$A$2:$A$619,$A142,Documents!$C$2:$C$619,"calendar")=0,"",MAXIFS(Documents!$E$2:$E$619,Documents!$A$2:$A$619,$A142,Documents!$C$2:$C$619,"calendar")),"")</f>
        <v/>
      </c>
      <c r="R142">
        <f>IFERROR(IF(MAXIFS(Documents!$E$2:$E$619,Documents!$A$2:$A$619,$A142,Documents!$C$2:$C$619,"brochure")=0,"",MAXIFS(Documents!$E$2:$E$619,Documents!$A$2:$A$619,$A142,Documents!$C$2:$C$619,"brochure")),"")</f>
        <v/>
      </c>
      <c r="S142">
        <f>IFERROR(IF(MAXIFS(Documents!$E$2:$E$619,Documents!$A$2:$A$619,$A142,Documents!$C$2:$C$619,"press_kit")=0,"",MAXIFS(Documents!$E$2:$E$619,Documents!$A$2:$A$619,$A142,Documents!$C$2:$C$619,"press_kit")),"")</f>
        <v/>
      </c>
      <c r="T142">
        <f>IFERROR(IF(MAXIFS(Documents!$E$2:$E$619,Documents!$A$2:$A$619,$A142,Documents!$C$2:$C$619,"other")=0,"",MAXIFS(Documents!$E$2:$E$619,Documents!$A$2:$A$619,$A142,Documents!$C$2:$C$619,"other")),"")</f>
        <v/>
      </c>
      <c r="U142">
        <f>IFERROR(IF(MAXIFS(Documents!$E$2:$E$619,Documents!$A$2:$A$619,$A142,Documents!$C$2:$C$619,"obsolete")=0,"",MAXIFS(Documents!$E$2:$E$619,Documents!$A$2:$A$619,$A142,Documents!$C$2:$C$619,"obsolete")),"")</f>
        <v/>
      </c>
      <c r="V142">
        <f>COUNTIFS(Documents!$A$2:$A$619,$A142)</f>
        <v/>
      </c>
      <c r="W142">
        <f>COUNTIFS(Documents!$A$2:$A$619,$A142,Documents!$R$2:$R$619,"current")</f>
        <v/>
      </c>
      <c r="X142">
        <f>HYPERLINK("https://neoscapesmaldives.com/wp-content/uploads/11747_Soneva-Fushi-Factsheet-2019.pdf","2019_11747_Soneva-Fushi-Factsheet-2019.p")</f>
        <v/>
      </c>
      <c r="Y142" t="inlineStr">
        <is>
          <t>wedding, events</t>
        </is>
      </c>
      <c r="Z142" t="inlineStr"/>
    </row>
    <row r="143">
      <c r="A143" t="n">
        <v>142</v>
      </c>
      <c r="B143" t="inlineStr">
        <is>
          <t>Safari Island</t>
        </is>
      </c>
      <c r="C143" t="inlineStr">
        <is>
          <t>not crawled</t>
        </is>
      </c>
      <c r="D143">
        <f>IFERROR(IF(MAXIFS(Documents!$E$2:$E$619,Documents!$A$2:$A$619,$A143,Documents!$C$2:$C$619,"factsheet")=0,"",MAXIFS(Documents!$E$2:$E$619,Documents!$A$2:$A$619,$A143,Documents!$C$2:$C$619,"factsheet")),"")</f>
        <v/>
      </c>
      <c r="E143">
        <f>IFERROR(IF(MAXIFS(Documents!$E$2:$E$619,Documents!$A$2:$A$619,$A143,Documents!$C$2:$C$619,"wedding")=0,"",MAXIFS(Documents!$E$2:$E$619,Documents!$A$2:$A$619,$A143,Documents!$C$2:$C$619,"wedding")),"")</f>
        <v/>
      </c>
      <c r="F143">
        <f>IFERROR(IF(MAXIFS(Documents!$E$2:$E$619,Documents!$A$2:$A$619,$A143,Documents!$C$2:$C$619,"events")=0,"",MAXIFS(Documents!$E$2:$E$619,Documents!$A$2:$A$619,$A143,Documents!$C$2:$C$619,"events")),"")</f>
        <v/>
      </c>
      <c r="G143">
        <f>IFERROR(IF(MAXIFS(Documents!$E$2:$E$619,Documents!$A$2:$A$619,$A143,Documents!$C$2:$C$619,"map")=0,"",MAXIFS(Documents!$E$2:$E$619,Documents!$A$2:$A$619,$A143,Documents!$C$2:$C$619,"map")),"")</f>
        <v/>
      </c>
      <c r="H143">
        <f>IFERROR(IF(MAXIFS(Documents!$E$2:$E$619,Documents!$A$2:$A$619,$A143,Documents!$C$2:$C$619,"dive_map")=0,"",MAXIFS(Documents!$E$2:$E$619,Documents!$A$2:$A$619,$A143,Documents!$C$2:$C$619,"dive_map")),"")</f>
        <v/>
      </c>
      <c r="I143">
        <f>IFERROR(IF(MAXIFS(Documents!$E$2:$E$619,Documents!$A$2:$A$619,$A143,Documents!$C$2:$C$619,"spa_menu")=0,"",MAXIFS(Documents!$E$2:$E$619,Documents!$A$2:$A$619,$A143,Documents!$C$2:$C$619,"spa_menu")),"")</f>
        <v/>
      </c>
      <c r="J143">
        <f>IFERROR(IF(MAXIFS(Documents!$E$2:$E$619,Documents!$A$2:$A$619,$A143,Documents!$C$2:$C$619,"dining_menu")=0,"",MAXIFS(Documents!$E$2:$E$619,Documents!$A$2:$A$619,$A143,Documents!$C$2:$C$619,"dining_menu")),"")</f>
        <v/>
      </c>
      <c r="K143">
        <f>IFERROR(IF(MAXIFS(Documents!$E$2:$E$619,Documents!$A$2:$A$619,$A143,Documents!$C$2:$C$619,"dive_prices")=0,"",MAXIFS(Documents!$E$2:$E$619,Documents!$A$2:$A$619,$A143,Documents!$C$2:$C$619,"dive_prices")),"")</f>
        <v/>
      </c>
      <c r="L143">
        <f>IFERROR(IF(MAXIFS(Documents!$E$2:$E$619,Documents!$A$2:$A$619,$A143,Documents!$C$2:$C$619,"excursions")=0,"",MAXIFS(Documents!$E$2:$E$619,Documents!$A$2:$A$619,$A143,Documents!$C$2:$C$619,"excursions")),"")</f>
        <v/>
      </c>
      <c r="M143">
        <f>IFERROR(IF(MAXIFS(Documents!$E$2:$E$619,Documents!$A$2:$A$619,$A143,Documents!$C$2:$C$619,"kids")=0,"",MAXIFS(Documents!$E$2:$E$619,Documents!$A$2:$A$619,$A143,Documents!$C$2:$C$619,"kids")),"")</f>
        <v/>
      </c>
      <c r="N143">
        <f>IFERROR(IF(MAXIFS(Documents!$E$2:$E$619,Documents!$A$2:$A$619,$A143,Documents!$C$2:$C$619,"villa_plans")=0,"",MAXIFS(Documents!$E$2:$E$619,Documents!$A$2:$A$619,$A143,Documents!$C$2:$C$619,"villa_plans")),"")</f>
        <v/>
      </c>
      <c r="O143">
        <f>IFERROR(IF(MAXIFS(Documents!$E$2:$E$619,Documents!$A$2:$A$619,$A143,Documents!$C$2:$C$619,"all_inclusive")=0,"",MAXIFS(Documents!$E$2:$E$619,Documents!$A$2:$A$619,$A143,Documents!$C$2:$C$619,"all_inclusive")),"")</f>
        <v/>
      </c>
      <c r="P143">
        <f>IFERROR(IF(MAXIFS(Documents!$E$2:$E$619,Documents!$A$2:$A$619,$A143,Documents!$C$2:$C$619,"sustainability")=0,"",MAXIFS(Documents!$E$2:$E$619,Documents!$A$2:$A$619,$A143,Documents!$C$2:$C$619,"sustainability")),"")</f>
        <v/>
      </c>
      <c r="Q143">
        <f>IFERROR(IF(MAXIFS(Documents!$E$2:$E$619,Documents!$A$2:$A$619,$A143,Documents!$C$2:$C$619,"calendar")=0,"",MAXIFS(Documents!$E$2:$E$619,Documents!$A$2:$A$619,$A143,Documents!$C$2:$C$619,"calendar")),"")</f>
        <v/>
      </c>
      <c r="R143">
        <f>IFERROR(IF(MAXIFS(Documents!$E$2:$E$619,Documents!$A$2:$A$619,$A143,Documents!$C$2:$C$619,"brochure")=0,"",MAXIFS(Documents!$E$2:$E$619,Documents!$A$2:$A$619,$A143,Documents!$C$2:$C$619,"brochure")),"")</f>
        <v/>
      </c>
      <c r="S143">
        <f>IFERROR(IF(MAXIFS(Documents!$E$2:$E$619,Documents!$A$2:$A$619,$A143,Documents!$C$2:$C$619,"press_kit")=0,"",MAXIFS(Documents!$E$2:$E$619,Documents!$A$2:$A$619,$A143,Documents!$C$2:$C$619,"press_kit")),"")</f>
        <v/>
      </c>
      <c r="T143">
        <f>IFERROR(IF(MAXIFS(Documents!$E$2:$E$619,Documents!$A$2:$A$619,$A143,Documents!$C$2:$C$619,"other")=0,"",MAXIFS(Documents!$E$2:$E$619,Documents!$A$2:$A$619,$A143,Documents!$C$2:$C$619,"other")),"")</f>
        <v/>
      </c>
      <c r="U143">
        <f>IFERROR(IF(MAXIFS(Documents!$E$2:$E$619,Documents!$A$2:$A$619,$A143,Documents!$C$2:$C$619,"obsolete")=0,"",MAXIFS(Documents!$E$2:$E$619,Documents!$A$2:$A$619,$A143,Documents!$C$2:$C$619,"obsolete")),"")</f>
        <v/>
      </c>
      <c r="V143">
        <f>COUNTIFS(Documents!$A$2:$A$619,$A143)</f>
        <v/>
      </c>
      <c r="W143">
        <f>COUNTIFS(Documents!$A$2:$A$619,$A143,Documents!$R$2:$R$619,"current")</f>
        <v/>
      </c>
      <c r="X143" t="inlineStr"/>
      <c r="Y143" t="inlineStr">
        <is>
          <t>factsheet, wedding, events</t>
        </is>
      </c>
      <c r="Z143" t="inlineStr"/>
    </row>
    <row r="144">
      <c r="A144" t="n">
        <v>143</v>
      </c>
      <c r="B144" t="inlineStr">
        <is>
          <t>Soneva Jani</t>
        </is>
      </c>
      <c r="C144" t="inlineStr">
        <is>
          <t>not crawled</t>
        </is>
      </c>
      <c r="D144">
        <f>IFERROR(IF(MAXIFS(Documents!$E$2:$E$619,Documents!$A$2:$A$619,$A144,Documents!$C$2:$C$619,"factsheet")=0,"",MAXIFS(Documents!$E$2:$E$619,Documents!$A$2:$A$619,$A144,Documents!$C$2:$C$619,"factsheet")),"")</f>
        <v/>
      </c>
      <c r="E144">
        <f>IFERROR(IF(MAXIFS(Documents!$E$2:$E$619,Documents!$A$2:$A$619,$A144,Documents!$C$2:$C$619,"wedding")=0,"",MAXIFS(Documents!$E$2:$E$619,Documents!$A$2:$A$619,$A144,Documents!$C$2:$C$619,"wedding")),"")</f>
        <v/>
      </c>
      <c r="F144">
        <f>IFERROR(IF(MAXIFS(Documents!$E$2:$E$619,Documents!$A$2:$A$619,$A144,Documents!$C$2:$C$619,"events")=0,"",MAXIFS(Documents!$E$2:$E$619,Documents!$A$2:$A$619,$A144,Documents!$C$2:$C$619,"events")),"")</f>
        <v/>
      </c>
      <c r="G144">
        <f>IFERROR(IF(MAXIFS(Documents!$E$2:$E$619,Documents!$A$2:$A$619,$A144,Documents!$C$2:$C$619,"map")=0,"",MAXIFS(Documents!$E$2:$E$619,Documents!$A$2:$A$619,$A144,Documents!$C$2:$C$619,"map")),"")</f>
        <v/>
      </c>
      <c r="H144">
        <f>IFERROR(IF(MAXIFS(Documents!$E$2:$E$619,Documents!$A$2:$A$619,$A144,Documents!$C$2:$C$619,"dive_map")=0,"",MAXIFS(Documents!$E$2:$E$619,Documents!$A$2:$A$619,$A144,Documents!$C$2:$C$619,"dive_map")),"")</f>
        <v/>
      </c>
      <c r="I144">
        <f>IFERROR(IF(MAXIFS(Documents!$E$2:$E$619,Documents!$A$2:$A$619,$A144,Documents!$C$2:$C$619,"spa_menu")=0,"",MAXIFS(Documents!$E$2:$E$619,Documents!$A$2:$A$619,$A144,Documents!$C$2:$C$619,"spa_menu")),"")</f>
        <v/>
      </c>
      <c r="J144">
        <f>IFERROR(IF(MAXIFS(Documents!$E$2:$E$619,Documents!$A$2:$A$619,$A144,Documents!$C$2:$C$619,"dining_menu")=0,"",MAXIFS(Documents!$E$2:$E$619,Documents!$A$2:$A$619,$A144,Documents!$C$2:$C$619,"dining_menu")),"")</f>
        <v/>
      </c>
      <c r="K144">
        <f>IFERROR(IF(MAXIFS(Documents!$E$2:$E$619,Documents!$A$2:$A$619,$A144,Documents!$C$2:$C$619,"dive_prices")=0,"",MAXIFS(Documents!$E$2:$E$619,Documents!$A$2:$A$619,$A144,Documents!$C$2:$C$619,"dive_prices")),"")</f>
        <v/>
      </c>
      <c r="L144">
        <f>IFERROR(IF(MAXIFS(Documents!$E$2:$E$619,Documents!$A$2:$A$619,$A144,Documents!$C$2:$C$619,"excursions")=0,"",MAXIFS(Documents!$E$2:$E$619,Documents!$A$2:$A$619,$A144,Documents!$C$2:$C$619,"excursions")),"")</f>
        <v/>
      </c>
      <c r="M144">
        <f>IFERROR(IF(MAXIFS(Documents!$E$2:$E$619,Documents!$A$2:$A$619,$A144,Documents!$C$2:$C$619,"kids")=0,"",MAXIFS(Documents!$E$2:$E$619,Documents!$A$2:$A$619,$A144,Documents!$C$2:$C$619,"kids")),"")</f>
        <v/>
      </c>
      <c r="N144">
        <f>IFERROR(IF(MAXIFS(Documents!$E$2:$E$619,Documents!$A$2:$A$619,$A144,Documents!$C$2:$C$619,"villa_plans")=0,"",MAXIFS(Documents!$E$2:$E$619,Documents!$A$2:$A$619,$A144,Documents!$C$2:$C$619,"villa_plans")),"")</f>
        <v/>
      </c>
      <c r="O144">
        <f>IFERROR(IF(MAXIFS(Documents!$E$2:$E$619,Documents!$A$2:$A$619,$A144,Documents!$C$2:$C$619,"all_inclusive")=0,"",MAXIFS(Documents!$E$2:$E$619,Documents!$A$2:$A$619,$A144,Documents!$C$2:$C$619,"all_inclusive")),"")</f>
        <v/>
      </c>
      <c r="P144">
        <f>IFERROR(IF(MAXIFS(Documents!$E$2:$E$619,Documents!$A$2:$A$619,$A144,Documents!$C$2:$C$619,"sustainability")=0,"",MAXIFS(Documents!$E$2:$E$619,Documents!$A$2:$A$619,$A144,Documents!$C$2:$C$619,"sustainability")),"")</f>
        <v/>
      </c>
      <c r="Q144">
        <f>IFERROR(IF(MAXIFS(Documents!$E$2:$E$619,Documents!$A$2:$A$619,$A144,Documents!$C$2:$C$619,"calendar")=0,"",MAXIFS(Documents!$E$2:$E$619,Documents!$A$2:$A$619,$A144,Documents!$C$2:$C$619,"calendar")),"")</f>
        <v/>
      </c>
      <c r="R144">
        <f>IFERROR(IF(MAXIFS(Documents!$E$2:$E$619,Documents!$A$2:$A$619,$A144,Documents!$C$2:$C$619,"brochure")=0,"",MAXIFS(Documents!$E$2:$E$619,Documents!$A$2:$A$619,$A144,Documents!$C$2:$C$619,"brochure")),"")</f>
        <v/>
      </c>
      <c r="S144">
        <f>IFERROR(IF(MAXIFS(Documents!$E$2:$E$619,Documents!$A$2:$A$619,$A144,Documents!$C$2:$C$619,"press_kit")=0,"",MAXIFS(Documents!$E$2:$E$619,Documents!$A$2:$A$619,$A144,Documents!$C$2:$C$619,"press_kit")),"")</f>
        <v/>
      </c>
      <c r="T144">
        <f>IFERROR(IF(MAXIFS(Documents!$E$2:$E$619,Documents!$A$2:$A$619,$A144,Documents!$C$2:$C$619,"other")=0,"",MAXIFS(Documents!$E$2:$E$619,Documents!$A$2:$A$619,$A144,Documents!$C$2:$C$619,"other")),"")</f>
        <v/>
      </c>
      <c r="U144">
        <f>IFERROR(IF(MAXIFS(Documents!$E$2:$E$619,Documents!$A$2:$A$619,$A144,Documents!$C$2:$C$619,"obsolete")=0,"",MAXIFS(Documents!$E$2:$E$619,Documents!$A$2:$A$619,$A144,Documents!$C$2:$C$619,"obsolete")),"")</f>
        <v/>
      </c>
      <c r="V144">
        <f>COUNTIFS(Documents!$A$2:$A$619,$A144)</f>
        <v/>
      </c>
      <c r="W144">
        <f>COUNTIFS(Documents!$A$2:$A$619,$A144,Documents!$R$2:$R$619,"current")</f>
        <v/>
      </c>
      <c r="X144">
        <f>HYPERLINK("https://neoscapesmaldives.com/wp-content/uploads/11747_Soneva-Fushi-Factsheet-2019.pdf","2019_11747_Soneva-Fushi-Factsheet-2019.p")</f>
        <v/>
      </c>
      <c r="Y144" t="inlineStr">
        <is>
          <t>wedding, events</t>
        </is>
      </c>
      <c r="Z144" t="inlineStr"/>
    </row>
    <row r="145">
      <c r="A145" t="n">
        <v>144</v>
      </c>
      <c r="B145" t="inlineStr">
        <is>
          <t>South Palm Resort Maldives</t>
        </is>
      </c>
      <c r="C145" t="inlineStr">
        <is>
          <t>not crawled</t>
        </is>
      </c>
      <c r="D145">
        <f>IFERROR(IF(MAXIFS(Documents!$E$2:$E$619,Documents!$A$2:$A$619,$A145,Documents!$C$2:$C$619,"factsheet")=0,"",MAXIFS(Documents!$E$2:$E$619,Documents!$A$2:$A$619,$A145,Documents!$C$2:$C$619,"factsheet")),"")</f>
        <v/>
      </c>
      <c r="E145">
        <f>IFERROR(IF(MAXIFS(Documents!$E$2:$E$619,Documents!$A$2:$A$619,$A145,Documents!$C$2:$C$619,"wedding")=0,"",MAXIFS(Documents!$E$2:$E$619,Documents!$A$2:$A$619,$A145,Documents!$C$2:$C$619,"wedding")),"")</f>
        <v/>
      </c>
      <c r="F145">
        <f>IFERROR(IF(MAXIFS(Documents!$E$2:$E$619,Documents!$A$2:$A$619,$A145,Documents!$C$2:$C$619,"events")=0,"",MAXIFS(Documents!$E$2:$E$619,Documents!$A$2:$A$619,$A145,Documents!$C$2:$C$619,"events")),"")</f>
        <v/>
      </c>
      <c r="G145">
        <f>IFERROR(IF(MAXIFS(Documents!$E$2:$E$619,Documents!$A$2:$A$619,$A145,Documents!$C$2:$C$619,"map")=0,"",MAXIFS(Documents!$E$2:$E$619,Documents!$A$2:$A$619,$A145,Documents!$C$2:$C$619,"map")),"")</f>
        <v/>
      </c>
      <c r="H145">
        <f>IFERROR(IF(MAXIFS(Documents!$E$2:$E$619,Documents!$A$2:$A$619,$A145,Documents!$C$2:$C$619,"dive_map")=0,"",MAXIFS(Documents!$E$2:$E$619,Documents!$A$2:$A$619,$A145,Documents!$C$2:$C$619,"dive_map")),"")</f>
        <v/>
      </c>
      <c r="I145">
        <f>IFERROR(IF(MAXIFS(Documents!$E$2:$E$619,Documents!$A$2:$A$619,$A145,Documents!$C$2:$C$619,"spa_menu")=0,"",MAXIFS(Documents!$E$2:$E$619,Documents!$A$2:$A$619,$A145,Documents!$C$2:$C$619,"spa_menu")),"")</f>
        <v/>
      </c>
      <c r="J145">
        <f>IFERROR(IF(MAXIFS(Documents!$E$2:$E$619,Documents!$A$2:$A$619,$A145,Documents!$C$2:$C$619,"dining_menu")=0,"",MAXIFS(Documents!$E$2:$E$619,Documents!$A$2:$A$619,$A145,Documents!$C$2:$C$619,"dining_menu")),"")</f>
        <v/>
      </c>
      <c r="K145">
        <f>IFERROR(IF(MAXIFS(Documents!$E$2:$E$619,Documents!$A$2:$A$619,$A145,Documents!$C$2:$C$619,"dive_prices")=0,"",MAXIFS(Documents!$E$2:$E$619,Documents!$A$2:$A$619,$A145,Documents!$C$2:$C$619,"dive_prices")),"")</f>
        <v/>
      </c>
      <c r="L145">
        <f>IFERROR(IF(MAXIFS(Documents!$E$2:$E$619,Documents!$A$2:$A$619,$A145,Documents!$C$2:$C$619,"excursions")=0,"",MAXIFS(Documents!$E$2:$E$619,Documents!$A$2:$A$619,$A145,Documents!$C$2:$C$619,"excursions")),"")</f>
        <v/>
      </c>
      <c r="M145">
        <f>IFERROR(IF(MAXIFS(Documents!$E$2:$E$619,Documents!$A$2:$A$619,$A145,Documents!$C$2:$C$619,"kids")=0,"",MAXIFS(Documents!$E$2:$E$619,Documents!$A$2:$A$619,$A145,Documents!$C$2:$C$619,"kids")),"")</f>
        <v/>
      </c>
      <c r="N145">
        <f>IFERROR(IF(MAXIFS(Documents!$E$2:$E$619,Documents!$A$2:$A$619,$A145,Documents!$C$2:$C$619,"villa_plans")=0,"",MAXIFS(Documents!$E$2:$E$619,Documents!$A$2:$A$619,$A145,Documents!$C$2:$C$619,"villa_plans")),"")</f>
        <v/>
      </c>
      <c r="O145">
        <f>IFERROR(IF(MAXIFS(Documents!$E$2:$E$619,Documents!$A$2:$A$619,$A145,Documents!$C$2:$C$619,"all_inclusive")=0,"",MAXIFS(Documents!$E$2:$E$619,Documents!$A$2:$A$619,$A145,Documents!$C$2:$C$619,"all_inclusive")),"")</f>
        <v/>
      </c>
      <c r="P145">
        <f>IFERROR(IF(MAXIFS(Documents!$E$2:$E$619,Documents!$A$2:$A$619,$A145,Documents!$C$2:$C$619,"sustainability")=0,"",MAXIFS(Documents!$E$2:$E$619,Documents!$A$2:$A$619,$A145,Documents!$C$2:$C$619,"sustainability")),"")</f>
        <v/>
      </c>
      <c r="Q145">
        <f>IFERROR(IF(MAXIFS(Documents!$E$2:$E$619,Documents!$A$2:$A$619,$A145,Documents!$C$2:$C$619,"calendar")=0,"",MAXIFS(Documents!$E$2:$E$619,Documents!$A$2:$A$619,$A145,Documents!$C$2:$C$619,"calendar")),"")</f>
        <v/>
      </c>
      <c r="R145">
        <f>IFERROR(IF(MAXIFS(Documents!$E$2:$E$619,Documents!$A$2:$A$619,$A145,Documents!$C$2:$C$619,"brochure")=0,"",MAXIFS(Documents!$E$2:$E$619,Documents!$A$2:$A$619,$A145,Documents!$C$2:$C$619,"brochure")),"")</f>
        <v/>
      </c>
      <c r="S145">
        <f>IFERROR(IF(MAXIFS(Documents!$E$2:$E$619,Documents!$A$2:$A$619,$A145,Documents!$C$2:$C$619,"press_kit")=0,"",MAXIFS(Documents!$E$2:$E$619,Documents!$A$2:$A$619,$A145,Documents!$C$2:$C$619,"press_kit")),"")</f>
        <v/>
      </c>
      <c r="T145">
        <f>IFERROR(IF(MAXIFS(Documents!$E$2:$E$619,Documents!$A$2:$A$619,$A145,Documents!$C$2:$C$619,"other")=0,"",MAXIFS(Documents!$E$2:$E$619,Documents!$A$2:$A$619,$A145,Documents!$C$2:$C$619,"other")),"")</f>
        <v/>
      </c>
      <c r="U145">
        <f>IFERROR(IF(MAXIFS(Documents!$E$2:$E$619,Documents!$A$2:$A$619,$A145,Documents!$C$2:$C$619,"obsolete")=0,"",MAXIFS(Documents!$E$2:$E$619,Documents!$A$2:$A$619,$A145,Documents!$C$2:$C$619,"obsolete")),"")</f>
        <v/>
      </c>
      <c r="V145">
        <f>COUNTIFS(Documents!$A$2:$A$619,$A145)</f>
        <v/>
      </c>
      <c r="W145">
        <f>COUNTIFS(Documents!$A$2:$A$619,$A145,Documents!$R$2:$R$619,"current")</f>
        <v/>
      </c>
      <c r="X145" t="inlineStr"/>
      <c r="Y145" t="inlineStr">
        <is>
          <t>factsheet, wedding, events</t>
        </is>
      </c>
      <c r="Z145" t="inlineStr"/>
    </row>
    <row r="146">
      <c r="A146" t="n">
        <v>145</v>
      </c>
      <c r="B146" t="inlineStr">
        <is>
          <t>Anantara Resort and Spa Maldives</t>
        </is>
      </c>
      <c r="C146" t="inlineStr">
        <is>
          <t>not crawled</t>
        </is>
      </c>
      <c r="D146">
        <f>IFERROR(IF(MAXIFS(Documents!$E$2:$E$619,Documents!$A$2:$A$619,$A146,Documents!$C$2:$C$619,"factsheet")=0,"",MAXIFS(Documents!$E$2:$E$619,Documents!$A$2:$A$619,$A146,Documents!$C$2:$C$619,"factsheet")),"")</f>
        <v/>
      </c>
      <c r="E146">
        <f>IFERROR(IF(MAXIFS(Documents!$E$2:$E$619,Documents!$A$2:$A$619,$A146,Documents!$C$2:$C$619,"wedding")=0,"",MAXIFS(Documents!$E$2:$E$619,Documents!$A$2:$A$619,$A146,Documents!$C$2:$C$619,"wedding")),"")</f>
        <v/>
      </c>
      <c r="F146">
        <f>IFERROR(IF(MAXIFS(Documents!$E$2:$E$619,Documents!$A$2:$A$619,$A146,Documents!$C$2:$C$619,"events")=0,"",MAXIFS(Documents!$E$2:$E$619,Documents!$A$2:$A$619,$A146,Documents!$C$2:$C$619,"events")),"")</f>
        <v/>
      </c>
      <c r="G146">
        <f>IFERROR(IF(MAXIFS(Documents!$E$2:$E$619,Documents!$A$2:$A$619,$A146,Documents!$C$2:$C$619,"map")=0,"",MAXIFS(Documents!$E$2:$E$619,Documents!$A$2:$A$619,$A146,Documents!$C$2:$C$619,"map")),"")</f>
        <v/>
      </c>
      <c r="H146">
        <f>IFERROR(IF(MAXIFS(Documents!$E$2:$E$619,Documents!$A$2:$A$619,$A146,Documents!$C$2:$C$619,"dive_map")=0,"",MAXIFS(Documents!$E$2:$E$619,Documents!$A$2:$A$619,$A146,Documents!$C$2:$C$619,"dive_map")),"")</f>
        <v/>
      </c>
      <c r="I146">
        <f>IFERROR(IF(MAXIFS(Documents!$E$2:$E$619,Documents!$A$2:$A$619,$A146,Documents!$C$2:$C$619,"spa_menu")=0,"",MAXIFS(Documents!$E$2:$E$619,Documents!$A$2:$A$619,$A146,Documents!$C$2:$C$619,"spa_menu")),"")</f>
        <v/>
      </c>
      <c r="J146">
        <f>IFERROR(IF(MAXIFS(Documents!$E$2:$E$619,Documents!$A$2:$A$619,$A146,Documents!$C$2:$C$619,"dining_menu")=0,"",MAXIFS(Documents!$E$2:$E$619,Documents!$A$2:$A$619,$A146,Documents!$C$2:$C$619,"dining_menu")),"")</f>
        <v/>
      </c>
      <c r="K146">
        <f>IFERROR(IF(MAXIFS(Documents!$E$2:$E$619,Documents!$A$2:$A$619,$A146,Documents!$C$2:$C$619,"dive_prices")=0,"",MAXIFS(Documents!$E$2:$E$619,Documents!$A$2:$A$619,$A146,Documents!$C$2:$C$619,"dive_prices")),"")</f>
        <v/>
      </c>
      <c r="L146">
        <f>IFERROR(IF(MAXIFS(Documents!$E$2:$E$619,Documents!$A$2:$A$619,$A146,Documents!$C$2:$C$619,"excursions")=0,"",MAXIFS(Documents!$E$2:$E$619,Documents!$A$2:$A$619,$A146,Documents!$C$2:$C$619,"excursions")),"")</f>
        <v/>
      </c>
      <c r="M146">
        <f>IFERROR(IF(MAXIFS(Documents!$E$2:$E$619,Documents!$A$2:$A$619,$A146,Documents!$C$2:$C$619,"kids")=0,"",MAXIFS(Documents!$E$2:$E$619,Documents!$A$2:$A$619,$A146,Documents!$C$2:$C$619,"kids")),"")</f>
        <v/>
      </c>
      <c r="N146">
        <f>IFERROR(IF(MAXIFS(Documents!$E$2:$E$619,Documents!$A$2:$A$619,$A146,Documents!$C$2:$C$619,"villa_plans")=0,"",MAXIFS(Documents!$E$2:$E$619,Documents!$A$2:$A$619,$A146,Documents!$C$2:$C$619,"villa_plans")),"")</f>
        <v/>
      </c>
      <c r="O146">
        <f>IFERROR(IF(MAXIFS(Documents!$E$2:$E$619,Documents!$A$2:$A$619,$A146,Documents!$C$2:$C$619,"all_inclusive")=0,"",MAXIFS(Documents!$E$2:$E$619,Documents!$A$2:$A$619,$A146,Documents!$C$2:$C$619,"all_inclusive")),"")</f>
        <v/>
      </c>
      <c r="P146">
        <f>IFERROR(IF(MAXIFS(Documents!$E$2:$E$619,Documents!$A$2:$A$619,$A146,Documents!$C$2:$C$619,"sustainability")=0,"",MAXIFS(Documents!$E$2:$E$619,Documents!$A$2:$A$619,$A146,Documents!$C$2:$C$619,"sustainability")),"")</f>
        <v/>
      </c>
      <c r="Q146">
        <f>IFERROR(IF(MAXIFS(Documents!$E$2:$E$619,Documents!$A$2:$A$619,$A146,Documents!$C$2:$C$619,"calendar")=0,"",MAXIFS(Documents!$E$2:$E$619,Documents!$A$2:$A$619,$A146,Documents!$C$2:$C$619,"calendar")),"")</f>
        <v/>
      </c>
      <c r="R146">
        <f>IFERROR(IF(MAXIFS(Documents!$E$2:$E$619,Documents!$A$2:$A$619,$A146,Documents!$C$2:$C$619,"brochure")=0,"",MAXIFS(Documents!$E$2:$E$619,Documents!$A$2:$A$619,$A146,Documents!$C$2:$C$619,"brochure")),"")</f>
        <v/>
      </c>
      <c r="S146">
        <f>IFERROR(IF(MAXIFS(Documents!$E$2:$E$619,Documents!$A$2:$A$619,$A146,Documents!$C$2:$C$619,"press_kit")=0,"",MAXIFS(Documents!$E$2:$E$619,Documents!$A$2:$A$619,$A146,Documents!$C$2:$C$619,"press_kit")),"")</f>
        <v/>
      </c>
      <c r="T146">
        <f>IFERROR(IF(MAXIFS(Documents!$E$2:$E$619,Documents!$A$2:$A$619,$A146,Documents!$C$2:$C$619,"other")=0,"",MAXIFS(Documents!$E$2:$E$619,Documents!$A$2:$A$619,$A146,Documents!$C$2:$C$619,"other")),"")</f>
        <v/>
      </c>
      <c r="U146">
        <f>IFERROR(IF(MAXIFS(Documents!$E$2:$E$619,Documents!$A$2:$A$619,$A146,Documents!$C$2:$C$619,"obsolete")=0,"",MAXIFS(Documents!$E$2:$E$619,Documents!$A$2:$A$619,$A146,Documents!$C$2:$C$619,"obsolete")),"")</f>
        <v/>
      </c>
      <c r="V146">
        <f>COUNTIFS(Documents!$A$2:$A$619,$A146)</f>
        <v/>
      </c>
      <c r="W146">
        <f>COUNTIFS(Documents!$A$2:$A$619,$A146,Documents!$R$2:$R$619,"current")</f>
        <v/>
      </c>
      <c r="X146">
        <f>HYPERLINK("https://www.neoscapesmaldives.com/wp-content/uploads/Anantara_Dhigu_Maldives_Factsheet_January_2023.pdf","2023_Anantara_Dhigu_Maldives_Factsheet_J")</f>
        <v/>
      </c>
      <c r="Y146" t="inlineStr">
        <is>
          <t>wedding, events</t>
        </is>
      </c>
      <c r="Z146" t="inlineStr"/>
    </row>
    <row r="147">
      <c r="A147" t="n">
        <v>146</v>
      </c>
      <c r="B147" t="inlineStr">
        <is>
          <t>Anantara Veli and Naladhu</t>
        </is>
      </c>
      <c r="C147" t="inlineStr">
        <is>
          <t>not crawled</t>
        </is>
      </c>
      <c r="D147">
        <f>IFERROR(IF(MAXIFS(Documents!$E$2:$E$619,Documents!$A$2:$A$619,$A147,Documents!$C$2:$C$619,"factsheet")=0,"",MAXIFS(Documents!$E$2:$E$619,Documents!$A$2:$A$619,$A147,Documents!$C$2:$C$619,"factsheet")),"")</f>
        <v/>
      </c>
      <c r="E147">
        <f>IFERROR(IF(MAXIFS(Documents!$E$2:$E$619,Documents!$A$2:$A$619,$A147,Documents!$C$2:$C$619,"wedding")=0,"",MAXIFS(Documents!$E$2:$E$619,Documents!$A$2:$A$619,$A147,Documents!$C$2:$C$619,"wedding")),"")</f>
        <v/>
      </c>
      <c r="F147">
        <f>IFERROR(IF(MAXIFS(Documents!$E$2:$E$619,Documents!$A$2:$A$619,$A147,Documents!$C$2:$C$619,"events")=0,"",MAXIFS(Documents!$E$2:$E$619,Documents!$A$2:$A$619,$A147,Documents!$C$2:$C$619,"events")),"")</f>
        <v/>
      </c>
      <c r="G147">
        <f>IFERROR(IF(MAXIFS(Documents!$E$2:$E$619,Documents!$A$2:$A$619,$A147,Documents!$C$2:$C$619,"map")=0,"",MAXIFS(Documents!$E$2:$E$619,Documents!$A$2:$A$619,$A147,Documents!$C$2:$C$619,"map")),"")</f>
        <v/>
      </c>
      <c r="H147">
        <f>IFERROR(IF(MAXIFS(Documents!$E$2:$E$619,Documents!$A$2:$A$619,$A147,Documents!$C$2:$C$619,"dive_map")=0,"",MAXIFS(Documents!$E$2:$E$619,Documents!$A$2:$A$619,$A147,Documents!$C$2:$C$619,"dive_map")),"")</f>
        <v/>
      </c>
      <c r="I147">
        <f>IFERROR(IF(MAXIFS(Documents!$E$2:$E$619,Documents!$A$2:$A$619,$A147,Documents!$C$2:$C$619,"spa_menu")=0,"",MAXIFS(Documents!$E$2:$E$619,Documents!$A$2:$A$619,$A147,Documents!$C$2:$C$619,"spa_menu")),"")</f>
        <v/>
      </c>
      <c r="J147">
        <f>IFERROR(IF(MAXIFS(Documents!$E$2:$E$619,Documents!$A$2:$A$619,$A147,Documents!$C$2:$C$619,"dining_menu")=0,"",MAXIFS(Documents!$E$2:$E$619,Documents!$A$2:$A$619,$A147,Documents!$C$2:$C$619,"dining_menu")),"")</f>
        <v/>
      </c>
      <c r="K147">
        <f>IFERROR(IF(MAXIFS(Documents!$E$2:$E$619,Documents!$A$2:$A$619,$A147,Documents!$C$2:$C$619,"dive_prices")=0,"",MAXIFS(Documents!$E$2:$E$619,Documents!$A$2:$A$619,$A147,Documents!$C$2:$C$619,"dive_prices")),"")</f>
        <v/>
      </c>
      <c r="L147">
        <f>IFERROR(IF(MAXIFS(Documents!$E$2:$E$619,Documents!$A$2:$A$619,$A147,Documents!$C$2:$C$619,"excursions")=0,"",MAXIFS(Documents!$E$2:$E$619,Documents!$A$2:$A$619,$A147,Documents!$C$2:$C$619,"excursions")),"")</f>
        <v/>
      </c>
      <c r="M147">
        <f>IFERROR(IF(MAXIFS(Documents!$E$2:$E$619,Documents!$A$2:$A$619,$A147,Documents!$C$2:$C$619,"kids")=0,"",MAXIFS(Documents!$E$2:$E$619,Documents!$A$2:$A$619,$A147,Documents!$C$2:$C$619,"kids")),"")</f>
        <v/>
      </c>
      <c r="N147">
        <f>IFERROR(IF(MAXIFS(Documents!$E$2:$E$619,Documents!$A$2:$A$619,$A147,Documents!$C$2:$C$619,"villa_plans")=0,"",MAXIFS(Documents!$E$2:$E$619,Documents!$A$2:$A$619,$A147,Documents!$C$2:$C$619,"villa_plans")),"")</f>
        <v/>
      </c>
      <c r="O147">
        <f>IFERROR(IF(MAXIFS(Documents!$E$2:$E$619,Documents!$A$2:$A$619,$A147,Documents!$C$2:$C$619,"all_inclusive")=0,"",MAXIFS(Documents!$E$2:$E$619,Documents!$A$2:$A$619,$A147,Documents!$C$2:$C$619,"all_inclusive")),"")</f>
        <v/>
      </c>
      <c r="P147">
        <f>IFERROR(IF(MAXIFS(Documents!$E$2:$E$619,Documents!$A$2:$A$619,$A147,Documents!$C$2:$C$619,"sustainability")=0,"",MAXIFS(Documents!$E$2:$E$619,Documents!$A$2:$A$619,$A147,Documents!$C$2:$C$619,"sustainability")),"")</f>
        <v/>
      </c>
      <c r="Q147">
        <f>IFERROR(IF(MAXIFS(Documents!$E$2:$E$619,Documents!$A$2:$A$619,$A147,Documents!$C$2:$C$619,"calendar")=0,"",MAXIFS(Documents!$E$2:$E$619,Documents!$A$2:$A$619,$A147,Documents!$C$2:$C$619,"calendar")),"")</f>
        <v/>
      </c>
      <c r="R147">
        <f>IFERROR(IF(MAXIFS(Documents!$E$2:$E$619,Documents!$A$2:$A$619,$A147,Documents!$C$2:$C$619,"brochure")=0,"",MAXIFS(Documents!$E$2:$E$619,Documents!$A$2:$A$619,$A147,Documents!$C$2:$C$619,"brochure")),"")</f>
        <v/>
      </c>
      <c r="S147">
        <f>IFERROR(IF(MAXIFS(Documents!$E$2:$E$619,Documents!$A$2:$A$619,$A147,Documents!$C$2:$C$619,"press_kit")=0,"",MAXIFS(Documents!$E$2:$E$619,Documents!$A$2:$A$619,$A147,Documents!$C$2:$C$619,"press_kit")),"")</f>
        <v/>
      </c>
      <c r="T147">
        <f>IFERROR(IF(MAXIFS(Documents!$E$2:$E$619,Documents!$A$2:$A$619,$A147,Documents!$C$2:$C$619,"other")=0,"",MAXIFS(Documents!$E$2:$E$619,Documents!$A$2:$A$619,$A147,Documents!$C$2:$C$619,"other")),"")</f>
        <v/>
      </c>
      <c r="U147">
        <f>IFERROR(IF(MAXIFS(Documents!$E$2:$E$619,Documents!$A$2:$A$619,$A147,Documents!$C$2:$C$619,"obsolete")=0,"",MAXIFS(Documents!$E$2:$E$619,Documents!$A$2:$A$619,$A147,Documents!$C$2:$C$619,"obsolete")),"")</f>
        <v/>
      </c>
      <c r="V147">
        <f>COUNTIFS(Documents!$A$2:$A$619,$A147)</f>
        <v/>
      </c>
      <c r="W147">
        <f>COUNTIFS(Documents!$A$2:$A$619,$A147,Documents!$R$2:$R$619,"current")</f>
        <v/>
      </c>
      <c r="X147">
        <f>HYPERLINK("https://www.neoscapesmaldives.com/wp-content/uploads/Anantara_Veli_Maldives_Factsheet_January_2023.pdf","2023_Anantara_Veli_Maldives_Factsheet_Ja")</f>
        <v/>
      </c>
      <c r="Y147" t="inlineStr">
        <is>
          <t>wedding, events</t>
        </is>
      </c>
      <c r="Z147" t="inlineStr"/>
    </row>
    <row r="148">
      <c r="A148" t="n">
        <v>147</v>
      </c>
      <c r="B148" t="inlineStr">
        <is>
          <t>Sun Siyam Vilu Reef Maldives</t>
        </is>
      </c>
      <c r="C148" t="inlineStr">
        <is>
          <t>not crawled</t>
        </is>
      </c>
      <c r="D148">
        <f>IFERROR(IF(MAXIFS(Documents!$E$2:$E$619,Documents!$A$2:$A$619,$A148,Documents!$C$2:$C$619,"factsheet")=0,"",MAXIFS(Documents!$E$2:$E$619,Documents!$A$2:$A$619,$A148,Documents!$C$2:$C$619,"factsheet")),"")</f>
        <v/>
      </c>
      <c r="E148">
        <f>IFERROR(IF(MAXIFS(Documents!$E$2:$E$619,Documents!$A$2:$A$619,$A148,Documents!$C$2:$C$619,"wedding")=0,"",MAXIFS(Documents!$E$2:$E$619,Documents!$A$2:$A$619,$A148,Documents!$C$2:$C$619,"wedding")),"")</f>
        <v/>
      </c>
      <c r="F148">
        <f>IFERROR(IF(MAXIFS(Documents!$E$2:$E$619,Documents!$A$2:$A$619,$A148,Documents!$C$2:$C$619,"events")=0,"",MAXIFS(Documents!$E$2:$E$619,Documents!$A$2:$A$619,$A148,Documents!$C$2:$C$619,"events")),"")</f>
        <v/>
      </c>
      <c r="G148">
        <f>IFERROR(IF(MAXIFS(Documents!$E$2:$E$619,Documents!$A$2:$A$619,$A148,Documents!$C$2:$C$619,"map")=0,"",MAXIFS(Documents!$E$2:$E$619,Documents!$A$2:$A$619,$A148,Documents!$C$2:$C$619,"map")),"")</f>
        <v/>
      </c>
      <c r="H148">
        <f>IFERROR(IF(MAXIFS(Documents!$E$2:$E$619,Documents!$A$2:$A$619,$A148,Documents!$C$2:$C$619,"dive_map")=0,"",MAXIFS(Documents!$E$2:$E$619,Documents!$A$2:$A$619,$A148,Documents!$C$2:$C$619,"dive_map")),"")</f>
        <v/>
      </c>
      <c r="I148">
        <f>IFERROR(IF(MAXIFS(Documents!$E$2:$E$619,Documents!$A$2:$A$619,$A148,Documents!$C$2:$C$619,"spa_menu")=0,"",MAXIFS(Documents!$E$2:$E$619,Documents!$A$2:$A$619,$A148,Documents!$C$2:$C$619,"spa_menu")),"")</f>
        <v/>
      </c>
      <c r="J148">
        <f>IFERROR(IF(MAXIFS(Documents!$E$2:$E$619,Documents!$A$2:$A$619,$A148,Documents!$C$2:$C$619,"dining_menu")=0,"",MAXIFS(Documents!$E$2:$E$619,Documents!$A$2:$A$619,$A148,Documents!$C$2:$C$619,"dining_menu")),"")</f>
        <v/>
      </c>
      <c r="K148">
        <f>IFERROR(IF(MAXIFS(Documents!$E$2:$E$619,Documents!$A$2:$A$619,$A148,Documents!$C$2:$C$619,"dive_prices")=0,"",MAXIFS(Documents!$E$2:$E$619,Documents!$A$2:$A$619,$A148,Documents!$C$2:$C$619,"dive_prices")),"")</f>
        <v/>
      </c>
      <c r="L148">
        <f>IFERROR(IF(MAXIFS(Documents!$E$2:$E$619,Documents!$A$2:$A$619,$A148,Documents!$C$2:$C$619,"excursions")=0,"",MAXIFS(Documents!$E$2:$E$619,Documents!$A$2:$A$619,$A148,Documents!$C$2:$C$619,"excursions")),"")</f>
        <v/>
      </c>
      <c r="M148">
        <f>IFERROR(IF(MAXIFS(Documents!$E$2:$E$619,Documents!$A$2:$A$619,$A148,Documents!$C$2:$C$619,"kids")=0,"",MAXIFS(Documents!$E$2:$E$619,Documents!$A$2:$A$619,$A148,Documents!$C$2:$C$619,"kids")),"")</f>
        <v/>
      </c>
      <c r="N148">
        <f>IFERROR(IF(MAXIFS(Documents!$E$2:$E$619,Documents!$A$2:$A$619,$A148,Documents!$C$2:$C$619,"villa_plans")=0,"",MAXIFS(Documents!$E$2:$E$619,Documents!$A$2:$A$619,$A148,Documents!$C$2:$C$619,"villa_plans")),"")</f>
        <v/>
      </c>
      <c r="O148">
        <f>IFERROR(IF(MAXIFS(Documents!$E$2:$E$619,Documents!$A$2:$A$619,$A148,Documents!$C$2:$C$619,"all_inclusive")=0,"",MAXIFS(Documents!$E$2:$E$619,Documents!$A$2:$A$619,$A148,Documents!$C$2:$C$619,"all_inclusive")),"")</f>
        <v/>
      </c>
      <c r="P148">
        <f>IFERROR(IF(MAXIFS(Documents!$E$2:$E$619,Documents!$A$2:$A$619,$A148,Documents!$C$2:$C$619,"sustainability")=0,"",MAXIFS(Documents!$E$2:$E$619,Documents!$A$2:$A$619,$A148,Documents!$C$2:$C$619,"sustainability")),"")</f>
        <v/>
      </c>
      <c r="Q148">
        <f>IFERROR(IF(MAXIFS(Documents!$E$2:$E$619,Documents!$A$2:$A$619,$A148,Documents!$C$2:$C$619,"calendar")=0,"",MAXIFS(Documents!$E$2:$E$619,Documents!$A$2:$A$619,$A148,Documents!$C$2:$C$619,"calendar")),"")</f>
        <v/>
      </c>
      <c r="R148">
        <f>IFERROR(IF(MAXIFS(Documents!$E$2:$E$619,Documents!$A$2:$A$619,$A148,Documents!$C$2:$C$619,"brochure")=0,"",MAXIFS(Documents!$E$2:$E$619,Documents!$A$2:$A$619,$A148,Documents!$C$2:$C$619,"brochure")),"")</f>
        <v/>
      </c>
      <c r="S148">
        <f>IFERROR(IF(MAXIFS(Documents!$E$2:$E$619,Documents!$A$2:$A$619,$A148,Documents!$C$2:$C$619,"press_kit")=0,"",MAXIFS(Documents!$E$2:$E$619,Documents!$A$2:$A$619,$A148,Documents!$C$2:$C$619,"press_kit")),"")</f>
        <v/>
      </c>
      <c r="T148">
        <f>IFERROR(IF(MAXIFS(Documents!$E$2:$E$619,Documents!$A$2:$A$619,$A148,Documents!$C$2:$C$619,"other")=0,"",MAXIFS(Documents!$E$2:$E$619,Documents!$A$2:$A$619,$A148,Documents!$C$2:$C$619,"other")),"")</f>
        <v/>
      </c>
      <c r="U148">
        <f>IFERROR(IF(MAXIFS(Documents!$E$2:$E$619,Documents!$A$2:$A$619,$A148,Documents!$C$2:$C$619,"obsolete")=0,"",MAXIFS(Documents!$E$2:$E$619,Documents!$A$2:$A$619,$A148,Documents!$C$2:$C$619,"obsolete")),"")</f>
        <v/>
      </c>
      <c r="V148">
        <f>COUNTIFS(Documents!$A$2:$A$619,$A148)</f>
        <v/>
      </c>
      <c r="W148">
        <f>COUNTIFS(Documents!$A$2:$A$619,$A148,Documents!$R$2:$R$619,"current")</f>
        <v/>
      </c>
      <c r="X148">
        <f>HYPERLINK("https://www.neoscapesmaldives.com/wp-content/uploads/Fact-Sheet-2019.pdf","2019_Fact-Sheet-2019.pdf")</f>
        <v/>
      </c>
      <c r="Y148" t="inlineStr">
        <is>
          <t>wedding, events</t>
        </is>
      </c>
      <c r="Z148" t="inlineStr"/>
    </row>
    <row r="149">
      <c r="A149" t="n">
        <v>148</v>
      </c>
      <c r="B149" t="inlineStr">
        <is>
          <t>Sun Siyam Iru Fushi Maldives</t>
        </is>
      </c>
      <c r="C149" t="inlineStr">
        <is>
          <t>not crawled</t>
        </is>
      </c>
      <c r="D149">
        <f>IFERROR(IF(MAXIFS(Documents!$E$2:$E$619,Documents!$A$2:$A$619,$A149,Documents!$C$2:$C$619,"factsheet")=0,"",MAXIFS(Documents!$E$2:$E$619,Documents!$A$2:$A$619,$A149,Documents!$C$2:$C$619,"factsheet")),"")</f>
        <v/>
      </c>
      <c r="E149">
        <f>IFERROR(IF(MAXIFS(Documents!$E$2:$E$619,Documents!$A$2:$A$619,$A149,Documents!$C$2:$C$619,"wedding")=0,"",MAXIFS(Documents!$E$2:$E$619,Documents!$A$2:$A$619,$A149,Documents!$C$2:$C$619,"wedding")),"")</f>
        <v/>
      </c>
      <c r="F149">
        <f>IFERROR(IF(MAXIFS(Documents!$E$2:$E$619,Documents!$A$2:$A$619,$A149,Documents!$C$2:$C$619,"events")=0,"",MAXIFS(Documents!$E$2:$E$619,Documents!$A$2:$A$619,$A149,Documents!$C$2:$C$619,"events")),"")</f>
        <v/>
      </c>
      <c r="G149">
        <f>IFERROR(IF(MAXIFS(Documents!$E$2:$E$619,Documents!$A$2:$A$619,$A149,Documents!$C$2:$C$619,"map")=0,"",MAXIFS(Documents!$E$2:$E$619,Documents!$A$2:$A$619,$A149,Documents!$C$2:$C$619,"map")),"")</f>
        <v/>
      </c>
      <c r="H149">
        <f>IFERROR(IF(MAXIFS(Documents!$E$2:$E$619,Documents!$A$2:$A$619,$A149,Documents!$C$2:$C$619,"dive_map")=0,"",MAXIFS(Documents!$E$2:$E$619,Documents!$A$2:$A$619,$A149,Documents!$C$2:$C$619,"dive_map")),"")</f>
        <v/>
      </c>
      <c r="I149">
        <f>IFERROR(IF(MAXIFS(Documents!$E$2:$E$619,Documents!$A$2:$A$619,$A149,Documents!$C$2:$C$619,"spa_menu")=0,"",MAXIFS(Documents!$E$2:$E$619,Documents!$A$2:$A$619,$A149,Documents!$C$2:$C$619,"spa_menu")),"")</f>
        <v/>
      </c>
      <c r="J149">
        <f>IFERROR(IF(MAXIFS(Documents!$E$2:$E$619,Documents!$A$2:$A$619,$A149,Documents!$C$2:$C$619,"dining_menu")=0,"",MAXIFS(Documents!$E$2:$E$619,Documents!$A$2:$A$619,$A149,Documents!$C$2:$C$619,"dining_menu")),"")</f>
        <v/>
      </c>
      <c r="K149">
        <f>IFERROR(IF(MAXIFS(Documents!$E$2:$E$619,Documents!$A$2:$A$619,$A149,Documents!$C$2:$C$619,"dive_prices")=0,"",MAXIFS(Documents!$E$2:$E$619,Documents!$A$2:$A$619,$A149,Documents!$C$2:$C$619,"dive_prices")),"")</f>
        <v/>
      </c>
      <c r="L149">
        <f>IFERROR(IF(MAXIFS(Documents!$E$2:$E$619,Documents!$A$2:$A$619,$A149,Documents!$C$2:$C$619,"excursions")=0,"",MAXIFS(Documents!$E$2:$E$619,Documents!$A$2:$A$619,$A149,Documents!$C$2:$C$619,"excursions")),"")</f>
        <v/>
      </c>
      <c r="M149">
        <f>IFERROR(IF(MAXIFS(Documents!$E$2:$E$619,Documents!$A$2:$A$619,$A149,Documents!$C$2:$C$619,"kids")=0,"",MAXIFS(Documents!$E$2:$E$619,Documents!$A$2:$A$619,$A149,Documents!$C$2:$C$619,"kids")),"")</f>
        <v/>
      </c>
      <c r="N149">
        <f>IFERROR(IF(MAXIFS(Documents!$E$2:$E$619,Documents!$A$2:$A$619,$A149,Documents!$C$2:$C$619,"villa_plans")=0,"",MAXIFS(Documents!$E$2:$E$619,Documents!$A$2:$A$619,$A149,Documents!$C$2:$C$619,"villa_plans")),"")</f>
        <v/>
      </c>
      <c r="O149">
        <f>IFERROR(IF(MAXIFS(Documents!$E$2:$E$619,Documents!$A$2:$A$619,$A149,Documents!$C$2:$C$619,"all_inclusive")=0,"",MAXIFS(Documents!$E$2:$E$619,Documents!$A$2:$A$619,$A149,Documents!$C$2:$C$619,"all_inclusive")),"")</f>
        <v/>
      </c>
      <c r="P149">
        <f>IFERROR(IF(MAXIFS(Documents!$E$2:$E$619,Documents!$A$2:$A$619,$A149,Documents!$C$2:$C$619,"sustainability")=0,"",MAXIFS(Documents!$E$2:$E$619,Documents!$A$2:$A$619,$A149,Documents!$C$2:$C$619,"sustainability")),"")</f>
        <v/>
      </c>
      <c r="Q149">
        <f>IFERROR(IF(MAXIFS(Documents!$E$2:$E$619,Documents!$A$2:$A$619,$A149,Documents!$C$2:$C$619,"calendar")=0,"",MAXIFS(Documents!$E$2:$E$619,Documents!$A$2:$A$619,$A149,Documents!$C$2:$C$619,"calendar")),"")</f>
        <v/>
      </c>
      <c r="R149">
        <f>IFERROR(IF(MAXIFS(Documents!$E$2:$E$619,Documents!$A$2:$A$619,$A149,Documents!$C$2:$C$619,"brochure")=0,"",MAXIFS(Documents!$E$2:$E$619,Documents!$A$2:$A$619,$A149,Documents!$C$2:$C$619,"brochure")),"")</f>
        <v/>
      </c>
      <c r="S149">
        <f>IFERROR(IF(MAXIFS(Documents!$E$2:$E$619,Documents!$A$2:$A$619,$A149,Documents!$C$2:$C$619,"press_kit")=0,"",MAXIFS(Documents!$E$2:$E$619,Documents!$A$2:$A$619,$A149,Documents!$C$2:$C$619,"press_kit")),"")</f>
        <v/>
      </c>
      <c r="T149">
        <f>IFERROR(IF(MAXIFS(Documents!$E$2:$E$619,Documents!$A$2:$A$619,$A149,Documents!$C$2:$C$619,"other")=0,"",MAXIFS(Documents!$E$2:$E$619,Documents!$A$2:$A$619,$A149,Documents!$C$2:$C$619,"other")),"")</f>
        <v/>
      </c>
      <c r="U149">
        <f>IFERROR(IF(MAXIFS(Documents!$E$2:$E$619,Documents!$A$2:$A$619,$A149,Documents!$C$2:$C$619,"obsolete")=0,"",MAXIFS(Documents!$E$2:$E$619,Documents!$A$2:$A$619,$A149,Documents!$C$2:$C$619,"obsolete")),"")</f>
        <v/>
      </c>
      <c r="V149">
        <f>COUNTIFS(Documents!$A$2:$A$619,$A149)</f>
        <v/>
      </c>
      <c r="W149">
        <f>COUNTIFS(Documents!$A$2:$A$619,$A149,Documents!$R$2:$R$619,"current")</f>
        <v/>
      </c>
      <c r="X149">
        <f>HYPERLINK("https://www.neoscapesmaldives.com/wp-content/uploads/TSSI-Factsheet.pdf","2019_TSSI-Factsheet.pdf")</f>
        <v/>
      </c>
      <c r="Y149" t="inlineStr">
        <is>
          <t>wedding, events</t>
        </is>
      </c>
      <c r="Z149" t="inlineStr">
        <is>
          <t>The Sun Siyam Iru Fushi, file code TSSI</t>
        </is>
      </c>
    </row>
    <row r="150">
      <c r="A150" t="n">
        <v>149</v>
      </c>
      <c r="B150" t="inlineStr">
        <is>
          <t>Biyaadhoo Island Resort</t>
        </is>
      </c>
      <c r="C150" t="inlineStr">
        <is>
          <t>not crawled</t>
        </is>
      </c>
      <c r="D150">
        <f>IFERROR(IF(MAXIFS(Documents!$E$2:$E$619,Documents!$A$2:$A$619,$A150,Documents!$C$2:$C$619,"factsheet")=0,"",MAXIFS(Documents!$E$2:$E$619,Documents!$A$2:$A$619,$A150,Documents!$C$2:$C$619,"factsheet")),"")</f>
        <v/>
      </c>
      <c r="E150">
        <f>IFERROR(IF(MAXIFS(Documents!$E$2:$E$619,Documents!$A$2:$A$619,$A150,Documents!$C$2:$C$619,"wedding")=0,"",MAXIFS(Documents!$E$2:$E$619,Documents!$A$2:$A$619,$A150,Documents!$C$2:$C$619,"wedding")),"")</f>
        <v/>
      </c>
      <c r="F150">
        <f>IFERROR(IF(MAXIFS(Documents!$E$2:$E$619,Documents!$A$2:$A$619,$A150,Documents!$C$2:$C$619,"events")=0,"",MAXIFS(Documents!$E$2:$E$619,Documents!$A$2:$A$619,$A150,Documents!$C$2:$C$619,"events")),"")</f>
        <v/>
      </c>
      <c r="G150">
        <f>IFERROR(IF(MAXIFS(Documents!$E$2:$E$619,Documents!$A$2:$A$619,$A150,Documents!$C$2:$C$619,"map")=0,"",MAXIFS(Documents!$E$2:$E$619,Documents!$A$2:$A$619,$A150,Documents!$C$2:$C$619,"map")),"")</f>
        <v/>
      </c>
      <c r="H150">
        <f>IFERROR(IF(MAXIFS(Documents!$E$2:$E$619,Documents!$A$2:$A$619,$A150,Documents!$C$2:$C$619,"dive_map")=0,"",MAXIFS(Documents!$E$2:$E$619,Documents!$A$2:$A$619,$A150,Documents!$C$2:$C$619,"dive_map")),"")</f>
        <v/>
      </c>
      <c r="I150">
        <f>IFERROR(IF(MAXIFS(Documents!$E$2:$E$619,Documents!$A$2:$A$619,$A150,Documents!$C$2:$C$619,"spa_menu")=0,"",MAXIFS(Documents!$E$2:$E$619,Documents!$A$2:$A$619,$A150,Documents!$C$2:$C$619,"spa_menu")),"")</f>
        <v/>
      </c>
      <c r="J150">
        <f>IFERROR(IF(MAXIFS(Documents!$E$2:$E$619,Documents!$A$2:$A$619,$A150,Documents!$C$2:$C$619,"dining_menu")=0,"",MAXIFS(Documents!$E$2:$E$619,Documents!$A$2:$A$619,$A150,Documents!$C$2:$C$619,"dining_menu")),"")</f>
        <v/>
      </c>
      <c r="K150">
        <f>IFERROR(IF(MAXIFS(Documents!$E$2:$E$619,Documents!$A$2:$A$619,$A150,Documents!$C$2:$C$619,"dive_prices")=0,"",MAXIFS(Documents!$E$2:$E$619,Documents!$A$2:$A$619,$A150,Documents!$C$2:$C$619,"dive_prices")),"")</f>
        <v/>
      </c>
      <c r="L150">
        <f>IFERROR(IF(MAXIFS(Documents!$E$2:$E$619,Documents!$A$2:$A$619,$A150,Documents!$C$2:$C$619,"excursions")=0,"",MAXIFS(Documents!$E$2:$E$619,Documents!$A$2:$A$619,$A150,Documents!$C$2:$C$619,"excursions")),"")</f>
        <v/>
      </c>
      <c r="M150">
        <f>IFERROR(IF(MAXIFS(Documents!$E$2:$E$619,Documents!$A$2:$A$619,$A150,Documents!$C$2:$C$619,"kids")=0,"",MAXIFS(Documents!$E$2:$E$619,Documents!$A$2:$A$619,$A150,Documents!$C$2:$C$619,"kids")),"")</f>
        <v/>
      </c>
      <c r="N150">
        <f>IFERROR(IF(MAXIFS(Documents!$E$2:$E$619,Documents!$A$2:$A$619,$A150,Documents!$C$2:$C$619,"villa_plans")=0,"",MAXIFS(Documents!$E$2:$E$619,Documents!$A$2:$A$619,$A150,Documents!$C$2:$C$619,"villa_plans")),"")</f>
        <v/>
      </c>
      <c r="O150">
        <f>IFERROR(IF(MAXIFS(Documents!$E$2:$E$619,Documents!$A$2:$A$619,$A150,Documents!$C$2:$C$619,"all_inclusive")=0,"",MAXIFS(Documents!$E$2:$E$619,Documents!$A$2:$A$619,$A150,Documents!$C$2:$C$619,"all_inclusive")),"")</f>
        <v/>
      </c>
      <c r="P150">
        <f>IFERROR(IF(MAXIFS(Documents!$E$2:$E$619,Documents!$A$2:$A$619,$A150,Documents!$C$2:$C$619,"sustainability")=0,"",MAXIFS(Documents!$E$2:$E$619,Documents!$A$2:$A$619,$A150,Documents!$C$2:$C$619,"sustainability")),"")</f>
        <v/>
      </c>
      <c r="Q150">
        <f>IFERROR(IF(MAXIFS(Documents!$E$2:$E$619,Documents!$A$2:$A$619,$A150,Documents!$C$2:$C$619,"calendar")=0,"",MAXIFS(Documents!$E$2:$E$619,Documents!$A$2:$A$619,$A150,Documents!$C$2:$C$619,"calendar")),"")</f>
        <v/>
      </c>
      <c r="R150">
        <f>IFERROR(IF(MAXIFS(Documents!$E$2:$E$619,Documents!$A$2:$A$619,$A150,Documents!$C$2:$C$619,"brochure")=0,"",MAXIFS(Documents!$E$2:$E$619,Documents!$A$2:$A$619,$A150,Documents!$C$2:$C$619,"brochure")),"")</f>
        <v/>
      </c>
      <c r="S150">
        <f>IFERROR(IF(MAXIFS(Documents!$E$2:$E$619,Documents!$A$2:$A$619,$A150,Documents!$C$2:$C$619,"press_kit")=0,"",MAXIFS(Documents!$E$2:$E$619,Documents!$A$2:$A$619,$A150,Documents!$C$2:$C$619,"press_kit")),"")</f>
        <v/>
      </c>
      <c r="T150">
        <f>IFERROR(IF(MAXIFS(Documents!$E$2:$E$619,Documents!$A$2:$A$619,$A150,Documents!$C$2:$C$619,"other")=0,"",MAXIFS(Documents!$E$2:$E$619,Documents!$A$2:$A$619,$A150,Documents!$C$2:$C$619,"other")),"")</f>
        <v/>
      </c>
      <c r="U150">
        <f>IFERROR(IF(MAXIFS(Documents!$E$2:$E$619,Documents!$A$2:$A$619,$A150,Documents!$C$2:$C$619,"obsolete")=0,"",MAXIFS(Documents!$E$2:$E$619,Documents!$A$2:$A$619,$A150,Documents!$C$2:$C$619,"obsolete")),"")</f>
        <v/>
      </c>
      <c r="V150">
        <f>COUNTIFS(Documents!$A$2:$A$619,$A150)</f>
        <v/>
      </c>
      <c r="W150">
        <f>COUNTIFS(Documents!$A$2:$A$619,$A150,Documents!$R$2:$R$619,"current")</f>
        <v/>
      </c>
      <c r="X150" t="inlineStr"/>
      <c r="Y150" t="inlineStr">
        <is>
          <t>factsheet, wedding, events</t>
        </is>
      </c>
      <c r="Z150" t="inlineStr"/>
    </row>
    <row r="151">
      <c r="A151" t="n">
        <v>150</v>
      </c>
      <c r="B151" t="inlineStr">
        <is>
          <t>Coco Bodu Hithi</t>
        </is>
      </c>
      <c r="C151" t="inlineStr">
        <is>
          <t>not crawled</t>
        </is>
      </c>
      <c r="D151">
        <f>IFERROR(IF(MAXIFS(Documents!$E$2:$E$619,Documents!$A$2:$A$619,$A151,Documents!$C$2:$C$619,"factsheet")=0,"",MAXIFS(Documents!$E$2:$E$619,Documents!$A$2:$A$619,$A151,Documents!$C$2:$C$619,"factsheet")),"")</f>
        <v/>
      </c>
      <c r="E151">
        <f>IFERROR(IF(MAXIFS(Documents!$E$2:$E$619,Documents!$A$2:$A$619,$A151,Documents!$C$2:$C$619,"wedding")=0,"",MAXIFS(Documents!$E$2:$E$619,Documents!$A$2:$A$619,$A151,Documents!$C$2:$C$619,"wedding")),"")</f>
        <v/>
      </c>
      <c r="F151">
        <f>IFERROR(IF(MAXIFS(Documents!$E$2:$E$619,Documents!$A$2:$A$619,$A151,Documents!$C$2:$C$619,"events")=0,"",MAXIFS(Documents!$E$2:$E$619,Documents!$A$2:$A$619,$A151,Documents!$C$2:$C$619,"events")),"")</f>
        <v/>
      </c>
      <c r="G151">
        <f>IFERROR(IF(MAXIFS(Documents!$E$2:$E$619,Documents!$A$2:$A$619,$A151,Documents!$C$2:$C$619,"map")=0,"",MAXIFS(Documents!$E$2:$E$619,Documents!$A$2:$A$619,$A151,Documents!$C$2:$C$619,"map")),"")</f>
        <v/>
      </c>
      <c r="H151">
        <f>IFERROR(IF(MAXIFS(Documents!$E$2:$E$619,Documents!$A$2:$A$619,$A151,Documents!$C$2:$C$619,"dive_map")=0,"",MAXIFS(Documents!$E$2:$E$619,Documents!$A$2:$A$619,$A151,Documents!$C$2:$C$619,"dive_map")),"")</f>
        <v/>
      </c>
      <c r="I151">
        <f>IFERROR(IF(MAXIFS(Documents!$E$2:$E$619,Documents!$A$2:$A$619,$A151,Documents!$C$2:$C$619,"spa_menu")=0,"",MAXIFS(Documents!$E$2:$E$619,Documents!$A$2:$A$619,$A151,Documents!$C$2:$C$619,"spa_menu")),"")</f>
        <v/>
      </c>
      <c r="J151">
        <f>IFERROR(IF(MAXIFS(Documents!$E$2:$E$619,Documents!$A$2:$A$619,$A151,Documents!$C$2:$C$619,"dining_menu")=0,"",MAXIFS(Documents!$E$2:$E$619,Documents!$A$2:$A$619,$A151,Documents!$C$2:$C$619,"dining_menu")),"")</f>
        <v/>
      </c>
      <c r="K151">
        <f>IFERROR(IF(MAXIFS(Documents!$E$2:$E$619,Documents!$A$2:$A$619,$A151,Documents!$C$2:$C$619,"dive_prices")=0,"",MAXIFS(Documents!$E$2:$E$619,Documents!$A$2:$A$619,$A151,Documents!$C$2:$C$619,"dive_prices")),"")</f>
        <v/>
      </c>
      <c r="L151">
        <f>IFERROR(IF(MAXIFS(Documents!$E$2:$E$619,Documents!$A$2:$A$619,$A151,Documents!$C$2:$C$619,"excursions")=0,"",MAXIFS(Documents!$E$2:$E$619,Documents!$A$2:$A$619,$A151,Documents!$C$2:$C$619,"excursions")),"")</f>
        <v/>
      </c>
      <c r="M151">
        <f>IFERROR(IF(MAXIFS(Documents!$E$2:$E$619,Documents!$A$2:$A$619,$A151,Documents!$C$2:$C$619,"kids")=0,"",MAXIFS(Documents!$E$2:$E$619,Documents!$A$2:$A$619,$A151,Documents!$C$2:$C$619,"kids")),"")</f>
        <v/>
      </c>
      <c r="N151">
        <f>IFERROR(IF(MAXIFS(Documents!$E$2:$E$619,Documents!$A$2:$A$619,$A151,Documents!$C$2:$C$619,"villa_plans")=0,"",MAXIFS(Documents!$E$2:$E$619,Documents!$A$2:$A$619,$A151,Documents!$C$2:$C$619,"villa_plans")),"")</f>
        <v/>
      </c>
      <c r="O151">
        <f>IFERROR(IF(MAXIFS(Documents!$E$2:$E$619,Documents!$A$2:$A$619,$A151,Documents!$C$2:$C$619,"all_inclusive")=0,"",MAXIFS(Documents!$E$2:$E$619,Documents!$A$2:$A$619,$A151,Documents!$C$2:$C$619,"all_inclusive")),"")</f>
        <v/>
      </c>
      <c r="P151">
        <f>IFERROR(IF(MAXIFS(Documents!$E$2:$E$619,Documents!$A$2:$A$619,$A151,Documents!$C$2:$C$619,"sustainability")=0,"",MAXIFS(Documents!$E$2:$E$619,Documents!$A$2:$A$619,$A151,Documents!$C$2:$C$619,"sustainability")),"")</f>
        <v/>
      </c>
      <c r="Q151">
        <f>IFERROR(IF(MAXIFS(Documents!$E$2:$E$619,Documents!$A$2:$A$619,$A151,Documents!$C$2:$C$619,"calendar")=0,"",MAXIFS(Documents!$E$2:$E$619,Documents!$A$2:$A$619,$A151,Documents!$C$2:$C$619,"calendar")),"")</f>
        <v/>
      </c>
      <c r="R151">
        <f>IFERROR(IF(MAXIFS(Documents!$E$2:$E$619,Documents!$A$2:$A$619,$A151,Documents!$C$2:$C$619,"brochure")=0,"",MAXIFS(Documents!$E$2:$E$619,Documents!$A$2:$A$619,$A151,Documents!$C$2:$C$619,"brochure")),"")</f>
        <v/>
      </c>
      <c r="S151">
        <f>IFERROR(IF(MAXIFS(Documents!$E$2:$E$619,Documents!$A$2:$A$619,$A151,Documents!$C$2:$C$619,"press_kit")=0,"",MAXIFS(Documents!$E$2:$E$619,Documents!$A$2:$A$619,$A151,Documents!$C$2:$C$619,"press_kit")),"")</f>
        <v/>
      </c>
      <c r="T151">
        <f>IFERROR(IF(MAXIFS(Documents!$E$2:$E$619,Documents!$A$2:$A$619,$A151,Documents!$C$2:$C$619,"other")=0,"",MAXIFS(Documents!$E$2:$E$619,Documents!$A$2:$A$619,$A151,Documents!$C$2:$C$619,"other")),"")</f>
        <v/>
      </c>
      <c r="U151">
        <f>IFERROR(IF(MAXIFS(Documents!$E$2:$E$619,Documents!$A$2:$A$619,$A151,Documents!$C$2:$C$619,"obsolete")=0,"",MAXIFS(Documents!$E$2:$E$619,Documents!$A$2:$A$619,$A151,Documents!$C$2:$C$619,"obsolete")),"")</f>
        <v/>
      </c>
      <c r="V151">
        <f>COUNTIFS(Documents!$A$2:$A$619,$A151)</f>
        <v/>
      </c>
      <c r="W151">
        <f>COUNTIFS(Documents!$A$2:$A$619,$A151,Documents!$R$2:$R$619,"current")</f>
        <v/>
      </c>
      <c r="X151">
        <f>HYPERLINK("https://www.neoscapesmaldives.com/wp-content/uploads/02.-Coco-Bodu-Hithi-Factsheet.pdf","2020_02.-Coco-Bodu-Hithi-Factsheet.pdf")</f>
        <v/>
      </c>
      <c r="Y151" t="inlineStr">
        <is>
          <t>wedding, events</t>
        </is>
      </c>
      <c r="Z151" t="inlineStr"/>
    </row>
    <row r="152">
      <c r="A152" t="n">
        <v>151</v>
      </c>
      <c r="B152" t="inlineStr">
        <is>
          <t>Coco Palm Dhunikolhu</t>
        </is>
      </c>
      <c r="C152" t="inlineStr">
        <is>
          <t>not crawled</t>
        </is>
      </c>
      <c r="D152">
        <f>IFERROR(IF(MAXIFS(Documents!$E$2:$E$619,Documents!$A$2:$A$619,$A152,Documents!$C$2:$C$619,"factsheet")=0,"",MAXIFS(Documents!$E$2:$E$619,Documents!$A$2:$A$619,$A152,Documents!$C$2:$C$619,"factsheet")),"")</f>
        <v/>
      </c>
      <c r="E152">
        <f>IFERROR(IF(MAXIFS(Documents!$E$2:$E$619,Documents!$A$2:$A$619,$A152,Documents!$C$2:$C$619,"wedding")=0,"",MAXIFS(Documents!$E$2:$E$619,Documents!$A$2:$A$619,$A152,Documents!$C$2:$C$619,"wedding")),"")</f>
        <v/>
      </c>
      <c r="F152">
        <f>IFERROR(IF(MAXIFS(Documents!$E$2:$E$619,Documents!$A$2:$A$619,$A152,Documents!$C$2:$C$619,"events")=0,"",MAXIFS(Documents!$E$2:$E$619,Documents!$A$2:$A$619,$A152,Documents!$C$2:$C$619,"events")),"")</f>
        <v/>
      </c>
      <c r="G152">
        <f>IFERROR(IF(MAXIFS(Documents!$E$2:$E$619,Documents!$A$2:$A$619,$A152,Documents!$C$2:$C$619,"map")=0,"",MAXIFS(Documents!$E$2:$E$619,Documents!$A$2:$A$619,$A152,Documents!$C$2:$C$619,"map")),"")</f>
        <v/>
      </c>
      <c r="H152">
        <f>IFERROR(IF(MAXIFS(Documents!$E$2:$E$619,Documents!$A$2:$A$619,$A152,Documents!$C$2:$C$619,"dive_map")=0,"",MAXIFS(Documents!$E$2:$E$619,Documents!$A$2:$A$619,$A152,Documents!$C$2:$C$619,"dive_map")),"")</f>
        <v/>
      </c>
      <c r="I152">
        <f>IFERROR(IF(MAXIFS(Documents!$E$2:$E$619,Documents!$A$2:$A$619,$A152,Documents!$C$2:$C$619,"spa_menu")=0,"",MAXIFS(Documents!$E$2:$E$619,Documents!$A$2:$A$619,$A152,Documents!$C$2:$C$619,"spa_menu")),"")</f>
        <v/>
      </c>
      <c r="J152">
        <f>IFERROR(IF(MAXIFS(Documents!$E$2:$E$619,Documents!$A$2:$A$619,$A152,Documents!$C$2:$C$619,"dining_menu")=0,"",MAXIFS(Documents!$E$2:$E$619,Documents!$A$2:$A$619,$A152,Documents!$C$2:$C$619,"dining_menu")),"")</f>
        <v/>
      </c>
      <c r="K152">
        <f>IFERROR(IF(MAXIFS(Documents!$E$2:$E$619,Documents!$A$2:$A$619,$A152,Documents!$C$2:$C$619,"dive_prices")=0,"",MAXIFS(Documents!$E$2:$E$619,Documents!$A$2:$A$619,$A152,Documents!$C$2:$C$619,"dive_prices")),"")</f>
        <v/>
      </c>
      <c r="L152">
        <f>IFERROR(IF(MAXIFS(Documents!$E$2:$E$619,Documents!$A$2:$A$619,$A152,Documents!$C$2:$C$619,"excursions")=0,"",MAXIFS(Documents!$E$2:$E$619,Documents!$A$2:$A$619,$A152,Documents!$C$2:$C$619,"excursions")),"")</f>
        <v/>
      </c>
      <c r="M152">
        <f>IFERROR(IF(MAXIFS(Documents!$E$2:$E$619,Documents!$A$2:$A$619,$A152,Documents!$C$2:$C$619,"kids")=0,"",MAXIFS(Documents!$E$2:$E$619,Documents!$A$2:$A$619,$A152,Documents!$C$2:$C$619,"kids")),"")</f>
        <v/>
      </c>
      <c r="N152">
        <f>IFERROR(IF(MAXIFS(Documents!$E$2:$E$619,Documents!$A$2:$A$619,$A152,Documents!$C$2:$C$619,"villa_plans")=0,"",MAXIFS(Documents!$E$2:$E$619,Documents!$A$2:$A$619,$A152,Documents!$C$2:$C$619,"villa_plans")),"")</f>
        <v/>
      </c>
      <c r="O152">
        <f>IFERROR(IF(MAXIFS(Documents!$E$2:$E$619,Documents!$A$2:$A$619,$A152,Documents!$C$2:$C$619,"all_inclusive")=0,"",MAXIFS(Documents!$E$2:$E$619,Documents!$A$2:$A$619,$A152,Documents!$C$2:$C$619,"all_inclusive")),"")</f>
        <v/>
      </c>
      <c r="P152">
        <f>IFERROR(IF(MAXIFS(Documents!$E$2:$E$619,Documents!$A$2:$A$619,$A152,Documents!$C$2:$C$619,"sustainability")=0,"",MAXIFS(Documents!$E$2:$E$619,Documents!$A$2:$A$619,$A152,Documents!$C$2:$C$619,"sustainability")),"")</f>
        <v/>
      </c>
      <c r="Q152">
        <f>IFERROR(IF(MAXIFS(Documents!$E$2:$E$619,Documents!$A$2:$A$619,$A152,Documents!$C$2:$C$619,"calendar")=0,"",MAXIFS(Documents!$E$2:$E$619,Documents!$A$2:$A$619,$A152,Documents!$C$2:$C$619,"calendar")),"")</f>
        <v/>
      </c>
      <c r="R152">
        <f>IFERROR(IF(MAXIFS(Documents!$E$2:$E$619,Documents!$A$2:$A$619,$A152,Documents!$C$2:$C$619,"brochure")=0,"",MAXIFS(Documents!$E$2:$E$619,Documents!$A$2:$A$619,$A152,Documents!$C$2:$C$619,"brochure")),"")</f>
        <v/>
      </c>
      <c r="S152">
        <f>IFERROR(IF(MAXIFS(Documents!$E$2:$E$619,Documents!$A$2:$A$619,$A152,Documents!$C$2:$C$619,"press_kit")=0,"",MAXIFS(Documents!$E$2:$E$619,Documents!$A$2:$A$619,$A152,Documents!$C$2:$C$619,"press_kit")),"")</f>
        <v/>
      </c>
      <c r="T152">
        <f>IFERROR(IF(MAXIFS(Documents!$E$2:$E$619,Documents!$A$2:$A$619,$A152,Documents!$C$2:$C$619,"other")=0,"",MAXIFS(Documents!$E$2:$E$619,Documents!$A$2:$A$619,$A152,Documents!$C$2:$C$619,"other")),"")</f>
        <v/>
      </c>
      <c r="U152">
        <f>IFERROR(IF(MAXIFS(Documents!$E$2:$E$619,Documents!$A$2:$A$619,$A152,Documents!$C$2:$C$619,"obsolete")=0,"",MAXIFS(Documents!$E$2:$E$619,Documents!$A$2:$A$619,$A152,Documents!$C$2:$C$619,"obsolete")),"")</f>
        <v/>
      </c>
      <c r="V152">
        <f>COUNTIFS(Documents!$A$2:$A$619,$A152)</f>
        <v/>
      </c>
      <c r="W152">
        <f>COUNTIFS(Documents!$A$2:$A$619,$A152,Documents!$R$2:$R$619,"current")</f>
        <v/>
      </c>
      <c r="X152" t="inlineStr"/>
      <c r="Y152" t="inlineStr">
        <is>
          <t>factsheet, wedding, events</t>
        </is>
      </c>
      <c r="Z152" t="inlineStr"/>
    </row>
    <row r="153">
      <c r="A153" t="n">
        <v>152</v>
      </c>
      <c r="B153" t="inlineStr">
        <is>
          <t>Makunudu Island</t>
        </is>
      </c>
      <c r="C153" t="inlineStr">
        <is>
          <t>not crawled</t>
        </is>
      </c>
      <c r="D153">
        <f>IFERROR(IF(MAXIFS(Documents!$E$2:$E$619,Documents!$A$2:$A$619,$A153,Documents!$C$2:$C$619,"factsheet")=0,"",MAXIFS(Documents!$E$2:$E$619,Documents!$A$2:$A$619,$A153,Documents!$C$2:$C$619,"factsheet")),"")</f>
        <v/>
      </c>
      <c r="E153">
        <f>IFERROR(IF(MAXIFS(Documents!$E$2:$E$619,Documents!$A$2:$A$619,$A153,Documents!$C$2:$C$619,"wedding")=0,"",MAXIFS(Documents!$E$2:$E$619,Documents!$A$2:$A$619,$A153,Documents!$C$2:$C$619,"wedding")),"")</f>
        <v/>
      </c>
      <c r="F153">
        <f>IFERROR(IF(MAXIFS(Documents!$E$2:$E$619,Documents!$A$2:$A$619,$A153,Documents!$C$2:$C$619,"events")=0,"",MAXIFS(Documents!$E$2:$E$619,Documents!$A$2:$A$619,$A153,Documents!$C$2:$C$619,"events")),"")</f>
        <v/>
      </c>
      <c r="G153">
        <f>IFERROR(IF(MAXIFS(Documents!$E$2:$E$619,Documents!$A$2:$A$619,$A153,Documents!$C$2:$C$619,"map")=0,"",MAXIFS(Documents!$E$2:$E$619,Documents!$A$2:$A$619,$A153,Documents!$C$2:$C$619,"map")),"")</f>
        <v/>
      </c>
      <c r="H153">
        <f>IFERROR(IF(MAXIFS(Documents!$E$2:$E$619,Documents!$A$2:$A$619,$A153,Documents!$C$2:$C$619,"dive_map")=0,"",MAXIFS(Documents!$E$2:$E$619,Documents!$A$2:$A$619,$A153,Documents!$C$2:$C$619,"dive_map")),"")</f>
        <v/>
      </c>
      <c r="I153">
        <f>IFERROR(IF(MAXIFS(Documents!$E$2:$E$619,Documents!$A$2:$A$619,$A153,Documents!$C$2:$C$619,"spa_menu")=0,"",MAXIFS(Documents!$E$2:$E$619,Documents!$A$2:$A$619,$A153,Documents!$C$2:$C$619,"spa_menu")),"")</f>
        <v/>
      </c>
      <c r="J153">
        <f>IFERROR(IF(MAXIFS(Documents!$E$2:$E$619,Documents!$A$2:$A$619,$A153,Documents!$C$2:$C$619,"dining_menu")=0,"",MAXIFS(Documents!$E$2:$E$619,Documents!$A$2:$A$619,$A153,Documents!$C$2:$C$619,"dining_menu")),"")</f>
        <v/>
      </c>
      <c r="K153">
        <f>IFERROR(IF(MAXIFS(Documents!$E$2:$E$619,Documents!$A$2:$A$619,$A153,Documents!$C$2:$C$619,"dive_prices")=0,"",MAXIFS(Documents!$E$2:$E$619,Documents!$A$2:$A$619,$A153,Documents!$C$2:$C$619,"dive_prices")),"")</f>
        <v/>
      </c>
      <c r="L153">
        <f>IFERROR(IF(MAXIFS(Documents!$E$2:$E$619,Documents!$A$2:$A$619,$A153,Documents!$C$2:$C$619,"excursions")=0,"",MAXIFS(Documents!$E$2:$E$619,Documents!$A$2:$A$619,$A153,Documents!$C$2:$C$619,"excursions")),"")</f>
        <v/>
      </c>
      <c r="M153">
        <f>IFERROR(IF(MAXIFS(Documents!$E$2:$E$619,Documents!$A$2:$A$619,$A153,Documents!$C$2:$C$619,"kids")=0,"",MAXIFS(Documents!$E$2:$E$619,Documents!$A$2:$A$619,$A153,Documents!$C$2:$C$619,"kids")),"")</f>
        <v/>
      </c>
      <c r="N153">
        <f>IFERROR(IF(MAXIFS(Documents!$E$2:$E$619,Documents!$A$2:$A$619,$A153,Documents!$C$2:$C$619,"villa_plans")=0,"",MAXIFS(Documents!$E$2:$E$619,Documents!$A$2:$A$619,$A153,Documents!$C$2:$C$619,"villa_plans")),"")</f>
        <v/>
      </c>
      <c r="O153">
        <f>IFERROR(IF(MAXIFS(Documents!$E$2:$E$619,Documents!$A$2:$A$619,$A153,Documents!$C$2:$C$619,"all_inclusive")=0,"",MAXIFS(Documents!$E$2:$E$619,Documents!$A$2:$A$619,$A153,Documents!$C$2:$C$619,"all_inclusive")),"")</f>
        <v/>
      </c>
      <c r="P153">
        <f>IFERROR(IF(MAXIFS(Documents!$E$2:$E$619,Documents!$A$2:$A$619,$A153,Documents!$C$2:$C$619,"sustainability")=0,"",MAXIFS(Documents!$E$2:$E$619,Documents!$A$2:$A$619,$A153,Documents!$C$2:$C$619,"sustainability")),"")</f>
        <v/>
      </c>
      <c r="Q153">
        <f>IFERROR(IF(MAXIFS(Documents!$E$2:$E$619,Documents!$A$2:$A$619,$A153,Documents!$C$2:$C$619,"calendar")=0,"",MAXIFS(Documents!$E$2:$E$619,Documents!$A$2:$A$619,$A153,Documents!$C$2:$C$619,"calendar")),"")</f>
        <v/>
      </c>
      <c r="R153">
        <f>IFERROR(IF(MAXIFS(Documents!$E$2:$E$619,Documents!$A$2:$A$619,$A153,Documents!$C$2:$C$619,"brochure")=0,"",MAXIFS(Documents!$E$2:$E$619,Documents!$A$2:$A$619,$A153,Documents!$C$2:$C$619,"brochure")),"")</f>
        <v/>
      </c>
      <c r="S153">
        <f>IFERROR(IF(MAXIFS(Documents!$E$2:$E$619,Documents!$A$2:$A$619,$A153,Documents!$C$2:$C$619,"press_kit")=0,"",MAXIFS(Documents!$E$2:$E$619,Documents!$A$2:$A$619,$A153,Documents!$C$2:$C$619,"press_kit")),"")</f>
        <v/>
      </c>
      <c r="T153">
        <f>IFERROR(IF(MAXIFS(Documents!$E$2:$E$619,Documents!$A$2:$A$619,$A153,Documents!$C$2:$C$619,"other")=0,"",MAXIFS(Documents!$E$2:$E$619,Documents!$A$2:$A$619,$A153,Documents!$C$2:$C$619,"other")),"")</f>
        <v/>
      </c>
      <c r="U153">
        <f>IFERROR(IF(MAXIFS(Documents!$E$2:$E$619,Documents!$A$2:$A$619,$A153,Documents!$C$2:$C$619,"obsolete")=0,"",MAXIFS(Documents!$E$2:$E$619,Documents!$A$2:$A$619,$A153,Documents!$C$2:$C$619,"obsolete")),"")</f>
        <v/>
      </c>
      <c r="V153">
        <f>COUNTIFS(Documents!$A$2:$A$619,$A153)</f>
        <v/>
      </c>
      <c r="W153">
        <f>COUNTIFS(Documents!$A$2:$A$619,$A153,Documents!$R$2:$R$619,"current")</f>
        <v/>
      </c>
      <c r="X153" t="inlineStr"/>
      <c r="Y153" t="inlineStr">
        <is>
          <t>factsheet, wedding, events</t>
        </is>
      </c>
      <c r="Z153" t="inlineStr"/>
    </row>
    <row r="154">
      <c r="A154" t="n">
        <v>153</v>
      </c>
      <c r="B154" t="inlineStr">
        <is>
          <t>Taj Coral Reef Resort and Spa</t>
        </is>
      </c>
      <c r="C154" t="inlineStr">
        <is>
          <t>not crawled</t>
        </is>
      </c>
      <c r="D154">
        <f>IFERROR(IF(MAXIFS(Documents!$E$2:$E$619,Documents!$A$2:$A$619,$A154,Documents!$C$2:$C$619,"factsheet")=0,"",MAXIFS(Documents!$E$2:$E$619,Documents!$A$2:$A$619,$A154,Documents!$C$2:$C$619,"factsheet")),"")</f>
        <v/>
      </c>
      <c r="E154">
        <f>IFERROR(IF(MAXIFS(Documents!$E$2:$E$619,Documents!$A$2:$A$619,$A154,Documents!$C$2:$C$619,"wedding")=0,"",MAXIFS(Documents!$E$2:$E$619,Documents!$A$2:$A$619,$A154,Documents!$C$2:$C$619,"wedding")),"")</f>
        <v/>
      </c>
      <c r="F154">
        <f>IFERROR(IF(MAXIFS(Documents!$E$2:$E$619,Documents!$A$2:$A$619,$A154,Documents!$C$2:$C$619,"events")=0,"",MAXIFS(Documents!$E$2:$E$619,Documents!$A$2:$A$619,$A154,Documents!$C$2:$C$619,"events")),"")</f>
        <v/>
      </c>
      <c r="G154">
        <f>IFERROR(IF(MAXIFS(Documents!$E$2:$E$619,Documents!$A$2:$A$619,$A154,Documents!$C$2:$C$619,"map")=0,"",MAXIFS(Documents!$E$2:$E$619,Documents!$A$2:$A$619,$A154,Documents!$C$2:$C$619,"map")),"")</f>
        <v/>
      </c>
      <c r="H154">
        <f>IFERROR(IF(MAXIFS(Documents!$E$2:$E$619,Documents!$A$2:$A$619,$A154,Documents!$C$2:$C$619,"dive_map")=0,"",MAXIFS(Documents!$E$2:$E$619,Documents!$A$2:$A$619,$A154,Documents!$C$2:$C$619,"dive_map")),"")</f>
        <v/>
      </c>
      <c r="I154">
        <f>IFERROR(IF(MAXIFS(Documents!$E$2:$E$619,Documents!$A$2:$A$619,$A154,Documents!$C$2:$C$619,"spa_menu")=0,"",MAXIFS(Documents!$E$2:$E$619,Documents!$A$2:$A$619,$A154,Documents!$C$2:$C$619,"spa_menu")),"")</f>
        <v/>
      </c>
      <c r="J154">
        <f>IFERROR(IF(MAXIFS(Documents!$E$2:$E$619,Documents!$A$2:$A$619,$A154,Documents!$C$2:$C$619,"dining_menu")=0,"",MAXIFS(Documents!$E$2:$E$619,Documents!$A$2:$A$619,$A154,Documents!$C$2:$C$619,"dining_menu")),"")</f>
        <v/>
      </c>
      <c r="K154">
        <f>IFERROR(IF(MAXIFS(Documents!$E$2:$E$619,Documents!$A$2:$A$619,$A154,Documents!$C$2:$C$619,"dive_prices")=0,"",MAXIFS(Documents!$E$2:$E$619,Documents!$A$2:$A$619,$A154,Documents!$C$2:$C$619,"dive_prices")),"")</f>
        <v/>
      </c>
      <c r="L154">
        <f>IFERROR(IF(MAXIFS(Documents!$E$2:$E$619,Documents!$A$2:$A$619,$A154,Documents!$C$2:$C$619,"excursions")=0,"",MAXIFS(Documents!$E$2:$E$619,Documents!$A$2:$A$619,$A154,Documents!$C$2:$C$619,"excursions")),"")</f>
        <v/>
      </c>
      <c r="M154">
        <f>IFERROR(IF(MAXIFS(Documents!$E$2:$E$619,Documents!$A$2:$A$619,$A154,Documents!$C$2:$C$619,"kids")=0,"",MAXIFS(Documents!$E$2:$E$619,Documents!$A$2:$A$619,$A154,Documents!$C$2:$C$619,"kids")),"")</f>
        <v/>
      </c>
      <c r="N154">
        <f>IFERROR(IF(MAXIFS(Documents!$E$2:$E$619,Documents!$A$2:$A$619,$A154,Documents!$C$2:$C$619,"villa_plans")=0,"",MAXIFS(Documents!$E$2:$E$619,Documents!$A$2:$A$619,$A154,Documents!$C$2:$C$619,"villa_plans")),"")</f>
        <v/>
      </c>
      <c r="O154">
        <f>IFERROR(IF(MAXIFS(Documents!$E$2:$E$619,Documents!$A$2:$A$619,$A154,Documents!$C$2:$C$619,"all_inclusive")=0,"",MAXIFS(Documents!$E$2:$E$619,Documents!$A$2:$A$619,$A154,Documents!$C$2:$C$619,"all_inclusive")),"")</f>
        <v/>
      </c>
      <c r="P154">
        <f>IFERROR(IF(MAXIFS(Documents!$E$2:$E$619,Documents!$A$2:$A$619,$A154,Documents!$C$2:$C$619,"sustainability")=0,"",MAXIFS(Documents!$E$2:$E$619,Documents!$A$2:$A$619,$A154,Documents!$C$2:$C$619,"sustainability")),"")</f>
        <v/>
      </c>
      <c r="Q154">
        <f>IFERROR(IF(MAXIFS(Documents!$E$2:$E$619,Documents!$A$2:$A$619,$A154,Documents!$C$2:$C$619,"calendar")=0,"",MAXIFS(Documents!$E$2:$E$619,Documents!$A$2:$A$619,$A154,Documents!$C$2:$C$619,"calendar")),"")</f>
        <v/>
      </c>
      <c r="R154">
        <f>IFERROR(IF(MAXIFS(Documents!$E$2:$E$619,Documents!$A$2:$A$619,$A154,Documents!$C$2:$C$619,"brochure")=0,"",MAXIFS(Documents!$E$2:$E$619,Documents!$A$2:$A$619,$A154,Documents!$C$2:$C$619,"brochure")),"")</f>
        <v/>
      </c>
      <c r="S154">
        <f>IFERROR(IF(MAXIFS(Documents!$E$2:$E$619,Documents!$A$2:$A$619,$A154,Documents!$C$2:$C$619,"press_kit")=0,"",MAXIFS(Documents!$E$2:$E$619,Documents!$A$2:$A$619,$A154,Documents!$C$2:$C$619,"press_kit")),"")</f>
        <v/>
      </c>
      <c r="T154">
        <f>IFERROR(IF(MAXIFS(Documents!$E$2:$E$619,Documents!$A$2:$A$619,$A154,Documents!$C$2:$C$619,"other")=0,"",MAXIFS(Documents!$E$2:$E$619,Documents!$A$2:$A$619,$A154,Documents!$C$2:$C$619,"other")),"")</f>
        <v/>
      </c>
      <c r="U154">
        <f>IFERROR(IF(MAXIFS(Documents!$E$2:$E$619,Documents!$A$2:$A$619,$A154,Documents!$C$2:$C$619,"obsolete")=0,"",MAXIFS(Documents!$E$2:$E$619,Documents!$A$2:$A$619,$A154,Documents!$C$2:$C$619,"obsolete")),"")</f>
        <v/>
      </c>
      <c r="V154">
        <f>COUNTIFS(Documents!$A$2:$A$619,$A154)</f>
        <v/>
      </c>
      <c r="W154">
        <f>COUNTIFS(Documents!$A$2:$A$619,$A154,Documents!$R$2:$R$619,"current")</f>
        <v/>
      </c>
      <c r="X154">
        <f>HYPERLINK("https://www.neoscapesmaldives.com/wp-content/uploads/FactSheet-Taj-Coral-Reef-Maldives-NEO.pdf","2021_FactSheet-Taj-Coral-Reef-Maldives-N")</f>
        <v/>
      </c>
      <c r="Y154" t="inlineStr">
        <is>
          <t>wedding, events</t>
        </is>
      </c>
      <c r="Z154" t="inlineStr"/>
    </row>
    <row r="155">
      <c r="A155" t="n">
        <v>154</v>
      </c>
      <c r="B155" t="inlineStr">
        <is>
          <t>Taj Exotica Resort &amp; Spa Maldives</t>
        </is>
      </c>
      <c r="C155" t="inlineStr">
        <is>
          <t>not crawled</t>
        </is>
      </c>
      <c r="D155">
        <f>IFERROR(IF(MAXIFS(Documents!$E$2:$E$619,Documents!$A$2:$A$619,$A155,Documents!$C$2:$C$619,"factsheet")=0,"",MAXIFS(Documents!$E$2:$E$619,Documents!$A$2:$A$619,$A155,Documents!$C$2:$C$619,"factsheet")),"")</f>
        <v/>
      </c>
      <c r="E155">
        <f>IFERROR(IF(MAXIFS(Documents!$E$2:$E$619,Documents!$A$2:$A$619,$A155,Documents!$C$2:$C$619,"wedding")=0,"",MAXIFS(Documents!$E$2:$E$619,Documents!$A$2:$A$619,$A155,Documents!$C$2:$C$619,"wedding")),"")</f>
        <v/>
      </c>
      <c r="F155">
        <f>IFERROR(IF(MAXIFS(Documents!$E$2:$E$619,Documents!$A$2:$A$619,$A155,Documents!$C$2:$C$619,"events")=0,"",MAXIFS(Documents!$E$2:$E$619,Documents!$A$2:$A$619,$A155,Documents!$C$2:$C$619,"events")),"")</f>
        <v/>
      </c>
      <c r="G155">
        <f>IFERROR(IF(MAXIFS(Documents!$E$2:$E$619,Documents!$A$2:$A$619,$A155,Documents!$C$2:$C$619,"map")=0,"",MAXIFS(Documents!$E$2:$E$619,Documents!$A$2:$A$619,$A155,Documents!$C$2:$C$619,"map")),"")</f>
        <v/>
      </c>
      <c r="H155">
        <f>IFERROR(IF(MAXIFS(Documents!$E$2:$E$619,Documents!$A$2:$A$619,$A155,Documents!$C$2:$C$619,"dive_map")=0,"",MAXIFS(Documents!$E$2:$E$619,Documents!$A$2:$A$619,$A155,Documents!$C$2:$C$619,"dive_map")),"")</f>
        <v/>
      </c>
      <c r="I155">
        <f>IFERROR(IF(MAXIFS(Documents!$E$2:$E$619,Documents!$A$2:$A$619,$A155,Documents!$C$2:$C$619,"spa_menu")=0,"",MAXIFS(Documents!$E$2:$E$619,Documents!$A$2:$A$619,$A155,Documents!$C$2:$C$619,"spa_menu")),"")</f>
        <v/>
      </c>
      <c r="J155">
        <f>IFERROR(IF(MAXIFS(Documents!$E$2:$E$619,Documents!$A$2:$A$619,$A155,Documents!$C$2:$C$619,"dining_menu")=0,"",MAXIFS(Documents!$E$2:$E$619,Documents!$A$2:$A$619,$A155,Documents!$C$2:$C$619,"dining_menu")),"")</f>
        <v/>
      </c>
      <c r="K155">
        <f>IFERROR(IF(MAXIFS(Documents!$E$2:$E$619,Documents!$A$2:$A$619,$A155,Documents!$C$2:$C$619,"dive_prices")=0,"",MAXIFS(Documents!$E$2:$E$619,Documents!$A$2:$A$619,$A155,Documents!$C$2:$C$619,"dive_prices")),"")</f>
        <v/>
      </c>
      <c r="L155">
        <f>IFERROR(IF(MAXIFS(Documents!$E$2:$E$619,Documents!$A$2:$A$619,$A155,Documents!$C$2:$C$619,"excursions")=0,"",MAXIFS(Documents!$E$2:$E$619,Documents!$A$2:$A$619,$A155,Documents!$C$2:$C$619,"excursions")),"")</f>
        <v/>
      </c>
      <c r="M155">
        <f>IFERROR(IF(MAXIFS(Documents!$E$2:$E$619,Documents!$A$2:$A$619,$A155,Documents!$C$2:$C$619,"kids")=0,"",MAXIFS(Documents!$E$2:$E$619,Documents!$A$2:$A$619,$A155,Documents!$C$2:$C$619,"kids")),"")</f>
        <v/>
      </c>
      <c r="N155">
        <f>IFERROR(IF(MAXIFS(Documents!$E$2:$E$619,Documents!$A$2:$A$619,$A155,Documents!$C$2:$C$619,"villa_plans")=0,"",MAXIFS(Documents!$E$2:$E$619,Documents!$A$2:$A$619,$A155,Documents!$C$2:$C$619,"villa_plans")),"")</f>
        <v/>
      </c>
      <c r="O155">
        <f>IFERROR(IF(MAXIFS(Documents!$E$2:$E$619,Documents!$A$2:$A$619,$A155,Documents!$C$2:$C$619,"all_inclusive")=0,"",MAXIFS(Documents!$E$2:$E$619,Documents!$A$2:$A$619,$A155,Documents!$C$2:$C$619,"all_inclusive")),"")</f>
        <v/>
      </c>
      <c r="P155">
        <f>IFERROR(IF(MAXIFS(Documents!$E$2:$E$619,Documents!$A$2:$A$619,$A155,Documents!$C$2:$C$619,"sustainability")=0,"",MAXIFS(Documents!$E$2:$E$619,Documents!$A$2:$A$619,$A155,Documents!$C$2:$C$619,"sustainability")),"")</f>
        <v/>
      </c>
      <c r="Q155">
        <f>IFERROR(IF(MAXIFS(Documents!$E$2:$E$619,Documents!$A$2:$A$619,$A155,Documents!$C$2:$C$619,"calendar")=0,"",MAXIFS(Documents!$E$2:$E$619,Documents!$A$2:$A$619,$A155,Documents!$C$2:$C$619,"calendar")),"")</f>
        <v/>
      </c>
      <c r="R155">
        <f>IFERROR(IF(MAXIFS(Documents!$E$2:$E$619,Documents!$A$2:$A$619,$A155,Documents!$C$2:$C$619,"brochure")=0,"",MAXIFS(Documents!$E$2:$E$619,Documents!$A$2:$A$619,$A155,Documents!$C$2:$C$619,"brochure")),"")</f>
        <v/>
      </c>
      <c r="S155">
        <f>IFERROR(IF(MAXIFS(Documents!$E$2:$E$619,Documents!$A$2:$A$619,$A155,Documents!$C$2:$C$619,"press_kit")=0,"",MAXIFS(Documents!$E$2:$E$619,Documents!$A$2:$A$619,$A155,Documents!$C$2:$C$619,"press_kit")),"")</f>
        <v/>
      </c>
      <c r="T155">
        <f>IFERROR(IF(MAXIFS(Documents!$E$2:$E$619,Documents!$A$2:$A$619,$A155,Documents!$C$2:$C$619,"other")=0,"",MAXIFS(Documents!$E$2:$E$619,Documents!$A$2:$A$619,$A155,Documents!$C$2:$C$619,"other")),"")</f>
        <v/>
      </c>
      <c r="U155">
        <f>IFERROR(IF(MAXIFS(Documents!$E$2:$E$619,Documents!$A$2:$A$619,$A155,Documents!$C$2:$C$619,"obsolete")=0,"",MAXIFS(Documents!$E$2:$E$619,Documents!$A$2:$A$619,$A155,Documents!$C$2:$C$619,"obsolete")),"")</f>
        <v/>
      </c>
      <c r="V155">
        <f>COUNTIFS(Documents!$A$2:$A$619,$A155)</f>
        <v/>
      </c>
      <c r="W155">
        <f>COUNTIFS(Documents!$A$2:$A$619,$A155,Documents!$R$2:$R$619,"current")</f>
        <v/>
      </c>
      <c r="X155">
        <f>HYPERLINK("https://www.neoscapesmaldives.com/wp-content/uploads/Factsheet-Taj-Exotica-Resort-Spa-_Maldives-NEO.pdf","2021_Factsheet-Taj-Exotica-Resort-Spa-_M")</f>
        <v/>
      </c>
      <c r="Y155" t="inlineStr">
        <is>
          <t>wedding, events</t>
        </is>
      </c>
      <c r="Z155" t="inlineStr"/>
    </row>
    <row r="156">
      <c r="A156" t="n">
        <v>155</v>
      </c>
      <c r="B156" t="inlineStr">
        <is>
          <t>Constance Halaveli Resort</t>
        </is>
      </c>
      <c r="C156" t="inlineStr">
        <is>
          <t>not crawled</t>
        </is>
      </c>
      <c r="D156">
        <f>IFERROR(IF(MAXIFS(Documents!$E$2:$E$619,Documents!$A$2:$A$619,$A156,Documents!$C$2:$C$619,"factsheet")=0,"",MAXIFS(Documents!$E$2:$E$619,Documents!$A$2:$A$619,$A156,Documents!$C$2:$C$619,"factsheet")),"")</f>
        <v/>
      </c>
      <c r="E156">
        <f>IFERROR(IF(MAXIFS(Documents!$E$2:$E$619,Documents!$A$2:$A$619,$A156,Documents!$C$2:$C$619,"wedding")=0,"",MAXIFS(Documents!$E$2:$E$619,Documents!$A$2:$A$619,$A156,Documents!$C$2:$C$619,"wedding")),"")</f>
        <v/>
      </c>
      <c r="F156">
        <f>IFERROR(IF(MAXIFS(Documents!$E$2:$E$619,Documents!$A$2:$A$619,$A156,Documents!$C$2:$C$619,"events")=0,"",MAXIFS(Documents!$E$2:$E$619,Documents!$A$2:$A$619,$A156,Documents!$C$2:$C$619,"events")),"")</f>
        <v/>
      </c>
      <c r="G156">
        <f>IFERROR(IF(MAXIFS(Documents!$E$2:$E$619,Documents!$A$2:$A$619,$A156,Documents!$C$2:$C$619,"map")=0,"",MAXIFS(Documents!$E$2:$E$619,Documents!$A$2:$A$619,$A156,Documents!$C$2:$C$619,"map")),"")</f>
        <v/>
      </c>
      <c r="H156">
        <f>IFERROR(IF(MAXIFS(Documents!$E$2:$E$619,Documents!$A$2:$A$619,$A156,Documents!$C$2:$C$619,"dive_map")=0,"",MAXIFS(Documents!$E$2:$E$619,Documents!$A$2:$A$619,$A156,Documents!$C$2:$C$619,"dive_map")),"")</f>
        <v/>
      </c>
      <c r="I156">
        <f>IFERROR(IF(MAXIFS(Documents!$E$2:$E$619,Documents!$A$2:$A$619,$A156,Documents!$C$2:$C$619,"spa_menu")=0,"",MAXIFS(Documents!$E$2:$E$619,Documents!$A$2:$A$619,$A156,Documents!$C$2:$C$619,"spa_menu")),"")</f>
        <v/>
      </c>
      <c r="J156">
        <f>IFERROR(IF(MAXIFS(Documents!$E$2:$E$619,Documents!$A$2:$A$619,$A156,Documents!$C$2:$C$619,"dining_menu")=0,"",MAXIFS(Documents!$E$2:$E$619,Documents!$A$2:$A$619,$A156,Documents!$C$2:$C$619,"dining_menu")),"")</f>
        <v/>
      </c>
      <c r="K156">
        <f>IFERROR(IF(MAXIFS(Documents!$E$2:$E$619,Documents!$A$2:$A$619,$A156,Documents!$C$2:$C$619,"dive_prices")=0,"",MAXIFS(Documents!$E$2:$E$619,Documents!$A$2:$A$619,$A156,Documents!$C$2:$C$619,"dive_prices")),"")</f>
        <v/>
      </c>
      <c r="L156">
        <f>IFERROR(IF(MAXIFS(Documents!$E$2:$E$619,Documents!$A$2:$A$619,$A156,Documents!$C$2:$C$619,"excursions")=0,"",MAXIFS(Documents!$E$2:$E$619,Documents!$A$2:$A$619,$A156,Documents!$C$2:$C$619,"excursions")),"")</f>
        <v/>
      </c>
      <c r="M156">
        <f>IFERROR(IF(MAXIFS(Documents!$E$2:$E$619,Documents!$A$2:$A$619,$A156,Documents!$C$2:$C$619,"kids")=0,"",MAXIFS(Documents!$E$2:$E$619,Documents!$A$2:$A$619,$A156,Documents!$C$2:$C$619,"kids")),"")</f>
        <v/>
      </c>
      <c r="N156">
        <f>IFERROR(IF(MAXIFS(Documents!$E$2:$E$619,Documents!$A$2:$A$619,$A156,Documents!$C$2:$C$619,"villa_plans")=0,"",MAXIFS(Documents!$E$2:$E$619,Documents!$A$2:$A$619,$A156,Documents!$C$2:$C$619,"villa_plans")),"")</f>
        <v/>
      </c>
      <c r="O156">
        <f>IFERROR(IF(MAXIFS(Documents!$E$2:$E$619,Documents!$A$2:$A$619,$A156,Documents!$C$2:$C$619,"all_inclusive")=0,"",MAXIFS(Documents!$E$2:$E$619,Documents!$A$2:$A$619,$A156,Documents!$C$2:$C$619,"all_inclusive")),"")</f>
        <v/>
      </c>
      <c r="P156">
        <f>IFERROR(IF(MAXIFS(Documents!$E$2:$E$619,Documents!$A$2:$A$619,$A156,Documents!$C$2:$C$619,"sustainability")=0,"",MAXIFS(Documents!$E$2:$E$619,Documents!$A$2:$A$619,$A156,Documents!$C$2:$C$619,"sustainability")),"")</f>
        <v/>
      </c>
      <c r="Q156">
        <f>IFERROR(IF(MAXIFS(Documents!$E$2:$E$619,Documents!$A$2:$A$619,$A156,Documents!$C$2:$C$619,"calendar")=0,"",MAXIFS(Documents!$E$2:$E$619,Documents!$A$2:$A$619,$A156,Documents!$C$2:$C$619,"calendar")),"")</f>
        <v/>
      </c>
      <c r="R156">
        <f>IFERROR(IF(MAXIFS(Documents!$E$2:$E$619,Documents!$A$2:$A$619,$A156,Documents!$C$2:$C$619,"brochure")=0,"",MAXIFS(Documents!$E$2:$E$619,Documents!$A$2:$A$619,$A156,Documents!$C$2:$C$619,"brochure")),"")</f>
        <v/>
      </c>
      <c r="S156">
        <f>IFERROR(IF(MAXIFS(Documents!$E$2:$E$619,Documents!$A$2:$A$619,$A156,Documents!$C$2:$C$619,"press_kit")=0,"",MAXIFS(Documents!$E$2:$E$619,Documents!$A$2:$A$619,$A156,Documents!$C$2:$C$619,"press_kit")),"")</f>
        <v/>
      </c>
      <c r="T156">
        <f>IFERROR(IF(MAXIFS(Documents!$E$2:$E$619,Documents!$A$2:$A$619,$A156,Documents!$C$2:$C$619,"other")=0,"",MAXIFS(Documents!$E$2:$E$619,Documents!$A$2:$A$619,$A156,Documents!$C$2:$C$619,"other")),"")</f>
        <v/>
      </c>
      <c r="U156">
        <f>IFERROR(IF(MAXIFS(Documents!$E$2:$E$619,Documents!$A$2:$A$619,$A156,Documents!$C$2:$C$619,"obsolete")=0,"",MAXIFS(Documents!$E$2:$E$619,Documents!$A$2:$A$619,$A156,Documents!$C$2:$C$619,"obsolete")),"")</f>
        <v/>
      </c>
      <c r="V156">
        <f>COUNTIFS(Documents!$A$2:$A$619,$A156)</f>
        <v/>
      </c>
      <c r="W156">
        <f>COUNTIFS(Documents!$A$2:$A$619,$A156,Documents!$R$2:$R$619,"current")</f>
        <v/>
      </c>
      <c r="X156">
        <f>HYPERLINK("https://www.neoscapesmaldives.com/wp-content/uploads/halaveli-factsheet-en-24april2023.pdf","2023_halaveli-factsheet-en-24april2023.p")</f>
        <v/>
      </c>
      <c r="Y156" t="inlineStr">
        <is>
          <t>wedding, events</t>
        </is>
      </c>
      <c r="Z156" t="inlineStr">
        <is>
          <t>file code CHRG</t>
        </is>
      </c>
    </row>
    <row r="157">
      <c r="A157" t="n">
        <v>156</v>
      </c>
      <c r="B157" t="inlineStr">
        <is>
          <t>Drift Theluveliga Retreat</t>
        </is>
      </c>
      <c r="C157" t="inlineStr">
        <is>
          <t>not crawled</t>
        </is>
      </c>
      <c r="D157">
        <f>IFERROR(IF(MAXIFS(Documents!$E$2:$E$619,Documents!$A$2:$A$619,$A157,Documents!$C$2:$C$619,"factsheet")=0,"",MAXIFS(Documents!$E$2:$E$619,Documents!$A$2:$A$619,$A157,Documents!$C$2:$C$619,"factsheet")),"")</f>
        <v/>
      </c>
      <c r="E157">
        <f>IFERROR(IF(MAXIFS(Documents!$E$2:$E$619,Documents!$A$2:$A$619,$A157,Documents!$C$2:$C$619,"wedding")=0,"",MAXIFS(Documents!$E$2:$E$619,Documents!$A$2:$A$619,$A157,Documents!$C$2:$C$619,"wedding")),"")</f>
        <v/>
      </c>
      <c r="F157">
        <f>IFERROR(IF(MAXIFS(Documents!$E$2:$E$619,Documents!$A$2:$A$619,$A157,Documents!$C$2:$C$619,"events")=0,"",MAXIFS(Documents!$E$2:$E$619,Documents!$A$2:$A$619,$A157,Documents!$C$2:$C$619,"events")),"")</f>
        <v/>
      </c>
      <c r="G157">
        <f>IFERROR(IF(MAXIFS(Documents!$E$2:$E$619,Documents!$A$2:$A$619,$A157,Documents!$C$2:$C$619,"map")=0,"",MAXIFS(Documents!$E$2:$E$619,Documents!$A$2:$A$619,$A157,Documents!$C$2:$C$619,"map")),"")</f>
        <v/>
      </c>
      <c r="H157">
        <f>IFERROR(IF(MAXIFS(Documents!$E$2:$E$619,Documents!$A$2:$A$619,$A157,Documents!$C$2:$C$619,"dive_map")=0,"",MAXIFS(Documents!$E$2:$E$619,Documents!$A$2:$A$619,$A157,Documents!$C$2:$C$619,"dive_map")),"")</f>
        <v/>
      </c>
      <c r="I157">
        <f>IFERROR(IF(MAXIFS(Documents!$E$2:$E$619,Documents!$A$2:$A$619,$A157,Documents!$C$2:$C$619,"spa_menu")=0,"",MAXIFS(Documents!$E$2:$E$619,Documents!$A$2:$A$619,$A157,Documents!$C$2:$C$619,"spa_menu")),"")</f>
        <v/>
      </c>
      <c r="J157">
        <f>IFERROR(IF(MAXIFS(Documents!$E$2:$E$619,Documents!$A$2:$A$619,$A157,Documents!$C$2:$C$619,"dining_menu")=0,"",MAXIFS(Documents!$E$2:$E$619,Documents!$A$2:$A$619,$A157,Documents!$C$2:$C$619,"dining_menu")),"")</f>
        <v/>
      </c>
      <c r="K157">
        <f>IFERROR(IF(MAXIFS(Documents!$E$2:$E$619,Documents!$A$2:$A$619,$A157,Documents!$C$2:$C$619,"dive_prices")=0,"",MAXIFS(Documents!$E$2:$E$619,Documents!$A$2:$A$619,$A157,Documents!$C$2:$C$619,"dive_prices")),"")</f>
        <v/>
      </c>
      <c r="L157">
        <f>IFERROR(IF(MAXIFS(Documents!$E$2:$E$619,Documents!$A$2:$A$619,$A157,Documents!$C$2:$C$619,"excursions")=0,"",MAXIFS(Documents!$E$2:$E$619,Documents!$A$2:$A$619,$A157,Documents!$C$2:$C$619,"excursions")),"")</f>
        <v/>
      </c>
      <c r="M157">
        <f>IFERROR(IF(MAXIFS(Documents!$E$2:$E$619,Documents!$A$2:$A$619,$A157,Documents!$C$2:$C$619,"kids")=0,"",MAXIFS(Documents!$E$2:$E$619,Documents!$A$2:$A$619,$A157,Documents!$C$2:$C$619,"kids")),"")</f>
        <v/>
      </c>
      <c r="N157">
        <f>IFERROR(IF(MAXIFS(Documents!$E$2:$E$619,Documents!$A$2:$A$619,$A157,Documents!$C$2:$C$619,"villa_plans")=0,"",MAXIFS(Documents!$E$2:$E$619,Documents!$A$2:$A$619,$A157,Documents!$C$2:$C$619,"villa_plans")),"")</f>
        <v/>
      </c>
      <c r="O157">
        <f>IFERROR(IF(MAXIFS(Documents!$E$2:$E$619,Documents!$A$2:$A$619,$A157,Documents!$C$2:$C$619,"all_inclusive")=0,"",MAXIFS(Documents!$E$2:$E$619,Documents!$A$2:$A$619,$A157,Documents!$C$2:$C$619,"all_inclusive")),"")</f>
        <v/>
      </c>
      <c r="P157">
        <f>IFERROR(IF(MAXIFS(Documents!$E$2:$E$619,Documents!$A$2:$A$619,$A157,Documents!$C$2:$C$619,"sustainability")=0,"",MAXIFS(Documents!$E$2:$E$619,Documents!$A$2:$A$619,$A157,Documents!$C$2:$C$619,"sustainability")),"")</f>
        <v/>
      </c>
      <c r="Q157">
        <f>IFERROR(IF(MAXIFS(Documents!$E$2:$E$619,Documents!$A$2:$A$619,$A157,Documents!$C$2:$C$619,"calendar")=0,"",MAXIFS(Documents!$E$2:$E$619,Documents!$A$2:$A$619,$A157,Documents!$C$2:$C$619,"calendar")),"")</f>
        <v/>
      </c>
      <c r="R157">
        <f>IFERROR(IF(MAXIFS(Documents!$E$2:$E$619,Documents!$A$2:$A$619,$A157,Documents!$C$2:$C$619,"brochure")=0,"",MAXIFS(Documents!$E$2:$E$619,Documents!$A$2:$A$619,$A157,Documents!$C$2:$C$619,"brochure")),"")</f>
        <v/>
      </c>
      <c r="S157">
        <f>IFERROR(IF(MAXIFS(Documents!$E$2:$E$619,Documents!$A$2:$A$619,$A157,Documents!$C$2:$C$619,"press_kit")=0,"",MAXIFS(Documents!$E$2:$E$619,Documents!$A$2:$A$619,$A157,Documents!$C$2:$C$619,"press_kit")),"")</f>
        <v/>
      </c>
      <c r="T157">
        <f>IFERROR(IF(MAXIFS(Documents!$E$2:$E$619,Documents!$A$2:$A$619,$A157,Documents!$C$2:$C$619,"other")=0,"",MAXIFS(Documents!$E$2:$E$619,Documents!$A$2:$A$619,$A157,Documents!$C$2:$C$619,"other")),"")</f>
        <v/>
      </c>
      <c r="U157">
        <f>IFERROR(IF(MAXIFS(Documents!$E$2:$E$619,Documents!$A$2:$A$619,$A157,Documents!$C$2:$C$619,"obsolete")=0,"",MAXIFS(Documents!$E$2:$E$619,Documents!$A$2:$A$619,$A157,Documents!$C$2:$C$619,"obsolete")),"")</f>
        <v/>
      </c>
      <c r="V157">
        <f>COUNTIFS(Documents!$A$2:$A$619,$A157)</f>
        <v/>
      </c>
      <c r="W157">
        <f>COUNTIFS(Documents!$A$2:$A$619,$A157,Documents!$R$2:$R$619,"current")</f>
        <v/>
      </c>
      <c r="X157" t="inlineStr"/>
      <c r="Y157" t="inlineStr">
        <is>
          <t>factsheet, wedding, events</t>
        </is>
      </c>
      <c r="Z157" t="inlineStr"/>
    </row>
    <row r="158">
      <c r="A158" t="n">
        <v>157</v>
      </c>
      <c r="B158" t="inlineStr">
        <is>
          <t>The Nautilus Maldives</t>
        </is>
      </c>
      <c r="C158" t="inlineStr">
        <is>
          <t>not crawled</t>
        </is>
      </c>
      <c r="D158">
        <f>IFERROR(IF(MAXIFS(Documents!$E$2:$E$619,Documents!$A$2:$A$619,$A158,Documents!$C$2:$C$619,"factsheet")=0,"",MAXIFS(Documents!$E$2:$E$619,Documents!$A$2:$A$619,$A158,Documents!$C$2:$C$619,"factsheet")),"")</f>
        <v/>
      </c>
      <c r="E158">
        <f>IFERROR(IF(MAXIFS(Documents!$E$2:$E$619,Documents!$A$2:$A$619,$A158,Documents!$C$2:$C$619,"wedding")=0,"",MAXIFS(Documents!$E$2:$E$619,Documents!$A$2:$A$619,$A158,Documents!$C$2:$C$619,"wedding")),"")</f>
        <v/>
      </c>
      <c r="F158">
        <f>IFERROR(IF(MAXIFS(Documents!$E$2:$E$619,Documents!$A$2:$A$619,$A158,Documents!$C$2:$C$619,"events")=0,"",MAXIFS(Documents!$E$2:$E$619,Documents!$A$2:$A$619,$A158,Documents!$C$2:$C$619,"events")),"")</f>
        <v/>
      </c>
      <c r="G158">
        <f>IFERROR(IF(MAXIFS(Documents!$E$2:$E$619,Documents!$A$2:$A$619,$A158,Documents!$C$2:$C$619,"map")=0,"",MAXIFS(Documents!$E$2:$E$619,Documents!$A$2:$A$619,$A158,Documents!$C$2:$C$619,"map")),"")</f>
        <v/>
      </c>
      <c r="H158">
        <f>IFERROR(IF(MAXIFS(Documents!$E$2:$E$619,Documents!$A$2:$A$619,$A158,Documents!$C$2:$C$619,"dive_map")=0,"",MAXIFS(Documents!$E$2:$E$619,Documents!$A$2:$A$619,$A158,Documents!$C$2:$C$619,"dive_map")),"")</f>
        <v/>
      </c>
      <c r="I158">
        <f>IFERROR(IF(MAXIFS(Documents!$E$2:$E$619,Documents!$A$2:$A$619,$A158,Documents!$C$2:$C$619,"spa_menu")=0,"",MAXIFS(Documents!$E$2:$E$619,Documents!$A$2:$A$619,$A158,Documents!$C$2:$C$619,"spa_menu")),"")</f>
        <v/>
      </c>
      <c r="J158">
        <f>IFERROR(IF(MAXIFS(Documents!$E$2:$E$619,Documents!$A$2:$A$619,$A158,Documents!$C$2:$C$619,"dining_menu")=0,"",MAXIFS(Documents!$E$2:$E$619,Documents!$A$2:$A$619,$A158,Documents!$C$2:$C$619,"dining_menu")),"")</f>
        <v/>
      </c>
      <c r="K158">
        <f>IFERROR(IF(MAXIFS(Documents!$E$2:$E$619,Documents!$A$2:$A$619,$A158,Documents!$C$2:$C$619,"dive_prices")=0,"",MAXIFS(Documents!$E$2:$E$619,Documents!$A$2:$A$619,$A158,Documents!$C$2:$C$619,"dive_prices")),"")</f>
        <v/>
      </c>
      <c r="L158">
        <f>IFERROR(IF(MAXIFS(Documents!$E$2:$E$619,Documents!$A$2:$A$619,$A158,Documents!$C$2:$C$619,"excursions")=0,"",MAXIFS(Documents!$E$2:$E$619,Documents!$A$2:$A$619,$A158,Documents!$C$2:$C$619,"excursions")),"")</f>
        <v/>
      </c>
      <c r="M158">
        <f>IFERROR(IF(MAXIFS(Documents!$E$2:$E$619,Documents!$A$2:$A$619,$A158,Documents!$C$2:$C$619,"kids")=0,"",MAXIFS(Documents!$E$2:$E$619,Documents!$A$2:$A$619,$A158,Documents!$C$2:$C$619,"kids")),"")</f>
        <v/>
      </c>
      <c r="N158">
        <f>IFERROR(IF(MAXIFS(Documents!$E$2:$E$619,Documents!$A$2:$A$619,$A158,Documents!$C$2:$C$619,"villa_plans")=0,"",MAXIFS(Documents!$E$2:$E$619,Documents!$A$2:$A$619,$A158,Documents!$C$2:$C$619,"villa_plans")),"")</f>
        <v/>
      </c>
      <c r="O158">
        <f>IFERROR(IF(MAXIFS(Documents!$E$2:$E$619,Documents!$A$2:$A$619,$A158,Documents!$C$2:$C$619,"all_inclusive")=0,"",MAXIFS(Documents!$E$2:$E$619,Documents!$A$2:$A$619,$A158,Documents!$C$2:$C$619,"all_inclusive")),"")</f>
        <v/>
      </c>
      <c r="P158">
        <f>IFERROR(IF(MAXIFS(Documents!$E$2:$E$619,Documents!$A$2:$A$619,$A158,Documents!$C$2:$C$619,"sustainability")=0,"",MAXIFS(Documents!$E$2:$E$619,Documents!$A$2:$A$619,$A158,Documents!$C$2:$C$619,"sustainability")),"")</f>
        <v/>
      </c>
      <c r="Q158">
        <f>IFERROR(IF(MAXIFS(Documents!$E$2:$E$619,Documents!$A$2:$A$619,$A158,Documents!$C$2:$C$619,"calendar")=0,"",MAXIFS(Documents!$E$2:$E$619,Documents!$A$2:$A$619,$A158,Documents!$C$2:$C$619,"calendar")),"")</f>
        <v/>
      </c>
      <c r="R158">
        <f>IFERROR(IF(MAXIFS(Documents!$E$2:$E$619,Documents!$A$2:$A$619,$A158,Documents!$C$2:$C$619,"brochure")=0,"",MAXIFS(Documents!$E$2:$E$619,Documents!$A$2:$A$619,$A158,Documents!$C$2:$C$619,"brochure")),"")</f>
        <v/>
      </c>
      <c r="S158">
        <f>IFERROR(IF(MAXIFS(Documents!$E$2:$E$619,Documents!$A$2:$A$619,$A158,Documents!$C$2:$C$619,"press_kit")=0,"",MAXIFS(Documents!$E$2:$E$619,Documents!$A$2:$A$619,$A158,Documents!$C$2:$C$619,"press_kit")),"")</f>
        <v/>
      </c>
      <c r="T158">
        <f>IFERROR(IF(MAXIFS(Documents!$E$2:$E$619,Documents!$A$2:$A$619,$A158,Documents!$C$2:$C$619,"other")=0,"",MAXIFS(Documents!$E$2:$E$619,Documents!$A$2:$A$619,$A158,Documents!$C$2:$C$619,"other")),"")</f>
        <v/>
      </c>
      <c r="U158">
        <f>IFERROR(IF(MAXIFS(Documents!$E$2:$E$619,Documents!$A$2:$A$619,$A158,Documents!$C$2:$C$619,"obsolete")=0,"",MAXIFS(Documents!$E$2:$E$619,Documents!$A$2:$A$619,$A158,Documents!$C$2:$C$619,"obsolete")),"")</f>
        <v/>
      </c>
      <c r="V158">
        <f>COUNTIFS(Documents!$A$2:$A$619,$A158)</f>
        <v/>
      </c>
      <c r="W158">
        <f>COUNTIFS(Documents!$A$2:$A$619,$A158,Documents!$R$2:$R$619,"current")</f>
        <v/>
      </c>
      <c r="X158" t="inlineStr"/>
      <c r="Y158" t="inlineStr">
        <is>
          <t>factsheet, wedding, events</t>
        </is>
      </c>
      <c r="Z158" t="inlineStr"/>
    </row>
    <row r="159">
      <c r="A159" t="n">
        <v>158</v>
      </c>
      <c r="B159" t="inlineStr">
        <is>
          <t>Patina Maldives, Fari Islands</t>
        </is>
      </c>
      <c r="C159" t="inlineStr">
        <is>
          <t>not crawled</t>
        </is>
      </c>
      <c r="D159">
        <f>IFERROR(IF(MAXIFS(Documents!$E$2:$E$619,Documents!$A$2:$A$619,$A159,Documents!$C$2:$C$619,"factsheet")=0,"",MAXIFS(Documents!$E$2:$E$619,Documents!$A$2:$A$619,$A159,Documents!$C$2:$C$619,"factsheet")),"")</f>
        <v/>
      </c>
      <c r="E159">
        <f>IFERROR(IF(MAXIFS(Documents!$E$2:$E$619,Documents!$A$2:$A$619,$A159,Documents!$C$2:$C$619,"wedding")=0,"",MAXIFS(Documents!$E$2:$E$619,Documents!$A$2:$A$619,$A159,Documents!$C$2:$C$619,"wedding")),"")</f>
        <v/>
      </c>
      <c r="F159">
        <f>IFERROR(IF(MAXIFS(Documents!$E$2:$E$619,Documents!$A$2:$A$619,$A159,Documents!$C$2:$C$619,"events")=0,"",MAXIFS(Documents!$E$2:$E$619,Documents!$A$2:$A$619,$A159,Documents!$C$2:$C$619,"events")),"")</f>
        <v/>
      </c>
      <c r="G159">
        <f>IFERROR(IF(MAXIFS(Documents!$E$2:$E$619,Documents!$A$2:$A$619,$A159,Documents!$C$2:$C$619,"map")=0,"",MAXIFS(Documents!$E$2:$E$619,Documents!$A$2:$A$619,$A159,Documents!$C$2:$C$619,"map")),"")</f>
        <v/>
      </c>
      <c r="H159">
        <f>IFERROR(IF(MAXIFS(Documents!$E$2:$E$619,Documents!$A$2:$A$619,$A159,Documents!$C$2:$C$619,"dive_map")=0,"",MAXIFS(Documents!$E$2:$E$619,Documents!$A$2:$A$619,$A159,Documents!$C$2:$C$619,"dive_map")),"")</f>
        <v/>
      </c>
      <c r="I159">
        <f>IFERROR(IF(MAXIFS(Documents!$E$2:$E$619,Documents!$A$2:$A$619,$A159,Documents!$C$2:$C$619,"spa_menu")=0,"",MAXIFS(Documents!$E$2:$E$619,Documents!$A$2:$A$619,$A159,Documents!$C$2:$C$619,"spa_menu")),"")</f>
        <v/>
      </c>
      <c r="J159">
        <f>IFERROR(IF(MAXIFS(Documents!$E$2:$E$619,Documents!$A$2:$A$619,$A159,Documents!$C$2:$C$619,"dining_menu")=0,"",MAXIFS(Documents!$E$2:$E$619,Documents!$A$2:$A$619,$A159,Documents!$C$2:$C$619,"dining_menu")),"")</f>
        <v/>
      </c>
      <c r="K159">
        <f>IFERROR(IF(MAXIFS(Documents!$E$2:$E$619,Documents!$A$2:$A$619,$A159,Documents!$C$2:$C$619,"dive_prices")=0,"",MAXIFS(Documents!$E$2:$E$619,Documents!$A$2:$A$619,$A159,Documents!$C$2:$C$619,"dive_prices")),"")</f>
        <v/>
      </c>
      <c r="L159">
        <f>IFERROR(IF(MAXIFS(Documents!$E$2:$E$619,Documents!$A$2:$A$619,$A159,Documents!$C$2:$C$619,"excursions")=0,"",MAXIFS(Documents!$E$2:$E$619,Documents!$A$2:$A$619,$A159,Documents!$C$2:$C$619,"excursions")),"")</f>
        <v/>
      </c>
      <c r="M159">
        <f>IFERROR(IF(MAXIFS(Documents!$E$2:$E$619,Documents!$A$2:$A$619,$A159,Documents!$C$2:$C$619,"kids")=0,"",MAXIFS(Documents!$E$2:$E$619,Documents!$A$2:$A$619,$A159,Documents!$C$2:$C$619,"kids")),"")</f>
        <v/>
      </c>
      <c r="N159">
        <f>IFERROR(IF(MAXIFS(Documents!$E$2:$E$619,Documents!$A$2:$A$619,$A159,Documents!$C$2:$C$619,"villa_plans")=0,"",MAXIFS(Documents!$E$2:$E$619,Documents!$A$2:$A$619,$A159,Documents!$C$2:$C$619,"villa_plans")),"")</f>
        <v/>
      </c>
      <c r="O159">
        <f>IFERROR(IF(MAXIFS(Documents!$E$2:$E$619,Documents!$A$2:$A$619,$A159,Documents!$C$2:$C$619,"all_inclusive")=0,"",MAXIFS(Documents!$E$2:$E$619,Documents!$A$2:$A$619,$A159,Documents!$C$2:$C$619,"all_inclusive")),"")</f>
        <v/>
      </c>
      <c r="P159">
        <f>IFERROR(IF(MAXIFS(Documents!$E$2:$E$619,Documents!$A$2:$A$619,$A159,Documents!$C$2:$C$619,"sustainability")=0,"",MAXIFS(Documents!$E$2:$E$619,Documents!$A$2:$A$619,$A159,Documents!$C$2:$C$619,"sustainability")),"")</f>
        <v/>
      </c>
      <c r="Q159">
        <f>IFERROR(IF(MAXIFS(Documents!$E$2:$E$619,Documents!$A$2:$A$619,$A159,Documents!$C$2:$C$619,"calendar")=0,"",MAXIFS(Documents!$E$2:$E$619,Documents!$A$2:$A$619,$A159,Documents!$C$2:$C$619,"calendar")),"")</f>
        <v/>
      </c>
      <c r="R159">
        <f>IFERROR(IF(MAXIFS(Documents!$E$2:$E$619,Documents!$A$2:$A$619,$A159,Documents!$C$2:$C$619,"brochure")=0,"",MAXIFS(Documents!$E$2:$E$619,Documents!$A$2:$A$619,$A159,Documents!$C$2:$C$619,"brochure")),"")</f>
        <v/>
      </c>
      <c r="S159">
        <f>IFERROR(IF(MAXIFS(Documents!$E$2:$E$619,Documents!$A$2:$A$619,$A159,Documents!$C$2:$C$619,"press_kit")=0,"",MAXIFS(Documents!$E$2:$E$619,Documents!$A$2:$A$619,$A159,Documents!$C$2:$C$619,"press_kit")),"")</f>
        <v/>
      </c>
      <c r="T159">
        <f>IFERROR(IF(MAXIFS(Documents!$E$2:$E$619,Documents!$A$2:$A$619,$A159,Documents!$C$2:$C$619,"other")=0,"",MAXIFS(Documents!$E$2:$E$619,Documents!$A$2:$A$619,$A159,Documents!$C$2:$C$619,"other")),"")</f>
        <v/>
      </c>
      <c r="U159">
        <f>IFERROR(IF(MAXIFS(Documents!$E$2:$E$619,Documents!$A$2:$A$619,$A159,Documents!$C$2:$C$619,"obsolete")=0,"",MAXIFS(Documents!$E$2:$E$619,Documents!$A$2:$A$619,$A159,Documents!$C$2:$C$619,"obsolete")),"")</f>
        <v/>
      </c>
      <c r="V159">
        <f>COUNTIFS(Documents!$A$2:$A$619,$A159)</f>
        <v/>
      </c>
      <c r="W159">
        <f>COUNTIFS(Documents!$A$2:$A$619,$A159,Documents!$R$2:$R$619,"current")</f>
        <v/>
      </c>
      <c r="X159">
        <f>HYPERLINK("https://www.neoscapesmaldives.com/wp-content/uploads/PAM_FACTSHEET_2025.pdf","2025_PAM_FACTSHEET_2025.pdf")</f>
        <v/>
      </c>
      <c r="Y159" t="inlineStr">
        <is>
          <t>wedding, events</t>
        </is>
      </c>
      <c r="Z159" t="inlineStr"/>
    </row>
    <row r="160">
      <c r="A160" t="n">
        <v>159</v>
      </c>
      <c r="B160" t="inlineStr">
        <is>
          <t>Cinnamon Dhonveli Maldives</t>
        </is>
      </c>
      <c r="C160" t="inlineStr">
        <is>
          <t>not crawled</t>
        </is>
      </c>
      <c r="D160">
        <f>IFERROR(IF(MAXIFS(Documents!$E$2:$E$619,Documents!$A$2:$A$619,$A160,Documents!$C$2:$C$619,"factsheet")=0,"",MAXIFS(Documents!$E$2:$E$619,Documents!$A$2:$A$619,$A160,Documents!$C$2:$C$619,"factsheet")),"")</f>
        <v/>
      </c>
      <c r="E160">
        <f>IFERROR(IF(MAXIFS(Documents!$E$2:$E$619,Documents!$A$2:$A$619,$A160,Documents!$C$2:$C$619,"wedding")=0,"",MAXIFS(Documents!$E$2:$E$619,Documents!$A$2:$A$619,$A160,Documents!$C$2:$C$619,"wedding")),"")</f>
        <v/>
      </c>
      <c r="F160">
        <f>IFERROR(IF(MAXIFS(Documents!$E$2:$E$619,Documents!$A$2:$A$619,$A160,Documents!$C$2:$C$619,"events")=0,"",MAXIFS(Documents!$E$2:$E$619,Documents!$A$2:$A$619,$A160,Documents!$C$2:$C$619,"events")),"")</f>
        <v/>
      </c>
      <c r="G160">
        <f>IFERROR(IF(MAXIFS(Documents!$E$2:$E$619,Documents!$A$2:$A$619,$A160,Documents!$C$2:$C$619,"map")=0,"",MAXIFS(Documents!$E$2:$E$619,Documents!$A$2:$A$619,$A160,Documents!$C$2:$C$619,"map")),"")</f>
        <v/>
      </c>
      <c r="H160">
        <f>IFERROR(IF(MAXIFS(Documents!$E$2:$E$619,Documents!$A$2:$A$619,$A160,Documents!$C$2:$C$619,"dive_map")=0,"",MAXIFS(Documents!$E$2:$E$619,Documents!$A$2:$A$619,$A160,Documents!$C$2:$C$619,"dive_map")),"")</f>
        <v/>
      </c>
      <c r="I160">
        <f>IFERROR(IF(MAXIFS(Documents!$E$2:$E$619,Documents!$A$2:$A$619,$A160,Documents!$C$2:$C$619,"spa_menu")=0,"",MAXIFS(Documents!$E$2:$E$619,Documents!$A$2:$A$619,$A160,Documents!$C$2:$C$619,"spa_menu")),"")</f>
        <v/>
      </c>
      <c r="J160">
        <f>IFERROR(IF(MAXIFS(Documents!$E$2:$E$619,Documents!$A$2:$A$619,$A160,Documents!$C$2:$C$619,"dining_menu")=0,"",MAXIFS(Documents!$E$2:$E$619,Documents!$A$2:$A$619,$A160,Documents!$C$2:$C$619,"dining_menu")),"")</f>
        <v/>
      </c>
      <c r="K160">
        <f>IFERROR(IF(MAXIFS(Documents!$E$2:$E$619,Documents!$A$2:$A$619,$A160,Documents!$C$2:$C$619,"dive_prices")=0,"",MAXIFS(Documents!$E$2:$E$619,Documents!$A$2:$A$619,$A160,Documents!$C$2:$C$619,"dive_prices")),"")</f>
        <v/>
      </c>
      <c r="L160">
        <f>IFERROR(IF(MAXIFS(Documents!$E$2:$E$619,Documents!$A$2:$A$619,$A160,Documents!$C$2:$C$619,"excursions")=0,"",MAXIFS(Documents!$E$2:$E$619,Documents!$A$2:$A$619,$A160,Documents!$C$2:$C$619,"excursions")),"")</f>
        <v/>
      </c>
      <c r="M160">
        <f>IFERROR(IF(MAXIFS(Documents!$E$2:$E$619,Documents!$A$2:$A$619,$A160,Documents!$C$2:$C$619,"kids")=0,"",MAXIFS(Documents!$E$2:$E$619,Documents!$A$2:$A$619,$A160,Documents!$C$2:$C$619,"kids")),"")</f>
        <v/>
      </c>
      <c r="N160">
        <f>IFERROR(IF(MAXIFS(Documents!$E$2:$E$619,Documents!$A$2:$A$619,$A160,Documents!$C$2:$C$619,"villa_plans")=0,"",MAXIFS(Documents!$E$2:$E$619,Documents!$A$2:$A$619,$A160,Documents!$C$2:$C$619,"villa_plans")),"")</f>
        <v/>
      </c>
      <c r="O160">
        <f>IFERROR(IF(MAXIFS(Documents!$E$2:$E$619,Documents!$A$2:$A$619,$A160,Documents!$C$2:$C$619,"all_inclusive")=0,"",MAXIFS(Documents!$E$2:$E$619,Documents!$A$2:$A$619,$A160,Documents!$C$2:$C$619,"all_inclusive")),"")</f>
        <v/>
      </c>
      <c r="P160">
        <f>IFERROR(IF(MAXIFS(Documents!$E$2:$E$619,Documents!$A$2:$A$619,$A160,Documents!$C$2:$C$619,"sustainability")=0,"",MAXIFS(Documents!$E$2:$E$619,Documents!$A$2:$A$619,$A160,Documents!$C$2:$C$619,"sustainability")),"")</f>
        <v/>
      </c>
      <c r="Q160">
        <f>IFERROR(IF(MAXIFS(Documents!$E$2:$E$619,Documents!$A$2:$A$619,$A160,Documents!$C$2:$C$619,"calendar")=0,"",MAXIFS(Documents!$E$2:$E$619,Documents!$A$2:$A$619,$A160,Documents!$C$2:$C$619,"calendar")),"")</f>
        <v/>
      </c>
      <c r="R160">
        <f>IFERROR(IF(MAXIFS(Documents!$E$2:$E$619,Documents!$A$2:$A$619,$A160,Documents!$C$2:$C$619,"brochure")=0,"",MAXIFS(Documents!$E$2:$E$619,Documents!$A$2:$A$619,$A160,Documents!$C$2:$C$619,"brochure")),"")</f>
        <v/>
      </c>
      <c r="S160">
        <f>IFERROR(IF(MAXIFS(Documents!$E$2:$E$619,Documents!$A$2:$A$619,$A160,Documents!$C$2:$C$619,"press_kit")=0,"",MAXIFS(Documents!$E$2:$E$619,Documents!$A$2:$A$619,$A160,Documents!$C$2:$C$619,"press_kit")),"")</f>
        <v/>
      </c>
      <c r="T160">
        <f>IFERROR(IF(MAXIFS(Documents!$E$2:$E$619,Documents!$A$2:$A$619,$A160,Documents!$C$2:$C$619,"other")=0,"",MAXIFS(Documents!$E$2:$E$619,Documents!$A$2:$A$619,$A160,Documents!$C$2:$C$619,"other")),"")</f>
        <v/>
      </c>
      <c r="U160">
        <f>IFERROR(IF(MAXIFS(Documents!$E$2:$E$619,Documents!$A$2:$A$619,$A160,Documents!$C$2:$C$619,"obsolete")=0,"",MAXIFS(Documents!$E$2:$E$619,Documents!$A$2:$A$619,$A160,Documents!$C$2:$C$619,"obsolete")),"")</f>
        <v/>
      </c>
      <c r="V160">
        <f>COUNTIFS(Documents!$A$2:$A$619,$A160)</f>
        <v/>
      </c>
      <c r="W160">
        <f>COUNTIFS(Documents!$A$2:$A$619,$A160,Documents!$R$2:$R$619,"current")</f>
        <v/>
      </c>
      <c r="X160">
        <f>HYPERLINK("https://www.neoscapesmaldives.com/wp-content/uploads/Fact-sheet-Dhonveli.pdf","2023_Fact-sheet-Dhonveli.pdf")</f>
        <v/>
      </c>
      <c r="Y160" t="inlineStr">
        <is>
          <t>wedding, events</t>
        </is>
      </c>
      <c r="Z160" t="inlineStr"/>
    </row>
    <row r="161">
      <c r="A161" t="n">
        <v>160</v>
      </c>
      <c r="B161" t="inlineStr">
        <is>
          <t>Cinnamon Velifushi Maldives</t>
        </is>
      </c>
      <c r="C161" t="inlineStr">
        <is>
          <t>not crawled</t>
        </is>
      </c>
      <c r="D161">
        <f>IFERROR(IF(MAXIFS(Documents!$E$2:$E$619,Documents!$A$2:$A$619,$A161,Documents!$C$2:$C$619,"factsheet")=0,"",MAXIFS(Documents!$E$2:$E$619,Documents!$A$2:$A$619,$A161,Documents!$C$2:$C$619,"factsheet")),"")</f>
        <v/>
      </c>
      <c r="E161">
        <f>IFERROR(IF(MAXIFS(Documents!$E$2:$E$619,Documents!$A$2:$A$619,$A161,Documents!$C$2:$C$619,"wedding")=0,"",MAXIFS(Documents!$E$2:$E$619,Documents!$A$2:$A$619,$A161,Documents!$C$2:$C$619,"wedding")),"")</f>
        <v/>
      </c>
      <c r="F161">
        <f>IFERROR(IF(MAXIFS(Documents!$E$2:$E$619,Documents!$A$2:$A$619,$A161,Documents!$C$2:$C$619,"events")=0,"",MAXIFS(Documents!$E$2:$E$619,Documents!$A$2:$A$619,$A161,Documents!$C$2:$C$619,"events")),"")</f>
        <v/>
      </c>
      <c r="G161">
        <f>IFERROR(IF(MAXIFS(Documents!$E$2:$E$619,Documents!$A$2:$A$619,$A161,Documents!$C$2:$C$619,"map")=0,"",MAXIFS(Documents!$E$2:$E$619,Documents!$A$2:$A$619,$A161,Documents!$C$2:$C$619,"map")),"")</f>
        <v/>
      </c>
      <c r="H161">
        <f>IFERROR(IF(MAXIFS(Documents!$E$2:$E$619,Documents!$A$2:$A$619,$A161,Documents!$C$2:$C$619,"dive_map")=0,"",MAXIFS(Documents!$E$2:$E$619,Documents!$A$2:$A$619,$A161,Documents!$C$2:$C$619,"dive_map")),"")</f>
        <v/>
      </c>
      <c r="I161">
        <f>IFERROR(IF(MAXIFS(Documents!$E$2:$E$619,Documents!$A$2:$A$619,$A161,Documents!$C$2:$C$619,"spa_menu")=0,"",MAXIFS(Documents!$E$2:$E$619,Documents!$A$2:$A$619,$A161,Documents!$C$2:$C$619,"spa_menu")),"")</f>
        <v/>
      </c>
      <c r="J161">
        <f>IFERROR(IF(MAXIFS(Documents!$E$2:$E$619,Documents!$A$2:$A$619,$A161,Documents!$C$2:$C$619,"dining_menu")=0,"",MAXIFS(Documents!$E$2:$E$619,Documents!$A$2:$A$619,$A161,Documents!$C$2:$C$619,"dining_menu")),"")</f>
        <v/>
      </c>
      <c r="K161">
        <f>IFERROR(IF(MAXIFS(Documents!$E$2:$E$619,Documents!$A$2:$A$619,$A161,Documents!$C$2:$C$619,"dive_prices")=0,"",MAXIFS(Documents!$E$2:$E$619,Documents!$A$2:$A$619,$A161,Documents!$C$2:$C$619,"dive_prices")),"")</f>
        <v/>
      </c>
      <c r="L161">
        <f>IFERROR(IF(MAXIFS(Documents!$E$2:$E$619,Documents!$A$2:$A$619,$A161,Documents!$C$2:$C$619,"excursions")=0,"",MAXIFS(Documents!$E$2:$E$619,Documents!$A$2:$A$619,$A161,Documents!$C$2:$C$619,"excursions")),"")</f>
        <v/>
      </c>
      <c r="M161">
        <f>IFERROR(IF(MAXIFS(Documents!$E$2:$E$619,Documents!$A$2:$A$619,$A161,Documents!$C$2:$C$619,"kids")=0,"",MAXIFS(Documents!$E$2:$E$619,Documents!$A$2:$A$619,$A161,Documents!$C$2:$C$619,"kids")),"")</f>
        <v/>
      </c>
      <c r="N161">
        <f>IFERROR(IF(MAXIFS(Documents!$E$2:$E$619,Documents!$A$2:$A$619,$A161,Documents!$C$2:$C$619,"villa_plans")=0,"",MAXIFS(Documents!$E$2:$E$619,Documents!$A$2:$A$619,$A161,Documents!$C$2:$C$619,"villa_plans")),"")</f>
        <v/>
      </c>
      <c r="O161">
        <f>IFERROR(IF(MAXIFS(Documents!$E$2:$E$619,Documents!$A$2:$A$619,$A161,Documents!$C$2:$C$619,"all_inclusive")=0,"",MAXIFS(Documents!$E$2:$E$619,Documents!$A$2:$A$619,$A161,Documents!$C$2:$C$619,"all_inclusive")),"")</f>
        <v/>
      </c>
      <c r="P161">
        <f>IFERROR(IF(MAXIFS(Documents!$E$2:$E$619,Documents!$A$2:$A$619,$A161,Documents!$C$2:$C$619,"sustainability")=0,"",MAXIFS(Documents!$E$2:$E$619,Documents!$A$2:$A$619,$A161,Documents!$C$2:$C$619,"sustainability")),"")</f>
        <v/>
      </c>
      <c r="Q161">
        <f>IFERROR(IF(MAXIFS(Documents!$E$2:$E$619,Documents!$A$2:$A$619,$A161,Documents!$C$2:$C$619,"calendar")=0,"",MAXIFS(Documents!$E$2:$E$619,Documents!$A$2:$A$619,$A161,Documents!$C$2:$C$619,"calendar")),"")</f>
        <v/>
      </c>
      <c r="R161">
        <f>IFERROR(IF(MAXIFS(Documents!$E$2:$E$619,Documents!$A$2:$A$619,$A161,Documents!$C$2:$C$619,"brochure")=0,"",MAXIFS(Documents!$E$2:$E$619,Documents!$A$2:$A$619,$A161,Documents!$C$2:$C$619,"brochure")),"")</f>
        <v/>
      </c>
      <c r="S161">
        <f>IFERROR(IF(MAXIFS(Documents!$E$2:$E$619,Documents!$A$2:$A$619,$A161,Documents!$C$2:$C$619,"press_kit")=0,"",MAXIFS(Documents!$E$2:$E$619,Documents!$A$2:$A$619,$A161,Documents!$C$2:$C$619,"press_kit")),"")</f>
        <v/>
      </c>
      <c r="T161">
        <f>IFERROR(IF(MAXIFS(Documents!$E$2:$E$619,Documents!$A$2:$A$619,$A161,Documents!$C$2:$C$619,"other")=0,"",MAXIFS(Documents!$E$2:$E$619,Documents!$A$2:$A$619,$A161,Documents!$C$2:$C$619,"other")),"")</f>
        <v/>
      </c>
      <c r="U161">
        <f>IFERROR(IF(MAXIFS(Documents!$E$2:$E$619,Documents!$A$2:$A$619,$A161,Documents!$C$2:$C$619,"obsolete")=0,"",MAXIFS(Documents!$E$2:$E$619,Documents!$A$2:$A$619,$A161,Documents!$C$2:$C$619,"obsolete")),"")</f>
        <v/>
      </c>
      <c r="V161">
        <f>COUNTIFS(Documents!$A$2:$A$619,$A161)</f>
        <v/>
      </c>
      <c r="W161">
        <f>COUNTIFS(Documents!$A$2:$A$619,$A161,Documents!$R$2:$R$619,"current")</f>
        <v/>
      </c>
      <c r="X161">
        <f>HYPERLINK("https://www.neoscapesmaldives.com/wp-content/uploads/Fact-sheet-Velifushi.pdf","2023_Fact-sheet-Velifushi.pdf")</f>
        <v/>
      </c>
      <c r="Y161" t="inlineStr">
        <is>
          <t>wedding, events</t>
        </is>
      </c>
      <c r="Z161" t="inlineStr"/>
    </row>
    <row r="162">
      <c r="A162" t="n">
        <v>161</v>
      </c>
      <c r="B162" t="inlineStr">
        <is>
          <t>Ellaidhoo Maldives By Cinnamon</t>
        </is>
      </c>
      <c r="C162" t="inlineStr">
        <is>
          <t>not crawled</t>
        </is>
      </c>
      <c r="D162">
        <f>IFERROR(IF(MAXIFS(Documents!$E$2:$E$619,Documents!$A$2:$A$619,$A162,Documents!$C$2:$C$619,"factsheet")=0,"",MAXIFS(Documents!$E$2:$E$619,Documents!$A$2:$A$619,$A162,Documents!$C$2:$C$619,"factsheet")),"")</f>
        <v/>
      </c>
      <c r="E162">
        <f>IFERROR(IF(MAXIFS(Documents!$E$2:$E$619,Documents!$A$2:$A$619,$A162,Documents!$C$2:$C$619,"wedding")=0,"",MAXIFS(Documents!$E$2:$E$619,Documents!$A$2:$A$619,$A162,Documents!$C$2:$C$619,"wedding")),"")</f>
        <v/>
      </c>
      <c r="F162">
        <f>IFERROR(IF(MAXIFS(Documents!$E$2:$E$619,Documents!$A$2:$A$619,$A162,Documents!$C$2:$C$619,"events")=0,"",MAXIFS(Documents!$E$2:$E$619,Documents!$A$2:$A$619,$A162,Documents!$C$2:$C$619,"events")),"")</f>
        <v/>
      </c>
      <c r="G162">
        <f>IFERROR(IF(MAXIFS(Documents!$E$2:$E$619,Documents!$A$2:$A$619,$A162,Documents!$C$2:$C$619,"map")=0,"",MAXIFS(Documents!$E$2:$E$619,Documents!$A$2:$A$619,$A162,Documents!$C$2:$C$619,"map")),"")</f>
        <v/>
      </c>
      <c r="H162">
        <f>IFERROR(IF(MAXIFS(Documents!$E$2:$E$619,Documents!$A$2:$A$619,$A162,Documents!$C$2:$C$619,"dive_map")=0,"",MAXIFS(Documents!$E$2:$E$619,Documents!$A$2:$A$619,$A162,Documents!$C$2:$C$619,"dive_map")),"")</f>
        <v/>
      </c>
      <c r="I162">
        <f>IFERROR(IF(MAXIFS(Documents!$E$2:$E$619,Documents!$A$2:$A$619,$A162,Documents!$C$2:$C$619,"spa_menu")=0,"",MAXIFS(Documents!$E$2:$E$619,Documents!$A$2:$A$619,$A162,Documents!$C$2:$C$619,"spa_menu")),"")</f>
        <v/>
      </c>
      <c r="J162">
        <f>IFERROR(IF(MAXIFS(Documents!$E$2:$E$619,Documents!$A$2:$A$619,$A162,Documents!$C$2:$C$619,"dining_menu")=0,"",MAXIFS(Documents!$E$2:$E$619,Documents!$A$2:$A$619,$A162,Documents!$C$2:$C$619,"dining_menu")),"")</f>
        <v/>
      </c>
      <c r="K162">
        <f>IFERROR(IF(MAXIFS(Documents!$E$2:$E$619,Documents!$A$2:$A$619,$A162,Documents!$C$2:$C$619,"dive_prices")=0,"",MAXIFS(Documents!$E$2:$E$619,Documents!$A$2:$A$619,$A162,Documents!$C$2:$C$619,"dive_prices")),"")</f>
        <v/>
      </c>
      <c r="L162">
        <f>IFERROR(IF(MAXIFS(Documents!$E$2:$E$619,Documents!$A$2:$A$619,$A162,Documents!$C$2:$C$619,"excursions")=0,"",MAXIFS(Documents!$E$2:$E$619,Documents!$A$2:$A$619,$A162,Documents!$C$2:$C$619,"excursions")),"")</f>
        <v/>
      </c>
      <c r="M162">
        <f>IFERROR(IF(MAXIFS(Documents!$E$2:$E$619,Documents!$A$2:$A$619,$A162,Documents!$C$2:$C$619,"kids")=0,"",MAXIFS(Documents!$E$2:$E$619,Documents!$A$2:$A$619,$A162,Documents!$C$2:$C$619,"kids")),"")</f>
        <v/>
      </c>
      <c r="N162">
        <f>IFERROR(IF(MAXIFS(Documents!$E$2:$E$619,Documents!$A$2:$A$619,$A162,Documents!$C$2:$C$619,"villa_plans")=0,"",MAXIFS(Documents!$E$2:$E$619,Documents!$A$2:$A$619,$A162,Documents!$C$2:$C$619,"villa_plans")),"")</f>
        <v/>
      </c>
      <c r="O162">
        <f>IFERROR(IF(MAXIFS(Documents!$E$2:$E$619,Documents!$A$2:$A$619,$A162,Documents!$C$2:$C$619,"all_inclusive")=0,"",MAXIFS(Documents!$E$2:$E$619,Documents!$A$2:$A$619,$A162,Documents!$C$2:$C$619,"all_inclusive")),"")</f>
        <v/>
      </c>
      <c r="P162">
        <f>IFERROR(IF(MAXIFS(Documents!$E$2:$E$619,Documents!$A$2:$A$619,$A162,Documents!$C$2:$C$619,"sustainability")=0,"",MAXIFS(Documents!$E$2:$E$619,Documents!$A$2:$A$619,$A162,Documents!$C$2:$C$619,"sustainability")),"")</f>
        <v/>
      </c>
      <c r="Q162">
        <f>IFERROR(IF(MAXIFS(Documents!$E$2:$E$619,Documents!$A$2:$A$619,$A162,Documents!$C$2:$C$619,"calendar")=0,"",MAXIFS(Documents!$E$2:$E$619,Documents!$A$2:$A$619,$A162,Documents!$C$2:$C$619,"calendar")),"")</f>
        <v/>
      </c>
      <c r="R162">
        <f>IFERROR(IF(MAXIFS(Documents!$E$2:$E$619,Documents!$A$2:$A$619,$A162,Documents!$C$2:$C$619,"brochure")=0,"",MAXIFS(Documents!$E$2:$E$619,Documents!$A$2:$A$619,$A162,Documents!$C$2:$C$619,"brochure")),"")</f>
        <v/>
      </c>
      <c r="S162">
        <f>IFERROR(IF(MAXIFS(Documents!$E$2:$E$619,Documents!$A$2:$A$619,$A162,Documents!$C$2:$C$619,"press_kit")=0,"",MAXIFS(Documents!$E$2:$E$619,Documents!$A$2:$A$619,$A162,Documents!$C$2:$C$619,"press_kit")),"")</f>
        <v/>
      </c>
      <c r="T162">
        <f>IFERROR(IF(MAXIFS(Documents!$E$2:$E$619,Documents!$A$2:$A$619,$A162,Documents!$C$2:$C$619,"other")=0,"",MAXIFS(Documents!$E$2:$E$619,Documents!$A$2:$A$619,$A162,Documents!$C$2:$C$619,"other")),"")</f>
        <v/>
      </c>
      <c r="U162">
        <f>IFERROR(IF(MAXIFS(Documents!$E$2:$E$619,Documents!$A$2:$A$619,$A162,Documents!$C$2:$C$619,"obsolete")=0,"",MAXIFS(Documents!$E$2:$E$619,Documents!$A$2:$A$619,$A162,Documents!$C$2:$C$619,"obsolete")),"")</f>
        <v/>
      </c>
      <c r="V162">
        <f>COUNTIFS(Documents!$A$2:$A$619,$A162)</f>
        <v/>
      </c>
      <c r="W162">
        <f>COUNTIFS(Documents!$A$2:$A$619,$A162,Documents!$R$2:$R$619,"current")</f>
        <v/>
      </c>
      <c r="X162" t="inlineStr"/>
      <c r="Y162" t="inlineStr">
        <is>
          <t>factsheet, wedding, events</t>
        </is>
      </c>
      <c r="Z162" t="inlineStr"/>
    </row>
    <row r="163">
      <c r="A163" t="n">
        <v>162</v>
      </c>
      <c r="B163" t="inlineStr">
        <is>
          <t>The Marina at Crossroads Maldives</t>
        </is>
      </c>
      <c r="C163" t="inlineStr">
        <is>
          <t>not crawled</t>
        </is>
      </c>
      <c r="D163">
        <f>IFERROR(IF(MAXIFS(Documents!$E$2:$E$619,Documents!$A$2:$A$619,$A163,Documents!$C$2:$C$619,"factsheet")=0,"",MAXIFS(Documents!$E$2:$E$619,Documents!$A$2:$A$619,$A163,Documents!$C$2:$C$619,"factsheet")),"")</f>
        <v/>
      </c>
      <c r="E163">
        <f>IFERROR(IF(MAXIFS(Documents!$E$2:$E$619,Documents!$A$2:$A$619,$A163,Documents!$C$2:$C$619,"wedding")=0,"",MAXIFS(Documents!$E$2:$E$619,Documents!$A$2:$A$619,$A163,Documents!$C$2:$C$619,"wedding")),"")</f>
        <v/>
      </c>
      <c r="F163">
        <f>IFERROR(IF(MAXIFS(Documents!$E$2:$E$619,Documents!$A$2:$A$619,$A163,Documents!$C$2:$C$619,"events")=0,"",MAXIFS(Documents!$E$2:$E$619,Documents!$A$2:$A$619,$A163,Documents!$C$2:$C$619,"events")),"")</f>
        <v/>
      </c>
      <c r="G163">
        <f>IFERROR(IF(MAXIFS(Documents!$E$2:$E$619,Documents!$A$2:$A$619,$A163,Documents!$C$2:$C$619,"map")=0,"",MAXIFS(Documents!$E$2:$E$619,Documents!$A$2:$A$619,$A163,Documents!$C$2:$C$619,"map")),"")</f>
        <v/>
      </c>
      <c r="H163">
        <f>IFERROR(IF(MAXIFS(Documents!$E$2:$E$619,Documents!$A$2:$A$619,$A163,Documents!$C$2:$C$619,"dive_map")=0,"",MAXIFS(Documents!$E$2:$E$619,Documents!$A$2:$A$619,$A163,Documents!$C$2:$C$619,"dive_map")),"")</f>
        <v/>
      </c>
      <c r="I163">
        <f>IFERROR(IF(MAXIFS(Documents!$E$2:$E$619,Documents!$A$2:$A$619,$A163,Documents!$C$2:$C$619,"spa_menu")=0,"",MAXIFS(Documents!$E$2:$E$619,Documents!$A$2:$A$619,$A163,Documents!$C$2:$C$619,"spa_menu")),"")</f>
        <v/>
      </c>
      <c r="J163">
        <f>IFERROR(IF(MAXIFS(Documents!$E$2:$E$619,Documents!$A$2:$A$619,$A163,Documents!$C$2:$C$619,"dining_menu")=0,"",MAXIFS(Documents!$E$2:$E$619,Documents!$A$2:$A$619,$A163,Documents!$C$2:$C$619,"dining_menu")),"")</f>
        <v/>
      </c>
      <c r="K163">
        <f>IFERROR(IF(MAXIFS(Documents!$E$2:$E$619,Documents!$A$2:$A$619,$A163,Documents!$C$2:$C$619,"dive_prices")=0,"",MAXIFS(Documents!$E$2:$E$619,Documents!$A$2:$A$619,$A163,Documents!$C$2:$C$619,"dive_prices")),"")</f>
        <v/>
      </c>
      <c r="L163">
        <f>IFERROR(IF(MAXIFS(Documents!$E$2:$E$619,Documents!$A$2:$A$619,$A163,Documents!$C$2:$C$619,"excursions")=0,"",MAXIFS(Documents!$E$2:$E$619,Documents!$A$2:$A$619,$A163,Documents!$C$2:$C$619,"excursions")),"")</f>
        <v/>
      </c>
      <c r="M163">
        <f>IFERROR(IF(MAXIFS(Documents!$E$2:$E$619,Documents!$A$2:$A$619,$A163,Documents!$C$2:$C$619,"kids")=0,"",MAXIFS(Documents!$E$2:$E$619,Documents!$A$2:$A$619,$A163,Documents!$C$2:$C$619,"kids")),"")</f>
        <v/>
      </c>
      <c r="N163">
        <f>IFERROR(IF(MAXIFS(Documents!$E$2:$E$619,Documents!$A$2:$A$619,$A163,Documents!$C$2:$C$619,"villa_plans")=0,"",MAXIFS(Documents!$E$2:$E$619,Documents!$A$2:$A$619,$A163,Documents!$C$2:$C$619,"villa_plans")),"")</f>
        <v/>
      </c>
      <c r="O163">
        <f>IFERROR(IF(MAXIFS(Documents!$E$2:$E$619,Documents!$A$2:$A$619,$A163,Documents!$C$2:$C$619,"all_inclusive")=0,"",MAXIFS(Documents!$E$2:$E$619,Documents!$A$2:$A$619,$A163,Documents!$C$2:$C$619,"all_inclusive")),"")</f>
        <v/>
      </c>
      <c r="P163">
        <f>IFERROR(IF(MAXIFS(Documents!$E$2:$E$619,Documents!$A$2:$A$619,$A163,Documents!$C$2:$C$619,"sustainability")=0,"",MAXIFS(Documents!$E$2:$E$619,Documents!$A$2:$A$619,$A163,Documents!$C$2:$C$619,"sustainability")),"")</f>
        <v/>
      </c>
      <c r="Q163">
        <f>IFERROR(IF(MAXIFS(Documents!$E$2:$E$619,Documents!$A$2:$A$619,$A163,Documents!$C$2:$C$619,"calendar")=0,"",MAXIFS(Documents!$E$2:$E$619,Documents!$A$2:$A$619,$A163,Documents!$C$2:$C$619,"calendar")),"")</f>
        <v/>
      </c>
      <c r="R163">
        <f>IFERROR(IF(MAXIFS(Documents!$E$2:$E$619,Documents!$A$2:$A$619,$A163,Documents!$C$2:$C$619,"brochure")=0,"",MAXIFS(Documents!$E$2:$E$619,Documents!$A$2:$A$619,$A163,Documents!$C$2:$C$619,"brochure")),"")</f>
        <v/>
      </c>
      <c r="S163">
        <f>IFERROR(IF(MAXIFS(Documents!$E$2:$E$619,Documents!$A$2:$A$619,$A163,Documents!$C$2:$C$619,"press_kit")=0,"",MAXIFS(Documents!$E$2:$E$619,Documents!$A$2:$A$619,$A163,Documents!$C$2:$C$619,"press_kit")),"")</f>
        <v/>
      </c>
      <c r="T163">
        <f>IFERROR(IF(MAXIFS(Documents!$E$2:$E$619,Documents!$A$2:$A$619,$A163,Documents!$C$2:$C$619,"other")=0,"",MAXIFS(Documents!$E$2:$E$619,Documents!$A$2:$A$619,$A163,Documents!$C$2:$C$619,"other")),"")</f>
        <v/>
      </c>
      <c r="U163">
        <f>IFERROR(IF(MAXIFS(Documents!$E$2:$E$619,Documents!$A$2:$A$619,$A163,Documents!$C$2:$C$619,"obsolete")=0,"",MAXIFS(Documents!$E$2:$E$619,Documents!$A$2:$A$619,$A163,Documents!$C$2:$C$619,"obsolete")),"")</f>
        <v/>
      </c>
      <c r="V163">
        <f>COUNTIFS(Documents!$A$2:$A$619,$A163)</f>
        <v/>
      </c>
      <c r="W163">
        <f>COUNTIFS(Documents!$A$2:$A$619,$A163,Documents!$R$2:$R$619,"current")</f>
        <v/>
      </c>
      <c r="X163" t="inlineStr"/>
      <c r="Y163" t="inlineStr">
        <is>
          <t>factsheet, wedding, events</t>
        </is>
      </c>
      <c r="Z163" t="inlineStr"/>
    </row>
    <row r="164">
      <c r="A164" t="n">
        <v>163</v>
      </c>
      <c r="B164" t="inlineStr">
        <is>
          <t>Adaaran Prestige Vadoo</t>
        </is>
      </c>
      <c r="C164" t="inlineStr">
        <is>
          <t>not crawled</t>
        </is>
      </c>
      <c r="D164">
        <f>IFERROR(IF(MAXIFS(Documents!$E$2:$E$619,Documents!$A$2:$A$619,$A164,Documents!$C$2:$C$619,"factsheet")=0,"",MAXIFS(Documents!$E$2:$E$619,Documents!$A$2:$A$619,$A164,Documents!$C$2:$C$619,"factsheet")),"")</f>
        <v/>
      </c>
      <c r="E164">
        <f>IFERROR(IF(MAXIFS(Documents!$E$2:$E$619,Documents!$A$2:$A$619,$A164,Documents!$C$2:$C$619,"wedding")=0,"",MAXIFS(Documents!$E$2:$E$619,Documents!$A$2:$A$619,$A164,Documents!$C$2:$C$619,"wedding")),"")</f>
        <v/>
      </c>
      <c r="F164">
        <f>IFERROR(IF(MAXIFS(Documents!$E$2:$E$619,Documents!$A$2:$A$619,$A164,Documents!$C$2:$C$619,"events")=0,"",MAXIFS(Documents!$E$2:$E$619,Documents!$A$2:$A$619,$A164,Documents!$C$2:$C$619,"events")),"")</f>
        <v/>
      </c>
      <c r="G164">
        <f>IFERROR(IF(MAXIFS(Documents!$E$2:$E$619,Documents!$A$2:$A$619,$A164,Documents!$C$2:$C$619,"map")=0,"",MAXIFS(Documents!$E$2:$E$619,Documents!$A$2:$A$619,$A164,Documents!$C$2:$C$619,"map")),"")</f>
        <v/>
      </c>
      <c r="H164">
        <f>IFERROR(IF(MAXIFS(Documents!$E$2:$E$619,Documents!$A$2:$A$619,$A164,Documents!$C$2:$C$619,"dive_map")=0,"",MAXIFS(Documents!$E$2:$E$619,Documents!$A$2:$A$619,$A164,Documents!$C$2:$C$619,"dive_map")),"")</f>
        <v/>
      </c>
      <c r="I164">
        <f>IFERROR(IF(MAXIFS(Documents!$E$2:$E$619,Documents!$A$2:$A$619,$A164,Documents!$C$2:$C$619,"spa_menu")=0,"",MAXIFS(Documents!$E$2:$E$619,Documents!$A$2:$A$619,$A164,Documents!$C$2:$C$619,"spa_menu")),"")</f>
        <v/>
      </c>
      <c r="J164">
        <f>IFERROR(IF(MAXIFS(Documents!$E$2:$E$619,Documents!$A$2:$A$619,$A164,Documents!$C$2:$C$619,"dining_menu")=0,"",MAXIFS(Documents!$E$2:$E$619,Documents!$A$2:$A$619,$A164,Documents!$C$2:$C$619,"dining_menu")),"")</f>
        <v/>
      </c>
      <c r="K164">
        <f>IFERROR(IF(MAXIFS(Documents!$E$2:$E$619,Documents!$A$2:$A$619,$A164,Documents!$C$2:$C$619,"dive_prices")=0,"",MAXIFS(Documents!$E$2:$E$619,Documents!$A$2:$A$619,$A164,Documents!$C$2:$C$619,"dive_prices")),"")</f>
        <v/>
      </c>
      <c r="L164">
        <f>IFERROR(IF(MAXIFS(Documents!$E$2:$E$619,Documents!$A$2:$A$619,$A164,Documents!$C$2:$C$619,"excursions")=0,"",MAXIFS(Documents!$E$2:$E$619,Documents!$A$2:$A$619,$A164,Documents!$C$2:$C$619,"excursions")),"")</f>
        <v/>
      </c>
      <c r="M164">
        <f>IFERROR(IF(MAXIFS(Documents!$E$2:$E$619,Documents!$A$2:$A$619,$A164,Documents!$C$2:$C$619,"kids")=0,"",MAXIFS(Documents!$E$2:$E$619,Documents!$A$2:$A$619,$A164,Documents!$C$2:$C$619,"kids")),"")</f>
        <v/>
      </c>
      <c r="N164">
        <f>IFERROR(IF(MAXIFS(Documents!$E$2:$E$619,Documents!$A$2:$A$619,$A164,Documents!$C$2:$C$619,"villa_plans")=0,"",MAXIFS(Documents!$E$2:$E$619,Documents!$A$2:$A$619,$A164,Documents!$C$2:$C$619,"villa_plans")),"")</f>
        <v/>
      </c>
      <c r="O164">
        <f>IFERROR(IF(MAXIFS(Documents!$E$2:$E$619,Documents!$A$2:$A$619,$A164,Documents!$C$2:$C$619,"all_inclusive")=0,"",MAXIFS(Documents!$E$2:$E$619,Documents!$A$2:$A$619,$A164,Documents!$C$2:$C$619,"all_inclusive")),"")</f>
        <v/>
      </c>
      <c r="P164">
        <f>IFERROR(IF(MAXIFS(Documents!$E$2:$E$619,Documents!$A$2:$A$619,$A164,Documents!$C$2:$C$619,"sustainability")=0,"",MAXIFS(Documents!$E$2:$E$619,Documents!$A$2:$A$619,$A164,Documents!$C$2:$C$619,"sustainability")),"")</f>
        <v/>
      </c>
      <c r="Q164">
        <f>IFERROR(IF(MAXIFS(Documents!$E$2:$E$619,Documents!$A$2:$A$619,$A164,Documents!$C$2:$C$619,"calendar")=0,"",MAXIFS(Documents!$E$2:$E$619,Documents!$A$2:$A$619,$A164,Documents!$C$2:$C$619,"calendar")),"")</f>
        <v/>
      </c>
      <c r="R164">
        <f>IFERROR(IF(MAXIFS(Documents!$E$2:$E$619,Documents!$A$2:$A$619,$A164,Documents!$C$2:$C$619,"brochure")=0,"",MAXIFS(Documents!$E$2:$E$619,Documents!$A$2:$A$619,$A164,Documents!$C$2:$C$619,"brochure")),"")</f>
        <v/>
      </c>
      <c r="S164">
        <f>IFERROR(IF(MAXIFS(Documents!$E$2:$E$619,Documents!$A$2:$A$619,$A164,Documents!$C$2:$C$619,"press_kit")=0,"",MAXIFS(Documents!$E$2:$E$619,Documents!$A$2:$A$619,$A164,Documents!$C$2:$C$619,"press_kit")),"")</f>
        <v/>
      </c>
      <c r="T164">
        <f>IFERROR(IF(MAXIFS(Documents!$E$2:$E$619,Documents!$A$2:$A$619,$A164,Documents!$C$2:$C$619,"other")=0,"",MAXIFS(Documents!$E$2:$E$619,Documents!$A$2:$A$619,$A164,Documents!$C$2:$C$619,"other")),"")</f>
        <v/>
      </c>
      <c r="U164">
        <f>IFERROR(IF(MAXIFS(Documents!$E$2:$E$619,Documents!$A$2:$A$619,$A164,Documents!$C$2:$C$619,"obsolete")=0,"",MAXIFS(Documents!$E$2:$E$619,Documents!$A$2:$A$619,$A164,Documents!$C$2:$C$619,"obsolete")),"")</f>
        <v/>
      </c>
      <c r="V164">
        <f>COUNTIFS(Documents!$A$2:$A$619,$A164)</f>
        <v/>
      </c>
      <c r="W164">
        <f>COUNTIFS(Documents!$A$2:$A$619,$A164,Documents!$R$2:$R$619,"current")</f>
        <v/>
      </c>
      <c r="X164">
        <f>HYPERLINK("https://www.neoscapesmaldives.com/wp-content/uploads/Fact-Sheet-Adaara-Prestige-Vadoo.pdf","2023_Fact-Sheet-Adaara-Prestige-Vadoo.pd")</f>
        <v/>
      </c>
      <c r="Y164" t="inlineStr">
        <is>
          <t>wedding, events</t>
        </is>
      </c>
      <c r="Z164" t="inlineStr"/>
    </row>
    <row r="165">
      <c r="A165" t="n">
        <v>164</v>
      </c>
      <c r="B165" t="inlineStr">
        <is>
          <t>Baros Maldives</t>
        </is>
      </c>
      <c r="C165" t="inlineStr">
        <is>
          <t>not crawled</t>
        </is>
      </c>
      <c r="D165">
        <f>IFERROR(IF(MAXIFS(Documents!$E$2:$E$619,Documents!$A$2:$A$619,$A165,Documents!$C$2:$C$619,"factsheet")=0,"",MAXIFS(Documents!$E$2:$E$619,Documents!$A$2:$A$619,$A165,Documents!$C$2:$C$619,"factsheet")),"")</f>
        <v/>
      </c>
      <c r="E165">
        <f>IFERROR(IF(MAXIFS(Documents!$E$2:$E$619,Documents!$A$2:$A$619,$A165,Documents!$C$2:$C$619,"wedding")=0,"",MAXIFS(Documents!$E$2:$E$619,Documents!$A$2:$A$619,$A165,Documents!$C$2:$C$619,"wedding")),"")</f>
        <v/>
      </c>
      <c r="F165">
        <f>IFERROR(IF(MAXIFS(Documents!$E$2:$E$619,Documents!$A$2:$A$619,$A165,Documents!$C$2:$C$619,"events")=0,"",MAXIFS(Documents!$E$2:$E$619,Documents!$A$2:$A$619,$A165,Documents!$C$2:$C$619,"events")),"")</f>
        <v/>
      </c>
      <c r="G165">
        <f>IFERROR(IF(MAXIFS(Documents!$E$2:$E$619,Documents!$A$2:$A$619,$A165,Documents!$C$2:$C$619,"map")=0,"",MAXIFS(Documents!$E$2:$E$619,Documents!$A$2:$A$619,$A165,Documents!$C$2:$C$619,"map")),"")</f>
        <v/>
      </c>
      <c r="H165">
        <f>IFERROR(IF(MAXIFS(Documents!$E$2:$E$619,Documents!$A$2:$A$619,$A165,Documents!$C$2:$C$619,"dive_map")=0,"",MAXIFS(Documents!$E$2:$E$619,Documents!$A$2:$A$619,$A165,Documents!$C$2:$C$619,"dive_map")),"")</f>
        <v/>
      </c>
      <c r="I165">
        <f>IFERROR(IF(MAXIFS(Documents!$E$2:$E$619,Documents!$A$2:$A$619,$A165,Documents!$C$2:$C$619,"spa_menu")=0,"",MAXIFS(Documents!$E$2:$E$619,Documents!$A$2:$A$619,$A165,Documents!$C$2:$C$619,"spa_menu")),"")</f>
        <v/>
      </c>
      <c r="J165">
        <f>IFERROR(IF(MAXIFS(Documents!$E$2:$E$619,Documents!$A$2:$A$619,$A165,Documents!$C$2:$C$619,"dining_menu")=0,"",MAXIFS(Documents!$E$2:$E$619,Documents!$A$2:$A$619,$A165,Documents!$C$2:$C$619,"dining_menu")),"")</f>
        <v/>
      </c>
      <c r="K165">
        <f>IFERROR(IF(MAXIFS(Documents!$E$2:$E$619,Documents!$A$2:$A$619,$A165,Documents!$C$2:$C$619,"dive_prices")=0,"",MAXIFS(Documents!$E$2:$E$619,Documents!$A$2:$A$619,$A165,Documents!$C$2:$C$619,"dive_prices")),"")</f>
        <v/>
      </c>
      <c r="L165">
        <f>IFERROR(IF(MAXIFS(Documents!$E$2:$E$619,Documents!$A$2:$A$619,$A165,Documents!$C$2:$C$619,"excursions")=0,"",MAXIFS(Documents!$E$2:$E$619,Documents!$A$2:$A$619,$A165,Documents!$C$2:$C$619,"excursions")),"")</f>
        <v/>
      </c>
      <c r="M165">
        <f>IFERROR(IF(MAXIFS(Documents!$E$2:$E$619,Documents!$A$2:$A$619,$A165,Documents!$C$2:$C$619,"kids")=0,"",MAXIFS(Documents!$E$2:$E$619,Documents!$A$2:$A$619,$A165,Documents!$C$2:$C$619,"kids")),"")</f>
        <v/>
      </c>
      <c r="N165">
        <f>IFERROR(IF(MAXIFS(Documents!$E$2:$E$619,Documents!$A$2:$A$619,$A165,Documents!$C$2:$C$619,"villa_plans")=0,"",MAXIFS(Documents!$E$2:$E$619,Documents!$A$2:$A$619,$A165,Documents!$C$2:$C$619,"villa_plans")),"")</f>
        <v/>
      </c>
      <c r="O165">
        <f>IFERROR(IF(MAXIFS(Documents!$E$2:$E$619,Documents!$A$2:$A$619,$A165,Documents!$C$2:$C$619,"all_inclusive")=0,"",MAXIFS(Documents!$E$2:$E$619,Documents!$A$2:$A$619,$A165,Documents!$C$2:$C$619,"all_inclusive")),"")</f>
        <v/>
      </c>
      <c r="P165">
        <f>IFERROR(IF(MAXIFS(Documents!$E$2:$E$619,Documents!$A$2:$A$619,$A165,Documents!$C$2:$C$619,"sustainability")=0,"",MAXIFS(Documents!$E$2:$E$619,Documents!$A$2:$A$619,$A165,Documents!$C$2:$C$619,"sustainability")),"")</f>
        <v/>
      </c>
      <c r="Q165">
        <f>IFERROR(IF(MAXIFS(Documents!$E$2:$E$619,Documents!$A$2:$A$619,$A165,Documents!$C$2:$C$619,"calendar")=0,"",MAXIFS(Documents!$E$2:$E$619,Documents!$A$2:$A$619,$A165,Documents!$C$2:$C$619,"calendar")),"")</f>
        <v/>
      </c>
      <c r="R165">
        <f>IFERROR(IF(MAXIFS(Documents!$E$2:$E$619,Documents!$A$2:$A$619,$A165,Documents!$C$2:$C$619,"brochure")=0,"",MAXIFS(Documents!$E$2:$E$619,Documents!$A$2:$A$619,$A165,Documents!$C$2:$C$619,"brochure")),"")</f>
        <v/>
      </c>
      <c r="S165">
        <f>IFERROR(IF(MAXIFS(Documents!$E$2:$E$619,Documents!$A$2:$A$619,$A165,Documents!$C$2:$C$619,"press_kit")=0,"",MAXIFS(Documents!$E$2:$E$619,Documents!$A$2:$A$619,$A165,Documents!$C$2:$C$619,"press_kit")),"")</f>
        <v/>
      </c>
      <c r="T165">
        <f>IFERROR(IF(MAXIFS(Documents!$E$2:$E$619,Documents!$A$2:$A$619,$A165,Documents!$C$2:$C$619,"other")=0,"",MAXIFS(Documents!$E$2:$E$619,Documents!$A$2:$A$619,$A165,Documents!$C$2:$C$619,"other")),"")</f>
        <v/>
      </c>
      <c r="U165">
        <f>IFERROR(IF(MAXIFS(Documents!$E$2:$E$619,Documents!$A$2:$A$619,$A165,Documents!$C$2:$C$619,"obsolete")=0,"",MAXIFS(Documents!$E$2:$E$619,Documents!$A$2:$A$619,$A165,Documents!$C$2:$C$619,"obsolete")),"")</f>
        <v/>
      </c>
      <c r="V165">
        <f>COUNTIFS(Documents!$A$2:$A$619,$A165)</f>
        <v/>
      </c>
      <c r="W165">
        <f>COUNTIFS(Documents!$A$2:$A$619,$A165,Documents!$R$2:$R$619,"current")</f>
        <v/>
      </c>
      <c r="X165">
        <f>HYPERLINK("https://www.neoscapesmaldives.com/wp-content/uploads/Factsheet-Baros-Maldives.pdf","2022_Factsheet-Baros-Maldives.pdf")</f>
        <v/>
      </c>
      <c r="Y165" t="inlineStr">
        <is>
          <t>wedding, events</t>
        </is>
      </c>
      <c r="Z165" t="inlineStr"/>
    </row>
    <row r="166">
      <c r="A166" t="n">
        <v>165</v>
      </c>
      <c r="B166" t="inlineStr">
        <is>
          <t>Velassaru Maldives</t>
        </is>
      </c>
      <c r="C166" t="inlineStr">
        <is>
          <t>not crawled</t>
        </is>
      </c>
      <c r="D166">
        <f>IFERROR(IF(MAXIFS(Documents!$E$2:$E$619,Documents!$A$2:$A$619,$A166,Documents!$C$2:$C$619,"factsheet")=0,"",MAXIFS(Documents!$E$2:$E$619,Documents!$A$2:$A$619,$A166,Documents!$C$2:$C$619,"factsheet")),"")</f>
        <v/>
      </c>
      <c r="E166">
        <f>IFERROR(IF(MAXIFS(Documents!$E$2:$E$619,Documents!$A$2:$A$619,$A166,Documents!$C$2:$C$619,"wedding")=0,"",MAXIFS(Documents!$E$2:$E$619,Documents!$A$2:$A$619,$A166,Documents!$C$2:$C$619,"wedding")),"")</f>
        <v/>
      </c>
      <c r="F166">
        <f>IFERROR(IF(MAXIFS(Documents!$E$2:$E$619,Documents!$A$2:$A$619,$A166,Documents!$C$2:$C$619,"events")=0,"",MAXIFS(Documents!$E$2:$E$619,Documents!$A$2:$A$619,$A166,Documents!$C$2:$C$619,"events")),"")</f>
        <v/>
      </c>
      <c r="G166">
        <f>IFERROR(IF(MAXIFS(Documents!$E$2:$E$619,Documents!$A$2:$A$619,$A166,Documents!$C$2:$C$619,"map")=0,"",MAXIFS(Documents!$E$2:$E$619,Documents!$A$2:$A$619,$A166,Documents!$C$2:$C$619,"map")),"")</f>
        <v/>
      </c>
      <c r="H166">
        <f>IFERROR(IF(MAXIFS(Documents!$E$2:$E$619,Documents!$A$2:$A$619,$A166,Documents!$C$2:$C$619,"dive_map")=0,"",MAXIFS(Documents!$E$2:$E$619,Documents!$A$2:$A$619,$A166,Documents!$C$2:$C$619,"dive_map")),"")</f>
        <v/>
      </c>
      <c r="I166">
        <f>IFERROR(IF(MAXIFS(Documents!$E$2:$E$619,Documents!$A$2:$A$619,$A166,Documents!$C$2:$C$619,"spa_menu")=0,"",MAXIFS(Documents!$E$2:$E$619,Documents!$A$2:$A$619,$A166,Documents!$C$2:$C$619,"spa_menu")),"")</f>
        <v/>
      </c>
      <c r="J166">
        <f>IFERROR(IF(MAXIFS(Documents!$E$2:$E$619,Documents!$A$2:$A$619,$A166,Documents!$C$2:$C$619,"dining_menu")=0,"",MAXIFS(Documents!$E$2:$E$619,Documents!$A$2:$A$619,$A166,Documents!$C$2:$C$619,"dining_menu")),"")</f>
        <v/>
      </c>
      <c r="K166">
        <f>IFERROR(IF(MAXIFS(Documents!$E$2:$E$619,Documents!$A$2:$A$619,$A166,Documents!$C$2:$C$619,"dive_prices")=0,"",MAXIFS(Documents!$E$2:$E$619,Documents!$A$2:$A$619,$A166,Documents!$C$2:$C$619,"dive_prices")),"")</f>
        <v/>
      </c>
      <c r="L166">
        <f>IFERROR(IF(MAXIFS(Documents!$E$2:$E$619,Documents!$A$2:$A$619,$A166,Documents!$C$2:$C$619,"excursions")=0,"",MAXIFS(Documents!$E$2:$E$619,Documents!$A$2:$A$619,$A166,Documents!$C$2:$C$619,"excursions")),"")</f>
        <v/>
      </c>
      <c r="M166">
        <f>IFERROR(IF(MAXIFS(Documents!$E$2:$E$619,Documents!$A$2:$A$619,$A166,Documents!$C$2:$C$619,"kids")=0,"",MAXIFS(Documents!$E$2:$E$619,Documents!$A$2:$A$619,$A166,Documents!$C$2:$C$619,"kids")),"")</f>
        <v/>
      </c>
      <c r="N166">
        <f>IFERROR(IF(MAXIFS(Documents!$E$2:$E$619,Documents!$A$2:$A$619,$A166,Documents!$C$2:$C$619,"villa_plans")=0,"",MAXIFS(Documents!$E$2:$E$619,Documents!$A$2:$A$619,$A166,Documents!$C$2:$C$619,"villa_plans")),"")</f>
        <v/>
      </c>
      <c r="O166">
        <f>IFERROR(IF(MAXIFS(Documents!$E$2:$E$619,Documents!$A$2:$A$619,$A166,Documents!$C$2:$C$619,"all_inclusive")=0,"",MAXIFS(Documents!$E$2:$E$619,Documents!$A$2:$A$619,$A166,Documents!$C$2:$C$619,"all_inclusive")),"")</f>
        <v/>
      </c>
      <c r="P166">
        <f>IFERROR(IF(MAXIFS(Documents!$E$2:$E$619,Documents!$A$2:$A$619,$A166,Documents!$C$2:$C$619,"sustainability")=0,"",MAXIFS(Documents!$E$2:$E$619,Documents!$A$2:$A$619,$A166,Documents!$C$2:$C$619,"sustainability")),"")</f>
        <v/>
      </c>
      <c r="Q166">
        <f>IFERROR(IF(MAXIFS(Documents!$E$2:$E$619,Documents!$A$2:$A$619,$A166,Documents!$C$2:$C$619,"calendar")=0,"",MAXIFS(Documents!$E$2:$E$619,Documents!$A$2:$A$619,$A166,Documents!$C$2:$C$619,"calendar")),"")</f>
        <v/>
      </c>
      <c r="R166">
        <f>IFERROR(IF(MAXIFS(Documents!$E$2:$E$619,Documents!$A$2:$A$619,$A166,Documents!$C$2:$C$619,"brochure")=0,"",MAXIFS(Documents!$E$2:$E$619,Documents!$A$2:$A$619,$A166,Documents!$C$2:$C$619,"brochure")),"")</f>
        <v/>
      </c>
      <c r="S166">
        <f>IFERROR(IF(MAXIFS(Documents!$E$2:$E$619,Documents!$A$2:$A$619,$A166,Documents!$C$2:$C$619,"press_kit")=0,"",MAXIFS(Documents!$E$2:$E$619,Documents!$A$2:$A$619,$A166,Documents!$C$2:$C$619,"press_kit")),"")</f>
        <v/>
      </c>
      <c r="T166">
        <f>IFERROR(IF(MAXIFS(Documents!$E$2:$E$619,Documents!$A$2:$A$619,$A166,Documents!$C$2:$C$619,"other")=0,"",MAXIFS(Documents!$E$2:$E$619,Documents!$A$2:$A$619,$A166,Documents!$C$2:$C$619,"other")),"")</f>
        <v/>
      </c>
      <c r="U166">
        <f>IFERROR(IF(MAXIFS(Documents!$E$2:$E$619,Documents!$A$2:$A$619,$A166,Documents!$C$2:$C$619,"obsolete")=0,"",MAXIFS(Documents!$E$2:$E$619,Documents!$A$2:$A$619,$A166,Documents!$C$2:$C$619,"obsolete")),"")</f>
        <v/>
      </c>
      <c r="V166">
        <f>COUNTIFS(Documents!$A$2:$A$619,$A166)</f>
        <v/>
      </c>
      <c r="W166">
        <f>COUNTIFS(Documents!$A$2:$A$619,$A166,Documents!$R$2:$R$619,"current")</f>
        <v/>
      </c>
      <c r="X166">
        <f>HYPERLINK("https://www.neoscapesmaldives.com/wp-content/uploads/velasaru_resort_factsheet_rdc.pdf","2020_velasaru_resort_factsheet_rdc.pdf")</f>
        <v/>
      </c>
      <c r="Y166" t="inlineStr">
        <is>
          <t>wedding, events</t>
        </is>
      </c>
      <c r="Z166" t="inlineStr">
        <is>
          <t>NIVA Velassaru</t>
        </is>
      </c>
    </row>
    <row r="167">
      <c r="A167" t="n">
        <v>166</v>
      </c>
      <c r="B167" t="inlineStr">
        <is>
          <t>Kuramathi Maldives</t>
        </is>
      </c>
      <c r="C167" t="inlineStr">
        <is>
          <t>not crawled</t>
        </is>
      </c>
      <c r="D167">
        <f>IFERROR(IF(MAXIFS(Documents!$E$2:$E$619,Documents!$A$2:$A$619,$A167,Documents!$C$2:$C$619,"factsheet")=0,"",MAXIFS(Documents!$E$2:$E$619,Documents!$A$2:$A$619,$A167,Documents!$C$2:$C$619,"factsheet")),"")</f>
        <v/>
      </c>
      <c r="E167">
        <f>IFERROR(IF(MAXIFS(Documents!$E$2:$E$619,Documents!$A$2:$A$619,$A167,Documents!$C$2:$C$619,"wedding")=0,"",MAXIFS(Documents!$E$2:$E$619,Documents!$A$2:$A$619,$A167,Documents!$C$2:$C$619,"wedding")),"")</f>
        <v/>
      </c>
      <c r="F167">
        <f>IFERROR(IF(MAXIFS(Documents!$E$2:$E$619,Documents!$A$2:$A$619,$A167,Documents!$C$2:$C$619,"events")=0,"",MAXIFS(Documents!$E$2:$E$619,Documents!$A$2:$A$619,$A167,Documents!$C$2:$C$619,"events")),"")</f>
        <v/>
      </c>
      <c r="G167">
        <f>IFERROR(IF(MAXIFS(Documents!$E$2:$E$619,Documents!$A$2:$A$619,$A167,Documents!$C$2:$C$619,"map")=0,"",MAXIFS(Documents!$E$2:$E$619,Documents!$A$2:$A$619,$A167,Documents!$C$2:$C$619,"map")),"")</f>
        <v/>
      </c>
      <c r="H167">
        <f>IFERROR(IF(MAXIFS(Documents!$E$2:$E$619,Documents!$A$2:$A$619,$A167,Documents!$C$2:$C$619,"dive_map")=0,"",MAXIFS(Documents!$E$2:$E$619,Documents!$A$2:$A$619,$A167,Documents!$C$2:$C$619,"dive_map")),"")</f>
        <v/>
      </c>
      <c r="I167">
        <f>IFERROR(IF(MAXIFS(Documents!$E$2:$E$619,Documents!$A$2:$A$619,$A167,Documents!$C$2:$C$619,"spa_menu")=0,"",MAXIFS(Documents!$E$2:$E$619,Documents!$A$2:$A$619,$A167,Documents!$C$2:$C$619,"spa_menu")),"")</f>
        <v/>
      </c>
      <c r="J167">
        <f>IFERROR(IF(MAXIFS(Documents!$E$2:$E$619,Documents!$A$2:$A$619,$A167,Documents!$C$2:$C$619,"dining_menu")=0,"",MAXIFS(Documents!$E$2:$E$619,Documents!$A$2:$A$619,$A167,Documents!$C$2:$C$619,"dining_menu")),"")</f>
        <v/>
      </c>
      <c r="K167">
        <f>IFERROR(IF(MAXIFS(Documents!$E$2:$E$619,Documents!$A$2:$A$619,$A167,Documents!$C$2:$C$619,"dive_prices")=0,"",MAXIFS(Documents!$E$2:$E$619,Documents!$A$2:$A$619,$A167,Documents!$C$2:$C$619,"dive_prices")),"")</f>
        <v/>
      </c>
      <c r="L167">
        <f>IFERROR(IF(MAXIFS(Documents!$E$2:$E$619,Documents!$A$2:$A$619,$A167,Documents!$C$2:$C$619,"excursions")=0,"",MAXIFS(Documents!$E$2:$E$619,Documents!$A$2:$A$619,$A167,Documents!$C$2:$C$619,"excursions")),"")</f>
        <v/>
      </c>
      <c r="M167">
        <f>IFERROR(IF(MAXIFS(Documents!$E$2:$E$619,Documents!$A$2:$A$619,$A167,Documents!$C$2:$C$619,"kids")=0,"",MAXIFS(Documents!$E$2:$E$619,Documents!$A$2:$A$619,$A167,Documents!$C$2:$C$619,"kids")),"")</f>
        <v/>
      </c>
      <c r="N167">
        <f>IFERROR(IF(MAXIFS(Documents!$E$2:$E$619,Documents!$A$2:$A$619,$A167,Documents!$C$2:$C$619,"villa_plans")=0,"",MAXIFS(Documents!$E$2:$E$619,Documents!$A$2:$A$619,$A167,Documents!$C$2:$C$619,"villa_plans")),"")</f>
        <v/>
      </c>
      <c r="O167">
        <f>IFERROR(IF(MAXIFS(Documents!$E$2:$E$619,Documents!$A$2:$A$619,$A167,Documents!$C$2:$C$619,"all_inclusive")=0,"",MAXIFS(Documents!$E$2:$E$619,Documents!$A$2:$A$619,$A167,Documents!$C$2:$C$619,"all_inclusive")),"")</f>
        <v/>
      </c>
      <c r="P167">
        <f>IFERROR(IF(MAXIFS(Documents!$E$2:$E$619,Documents!$A$2:$A$619,$A167,Documents!$C$2:$C$619,"sustainability")=0,"",MAXIFS(Documents!$E$2:$E$619,Documents!$A$2:$A$619,$A167,Documents!$C$2:$C$619,"sustainability")),"")</f>
        <v/>
      </c>
      <c r="Q167">
        <f>IFERROR(IF(MAXIFS(Documents!$E$2:$E$619,Documents!$A$2:$A$619,$A167,Documents!$C$2:$C$619,"calendar")=0,"",MAXIFS(Documents!$E$2:$E$619,Documents!$A$2:$A$619,$A167,Documents!$C$2:$C$619,"calendar")),"")</f>
        <v/>
      </c>
      <c r="R167">
        <f>IFERROR(IF(MAXIFS(Documents!$E$2:$E$619,Documents!$A$2:$A$619,$A167,Documents!$C$2:$C$619,"brochure")=0,"",MAXIFS(Documents!$E$2:$E$619,Documents!$A$2:$A$619,$A167,Documents!$C$2:$C$619,"brochure")),"")</f>
        <v/>
      </c>
      <c r="S167">
        <f>IFERROR(IF(MAXIFS(Documents!$E$2:$E$619,Documents!$A$2:$A$619,$A167,Documents!$C$2:$C$619,"press_kit")=0,"",MAXIFS(Documents!$E$2:$E$619,Documents!$A$2:$A$619,$A167,Documents!$C$2:$C$619,"press_kit")),"")</f>
        <v/>
      </c>
      <c r="T167">
        <f>IFERROR(IF(MAXIFS(Documents!$E$2:$E$619,Documents!$A$2:$A$619,$A167,Documents!$C$2:$C$619,"other")=0,"",MAXIFS(Documents!$E$2:$E$619,Documents!$A$2:$A$619,$A167,Documents!$C$2:$C$619,"other")),"")</f>
        <v/>
      </c>
      <c r="U167">
        <f>IFERROR(IF(MAXIFS(Documents!$E$2:$E$619,Documents!$A$2:$A$619,$A167,Documents!$C$2:$C$619,"obsolete")=0,"",MAXIFS(Documents!$E$2:$E$619,Documents!$A$2:$A$619,$A167,Documents!$C$2:$C$619,"obsolete")),"")</f>
        <v/>
      </c>
      <c r="V167">
        <f>COUNTIFS(Documents!$A$2:$A$619,$A167)</f>
        <v/>
      </c>
      <c r="W167">
        <f>COUNTIFS(Documents!$A$2:$A$619,$A167,Documents!$R$2:$R$619,"current")</f>
        <v/>
      </c>
      <c r="X167">
        <f>HYPERLINK("https://www.neoscapesmaldives.com/wp-content/uploads/Factsheet-Kuramathi-Maldives.pdf","2019_Factsheet-Kuramathi-Maldives.pdf")</f>
        <v/>
      </c>
      <c r="Y167" t="inlineStr">
        <is>
          <t>wedding, events</t>
        </is>
      </c>
      <c r="Z167" t="inlineStr"/>
    </row>
    <row r="168">
      <c r="A168" t="n">
        <v>167</v>
      </c>
      <c r="B168" t="inlineStr">
        <is>
          <t>Milaidhoo Island Maldives</t>
        </is>
      </c>
      <c r="C168" t="inlineStr">
        <is>
          <t>not crawled</t>
        </is>
      </c>
      <c r="D168">
        <f>IFERROR(IF(MAXIFS(Documents!$E$2:$E$619,Documents!$A$2:$A$619,$A168,Documents!$C$2:$C$619,"factsheet")=0,"",MAXIFS(Documents!$E$2:$E$619,Documents!$A$2:$A$619,$A168,Documents!$C$2:$C$619,"factsheet")),"")</f>
        <v/>
      </c>
      <c r="E168">
        <f>IFERROR(IF(MAXIFS(Documents!$E$2:$E$619,Documents!$A$2:$A$619,$A168,Documents!$C$2:$C$619,"wedding")=0,"",MAXIFS(Documents!$E$2:$E$619,Documents!$A$2:$A$619,$A168,Documents!$C$2:$C$619,"wedding")),"")</f>
        <v/>
      </c>
      <c r="F168">
        <f>IFERROR(IF(MAXIFS(Documents!$E$2:$E$619,Documents!$A$2:$A$619,$A168,Documents!$C$2:$C$619,"events")=0,"",MAXIFS(Documents!$E$2:$E$619,Documents!$A$2:$A$619,$A168,Documents!$C$2:$C$619,"events")),"")</f>
        <v/>
      </c>
      <c r="G168">
        <f>IFERROR(IF(MAXIFS(Documents!$E$2:$E$619,Documents!$A$2:$A$619,$A168,Documents!$C$2:$C$619,"map")=0,"",MAXIFS(Documents!$E$2:$E$619,Documents!$A$2:$A$619,$A168,Documents!$C$2:$C$619,"map")),"")</f>
        <v/>
      </c>
      <c r="H168">
        <f>IFERROR(IF(MAXIFS(Documents!$E$2:$E$619,Documents!$A$2:$A$619,$A168,Documents!$C$2:$C$619,"dive_map")=0,"",MAXIFS(Documents!$E$2:$E$619,Documents!$A$2:$A$619,$A168,Documents!$C$2:$C$619,"dive_map")),"")</f>
        <v/>
      </c>
      <c r="I168">
        <f>IFERROR(IF(MAXIFS(Documents!$E$2:$E$619,Documents!$A$2:$A$619,$A168,Documents!$C$2:$C$619,"spa_menu")=0,"",MAXIFS(Documents!$E$2:$E$619,Documents!$A$2:$A$619,$A168,Documents!$C$2:$C$619,"spa_menu")),"")</f>
        <v/>
      </c>
      <c r="J168">
        <f>IFERROR(IF(MAXIFS(Documents!$E$2:$E$619,Documents!$A$2:$A$619,$A168,Documents!$C$2:$C$619,"dining_menu")=0,"",MAXIFS(Documents!$E$2:$E$619,Documents!$A$2:$A$619,$A168,Documents!$C$2:$C$619,"dining_menu")),"")</f>
        <v/>
      </c>
      <c r="K168">
        <f>IFERROR(IF(MAXIFS(Documents!$E$2:$E$619,Documents!$A$2:$A$619,$A168,Documents!$C$2:$C$619,"dive_prices")=0,"",MAXIFS(Documents!$E$2:$E$619,Documents!$A$2:$A$619,$A168,Documents!$C$2:$C$619,"dive_prices")),"")</f>
        <v/>
      </c>
      <c r="L168">
        <f>IFERROR(IF(MAXIFS(Documents!$E$2:$E$619,Documents!$A$2:$A$619,$A168,Documents!$C$2:$C$619,"excursions")=0,"",MAXIFS(Documents!$E$2:$E$619,Documents!$A$2:$A$619,$A168,Documents!$C$2:$C$619,"excursions")),"")</f>
        <v/>
      </c>
      <c r="M168">
        <f>IFERROR(IF(MAXIFS(Documents!$E$2:$E$619,Documents!$A$2:$A$619,$A168,Documents!$C$2:$C$619,"kids")=0,"",MAXIFS(Documents!$E$2:$E$619,Documents!$A$2:$A$619,$A168,Documents!$C$2:$C$619,"kids")),"")</f>
        <v/>
      </c>
      <c r="N168">
        <f>IFERROR(IF(MAXIFS(Documents!$E$2:$E$619,Documents!$A$2:$A$619,$A168,Documents!$C$2:$C$619,"villa_plans")=0,"",MAXIFS(Documents!$E$2:$E$619,Documents!$A$2:$A$619,$A168,Documents!$C$2:$C$619,"villa_plans")),"")</f>
        <v/>
      </c>
      <c r="O168">
        <f>IFERROR(IF(MAXIFS(Documents!$E$2:$E$619,Documents!$A$2:$A$619,$A168,Documents!$C$2:$C$619,"all_inclusive")=0,"",MAXIFS(Documents!$E$2:$E$619,Documents!$A$2:$A$619,$A168,Documents!$C$2:$C$619,"all_inclusive")),"")</f>
        <v/>
      </c>
      <c r="P168">
        <f>IFERROR(IF(MAXIFS(Documents!$E$2:$E$619,Documents!$A$2:$A$619,$A168,Documents!$C$2:$C$619,"sustainability")=0,"",MAXIFS(Documents!$E$2:$E$619,Documents!$A$2:$A$619,$A168,Documents!$C$2:$C$619,"sustainability")),"")</f>
        <v/>
      </c>
      <c r="Q168">
        <f>IFERROR(IF(MAXIFS(Documents!$E$2:$E$619,Documents!$A$2:$A$619,$A168,Documents!$C$2:$C$619,"calendar")=0,"",MAXIFS(Documents!$E$2:$E$619,Documents!$A$2:$A$619,$A168,Documents!$C$2:$C$619,"calendar")),"")</f>
        <v/>
      </c>
      <c r="R168">
        <f>IFERROR(IF(MAXIFS(Documents!$E$2:$E$619,Documents!$A$2:$A$619,$A168,Documents!$C$2:$C$619,"brochure")=0,"",MAXIFS(Documents!$E$2:$E$619,Documents!$A$2:$A$619,$A168,Documents!$C$2:$C$619,"brochure")),"")</f>
        <v/>
      </c>
      <c r="S168">
        <f>IFERROR(IF(MAXIFS(Documents!$E$2:$E$619,Documents!$A$2:$A$619,$A168,Documents!$C$2:$C$619,"press_kit")=0,"",MAXIFS(Documents!$E$2:$E$619,Documents!$A$2:$A$619,$A168,Documents!$C$2:$C$619,"press_kit")),"")</f>
        <v/>
      </c>
      <c r="T168">
        <f>IFERROR(IF(MAXIFS(Documents!$E$2:$E$619,Documents!$A$2:$A$619,$A168,Documents!$C$2:$C$619,"other")=0,"",MAXIFS(Documents!$E$2:$E$619,Documents!$A$2:$A$619,$A168,Documents!$C$2:$C$619,"other")),"")</f>
        <v/>
      </c>
      <c r="U168">
        <f>IFERROR(IF(MAXIFS(Documents!$E$2:$E$619,Documents!$A$2:$A$619,$A168,Documents!$C$2:$C$619,"obsolete")=0,"",MAXIFS(Documents!$E$2:$E$619,Documents!$A$2:$A$619,$A168,Documents!$C$2:$C$619,"obsolete")),"")</f>
        <v/>
      </c>
      <c r="V168">
        <f>COUNTIFS(Documents!$A$2:$A$619,$A168)</f>
        <v/>
      </c>
      <c r="W168">
        <f>COUNTIFS(Documents!$A$2:$A$619,$A168,Documents!$R$2:$R$619,"current")</f>
        <v/>
      </c>
      <c r="X168" t="inlineStr"/>
      <c r="Y168" t="inlineStr">
        <is>
          <t>factsheet, wedding, events</t>
        </is>
      </c>
      <c r="Z168" t="inlineStr"/>
    </row>
    <row r="169">
      <c r="A169" t="n">
        <v>168</v>
      </c>
      <c r="B169" t="inlineStr">
        <is>
          <t>You &amp; Me Maldives</t>
        </is>
      </c>
      <c r="C169" t="inlineStr">
        <is>
          <t>not crawled</t>
        </is>
      </c>
      <c r="D169">
        <f>IFERROR(IF(MAXIFS(Documents!$E$2:$E$619,Documents!$A$2:$A$619,$A169,Documents!$C$2:$C$619,"factsheet")=0,"",MAXIFS(Documents!$E$2:$E$619,Documents!$A$2:$A$619,$A169,Documents!$C$2:$C$619,"factsheet")),"")</f>
        <v/>
      </c>
      <c r="E169">
        <f>IFERROR(IF(MAXIFS(Documents!$E$2:$E$619,Documents!$A$2:$A$619,$A169,Documents!$C$2:$C$619,"wedding")=0,"",MAXIFS(Documents!$E$2:$E$619,Documents!$A$2:$A$619,$A169,Documents!$C$2:$C$619,"wedding")),"")</f>
        <v/>
      </c>
      <c r="F169">
        <f>IFERROR(IF(MAXIFS(Documents!$E$2:$E$619,Documents!$A$2:$A$619,$A169,Documents!$C$2:$C$619,"events")=0,"",MAXIFS(Documents!$E$2:$E$619,Documents!$A$2:$A$619,$A169,Documents!$C$2:$C$619,"events")),"")</f>
        <v/>
      </c>
      <c r="G169">
        <f>IFERROR(IF(MAXIFS(Documents!$E$2:$E$619,Documents!$A$2:$A$619,$A169,Documents!$C$2:$C$619,"map")=0,"",MAXIFS(Documents!$E$2:$E$619,Documents!$A$2:$A$619,$A169,Documents!$C$2:$C$619,"map")),"")</f>
        <v/>
      </c>
      <c r="H169">
        <f>IFERROR(IF(MAXIFS(Documents!$E$2:$E$619,Documents!$A$2:$A$619,$A169,Documents!$C$2:$C$619,"dive_map")=0,"",MAXIFS(Documents!$E$2:$E$619,Documents!$A$2:$A$619,$A169,Documents!$C$2:$C$619,"dive_map")),"")</f>
        <v/>
      </c>
      <c r="I169">
        <f>IFERROR(IF(MAXIFS(Documents!$E$2:$E$619,Documents!$A$2:$A$619,$A169,Documents!$C$2:$C$619,"spa_menu")=0,"",MAXIFS(Documents!$E$2:$E$619,Documents!$A$2:$A$619,$A169,Documents!$C$2:$C$619,"spa_menu")),"")</f>
        <v/>
      </c>
      <c r="J169">
        <f>IFERROR(IF(MAXIFS(Documents!$E$2:$E$619,Documents!$A$2:$A$619,$A169,Documents!$C$2:$C$619,"dining_menu")=0,"",MAXIFS(Documents!$E$2:$E$619,Documents!$A$2:$A$619,$A169,Documents!$C$2:$C$619,"dining_menu")),"")</f>
        <v/>
      </c>
      <c r="K169">
        <f>IFERROR(IF(MAXIFS(Documents!$E$2:$E$619,Documents!$A$2:$A$619,$A169,Documents!$C$2:$C$619,"dive_prices")=0,"",MAXIFS(Documents!$E$2:$E$619,Documents!$A$2:$A$619,$A169,Documents!$C$2:$C$619,"dive_prices")),"")</f>
        <v/>
      </c>
      <c r="L169">
        <f>IFERROR(IF(MAXIFS(Documents!$E$2:$E$619,Documents!$A$2:$A$619,$A169,Documents!$C$2:$C$619,"excursions")=0,"",MAXIFS(Documents!$E$2:$E$619,Documents!$A$2:$A$619,$A169,Documents!$C$2:$C$619,"excursions")),"")</f>
        <v/>
      </c>
      <c r="M169">
        <f>IFERROR(IF(MAXIFS(Documents!$E$2:$E$619,Documents!$A$2:$A$619,$A169,Documents!$C$2:$C$619,"kids")=0,"",MAXIFS(Documents!$E$2:$E$619,Documents!$A$2:$A$619,$A169,Documents!$C$2:$C$619,"kids")),"")</f>
        <v/>
      </c>
      <c r="N169">
        <f>IFERROR(IF(MAXIFS(Documents!$E$2:$E$619,Documents!$A$2:$A$619,$A169,Documents!$C$2:$C$619,"villa_plans")=0,"",MAXIFS(Documents!$E$2:$E$619,Documents!$A$2:$A$619,$A169,Documents!$C$2:$C$619,"villa_plans")),"")</f>
        <v/>
      </c>
      <c r="O169">
        <f>IFERROR(IF(MAXIFS(Documents!$E$2:$E$619,Documents!$A$2:$A$619,$A169,Documents!$C$2:$C$619,"all_inclusive")=0,"",MAXIFS(Documents!$E$2:$E$619,Documents!$A$2:$A$619,$A169,Documents!$C$2:$C$619,"all_inclusive")),"")</f>
        <v/>
      </c>
      <c r="P169">
        <f>IFERROR(IF(MAXIFS(Documents!$E$2:$E$619,Documents!$A$2:$A$619,$A169,Documents!$C$2:$C$619,"sustainability")=0,"",MAXIFS(Documents!$E$2:$E$619,Documents!$A$2:$A$619,$A169,Documents!$C$2:$C$619,"sustainability")),"")</f>
        <v/>
      </c>
      <c r="Q169">
        <f>IFERROR(IF(MAXIFS(Documents!$E$2:$E$619,Documents!$A$2:$A$619,$A169,Documents!$C$2:$C$619,"calendar")=0,"",MAXIFS(Documents!$E$2:$E$619,Documents!$A$2:$A$619,$A169,Documents!$C$2:$C$619,"calendar")),"")</f>
        <v/>
      </c>
      <c r="R169">
        <f>IFERROR(IF(MAXIFS(Documents!$E$2:$E$619,Documents!$A$2:$A$619,$A169,Documents!$C$2:$C$619,"brochure")=0,"",MAXIFS(Documents!$E$2:$E$619,Documents!$A$2:$A$619,$A169,Documents!$C$2:$C$619,"brochure")),"")</f>
        <v/>
      </c>
      <c r="S169">
        <f>IFERROR(IF(MAXIFS(Documents!$E$2:$E$619,Documents!$A$2:$A$619,$A169,Documents!$C$2:$C$619,"press_kit")=0,"",MAXIFS(Documents!$E$2:$E$619,Documents!$A$2:$A$619,$A169,Documents!$C$2:$C$619,"press_kit")),"")</f>
        <v/>
      </c>
      <c r="T169">
        <f>IFERROR(IF(MAXIFS(Documents!$E$2:$E$619,Documents!$A$2:$A$619,$A169,Documents!$C$2:$C$619,"other")=0,"",MAXIFS(Documents!$E$2:$E$619,Documents!$A$2:$A$619,$A169,Documents!$C$2:$C$619,"other")),"")</f>
        <v/>
      </c>
      <c r="U169">
        <f>IFERROR(IF(MAXIFS(Documents!$E$2:$E$619,Documents!$A$2:$A$619,$A169,Documents!$C$2:$C$619,"obsolete")=0,"",MAXIFS(Documents!$E$2:$E$619,Documents!$A$2:$A$619,$A169,Documents!$C$2:$C$619,"obsolete")),"")</f>
        <v/>
      </c>
      <c r="V169">
        <f>COUNTIFS(Documents!$A$2:$A$619,$A169)</f>
        <v/>
      </c>
      <c r="W169">
        <f>COUNTIFS(Documents!$A$2:$A$619,$A169,Documents!$R$2:$R$619,"current")</f>
        <v/>
      </c>
      <c r="X169">
        <f>HYPERLINK("https://www.neoscapesmaldives.com/wp-content/uploads/GB-_-You-_-Me-Maldives-_-Fact-Sheet-2026.pdf","2026_GB-_-You-_-Me-Maldives-_-Fact-Sheet")</f>
        <v/>
      </c>
      <c r="Y169" t="inlineStr">
        <is>
          <t>wedding, events</t>
        </is>
      </c>
      <c r="Z169" t="inlineStr">
        <is>
          <t>You &amp; Me by Cocoon</t>
        </is>
      </c>
    </row>
    <row r="170">
      <c r="A170" t="n">
        <v>169</v>
      </c>
      <c r="B170" t="inlineStr">
        <is>
          <t>Banyan Tree Maldives Vabbinfaru</t>
        </is>
      </c>
      <c r="C170" t="inlineStr">
        <is>
          <t>not crawled</t>
        </is>
      </c>
      <c r="D170">
        <f>IFERROR(IF(MAXIFS(Documents!$E$2:$E$619,Documents!$A$2:$A$619,$A170,Documents!$C$2:$C$619,"factsheet")=0,"",MAXIFS(Documents!$E$2:$E$619,Documents!$A$2:$A$619,$A170,Documents!$C$2:$C$619,"factsheet")),"")</f>
        <v/>
      </c>
      <c r="E170">
        <f>IFERROR(IF(MAXIFS(Documents!$E$2:$E$619,Documents!$A$2:$A$619,$A170,Documents!$C$2:$C$619,"wedding")=0,"",MAXIFS(Documents!$E$2:$E$619,Documents!$A$2:$A$619,$A170,Documents!$C$2:$C$619,"wedding")),"")</f>
        <v/>
      </c>
      <c r="F170">
        <f>IFERROR(IF(MAXIFS(Documents!$E$2:$E$619,Documents!$A$2:$A$619,$A170,Documents!$C$2:$C$619,"events")=0,"",MAXIFS(Documents!$E$2:$E$619,Documents!$A$2:$A$619,$A170,Documents!$C$2:$C$619,"events")),"")</f>
        <v/>
      </c>
      <c r="G170">
        <f>IFERROR(IF(MAXIFS(Documents!$E$2:$E$619,Documents!$A$2:$A$619,$A170,Documents!$C$2:$C$619,"map")=0,"",MAXIFS(Documents!$E$2:$E$619,Documents!$A$2:$A$619,$A170,Documents!$C$2:$C$619,"map")),"")</f>
        <v/>
      </c>
      <c r="H170">
        <f>IFERROR(IF(MAXIFS(Documents!$E$2:$E$619,Documents!$A$2:$A$619,$A170,Documents!$C$2:$C$619,"dive_map")=0,"",MAXIFS(Documents!$E$2:$E$619,Documents!$A$2:$A$619,$A170,Documents!$C$2:$C$619,"dive_map")),"")</f>
        <v/>
      </c>
      <c r="I170">
        <f>IFERROR(IF(MAXIFS(Documents!$E$2:$E$619,Documents!$A$2:$A$619,$A170,Documents!$C$2:$C$619,"spa_menu")=0,"",MAXIFS(Documents!$E$2:$E$619,Documents!$A$2:$A$619,$A170,Documents!$C$2:$C$619,"spa_menu")),"")</f>
        <v/>
      </c>
      <c r="J170">
        <f>IFERROR(IF(MAXIFS(Documents!$E$2:$E$619,Documents!$A$2:$A$619,$A170,Documents!$C$2:$C$619,"dining_menu")=0,"",MAXIFS(Documents!$E$2:$E$619,Documents!$A$2:$A$619,$A170,Documents!$C$2:$C$619,"dining_menu")),"")</f>
        <v/>
      </c>
      <c r="K170">
        <f>IFERROR(IF(MAXIFS(Documents!$E$2:$E$619,Documents!$A$2:$A$619,$A170,Documents!$C$2:$C$619,"dive_prices")=0,"",MAXIFS(Documents!$E$2:$E$619,Documents!$A$2:$A$619,$A170,Documents!$C$2:$C$619,"dive_prices")),"")</f>
        <v/>
      </c>
      <c r="L170">
        <f>IFERROR(IF(MAXIFS(Documents!$E$2:$E$619,Documents!$A$2:$A$619,$A170,Documents!$C$2:$C$619,"excursions")=0,"",MAXIFS(Documents!$E$2:$E$619,Documents!$A$2:$A$619,$A170,Documents!$C$2:$C$619,"excursions")),"")</f>
        <v/>
      </c>
      <c r="M170">
        <f>IFERROR(IF(MAXIFS(Documents!$E$2:$E$619,Documents!$A$2:$A$619,$A170,Documents!$C$2:$C$619,"kids")=0,"",MAXIFS(Documents!$E$2:$E$619,Documents!$A$2:$A$619,$A170,Documents!$C$2:$C$619,"kids")),"")</f>
        <v/>
      </c>
      <c r="N170">
        <f>IFERROR(IF(MAXIFS(Documents!$E$2:$E$619,Documents!$A$2:$A$619,$A170,Documents!$C$2:$C$619,"villa_plans")=0,"",MAXIFS(Documents!$E$2:$E$619,Documents!$A$2:$A$619,$A170,Documents!$C$2:$C$619,"villa_plans")),"")</f>
        <v/>
      </c>
      <c r="O170">
        <f>IFERROR(IF(MAXIFS(Documents!$E$2:$E$619,Documents!$A$2:$A$619,$A170,Documents!$C$2:$C$619,"all_inclusive")=0,"",MAXIFS(Documents!$E$2:$E$619,Documents!$A$2:$A$619,$A170,Documents!$C$2:$C$619,"all_inclusive")),"")</f>
        <v/>
      </c>
      <c r="P170">
        <f>IFERROR(IF(MAXIFS(Documents!$E$2:$E$619,Documents!$A$2:$A$619,$A170,Documents!$C$2:$C$619,"sustainability")=0,"",MAXIFS(Documents!$E$2:$E$619,Documents!$A$2:$A$619,$A170,Documents!$C$2:$C$619,"sustainability")),"")</f>
        <v/>
      </c>
      <c r="Q170">
        <f>IFERROR(IF(MAXIFS(Documents!$E$2:$E$619,Documents!$A$2:$A$619,$A170,Documents!$C$2:$C$619,"calendar")=0,"",MAXIFS(Documents!$E$2:$E$619,Documents!$A$2:$A$619,$A170,Documents!$C$2:$C$619,"calendar")),"")</f>
        <v/>
      </c>
      <c r="R170">
        <f>IFERROR(IF(MAXIFS(Documents!$E$2:$E$619,Documents!$A$2:$A$619,$A170,Documents!$C$2:$C$619,"brochure")=0,"",MAXIFS(Documents!$E$2:$E$619,Documents!$A$2:$A$619,$A170,Documents!$C$2:$C$619,"brochure")),"")</f>
        <v/>
      </c>
      <c r="S170">
        <f>IFERROR(IF(MAXIFS(Documents!$E$2:$E$619,Documents!$A$2:$A$619,$A170,Documents!$C$2:$C$619,"press_kit")=0,"",MAXIFS(Documents!$E$2:$E$619,Documents!$A$2:$A$619,$A170,Documents!$C$2:$C$619,"press_kit")),"")</f>
        <v/>
      </c>
      <c r="T170">
        <f>IFERROR(IF(MAXIFS(Documents!$E$2:$E$619,Documents!$A$2:$A$619,$A170,Documents!$C$2:$C$619,"other")=0,"",MAXIFS(Documents!$E$2:$E$619,Documents!$A$2:$A$619,$A170,Documents!$C$2:$C$619,"other")),"")</f>
        <v/>
      </c>
      <c r="U170">
        <f>IFERROR(IF(MAXIFS(Documents!$E$2:$E$619,Documents!$A$2:$A$619,$A170,Documents!$C$2:$C$619,"obsolete")=0,"",MAXIFS(Documents!$E$2:$E$619,Documents!$A$2:$A$619,$A170,Documents!$C$2:$C$619,"obsolete")),"")</f>
        <v/>
      </c>
      <c r="V170">
        <f>COUNTIFS(Documents!$A$2:$A$619,$A170)</f>
        <v/>
      </c>
      <c r="W170">
        <f>COUNTIFS(Documents!$A$2:$A$619,$A170,Documents!$R$2:$R$619,"current")</f>
        <v/>
      </c>
      <c r="X170">
        <f>HYPERLINK("https://www.neoscapesmaldives.com/wp-content/uploads/Factsheet-Banyan-Tree-Vabbinfaru-compressed.pdf","2025_Factsheet-Banyan-Tree-Vabbinfaru-co")</f>
        <v/>
      </c>
      <c r="Y170" t="inlineStr">
        <is>
          <t>wedding, events</t>
        </is>
      </c>
      <c r="Z170" t="inlineStr"/>
    </row>
    <row r="171">
      <c r="A171" t="n">
        <v>170</v>
      </c>
      <c r="B171" t="inlineStr">
        <is>
          <t>Cocogiri Island Resort</t>
        </is>
      </c>
      <c r="C171" t="inlineStr">
        <is>
          <t>not crawled</t>
        </is>
      </c>
      <c r="D171">
        <f>IFERROR(IF(MAXIFS(Documents!$E$2:$E$619,Documents!$A$2:$A$619,$A171,Documents!$C$2:$C$619,"factsheet")=0,"",MAXIFS(Documents!$E$2:$E$619,Documents!$A$2:$A$619,$A171,Documents!$C$2:$C$619,"factsheet")),"")</f>
        <v/>
      </c>
      <c r="E171">
        <f>IFERROR(IF(MAXIFS(Documents!$E$2:$E$619,Documents!$A$2:$A$619,$A171,Documents!$C$2:$C$619,"wedding")=0,"",MAXIFS(Documents!$E$2:$E$619,Documents!$A$2:$A$619,$A171,Documents!$C$2:$C$619,"wedding")),"")</f>
        <v/>
      </c>
      <c r="F171">
        <f>IFERROR(IF(MAXIFS(Documents!$E$2:$E$619,Documents!$A$2:$A$619,$A171,Documents!$C$2:$C$619,"events")=0,"",MAXIFS(Documents!$E$2:$E$619,Documents!$A$2:$A$619,$A171,Documents!$C$2:$C$619,"events")),"")</f>
        <v/>
      </c>
      <c r="G171">
        <f>IFERROR(IF(MAXIFS(Documents!$E$2:$E$619,Documents!$A$2:$A$619,$A171,Documents!$C$2:$C$619,"map")=0,"",MAXIFS(Documents!$E$2:$E$619,Documents!$A$2:$A$619,$A171,Documents!$C$2:$C$619,"map")),"")</f>
        <v/>
      </c>
      <c r="H171">
        <f>IFERROR(IF(MAXIFS(Documents!$E$2:$E$619,Documents!$A$2:$A$619,$A171,Documents!$C$2:$C$619,"dive_map")=0,"",MAXIFS(Documents!$E$2:$E$619,Documents!$A$2:$A$619,$A171,Documents!$C$2:$C$619,"dive_map")),"")</f>
        <v/>
      </c>
      <c r="I171">
        <f>IFERROR(IF(MAXIFS(Documents!$E$2:$E$619,Documents!$A$2:$A$619,$A171,Documents!$C$2:$C$619,"spa_menu")=0,"",MAXIFS(Documents!$E$2:$E$619,Documents!$A$2:$A$619,$A171,Documents!$C$2:$C$619,"spa_menu")),"")</f>
        <v/>
      </c>
      <c r="J171">
        <f>IFERROR(IF(MAXIFS(Documents!$E$2:$E$619,Documents!$A$2:$A$619,$A171,Documents!$C$2:$C$619,"dining_menu")=0,"",MAXIFS(Documents!$E$2:$E$619,Documents!$A$2:$A$619,$A171,Documents!$C$2:$C$619,"dining_menu")),"")</f>
        <v/>
      </c>
      <c r="K171">
        <f>IFERROR(IF(MAXIFS(Documents!$E$2:$E$619,Documents!$A$2:$A$619,$A171,Documents!$C$2:$C$619,"dive_prices")=0,"",MAXIFS(Documents!$E$2:$E$619,Documents!$A$2:$A$619,$A171,Documents!$C$2:$C$619,"dive_prices")),"")</f>
        <v/>
      </c>
      <c r="L171">
        <f>IFERROR(IF(MAXIFS(Documents!$E$2:$E$619,Documents!$A$2:$A$619,$A171,Documents!$C$2:$C$619,"excursions")=0,"",MAXIFS(Documents!$E$2:$E$619,Documents!$A$2:$A$619,$A171,Documents!$C$2:$C$619,"excursions")),"")</f>
        <v/>
      </c>
      <c r="M171">
        <f>IFERROR(IF(MAXIFS(Documents!$E$2:$E$619,Documents!$A$2:$A$619,$A171,Documents!$C$2:$C$619,"kids")=0,"",MAXIFS(Documents!$E$2:$E$619,Documents!$A$2:$A$619,$A171,Documents!$C$2:$C$619,"kids")),"")</f>
        <v/>
      </c>
      <c r="N171">
        <f>IFERROR(IF(MAXIFS(Documents!$E$2:$E$619,Documents!$A$2:$A$619,$A171,Documents!$C$2:$C$619,"villa_plans")=0,"",MAXIFS(Documents!$E$2:$E$619,Documents!$A$2:$A$619,$A171,Documents!$C$2:$C$619,"villa_plans")),"")</f>
        <v/>
      </c>
      <c r="O171">
        <f>IFERROR(IF(MAXIFS(Documents!$E$2:$E$619,Documents!$A$2:$A$619,$A171,Documents!$C$2:$C$619,"all_inclusive")=0,"",MAXIFS(Documents!$E$2:$E$619,Documents!$A$2:$A$619,$A171,Documents!$C$2:$C$619,"all_inclusive")),"")</f>
        <v/>
      </c>
      <c r="P171">
        <f>IFERROR(IF(MAXIFS(Documents!$E$2:$E$619,Documents!$A$2:$A$619,$A171,Documents!$C$2:$C$619,"sustainability")=0,"",MAXIFS(Documents!$E$2:$E$619,Documents!$A$2:$A$619,$A171,Documents!$C$2:$C$619,"sustainability")),"")</f>
        <v/>
      </c>
      <c r="Q171">
        <f>IFERROR(IF(MAXIFS(Documents!$E$2:$E$619,Documents!$A$2:$A$619,$A171,Documents!$C$2:$C$619,"calendar")=0,"",MAXIFS(Documents!$E$2:$E$619,Documents!$A$2:$A$619,$A171,Documents!$C$2:$C$619,"calendar")),"")</f>
        <v/>
      </c>
      <c r="R171">
        <f>IFERROR(IF(MAXIFS(Documents!$E$2:$E$619,Documents!$A$2:$A$619,$A171,Documents!$C$2:$C$619,"brochure")=0,"",MAXIFS(Documents!$E$2:$E$619,Documents!$A$2:$A$619,$A171,Documents!$C$2:$C$619,"brochure")),"")</f>
        <v/>
      </c>
      <c r="S171">
        <f>IFERROR(IF(MAXIFS(Documents!$E$2:$E$619,Documents!$A$2:$A$619,$A171,Documents!$C$2:$C$619,"press_kit")=0,"",MAXIFS(Documents!$E$2:$E$619,Documents!$A$2:$A$619,$A171,Documents!$C$2:$C$619,"press_kit")),"")</f>
        <v/>
      </c>
      <c r="T171">
        <f>IFERROR(IF(MAXIFS(Documents!$E$2:$E$619,Documents!$A$2:$A$619,$A171,Documents!$C$2:$C$619,"other")=0,"",MAXIFS(Documents!$E$2:$E$619,Documents!$A$2:$A$619,$A171,Documents!$C$2:$C$619,"other")),"")</f>
        <v/>
      </c>
      <c r="U171">
        <f>IFERROR(IF(MAXIFS(Documents!$E$2:$E$619,Documents!$A$2:$A$619,$A171,Documents!$C$2:$C$619,"obsolete")=0,"",MAXIFS(Documents!$E$2:$E$619,Documents!$A$2:$A$619,$A171,Documents!$C$2:$C$619,"obsolete")),"")</f>
        <v/>
      </c>
      <c r="V171">
        <f>COUNTIFS(Documents!$A$2:$A$619,$A171)</f>
        <v/>
      </c>
      <c r="W171">
        <f>COUNTIFS(Documents!$A$2:$A$619,$A171,Documents!$R$2:$R$619,"current")</f>
        <v/>
      </c>
      <c r="X171" t="inlineStr"/>
      <c r="Y171" t="inlineStr">
        <is>
          <t>factsheet, wedding, events</t>
        </is>
      </c>
      <c r="Z171" t="inlineStr"/>
    </row>
    <row r="172">
      <c r="A172" t="n">
        <v>171</v>
      </c>
      <c r="B172" t="inlineStr">
        <is>
          <t>Velaa Private Island Maldives</t>
        </is>
      </c>
      <c r="C172" t="inlineStr">
        <is>
          <t>not crawled</t>
        </is>
      </c>
      <c r="D172">
        <f>IFERROR(IF(MAXIFS(Documents!$E$2:$E$619,Documents!$A$2:$A$619,$A172,Documents!$C$2:$C$619,"factsheet")=0,"",MAXIFS(Documents!$E$2:$E$619,Documents!$A$2:$A$619,$A172,Documents!$C$2:$C$619,"factsheet")),"")</f>
        <v/>
      </c>
      <c r="E172">
        <f>IFERROR(IF(MAXIFS(Documents!$E$2:$E$619,Documents!$A$2:$A$619,$A172,Documents!$C$2:$C$619,"wedding")=0,"",MAXIFS(Documents!$E$2:$E$619,Documents!$A$2:$A$619,$A172,Documents!$C$2:$C$619,"wedding")),"")</f>
        <v/>
      </c>
      <c r="F172">
        <f>IFERROR(IF(MAXIFS(Documents!$E$2:$E$619,Documents!$A$2:$A$619,$A172,Documents!$C$2:$C$619,"events")=0,"",MAXIFS(Documents!$E$2:$E$619,Documents!$A$2:$A$619,$A172,Documents!$C$2:$C$619,"events")),"")</f>
        <v/>
      </c>
      <c r="G172">
        <f>IFERROR(IF(MAXIFS(Documents!$E$2:$E$619,Documents!$A$2:$A$619,$A172,Documents!$C$2:$C$619,"map")=0,"",MAXIFS(Documents!$E$2:$E$619,Documents!$A$2:$A$619,$A172,Documents!$C$2:$C$619,"map")),"")</f>
        <v/>
      </c>
      <c r="H172">
        <f>IFERROR(IF(MAXIFS(Documents!$E$2:$E$619,Documents!$A$2:$A$619,$A172,Documents!$C$2:$C$619,"dive_map")=0,"",MAXIFS(Documents!$E$2:$E$619,Documents!$A$2:$A$619,$A172,Documents!$C$2:$C$619,"dive_map")),"")</f>
        <v/>
      </c>
      <c r="I172">
        <f>IFERROR(IF(MAXIFS(Documents!$E$2:$E$619,Documents!$A$2:$A$619,$A172,Documents!$C$2:$C$619,"spa_menu")=0,"",MAXIFS(Documents!$E$2:$E$619,Documents!$A$2:$A$619,$A172,Documents!$C$2:$C$619,"spa_menu")),"")</f>
        <v/>
      </c>
      <c r="J172">
        <f>IFERROR(IF(MAXIFS(Documents!$E$2:$E$619,Documents!$A$2:$A$619,$A172,Documents!$C$2:$C$619,"dining_menu")=0,"",MAXIFS(Documents!$E$2:$E$619,Documents!$A$2:$A$619,$A172,Documents!$C$2:$C$619,"dining_menu")),"")</f>
        <v/>
      </c>
      <c r="K172">
        <f>IFERROR(IF(MAXIFS(Documents!$E$2:$E$619,Documents!$A$2:$A$619,$A172,Documents!$C$2:$C$619,"dive_prices")=0,"",MAXIFS(Documents!$E$2:$E$619,Documents!$A$2:$A$619,$A172,Documents!$C$2:$C$619,"dive_prices")),"")</f>
        <v/>
      </c>
      <c r="L172">
        <f>IFERROR(IF(MAXIFS(Documents!$E$2:$E$619,Documents!$A$2:$A$619,$A172,Documents!$C$2:$C$619,"excursions")=0,"",MAXIFS(Documents!$E$2:$E$619,Documents!$A$2:$A$619,$A172,Documents!$C$2:$C$619,"excursions")),"")</f>
        <v/>
      </c>
      <c r="M172">
        <f>IFERROR(IF(MAXIFS(Documents!$E$2:$E$619,Documents!$A$2:$A$619,$A172,Documents!$C$2:$C$619,"kids")=0,"",MAXIFS(Documents!$E$2:$E$619,Documents!$A$2:$A$619,$A172,Documents!$C$2:$C$619,"kids")),"")</f>
        <v/>
      </c>
      <c r="N172">
        <f>IFERROR(IF(MAXIFS(Documents!$E$2:$E$619,Documents!$A$2:$A$619,$A172,Documents!$C$2:$C$619,"villa_plans")=0,"",MAXIFS(Documents!$E$2:$E$619,Documents!$A$2:$A$619,$A172,Documents!$C$2:$C$619,"villa_plans")),"")</f>
        <v/>
      </c>
      <c r="O172">
        <f>IFERROR(IF(MAXIFS(Documents!$E$2:$E$619,Documents!$A$2:$A$619,$A172,Documents!$C$2:$C$619,"all_inclusive")=0,"",MAXIFS(Documents!$E$2:$E$619,Documents!$A$2:$A$619,$A172,Documents!$C$2:$C$619,"all_inclusive")),"")</f>
        <v/>
      </c>
      <c r="P172">
        <f>IFERROR(IF(MAXIFS(Documents!$E$2:$E$619,Documents!$A$2:$A$619,$A172,Documents!$C$2:$C$619,"sustainability")=0,"",MAXIFS(Documents!$E$2:$E$619,Documents!$A$2:$A$619,$A172,Documents!$C$2:$C$619,"sustainability")),"")</f>
        <v/>
      </c>
      <c r="Q172">
        <f>IFERROR(IF(MAXIFS(Documents!$E$2:$E$619,Documents!$A$2:$A$619,$A172,Documents!$C$2:$C$619,"calendar")=0,"",MAXIFS(Documents!$E$2:$E$619,Documents!$A$2:$A$619,$A172,Documents!$C$2:$C$619,"calendar")),"")</f>
        <v/>
      </c>
      <c r="R172">
        <f>IFERROR(IF(MAXIFS(Documents!$E$2:$E$619,Documents!$A$2:$A$619,$A172,Documents!$C$2:$C$619,"brochure")=0,"",MAXIFS(Documents!$E$2:$E$619,Documents!$A$2:$A$619,$A172,Documents!$C$2:$C$619,"brochure")),"")</f>
        <v/>
      </c>
      <c r="S172">
        <f>IFERROR(IF(MAXIFS(Documents!$E$2:$E$619,Documents!$A$2:$A$619,$A172,Documents!$C$2:$C$619,"press_kit")=0,"",MAXIFS(Documents!$E$2:$E$619,Documents!$A$2:$A$619,$A172,Documents!$C$2:$C$619,"press_kit")),"")</f>
        <v/>
      </c>
      <c r="T172">
        <f>IFERROR(IF(MAXIFS(Documents!$E$2:$E$619,Documents!$A$2:$A$619,$A172,Documents!$C$2:$C$619,"other")=0,"",MAXIFS(Documents!$E$2:$E$619,Documents!$A$2:$A$619,$A172,Documents!$C$2:$C$619,"other")),"")</f>
        <v/>
      </c>
      <c r="U172">
        <f>IFERROR(IF(MAXIFS(Documents!$E$2:$E$619,Documents!$A$2:$A$619,$A172,Documents!$C$2:$C$619,"obsolete")=0,"",MAXIFS(Documents!$E$2:$E$619,Documents!$A$2:$A$619,$A172,Documents!$C$2:$C$619,"obsolete")),"")</f>
        <v/>
      </c>
      <c r="V172">
        <f>COUNTIFS(Documents!$A$2:$A$619,$A172)</f>
        <v/>
      </c>
      <c r="W172">
        <f>COUNTIFS(Documents!$A$2:$A$619,$A172,Documents!$R$2:$R$619,"current")</f>
        <v/>
      </c>
      <c r="X172">
        <f>HYPERLINK("https://neoscapesmaldives.com/wp-content/uploads/Velaa-Private-Island-Fact-Sheet.pdf","2019_Velaa-Private-Island-Fact-Sheet.pdf")</f>
        <v/>
      </c>
      <c r="Y172" t="inlineStr">
        <is>
          <t>wedding, events</t>
        </is>
      </c>
      <c r="Z172" t="inlineStr"/>
    </row>
    <row r="173">
      <c r="A173" t="n">
        <v>172</v>
      </c>
      <c r="B173" t="inlineStr">
        <is>
          <t>Mirihi Island Resort</t>
        </is>
      </c>
      <c r="C173" t="inlineStr">
        <is>
          <t>not crawled</t>
        </is>
      </c>
      <c r="D173">
        <f>IFERROR(IF(MAXIFS(Documents!$E$2:$E$619,Documents!$A$2:$A$619,$A173,Documents!$C$2:$C$619,"factsheet")=0,"",MAXIFS(Documents!$E$2:$E$619,Documents!$A$2:$A$619,$A173,Documents!$C$2:$C$619,"factsheet")),"")</f>
        <v/>
      </c>
      <c r="E173">
        <f>IFERROR(IF(MAXIFS(Documents!$E$2:$E$619,Documents!$A$2:$A$619,$A173,Documents!$C$2:$C$619,"wedding")=0,"",MAXIFS(Documents!$E$2:$E$619,Documents!$A$2:$A$619,$A173,Documents!$C$2:$C$619,"wedding")),"")</f>
        <v/>
      </c>
      <c r="F173">
        <f>IFERROR(IF(MAXIFS(Documents!$E$2:$E$619,Documents!$A$2:$A$619,$A173,Documents!$C$2:$C$619,"events")=0,"",MAXIFS(Documents!$E$2:$E$619,Documents!$A$2:$A$619,$A173,Documents!$C$2:$C$619,"events")),"")</f>
        <v/>
      </c>
      <c r="G173">
        <f>IFERROR(IF(MAXIFS(Documents!$E$2:$E$619,Documents!$A$2:$A$619,$A173,Documents!$C$2:$C$619,"map")=0,"",MAXIFS(Documents!$E$2:$E$619,Documents!$A$2:$A$619,$A173,Documents!$C$2:$C$619,"map")),"")</f>
        <v/>
      </c>
      <c r="H173">
        <f>IFERROR(IF(MAXIFS(Documents!$E$2:$E$619,Documents!$A$2:$A$619,$A173,Documents!$C$2:$C$619,"dive_map")=0,"",MAXIFS(Documents!$E$2:$E$619,Documents!$A$2:$A$619,$A173,Documents!$C$2:$C$619,"dive_map")),"")</f>
        <v/>
      </c>
      <c r="I173">
        <f>IFERROR(IF(MAXIFS(Documents!$E$2:$E$619,Documents!$A$2:$A$619,$A173,Documents!$C$2:$C$619,"spa_menu")=0,"",MAXIFS(Documents!$E$2:$E$619,Documents!$A$2:$A$619,$A173,Documents!$C$2:$C$619,"spa_menu")),"")</f>
        <v/>
      </c>
      <c r="J173">
        <f>IFERROR(IF(MAXIFS(Documents!$E$2:$E$619,Documents!$A$2:$A$619,$A173,Documents!$C$2:$C$619,"dining_menu")=0,"",MAXIFS(Documents!$E$2:$E$619,Documents!$A$2:$A$619,$A173,Documents!$C$2:$C$619,"dining_menu")),"")</f>
        <v/>
      </c>
      <c r="K173">
        <f>IFERROR(IF(MAXIFS(Documents!$E$2:$E$619,Documents!$A$2:$A$619,$A173,Documents!$C$2:$C$619,"dive_prices")=0,"",MAXIFS(Documents!$E$2:$E$619,Documents!$A$2:$A$619,$A173,Documents!$C$2:$C$619,"dive_prices")),"")</f>
        <v/>
      </c>
      <c r="L173">
        <f>IFERROR(IF(MAXIFS(Documents!$E$2:$E$619,Documents!$A$2:$A$619,$A173,Documents!$C$2:$C$619,"excursions")=0,"",MAXIFS(Documents!$E$2:$E$619,Documents!$A$2:$A$619,$A173,Documents!$C$2:$C$619,"excursions")),"")</f>
        <v/>
      </c>
      <c r="M173">
        <f>IFERROR(IF(MAXIFS(Documents!$E$2:$E$619,Documents!$A$2:$A$619,$A173,Documents!$C$2:$C$619,"kids")=0,"",MAXIFS(Documents!$E$2:$E$619,Documents!$A$2:$A$619,$A173,Documents!$C$2:$C$619,"kids")),"")</f>
        <v/>
      </c>
      <c r="N173">
        <f>IFERROR(IF(MAXIFS(Documents!$E$2:$E$619,Documents!$A$2:$A$619,$A173,Documents!$C$2:$C$619,"villa_plans")=0,"",MAXIFS(Documents!$E$2:$E$619,Documents!$A$2:$A$619,$A173,Documents!$C$2:$C$619,"villa_plans")),"")</f>
        <v/>
      </c>
      <c r="O173">
        <f>IFERROR(IF(MAXIFS(Documents!$E$2:$E$619,Documents!$A$2:$A$619,$A173,Documents!$C$2:$C$619,"all_inclusive")=0,"",MAXIFS(Documents!$E$2:$E$619,Documents!$A$2:$A$619,$A173,Documents!$C$2:$C$619,"all_inclusive")),"")</f>
        <v/>
      </c>
      <c r="P173">
        <f>IFERROR(IF(MAXIFS(Documents!$E$2:$E$619,Documents!$A$2:$A$619,$A173,Documents!$C$2:$C$619,"sustainability")=0,"",MAXIFS(Documents!$E$2:$E$619,Documents!$A$2:$A$619,$A173,Documents!$C$2:$C$619,"sustainability")),"")</f>
        <v/>
      </c>
      <c r="Q173">
        <f>IFERROR(IF(MAXIFS(Documents!$E$2:$E$619,Documents!$A$2:$A$619,$A173,Documents!$C$2:$C$619,"calendar")=0,"",MAXIFS(Documents!$E$2:$E$619,Documents!$A$2:$A$619,$A173,Documents!$C$2:$C$619,"calendar")),"")</f>
        <v/>
      </c>
      <c r="R173">
        <f>IFERROR(IF(MAXIFS(Documents!$E$2:$E$619,Documents!$A$2:$A$619,$A173,Documents!$C$2:$C$619,"brochure")=0,"",MAXIFS(Documents!$E$2:$E$619,Documents!$A$2:$A$619,$A173,Documents!$C$2:$C$619,"brochure")),"")</f>
        <v/>
      </c>
      <c r="S173">
        <f>IFERROR(IF(MAXIFS(Documents!$E$2:$E$619,Documents!$A$2:$A$619,$A173,Documents!$C$2:$C$619,"press_kit")=0,"",MAXIFS(Documents!$E$2:$E$619,Documents!$A$2:$A$619,$A173,Documents!$C$2:$C$619,"press_kit")),"")</f>
        <v/>
      </c>
      <c r="T173">
        <f>IFERROR(IF(MAXIFS(Documents!$E$2:$E$619,Documents!$A$2:$A$619,$A173,Documents!$C$2:$C$619,"other")=0,"",MAXIFS(Documents!$E$2:$E$619,Documents!$A$2:$A$619,$A173,Documents!$C$2:$C$619,"other")),"")</f>
        <v/>
      </c>
      <c r="U173">
        <f>IFERROR(IF(MAXIFS(Documents!$E$2:$E$619,Documents!$A$2:$A$619,$A173,Documents!$C$2:$C$619,"obsolete")=0,"",MAXIFS(Documents!$E$2:$E$619,Documents!$A$2:$A$619,$A173,Documents!$C$2:$C$619,"obsolete")),"")</f>
        <v/>
      </c>
      <c r="V173">
        <f>COUNTIFS(Documents!$A$2:$A$619,$A173)</f>
        <v/>
      </c>
      <c r="W173">
        <f>COUNTIFS(Documents!$A$2:$A$619,$A173,Documents!$R$2:$R$619,"current")</f>
        <v/>
      </c>
      <c r="X173">
        <f>HYPERLINK("https://sales.crownandchamparesorts.com/wp-content/uploads/2018/04/mirihi_fact_sheet.pdf","2017_mirihi_fact_sheet.pdf")</f>
        <v/>
      </c>
      <c r="Y173" t="inlineStr">
        <is>
          <t>wedding, events</t>
        </is>
      </c>
      <c r="Z173" t="inlineStr"/>
    </row>
    <row r="174">
      <c r="A174" t="n">
        <v>173</v>
      </c>
      <c r="B174" t="inlineStr">
        <is>
          <t>Kurumba Maldives</t>
        </is>
      </c>
      <c r="C174" t="inlineStr">
        <is>
          <t>not crawled</t>
        </is>
      </c>
      <c r="D174">
        <f>IFERROR(IF(MAXIFS(Documents!$E$2:$E$619,Documents!$A$2:$A$619,$A174,Documents!$C$2:$C$619,"factsheet")=0,"",MAXIFS(Documents!$E$2:$E$619,Documents!$A$2:$A$619,$A174,Documents!$C$2:$C$619,"factsheet")),"")</f>
        <v/>
      </c>
      <c r="E174">
        <f>IFERROR(IF(MAXIFS(Documents!$E$2:$E$619,Documents!$A$2:$A$619,$A174,Documents!$C$2:$C$619,"wedding")=0,"",MAXIFS(Documents!$E$2:$E$619,Documents!$A$2:$A$619,$A174,Documents!$C$2:$C$619,"wedding")),"")</f>
        <v/>
      </c>
      <c r="F174">
        <f>IFERROR(IF(MAXIFS(Documents!$E$2:$E$619,Documents!$A$2:$A$619,$A174,Documents!$C$2:$C$619,"events")=0,"",MAXIFS(Documents!$E$2:$E$619,Documents!$A$2:$A$619,$A174,Documents!$C$2:$C$619,"events")),"")</f>
        <v/>
      </c>
      <c r="G174">
        <f>IFERROR(IF(MAXIFS(Documents!$E$2:$E$619,Documents!$A$2:$A$619,$A174,Documents!$C$2:$C$619,"map")=0,"",MAXIFS(Documents!$E$2:$E$619,Documents!$A$2:$A$619,$A174,Documents!$C$2:$C$619,"map")),"")</f>
        <v/>
      </c>
      <c r="H174">
        <f>IFERROR(IF(MAXIFS(Documents!$E$2:$E$619,Documents!$A$2:$A$619,$A174,Documents!$C$2:$C$619,"dive_map")=0,"",MAXIFS(Documents!$E$2:$E$619,Documents!$A$2:$A$619,$A174,Documents!$C$2:$C$619,"dive_map")),"")</f>
        <v/>
      </c>
      <c r="I174">
        <f>IFERROR(IF(MAXIFS(Documents!$E$2:$E$619,Documents!$A$2:$A$619,$A174,Documents!$C$2:$C$619,"spa_menu")=0,"",MAXIFS(Documents!$E$2:$E$619,Documents!$A$2:$A$619,$A174,Documents!$C$2:$C$619,"spa_menu")),"")</f>
        <v/>
      </c>
      <c r="J174">
        <f>IFERROR(IF(MAXIFS(Documents!$E$2:$E$619,Documents!$A$2:$A$619,$A174,Documents!$C$2:$C$619,"dining_menu")=0,"",MAXIFS(Documents!$E$2:$E$619,Documents!$A$2:$A$619,$A174,Documents!$C$2:$C$619,"dining_menu")),"")</f>
        <v/>
      </c>
      <c r="K174">
        <f>IFERROR(IF(MAXIFS(Documents!$E$2:$E$619,Documents!$A$2:$A$619,$A174,Documents!$C$2:$C$619,"dive_prices")=0,"",MAXIFS(Documents!$E$2:$E$619,Documents!$A$2:$A$619,$A174,Documents!$C$2:$C$619,"dive_prices")),"")</f>
        <v/>
      </c>
      <c r="L174">
        <f>IFERROR(IF(MAXIFS(Documents!$E$2:$E$619,Documents!$A$2:$A$619,$A174,Documents!$C$2:$C$619,"excursions")=0,"",MAXIFS(Documents!$E$2:$E$619,Documents!$A$2:$A$619,$A174,Documents!$C$2:$C$619,"excursions")),"")</f>
        <v/>
      </c>
      <c r="M174">
        <f>IFERROR(IF(MAXIFS(Documents!$E$2:$E$619,Documents!$A$2:$A$619,$A174,Documents!$C$2:$C$619,"kids")=0,"",MAXIFS(Documents!$E$2:$E$619,Documents!$A$2:$A$619,$A174,Documents!$C$2:$C$619,"kids")),"")</f>
        <v/>
      </c>
      <c r="N174">
        <f>IFERROR(IF(MAXIFS(Documents!$E$2:$E$619,Documents!$A$2:$A$619,$A174,Documents!$C$2:$C$619,"villa_plans")=0,"",MAXIFS(Documents!$E$2:$E$619,Documents!$A$2:$A$619,$A174,Documents!$C$2:$C$619,"villa_plans")),"")</f>
        <v/>
      </c>
      <c r="O174">
        <f>IFERROR(IF(MAXIFS(Documents!$E$2:$E$619,Documents!$A$2:$A$619,$A174,Documents!$C$2:$C$619,"all_inclusive")=0,"",MAXIFS(Documents!$E$2:$E$619,Documents!$A$2:$A$619,$A174,Documents!$C$2:$C$619,"all_inclusive")),"")</f>
        <v/>
      </c>
      <c r="P174">
        <f>IFERROR(IF(MAXIFS(Documents!$E$2:$E$619,Documents!$A$2:$A$619,$A174,Documents!$C$2:$C$619,"sustainability")=0,"",MAXIFS(Documents!$E$2:$E$619,Documents!$A$2:$A$619,$A174,Documents!$C$2:$C$619,"sustainability")),"")</f>
        <v/>
      </c>
      <c r="Q174">
        <f>IFERROR(IF(MAXIFS(Documents!$E$2:$E$619,Documents!$A$2:$A$619,$A174,Documents!$C$2:$C$619,"calendar")=0,"",MAXIFS(Documents!$E$2:$E$619,Documents!$A$2:$A$619,$A174,Documents!$C$2:$C$619,"calendar")),"")</f>
        <v/>
      </c>
      <c r="R174">
        <f>IFERROR(IF(MAXIFS(Documents!$E$2:$E$619,Documents!$A$2:$A$619,$A174,Documents!$C$2:$C$619,"brochure")=0,"",MAXIFS(Documents!$E$2:$E$619,Documents!$A$2:$A$619,$A174,Documents!$C$2:$C$619,"brochure")),"")</f>
        <v/>
      </c>
      <c r="S174">
        <f>IFERROR(IF(MAXIFS(Documents!$E$2:$E$619,Documents!$A$2:$A$619,$A174,Documents!$C$2:$C$619,"press_kit")=0,"",MAXIFS(Documents!$E$2:$E$619,Documents!$A$2:$A$619,$A174,Documents!$C$2:$C$619,"press_kit")),"")</f>
        <v/>
      </c>
      <c r="T174">
        <f>IFERROR(IF(MAXIFS(Documents!$E$2:$E$619,Documents!$A$2:$A$619,$A174,Documents!$C$2:$C$619,"other")=0,"",MAXIFS(Documents!$E$2:$E$619,Documents!$A$2:$A$619,$A174,Documents!$C$2:$C$619,"other")),"")</f>
        <v/>
      </c>
      <c r="U174">
        <f>IFERROR(IF(MAXIFS(Documents!$E$2:$E$619,Documents!$A$2:$A$619,$A174,Documents!$C$2:$C$619,"obsolete")=0,"",MAXIFS(Documents!$E$2:$E$619,Documents!$A$2:$A$619,$A174,Documents!$C$2:$C$619,"obsolete")),"")</f>
        <v/>
      </c>
      <c r="V174">
        <f>COUNTIFS(Documents!$A$2:$A$619,$A174)</f>
        <v/>
      </c>
      <c r="W174">
        <f>COUNTIFS(Documents!$A$2:$A$619,$A174,Documents!$R$2:$R$619,"current")</f>
        <v/>
      </c>
      <c r="X174">
        <f>HYPERLINK("https://www.neoscapesmaldives.com/wp-content/uploads/Factsheet-Kurumba-Maldives.pdf","2019_Factsheet-Kurumba-Maldives.pdf")</f>
        <v/>
      </c>
      <c r="Y174" t="inlineStr">
        <is>
          <t>wedding, events</t>
        </is>
      </c>
      <c r="Z174" t="inlineStr"/>
    </row>
    <row r="175">
      <c r="A175" t="n">
        <v>174</v>
      </c>
      <c r="B175" t="inlineStr">
        <is>
          <t>Vilamendhoo Island Resort</t>
        </is>
      </c>
      <c r="C175" t="inlineStr">
        <is>
          <t>not crawled</t>
        </is>
      </c>
      <c r="D175">
        <f>IFERROR(IF(MAXIFS(Documents!$E$2:$E$619,Documents!$A$2:$A$619,$A175,Documents!$C$2:$C$619,"factsheet")=0,"",MAXIFS(Documents!$E$2:$E$619,Documents!$A$2:$A$619,$A175,Documents!$C$2:$C$619,"factsheet")),"")</f>
        <v/>
      </c>
      <c r="E175">
        <f>IFERROR(IF(MAXIFS(Documents!$E$2:$E$619,Documents!$A$2:$A$619,$A175,Documents!$C$2:$C$619,"wedding")=0,"",MAXIFS(Documents!$E$2:$E$619,Documents!$A$2:$A$619,$A175,Documents!$C$2:$C$619,"wedding")),"")</f>
        <v/>
      </c>
      <c r="F175">
        <f>IFERROR(IF(MAXIFS(Documents!$E$2:$E$619,Documents!$A$2:$A$619,$A175,Documents!$C$2:$C$619,"events")=0,"",MAXIFS(Documents!$E$2:$E$619,Documents!$A$2:$A$619,$A175,Documents!$C$2:$C$619,"events")),"")</f>
        <v/>
      </c>
      <c r="G175">
        <f>IFERROR(IF(MAXIFS(Documents!$E$2:$E$619,Documents!$A$2:$A$619,$A175,Documents!$C$2:$C$619,"map")=0,"",MAXIFS(Documents!$E$2:$E$619,Documents!$A$2:$A$619,$A175,Documents!$C$2:$C$619,"map")),"")</f>
        <v/>
      </c>
      <c r="H175">
        <f>IFERROR(IF(MAXIFS(Documents!$E$2:$E$619,Documents!$A$2:$A$619,$A175,Documents!$C$2:$C$619,"dive_map")=0,"",MAXIFS(Documents!$E$2:$E$619,Documents!$A$2:$A$619,$A175,Documents!$C$2:$C$619,"dive_map")),"")</f>
        <v/>
      </c>
      <c r="I175">
        <f>IFERROR(IF(MAXIFS(Documents!$E$2:$E$619,Documents!$A$2:$A$619,$A175,Documents!$C$2:$C$619,"spa_menu")=0,"",MAXIFS(Documents!$E$2:$E$619,Documents!$A$2:$A$619,$A175,Documents!$C$2:$C$619,"spa_menu")),"")</f>
        <v/>
      </c>
      <c r="J175">
        <f>IFERROR(IF(MAXIFS(Documents!$E$2:$E$619,Documents!$A$2:$A$619,$A175,Documents!$C$2:$C$619,"dining_menu")=0,"",MAXIFS(Documents!$E$2:$E$619,Documents!$A$2:$A$619,$A175,Documents!$C$2:$C$619,"dining_menu")),"")</f>
        <v/>
      </c>
      <c r="K175">
        <f>IFERROR(IF(MAXIFS(Documents!$E$2:$E$619,Documents!$A$2:$A$619,$A175,Documents!$C$2:$C$619,"dive_prices")=0,"",MAXIFS(Documents!$E$2:$E$619,Documents!$A$2:$A$619,$A175,Documents!$C$2:$C$619,"dive_prices")),"")</f>
        <v/>
      </c>
      <c r="L175">
        <f>IFERROR(IF(MAXIFS(Documents!$E$2:$E$619,Documents!$A$2:$A$619,$A175,Documents!$C$2:$C$619,"excursions")=0,"",MAXIFS(Documents!$E$2:$E$619,Documents!$A$2:$A$619,$A175,Documents!$C$2:$C$619,"excursions")),"")</f>
        <v/>
      </c>
      <c r="M175">
        <f>IFERROR(IF(MAXIFS(Documents!$E$2:$E$619,Documents!$A$2:$A$619,$A175,Documents!$C$2:$C$619,"kids")=0,"",MAXIFS(Documents!$E$2:$E$619,Documents!$A$2:$A$619,$A175,Documents!$C$2:$C$619,"kids")),"")</f>
        <v/>
      </c>
      <c r="N175">
        <f>IFERROR(IF(MAXIFS(Documents!$E$2:$E$619,Documents!$A$2:$A$619,$A175,Documents!$C$2:$C$619,"villa_plans")=0,"",MAXIFS(Documents!$E$2:$E$619,Documents!$A$2:$A$619,$A175,Documents!$C$2:$C$619,"villa_plans")),"")</f>
        <v/>
      </c>
      <c r="O175">
        <f>IFERROR(IF(MAXIFS(Documents!$E$2:$E$619,Documents!$A$2:$A$619,$A175,Documents!$C$2:$C$619,"all_inclusive")=0,"",MAXIFS(Documents!$E$2:$E$619,Documents!$A$2:$A$619,$A175,Documents!$C$2:$C$619,"all_inclusive")),"")</f>
        <v/>
      </c>
      <c r="P175">
        <f>IFERROR(IF(MAXIFS(Documents!$E$2:$E$619,Documents!$A$2:$A$619,$A175,Documents!$C$2:$C$619,"sustainability")=0,"",MAXIFS(Documents!$E$2:$E$619,Documents!$A$2:$A$619,$A175,Documents!$C$2:$C$619,"sustainability")),"")</f>
        <v/>
      </c>
      <c r="Q175">
        <f>IFERROR(IF(MAXIFS(Documents!$E$2:$E$619,Documents!$A$2:$A$619,$A175,Documents!$C$2:$C$619,"calendar")=0,"",MAXIFS(Documents!$E$2:$E$619,Documents!$A$2:$A$619,$A175,Documents!$C$2:$C$619,"calendar")),"")</f>
        <v/>
      </c>
      <c r="R175">
        <f>IFERROR(IF(MAXIFS(Documents!$E$2:$E$619,Documents!$A$2:$A$619,$A175,Documents!$C$2:$C$619,"brochure")=0,"",MAXIFS(Documents!$E$2:$E$619,Documents!$A$2:$A$619,$A175,Documents!$C$2:$C$619,"brochure")),"")</f>
        <v/>
      </c>
      <c r="S175">
        <f>IFERROR(IF(MAXIFS(Documents!$E$2:$E$619,Documents!$A$2:$A$619,$A175,Documents!$C$2:$C$619,"press_kit")=0,"",MAXIFS(Documents!$E$2:$E$619,Documents!$A$2:$A$619,$A175,Documents!$C$2:$C$619,"press_kit")),"")</f>
        <v/>
      </c>
      <c r="T175">
        <f>IFERROR(IF(MAXIFS(Documents!$E$2:$E$619,Documents!$A$2:$A$619,$A175,Documents!$C$2:$C$619,"other")=0,"",MAXIFS(Documents!$E$2:$E$619,Documents!$A$2:$A$619,$A175,Documents!$C$2:$C$619,"other")),"")</f>
        <v/>
      </c>
      <c r="U175">
        <f>IFERROR(IF(MAXIFS(Documents!$E$2:$E$619,Documents!$A$2:$A$619,$A175,Documents!$C$2:$C$619,"obsolete")=0,"",MAXIFS(Documents!$E$2:$E$619,Documents!$A$2:$A$619,$A175,Documents!$C$2:$C$619,"obsolete")),"")</f>
        <v/>
      </c>
      <c r="V175">
        <f>COUNTIFS(Documents!$A$2:$A$619,$A175)</f>
        <v/>
      </c>
      <c r="W175">
        <f>COUNTIFS(Documents!$A$2:$A$619,$A175,Documents!$R$2:$R$619,"current")</f>
        <v/>
      </c>
      <c r="X175">
        <f>HYPERLINK("https://sales.crownandchamparesorts.com/wp-content/uploads/2025/12/FactSheetVilamendhoo110125103126Ver260425.pdf","2025_FactSheetVilamendhoo110125103126Ver")</f>
        <v/>
      </c>
      <c r="Y175" t="inlineStr">
        <is>
          <t>wedding, events</t>
        </is>
      </c>
      <c r="Z175" t="inlineStr"/>
    </row>
    <row r="176">
      <c r="A176" t="n">
        <v>175</v>
      </c>
      <c r="B176" t="inlineStr">
        <is>
          <t>Villa Nautica Paradise Island</t>
        </is>
      </c>
      <c r="C176" t="inlineStr">
        <is>
          <t>not crawled</t>
        </is>
      </c>
      <c r="D176">
        <f>IFERROR(IF(MAXIFS(Documents!$E$2:$E$619,Documents!$A$2:$A$619,$A176,Documents!$C$2:$C$619,"factsheet")=0,"",MAXIFS(Documents!$E$2:$E$619,Documents!$A$2:$A$619,$A176,Documents!$C$2:$C$619,"factsheet")),"")</f>
        <v/>
      </c>
      <c r="E176">
        <f>IFERROR(IF(MAXIFS(Documents!$E$2:$E$619,Documents!$A$2:$A$619,$A176,Documents!$C$2:$C$619,"wedding")=0,"",MAXIFS(Documents!$E$2:$E$619,Documents!$A$2:$A$619,$A176,Documents!$C$2:$C$619,"wedding")),"")</f>
        <v/>
      </c>
      <c r="F176">
        <f>IFERROR(IF(MAXIFS(Documents!$E$2:$E$619,Documents!$A$2:$A$619,$A176,Documents!$C$2:$C$619,"events")=0,"",MAXIFS(Documents!$E$2:$E$619,Documents!$A$2:$A$619,$A176,Documents!$C$2:$C$619,"events")),"")</f>
        <v/>
      </c>
      <c r="G176">
        <f>IFERROR(IF(MAXIFS(Documents!$E$2:$E$619,Documents!$A$2:$A$619,$A176,Documents!$C$2:$C$619,"map")=0,"",MAXIFS(Documents!$E$2:$E$619,Documents!$A$2:$A$619,$A176,Documents!$C$2:$C$619,"map")),"")</f>
        <v/>
      </c>
      <c r="H176">
        <f>IFERROR(IF(MAXIFS(Documents!$E$2:$E$619,Documents!$A$2:$A$619,$A176,Documents!$C$2:$C$619,"dive_map")=0,"",MAXIFS(Documents!$E$2:$E$619,Documents!$A$2:$A$619,$A176,Documents!$C$2:$C$619,"dive_map")),"")</f>
        <v/>
      </c>
      <c r="I176">
        <f>IFERROR(IF(MAXIFS(Documents!$E$2:$E$619,Documents!$A$2:$A$619,$A176,Documents!$C$2:$C$619,"spa_menu")=0,"",MAXIFS(Documents!$E$2:$E$619,Documents!$A$2:$A$619,$A176,Documents!$C$2:$C$619,"spa_menu")),"")</f>
        <v/>
      </c>
      <c r="J176">
        <f>IFERROR(IF(MAXIFS(Documents!$E$2:$E$619,Documents!$A$2:$A$619,$A176,Documents!$C$2:$C$619,"dining_menu")=0,"",MAXIFS(Documents!$E$2:$E$619,Documents!$A$2:$A$619,$A176,Documents!$C$2:$C$619,"dining_menu")),"")</f>
        <v/>
      </c>
      <c r="K176">
        <f>IFERROR(IF(MAXIFS(Documents!$E$2:$E$619,Documents!$A$2:$A$619,$A176,Documents!$C$2:$C$619,"dive_prices")=0,"",MAXIFS(Documents!$E$2:$E$619,Documents!$A$2:$A$619,$A176,Documents!$C$2:$C$619,"dive_prices")),"")</f>
        <v/>
      </c>
      <c r="L176">
        <f>IFERROR(IF(MAXIFS(Documents!$E$2:$E$619,Documents!$A$2:$A$619,$A176,Documents!$C$2:$C$619,"excursions")=0,"",MAXIFS(Documents!$E$2:$E$619,Documents!$A$2:$A$619,$A176,Documents!$C$2:$C$619,"excursions")),"")</f>
        <v/>
      </c>
      <c r="M176">
        <f>IFERROR(IF(MAXIFS(Documents!$E$2:$E$619,Documents!$A$2:$A$619,$A176,Documents!$C$2:$C$619,"kids")=0,"",MAXIFS(Documents!$E$2:$E$619,Documents!$A$2:$A$619,$A176,Documents!$C$2:$C$619,"kids")),"")</f>
        <v/>
      </c>
      <c r="N176">
        <f>IFERROR(IF(MAXIFS(Documents!$E$2:$E$619,Documents!$A$2:$A$619,$A176,Documents!$C$2:$C$619,"villa_plans")=0,"",MAXIFS(Documents!$E$2:$E$619,Documents!$A$2:$A$619,$A176,Documents!$C$2:$C$619,"villa_plans")),"")</f>
        <v/>
      </c>
      <c r="O176">
        <f>IFERROR(IF(MAXIFS(Documents!$E$2:$E$619,Documents!$A$2:$A$619,$A176,Documents!$C$2:$C$619,"all_inclusive")=0,"",MAXIFS(Documents!$E$2:$E$619,Documents!$A$2:$A$619,$A176,Documents!$C$2:$C$619,"all_inclusive")),"")</f>
        <v/>
      </c>
      <c r="P176">
        <f>IFERROR(IF(MAXIFS(Documents!$E$2:$E$619,Documents!$A$2:$A$619,$A176,Documents!$C$2:$C$619,"sustainability")=0,"",MAXIFS(Documents!$E$2:$E$619,Documents!$A$2:$A$619,$A176,Documents!$C$2:$C$619,"sustainability")),"")</f>
        <v/>
      </c>
      <c r="Q176">
        <f>IFERROR(IF(MAXIFS(Documents!$E$2:$E$619,Documents!$A$2:$A$619,$A176,Documents!$C$2:$C$619,"calendar")=0,"",MAXIFS(Documents!$E$2:$E$619,Documents!$A$2:$A$619,$A176,Documents!$C$2:$C$619,"calendar")),"")</f>
        <v/>
      </c>
      <c r="R176">
        <f>IFERROR(IF(MAXIFS(Documents!$E$2:$E$619,Documents!$A$2:$A$619,$A176,Documents!$C$2:$C$619,"brochure")=0,"",MAXIFS(Documents!$E$2:$E$619,Documents!$A$2:$A$619,$A176,Documents!$C$2:$C$619,"brochure")),"")</f>
        <v/>
      </c>
      <c r="S176">
        <f>IFERROR(IF(MAXIFS(Documents!$E$2:$E$619,Documents!$A$2:$A$619,$A176,Documents!$C$2:$C$619,"press_kit")=0,"",MAXIFS(Documents!$E$2:$E$619,Documents!$A$2:$A$619,$A176,Documents!$C$2:$C$619,"press_kit")),"")</f>
        <v/>
      </c>
      <c r="T176">
        <f>IFERROR(IF(MAXIFS(Documents!$E$2:$E$619,Documents!$A$2:$A$619,$A176,Documents!$C$2:$C$619,"other")=0,"",MAXIFS(Documents!$E$2:$E$619,Documents!$A$2:$A$619,$A176,Documents!$C$2:$C$619,"other")),"")</f>
        <v/>
      </c>
      <c r="U176">
        <f>IFERROR(IF(MAXIFS(Documents!$E$2:$E$619,Documents!$A$2:$A$619,$A176,Documents!$C$2:$C$619,"obsolete")=0,"",MAXIFS(Documents!$E$2:$E$619,Documents!$A$2:$A$619,$A176,Documents!$C$2:$C$619,"obsolete")),"")</f>
        <v/>
      </c>
      <c r="V176">
        <f>COUNTIFS(Documents!$A$2:$A$619,$A176)</f>
        <v/>
      </c>
      <c r="W176">
        <f>COUNTIFS(Documents!$A$2:$A$619,$A176,Documents!$R$2:$R$619,"current")</f>
        <v/>
      </c>
      <c r="X176">
        <f>HYPERLINK("https://www.neoscapesmaldives.com/wp-content/uploads/Villa-Nautica-Factsheet-August.pdf","2025_Villa-Nautica-Factsheet-August.pdf")</f>
        <v/>
      </c>
      <c r="Y176" t="inlineStr">
        <is>
          <t>wedding, events</t>
        </is>
      </c>
      <c r="Z176" t="inlineStr">
        <is>
          <t>Paradise Island Resort</t>
        </is>
      </c>
    </row>
    <row r="177">
      <c r="A177" t="n">
        <v>176</v>
      </c>
      <c r="B177" t="inlineStr">
        <is>
          <t>Villa Park Sun Island</t>
        </is>
      </c>
      <c r="C177" t="inlineStr">
        <is>
          <t>not crawled</t>
        </is>
      </c>
      <c r="D177">
        <f>IFERROR(IF(MAXIFS(Documents!$E$2:$E$619,Documents!$A$2:$A$619,$A177,Documents!$C$2:$C$619,"factsheet")=0,"",MAXIFS(Documents!$E$2:$E$619,Documents!$A$2:$A$619,$A177,Documents!$C$2:$C$619,"factsheet")),"")</f>
        <v/>
      </c>
      <c r="E177">
        <f>IFERROR(IF(MAXIFS(Documents!$E$2:$E$619,Documents!$A$2:$A$619,$A177,Documents!$C$2:$C$619,"wedding")=0,"",MAXIFS(Documents!$E$2:$E$619,Documents!$A$2:$A$619,$A177,Documents!$C$2:$C$619,"wedding")),"")</f>
        <v/>
      </c>
      <c r="F177">
        <f>IFERROR(IF(MAXIFS(Documents!$E$2:$E$619,Documents!$A$2:$A$619,$A177,Documents!$C$2:$C$619,"events")=0,"",MAXIFS(Documents!$E$2:$E$619,Documents!$A$2:$A$619,$A177,Documents!$C$2:$C$619,"events")),"")</f>
        <v/>
      </c>
      <c r="G177">
        <f>IFERROR(IF(MAXIFS(Documents!$E$2:$E$619,Documents!$A$2:$A$619,$A177,Documents!$C$2:$C$619,"map")=0,"",MAXIFS(Documents!$E$2:$E$619,Documents!$A$2:$A$619,$A177,Documents!$C$2:$C$619,"map")),"")</f>
        <v/>
      </c>
      <c r="H177">
        <f>IFERROR(IF(MAXIFS(Documents!$E$2:$E$619,Documents!$A$2:$A$619,$A177,Documents!$C$2:$C$619,"dive_map")=0,"",MAXIFS(Documents!$E$2:$E$619,Documents!$A$2:$A$619,$A177,Documents!$C$2:$C$619,"dive_map")),"")</f>
        <v/>
      </c>
      <c r="I177">
        <f>IFERROR(IF(MAXIFS(Documents!$E$2:$E$619,Documents!$A$2:$A$619,$A177,Documents!$C$2:$C$619,"spa_menu")=0,"",MAXIFS(Documents!$E$2:$E$619,Documents!$A$2:$A$619,$A177,Documents!$C$2:$C$619,"spa_menu")),"")</f>
        <v/>
      </c>
      <c r="J177">
        <f>IFERROR(IF(MAXIFS(Documents!$E$2:$E$619,Documents!$A$2:$A$619,$A177,Documents!$C$2:$C$619,"dining_menu")=0,"",MAXIFS(Documents!$E$2:$E$619,Documents!$A$2:$A$619,$A177,Documents!$C$2:$C$619,"dining_menu")),"")</f>
        <v/>
      </c>
      <c r="K177">
        <f>IFERROR(IF(MAXIFS(Documents!$E$2:$E$619,Documents!$A$2:$A$619,$A177,Documents!$C$2:$C$619,"dive_prices")=0,"",MAXIFS(Documents!$E$2:$E$619,Documents!$A$2:$A$619,$A177,Documents!$C$2:$C$619,"dive_prices")),"")</f>
        <v/>
      </c>
      <c r="L177">
        <f>IFERROR(IF(MAXIFS(Documents!$E$2:$E$619,Documents!$A$2:$A$619,$A177,Documents!$C$2:$C$619,"excursions")=0,"",MAXIFS(Documents!$E$2:$E$619,Documents!$A$2:$A$619,$A177,Documents!$C$2:$C$619,"excursions")),"")</f>
        <v/>
      </c>
      <c r="M177">
        <f>IFERROR(IF(MAXIFS(Documents!$E$2:$E$619,Documents!$A$2:$A$619,$A177,Documents!$C$2:$C$619,"kids")=0,"",MAXIFS(Documents!$E$2:$E$619,Documents!$A$2:$A$619,$A177,Documents!$C$2:$C$619,"kids")),"")</f>
        <v/>
      </c>
      <c r="N177">
        <f>IFERROR(IF(MAXIFS(Documents!$E$2:$E$619,Documents!$A$2:$A$619,$A177,Documents!$C$2:$C$619,"villa_plans")=0,"",MAXIFS(Documents!$E$2:$E$619,Documents!$A$2:$A$619,$A177,Documents!$C$2:$C$619,"villa_plans")),"")</f>
        <v/>
      </c>
      <c r="O177">
        <f>IFERROR(IF(MAXIFS(Documents!$E$2:$E$619,Documents!$A$2:$A$619,$A177,Documents!$C$2:$C$619,"all_inclusive")=0,"",MAXIFS(Documents!$E$2:$E$619,Documents!$A$2:$A$619,$A177,Documents!$C$2:$C$619,"all_inclusive")),"")</f>
        <v/>
      </c>
      <c r="P177">
        <f>IFERROR(IF(MAXIFS(Documents!$E$2:$E$619,Documents!$A$2:$A$619,$A177,Documents!$C$2:$C$619,"sustainability")=0,"",MAXIFS(Documents!$E$2:$E$619,Documents!$A$2:$A$619,$A177,Documents!$C$2:$C$619,"sustainability")),"")</f>
        <v/>
      </c>
      <c r="Q177">
        <f>IFERROR(IF(MAXIFS(Documents!$E$2:$E$619,Documents!$A$2:$A$619,$A177,Documents!$C$2:$C$619,"calendar")=0,"",MAXIFS(Documents!$E$2:$E$619,Documents!$A$2:$A$619,$A177,Documents!$C$2:$C$619,"calendar")),"")</f>
        <v/>
      </c>
      <c r="R177">
        <f>IFERROR(IF(MAXIFS(Documents!$E$2:$E$619,Documents!$A$2:$A$619,$A177,Documents!$C$2:$C$619,"brochure")=0,"",MAXIFS(Documents!$E$2:$E$619,Documents!$A$2:$A$619,$A177,Documents!$C$2:$C$619,"brochure")),"")</f>
        <v/>
      </c>
      <c r="S177">
        <f>IFERROR(IF(MAXIFS(Documents!$E$2:$E$619,Documents!$A$2:$A$619,$A177,Documents!$C$2:$C$619,"press_kit")=0,"",MAXIFS(Documents!$E$2:$E$619,Documents!$A$2:$A$619,$A177,Documents!$C$2:$C$619,"press_kit")),"")</f>
        <v/>
      </c>
      <c r="T177">
        <f>IFERROR(IF(MAXIFS(Documents!$E$2:$E$619,Documents!$A$2:$A$619,$A177,Documents!$C$2:$C$619,"other")=0,"",MAXIFS(Documents!$E$2:$E$619,Documents!$A$2:$A$619,$A177,Documents!$C$2:$C$619,"other")),"")</f>
        <v/>
      </c>
      <c r="U177">
        <f>IFERROR(IF(MAXIFS(Documents!$E$2:$E$619,Documents!$A$2:$A$619,$A177,Documents!$C$2:$C$619,"obsolete")=0,"",MAXIFS(Documents!$E$2:$E$619,Documents!$A$2:$A$619,$A177,Documents!$C$2:$C$619,"obsolete")),"")</f>
        <v/>
      </c>
      <c r="V177">
        <f>COUNTIFS(Documents!$A$2:$A$619,$A177)</f>
        <v/>
      </c>
      <c r="W177">
        <f>COUNTIFS(Documents!$A$2:$A$619,$A177,Documents!$R$2:$R$619,"current")</f>
        <v/>
      </c>
      <c r="X177" t="inlineStr"/>
      <c r="Y177" t="inlineStr">
        <is>
          <t>factsheet, wedding, events</t>
        </is>
      </c>
      <c r="Z177" t="inlineStr"/>
    </row>
    <row r="178">
      <c r="A178" t="n">
        <v>177</v>
      </c>
      <c r="B178" t="inlineStr">
        <is>
          <t>Royal Island Resort and Spa</t>
        </is>
      </c>
      <c r="C178" t="inlineStr">
        <is>
          <t>not crawled</t>
        </is>
      </c>
      <c r="D178">
        <f>IFERROR(IF(MAXIFS(Documents!$E$2:$E$619,Documents!$A$2:$A$619,$A178,Documents!$C$2:$C$619,"factsheet")=0,"",MAXIFS(Documents!$E$2:$E$619,Documents!$A$2:$A$619,$A178,Documents!$C$2:$C$619,"factsheet")),"")</f>
        <v/>
      </c>
      <c r="E178">
        <f>IFERROR(IF(MAXIFS(Documents!$E$2:$E$619,Documents!$A$2:$A$619,$A178,Documents!$C$2:$C$619,"wedding")=0,"",MAXIFS(Documents!$E$2:$E$619,Documents!$A$2:$A$619,$A178,Documents!$C$2:$C$619,"wedding")),"")</f>
        <v/>
      </c>
      <c r="F178">
        <f>IFERROR(IF(MAXIFS(Documents!$E$2:$E$619,Documents!$A$2:$A$619,$A178,Documents!$C$2:$C$619,"events")=0,"",MAXIFS(Documents!$E$2:$E$619,Documents!$A$2:$A$619,$A178,Documents!$C$2:$C$619,"events")),"")</f>
        <v/>
      </c>
      <c r="G178">
        <f>IFERROR(IF(MAXIFS(Documents!$E$2:$E$619,Documents!$A$2:$A$619,$A178,Documents!$C$2:$C$619,"map")=0,"",MAXIFS(Documents!$E$2:$E$619,Documents!$A$2:$A$619,$A178,Documents!$C$2:$C$619,"map")),"")</f>
        <v/>
      </c>
      <c r="H178">
        <f>IFERROR(IF(MAXIFS(Documents!$E$2:$E$619,Documents!$A$2:$A$619,$A178,Documents!$C$2:$C$619,"dive_map")=0,"",MAXIFS(Documents!$E$2:$E$619,Documents!$A$2:$A$619,$A178,Documents!$C$2:$C$619,"dive_map")),"")</f>
        <v/>
      </c>
      <c r="I178">
        <f>IFERROR(IF(MAXIFS(Documents!$E$2:$E$619,Documents!$A$2:$A$619,$A178,Documents!$C$2:$C$619,"spa_menu")=0,"",MAXIFS(Documents!$E$2:$E$619,Documents!$A$2:$A$619,$A178,Documents!$C$2:$C$619,"spa_menu")),"")</f>
        <v/>
      </c>
      <c r="J178">
        <f>IFERROR(IF(MAXIFS(Documents!$E$2:$E$619,Documents!$A$2:$A$619,$A178,Documents!$C$2:$C$619,"dining_menu")=0,"",MAXIFS(Documents!$E$2:$E$619,Documents!$A$2:$A$619,$A178,Documents!$C$2:$C$619,"dining_menu")),"")</f>
        <v/>
      </c>
      <c r="K178">
        <f>IFERROR(IF(MAXIFS(Documents!$E$2:$E$619,Documents!$A$2:$A$619,$A178,Documents!$C$2:$C$619,"dive_prices")=0,"",MAXIFS(Documents!$E$2:$E$619,Documents!$A$2:$A$619,$A178,Documents!$C$2:$C$619,"dive_prices")),"")</f>
        <v/>
      </c>
      <c r="L178">
        <f>IFERROR(IF(MAXIFS(Documents!$E$2:$E$619,Documents!$A$2:$A$619,$A178,Documents!$C$2:$C$619,"excursions")=0,"",MAXIFS(Documents!$E$2:$E$619,Documents!$A$2:$A$619,$A178,Documents!$C$2:$C$619,"excursions")),"")</f>
        <v/>
      </c>
      <c r="M178">
        <f>IFERROR(IF(MAXIFS(Documents!$E$2:$E$619,Documents!$A$2:$A$619,$A178,Documents!$C$2:$C$619,"kids")=0,"",MAXIFS(Documents!$E$2:$E$619,Documents!$A$2:$A$619,$A178,Documents!$C$2:$C$619,"kids")),"")</f>
        <v/>
      </c>
      <c r="N178">
        <f>IFERROR(IF(MAXIFS(Documents!$E$2:$E$619,Documents!$A$2:$A$619,$A178,Documents!$C$2:$C$619,"villa_plans")=0,"",MAXIFS(Documents!$E$2:$E$619,Documents!$A$2:$A$619,$A178,Documents!$C$2:$C$619,"villa_plans")),"")</f>
        <v/>
      </c>
      <c r="O178">
        <f>IFERROR(IF(MAXIFS(Documents!$E$2:$E$619,Documents!$A$2:$A$619,$A178,Documents!$C$2:$C$619,"all_inclusive")=0,"",MAXIFS(Documents!$E$2:$E$619,Documents!$A$2:$A$619,$A178,Documents!$C$2:$C$619,"all_inclusive")),"")</f>
        <v/>
      </c>
      <c r="P178">
        <f>IFERROR(IF(MAXIFS(Documents!$E$2:$E$619,Documents!$A$2:$A$619,$A178,Documents!$C$2:$C$619,"sustainability")=0,"",MAXIFS(Documents!$E$2:$E$619,Documents!$A$2:$A$619,$A178,Documents!$C$2:$C$619,"sustainability")),"")</f>
        <v/>
      </c>
      <c r="Q178">
        <f>IFERROR(IF(MAXIFS(Documents!$E$2:$E$619,Documents!$A$2:$A$619,$A178,Documents!$C$2:$C$619,"calendar")=0,"",MAXIFS(Documents!$E$2:$E$619,Documents!$A$2:$A$619,$A178,Documents!$C$2:$C$619,"calendar")),"")</f>
        <v/>
      </c>
      <c r="R178">
        <f>IFERROR(IF(MAXIFS(Documents!$E$2:$E$619,Documents!$A$2:$A$619,$A178,Documents!$C$2:$C$619,"brochure")=0,"",MAXIFS(Documents!$E$2:$E$619,Documents!$A$2:$A$619,$A178,Documents!$C$2:$C$619,"brochure")),"")</f>
        <v/>
      </c>
      <c r="S178">
        <f>IFERROR(IF(MAXIFS(Documents!$E$2:$E$619,Documents!$A$2:$A$619,$A178,Documents!$C$2:$C$619,"press_kit")=0,"",MAXIFS(Documents!$E$2:$E$619,Documents!$A$2:$A$619,$A178,Documents!$C$2:$C$619,"press_kit")),"")</f>
        <v/>
      </c>
      <c r="T178">
        <f>IFERROR(IF(MAXIFS(Documents!$E$2:$E$619,Documents!$A$2:$A$619,$A178,Documents!$C$2:$C$619,"other")=0,"",MAXIFS(Documents!$E$2:$E$619,Documents!$A$2:$A$619,$A178,Documents!$C$2:$C$619,"other")),"")</f>
        <v/>
      </c>
      <c r="U178">
        <f>IFERROR(IF(MAXIFS(Documents!$E$2:$E$619,Documents!$A$2:$A$619,$A178,Documents!$C$2:$C$619,"obsolete")=0,"",MAXIFS(Documents!$E$2:$E$619,Documents!$A$2:$A$619,$A178,Documents!$C$2:$C$619,"obsolete")),"")</f>
        <v/>
      </c>
      <c r="V178">
        <f>COUNTIFS(Documents!$A$2:$A$619,$A178)</f>
        <v/>
      </c>
      <c r="W178">
        <f>COUNTIFS(Documents!$A$2:$A$619,$A178,Documents!$R$2:$R$619,"current")</f>
        <v/>
      </c>
      <c r="X178" t="inlineStr"/>
      <c r="Y178" t="inlineStr">
        <is>
          <t>factsheet, wedding, events</t>
        </is>
      </c>
      <c r="Z178" t="inlineStr"/>
    </row>
    <row r="179">
      <c r="A179" t="n">
        <v>178</v>
      </c>
      <c r="B179" t="inlineStr">
        <is>
          <t>Diamonds Athuruga Beach &amp; Water Villas</t>
        </is>
      </c>
      <c r="C179" t="inlineStr">
        <is>
          <t>not crawled</t>
        </is>
      </c>
      <c r="D179">
        <f>IFERROR(IF(MAXIFS(Documents!$E$2:$E$619,Documents!$A$2:$A$619,$A179,Documents!$C$2:$C$619,"factsheet")=0,"",MAXIFS(Documents!$E$2:$E$619,Documents!$A$2:$A$619,$A179,Documents!$C$2:$C$619,"factsheet")),"")</f>
        <v/>
      </c>
      <c r="E179">
        <f>IFERROR(IF(MAXIFS(Documents!$E$2:$E$619,Documents!$A$2:$A$619,$A179,Documents!$C$2:$C$619,"wedding")=0,"",MAXIFS(Documents!$E$2:$E$619,Documents!$A$2:$A$619,$A179,Documents!$C$2:$C$619,"wedding")),"")</f>
        <v/>
      </c>
      <c r="F179">
        <f>IFERROR(IF(MAXIFS(Documents!$E$2:$E$619,Documents!$A$2:$A$619,$A179,Documents!$C$2:$C$619,"events")=0,"",MAXIFS(Documents!$E$2:$E$619,Documents!$A$2:$A$619,$A179,Documents!$C$2:$C$619,"events")),"")</f>
        <v/>
      </c>
      <c r="G179">
        <f>IFERROR(IF(MAXIFS(Documents!$E$2:$E$619,Documents!$A$2:$A$619,$A179,Documents!$C$2:$C$619,"map")=0,"",MAXIFS(Documents!$E$2:$E$619,Documents!$A$2:$A$619,$A179,Documents!$C$2:$C$619,"map")),"")</f>
        <v/>
      </c>
      <c r="H179">
        <f>IFERROR(IF(MAXIFS(Documents!$E$2:$E$619,Documents!$A$2:$A$619,$A179,Documents!$C$2:$C$619,"dive_map")=0,"",MAXIFS(Documents!$E$2:$E$619,Documents!$A$2:$A$619,$A179,Documents!$C$2:$C$619,"dive_map")),"")</f>
        <v/>
      </c>
      <c r="I179">
        <f>IFERROR(IF(MAXIFS(Documents!$E$2:$E$619,Documents!$A$2:$A$619,$A179,Documents!$C$2:$C$619,"spa_menu")=0,"",MAXIFS(Documents!$E$2:$E$619,Documents!$A$2:$A$619,$A179,Documents!$C$2:$C$619,"spa_menu")),"")</f>
        <v/>
      </c>
      <c r="J179">
        <f>IFERROR(IF(MAXIFS(Documents!$E$2:$E$619,Documents!$A$2:$A$619,$A179,Documents!$C$2:$C$619,"dining_menu")=0,"",MAXIFS(Documents!$E$2:$E$619,Documents!$A$2:$A$619,$A179,Documents!$C$2:$C$619,"dining_menu")),"")</f>
        <v/>
      </c>
      <c r="K179">
        <f>IFERROR(IF(MAXIFS(Documents!$E$2:$E$619,Documents!$A$2:$A$619,$A179,Documents!$C$2:$C$619,"dive_prices")=0,"",MAXIFS(Documents!$E$2:$E$619,Documents!$A$2:$A$619,$A179,Documents!$C$2:$C$619,"dive_prices")),"")</f>
        <v/>
      </c>
      <c r="L179">
        <f>IFERROR(IF(MAXIFS(Documents!$E$2:$E$619,Documents!$A$2:$A$619,$A179,Documents!$C$2:$C$619,"excursions")=0,"",MAXIFS(Documents!$E$2:$E$619,Documents!$A$2:$A$619,$A179,Documents!$C$2:$C$619,"excursions")),"")</f>
        <v/>
      </c>
      <c r="M179">
        <f>IFERROR(IF(MAXIFS(Documents!$E$2:$E$619,Documents!$A$2:$A$619,$A179,Documents!$C$2:$C$619,"kids")=0,"",MAXIFS(Documents!$E$2:$E$619,Documents!$A$2:$A$619,$A179,Documents!$C$2:$C$619,"kids")),"")</f>
        <v/>
      </c>
      <c r="N179">
        <f>IFERROR(IF(MAXIFS(Documents!$E$2:$E$619,Documents!$A$2:$A$619,$A179,Documents!$C$2:$C$619,"villa_plans")=0,"",MAXIFS(Documents!$E$2:$E$619,Documents!$A$2:$A$619,$A179,Documents!$C$2:$C$619,"villa_plans")),"")</f>
        <v/>
      </c>
      <c r="O179">
        <f>IFERROR(IF(MAXIFS(Documents!$E$2:$E$619,Documents!$A$2:$A$619,$A179,Documents!$C$2:$C$619,"all_inclusive")=0,"",MAXIFS(Documents!$E$2:$E$619,Documents!$A$2:$A$619,$A179,Documents!$C$2:$C$619,"all_inclusive")),"")</f>
        <v/>
      </c>
      <c r="P179">
        <f>IFERROR(IF(MAXIFS(Documents!$E$2:$E$619,Documents!$A$2:$A$619,$A179,Documents!$C$2:$C$619,"sustainability")=0,"",MAXIFS(Documents!$E$2:$E$619,Documents!$A$2:$A$619,$A179,Documents!$C$2:$C$619,"sustainability")),"")</f>
        <v/>
      </c>
      <c r="Q179">
        <f>IFERROR(IF(MAXIFS(Documents!$E$2:$E$619,Documents!$A$2:$A$619,$A179,Documents!$C$2:$C$619,"calendar")=0,"",MAXIFS(Documents!$E$2:$E$619,Documents!$A$2:$A$619,$A179,Documents!$C$2:$C$619,"calendar")),"")</f>
        <v/>
      </c>
      <c r="R179">
        <f>IFERROR(IF(MAXIFS(Documents!$E$2:$E$619,Documents!$A$2:$A$619,$A179,Documents!$C$2:$C$619,"brochure")=0,"",MAXIFS(Documents!$E$2:$E$619,Documents!$A$2:$A$619,$A179,Documents!$C$2:$C$619,"brochure")),"")</f>
        <v/>
      </c>
      <c r="S179">
        <f>IFERROR(IF(MAXIFS(Documents!$E$2:$E$619,Documents!$A$2:$A$619,$A179,Documents!$C$2:$C$619,"press_kit")=0,"",MAXIFS(Documents!$E$2:$E$619,Documents!$A$2:$A$619,$A179,Documents!$C$2:$C$619,"press_kit")),"")</f>
        <v/>
      </c>
      <c r="T179">
        <f>IFERROR(IF(MAXIFS(Documents!$E$2:$E$619,Documents!$A$2:$A$619,$A179,Documents!$C$2:$C$619,"other")=0,"",MAXIFS(Documents!$E$2:$E$619,Documents!$A$2:$A$619,$A179,Documents!$C$2:$C$619,"other")),"")</f>
        <v/>
      </c>
      <c r="U179">
        <f>IFERROR(IF(MAXIFS(Documents!$E$2:$E$619,Documents!$A$2:$A$619,$A179,Documents!$C$2:$C$619,"obsolete")=0,"",MAXIFS(Documents!$E$2:$E$619,Documents!$A$2:$A$619,$A179,Documents!$C$2:$C$619,"obsolete")),"")</f>
        <v/>
      </c>
      <c r="V179">
        <f>COUNTIFS(Documents!$A$2:$A$619,$A179)</f>
        <v/>
      </c>
      <c r="W179">
        <f>COUNTIFS(Documents!$A$2:$A$619,$A179,Documents!$R$2:$R$619,"current")</f>
        <v/>
      </c>
      <c r="X179">
        <f>HYPERLINK("https://neoscapesmaldives.com/wp-content/uploads/Diamonds-Athuruga-Fact-Sheet-2019.pdf","2019_Diamonds-Athuruga-Fact-Sheet-2019.p")</f>
        <v/>
      </c>
      <c r="Y179" t="inlineStr">
        <is>
          <t>wedding, events</t>
        </is>
      </c>
      <c r="Z179" t="inlineStr"/>
    </row>
    <row r="180">
      <c r="A180" t="n">
        <v>179</v>
      </c>
      <c r="B180" t="inlineStr">
        <is>
          <t>Siyam World Maldives</t>
        </is>
      </c>
      <c r="C180" t="inlineStr">
        <is>
          <t>not crawled</t>
        </is>
      </c>
      <c r="D180">
        <f>IFERROR(IF(MAXIFS(Documents!$E$2:$E$619,Documents!$A$2:$A$619,$A180,Documents!$C$2:$C$619,"factsheet")=0,"",MAXIFS(Documents!$E$2:$E$619,Documents!$A$2:$A$619,$A180,Documents!$C$2:$C$619,"factsheet")),"")</f>
        <v/>
      </c>
      <c r="E180">
        <f>IFERROR(IF(MAXIFS(Documents!$E$2:$E$619,Documents!$A$2:$A$619,$A180,Documents!$C$2:$C$619,"wedding")=0,"",MAXIFS(Documents!$E$2:$E$619,Documents!$A$2:$A$619,$A180,Documents!$C$2:$C$619,"wedding")),"")</f>
        <v/>
      </c>
      <c r="F180">
        <f>IFERROR(IF(MAXIFS(Documents!$E$2:$E$619,Documents!$A$2:$A$619,$A180,Documents!$C$2:$C$619,"events")=0,"",MAXIFS(Documents!$E$2:$E$619,Documents!$A$2:$A$619,$A180,Documents!$C$2:$C$619,"events")),"")</f>
        <v/>
      </c>
      <c r="G180">
        <f>IFERROR(IF(MAXIFS(Documents!$E$2:$E$619,Documents!$A$2:$A$619,$A180,Documents!$C$2:$C$619,"map")=0,"",MAXIFS(Documents!$E$2:$E$619,Documents!$A$2:$A$619,$A180,Documents!$C$2:$C$619,"map")),"")</f>
        <v/>
      </c>
      <c r="H180">
        <f>IFERROR(IF(MAXIFS(Documents!$E$2:$E$619,Documents!$A$2:$A$619,$A180,Documents!$C$2:$C$619,"dive_map")=0,"",MAXIFS(Documents!$E$2:$E$619,Documents!$A$2:$A$619,$A180,Documents!$C$2:$C$619,"dive_map")),"")</f>
        <v/>
      </c>
      <c r="I180">
        <f>IFERROR(IF(MAXIFS(Documents!$E$2:$E$619,Documents!$A$2:$A$619,$A180,Documents!$C$2:$C$619,"spa_menu")=0,"",MAXIFS(Documents!$E$2:$E$619,Documents!$A$2:$A$619,$A180,Documents!$C$2:$C$619,"spa_menu")),"")</f>
        <v/>
      </c>
      <c r="J180">
        <f>IFERROR(IF(MAXIFS(Documents!$E$2:$E$619,Documents!$A$2:$A$619,$A180,Documents!$C$2:$C$619,"dining_menu")=0,"",MAXIFS(Documents!$E$2:$E$619,Documents!$A$2:$A$619,$A180,Documents!$C$2:$C$619,"dining_menu")),"")</f>
        <v/>
      </c>
      <c r="K180">
        <f>IFERROR(IF(MAXIFS(Documents!$E$2:$E$619,Documents!$A$2:$A$619,$A180,Documents!$C$2:$C$619,"dive_prices")=0,"",MAXIFS(Documents!$E$2:$E$619,Documents!$A$2:$A$619,$A180,Documents!$C$2:$C$619,"dive_prices")),"")</f>
        <v/>
      </c>
      <c r="L180">
        <f>IFERROR(IF(MAXIFS(Documents!$E$2:$E$619,Documents!$A$2:$A$619,$A180,Documents!$C$2:$C$619,"excursions")=0,"",MAXIFS(Documents!$E$2:$E$619,Documents!$A$2:$A$619,$A180,Documents!$C$2:$C$619,"excursions")),"")</f>
        <v/>
      </c>
      <c r="M180">
        <f>IFERROR(IF(MAXIFS(Documents!$E$2:$E$619,Documents!$A$2:$A$619,$A180,Documents!$C$2:$C$619,"kids")=0,"",MAXIFS(Documents!$E$2:$E$619,Documents!$A$2:$A$619,$A180,Documents!$C$2:$C$619,"kids")),"")</f>
        <v/>
      </c>
      <c r="N180">
        <f>IFERROR(IF(MAXIFS(Documents!$E$2:$E$619,Documents!$A$2:$A$619,$A180,Documents!$C$2:$C$619,"villa_plans")=0,"",MAXIFS(Documents!$E$2:$E$619,Documents!$A$2:$A$619,$A180,Documents!$C$2:$C$619,"villa_plans")),"")</f>
        <v/>
      </c>
      <c r="O180">
        <f>IFERROR(IF(MAXIFS(Documents!$E$2:$E$619,Documents!$A$2:$A$619,$A180,Documents!$C$2:$C$619,"all_inclusive")=0,"",MAXIFS(Documents!$E$2:$E$619,Documents!$A$2:$A$619,$A180,Documents!$C$2:$C$619,"all_inclusive")),"")</f>
        <v/>
      </c>
      <c r="P180">
        <f>IFERROR(IF(MAXIFS(Documents!$E$2:$E$619,Documents!$A$2:$A$619,$A180,Documents!$C$2:$C$619,"sustainability")=0,"",MAXIFS(Documents!$E$2:$E$619,Documents!$A$2:$A$619,$A180,Documents!$C$2:$C$619,"sustainability")),"")</f>
        <v/>
      </c>
      <c r="Q180">
        <f>IFERROR(IF(MAXIFS(Documents!$E$2:$E$619,Documents!$A$2:$A$619,$A180,Documents!$C$2:$C$619,"calendar")=0,"",MAXIFS(Documents!$E$2:$E$619,Documents!$A$2:$A$619,$A180,Documents!$C$2:$C$619,"calendar")),"")</f>
        <v/>
      </c>
      <c r="R180">
        <f>IFERROR(IF(MAXIFS(Documents!$E$2:$E$619,Documents!$A$2:$A$619,$A180,Documents!$C$2:$C$619,"brochure")=0,"",MAXIFS(Documents!$E$2:$E$619,Documents!$A$2:$A$619,$A180,Documents!$C$2:$C$619,"brochure")),"")</f>
        <v/>
      </c>
      <c r="S180">
        <f>IFERROR(IF(MAXIFS(Documents!$E$2:$E$619,Documents!$A$2:$A$619,$A180,Documents!$C$2:$C$619,"press_kit")=0,"",MAXIFS(Documents!$E$2:$E$619,Documents!$A$2:$A$619,$A180,Documents!$C$2:$C$619,"press_kit")),"")</f>
        <v/>
      </c>
      <c r="T180">
        <f>IFERROR(IF(MAXIFS(Documents!$E$2:$E$619,Documents!$A$2:$A$619,$A180,Documents!$C$2:$C$619,"other")=0,"",MAXIFS(Documents!$E$2:$E$619,Documents!$A$2:$A$619,$A180,Documents!$C$2:$C$619,"other")),"")</f>
        <v/>
      </c>
      <c r="U180">
        <f>IFERROR(IF(MAXIFS(Documents!$E$2:$E$619,Documents!$A$2:$A$619,$A180,Documents!$C$2:$C$619,"obsolete")=0,"",MAXIFS(Documents!$E$2:$E$619,Documents!$A$2:$A$619,$A180,Documents!$C$2:$C$619,"obsolete")),"")</f>
        <v/>
      </c>
      <c r="V180">
        <f>COUNTIFS(Documents!$A$2:$A$619,$A180)</f>
        <v/>
      </c>
      <c r="W180">
        <f>COUNTIFS(Documents!$A$2:$A$619,$A180,Documents!$R$2:$R$619,"current")</f>
        <v/>
      </c>
      <c r="X180">
        <f>HYPERLINK("https://www.neoscapesmaldives.com/wp-content/uploads/Siyam-World-Factsheet_02-Nov-2024-31-Oct-25.pdf","2024_Siyam-World-Factsheet_02-Nov-2024-3")</f>
        <v/>
      </c>
      <c r="Y180" t="inlineStr">
        <is>
          <t>wedding, events</t>
        </is>
      </c>
      <c r="Z180" t="inlineStr"/>
    </row>
    <row r="181">
      <c r="A181" t="n">
        <v>180</v>
      </c>
      <c r="B181" t="inlineStr">
        <is>
          <t>Lux* South Ari Atoll, Maldives</t>
        </is>
      </c>
      <c r="C181" t="inlineStr">
        <is>
          <t>not crawled</t>
        </is>
      </c>
      <c r="D181">
        <f>IFERROR(IF(MAXIFS(Documents!$E$2:$E$619,Documents!$A$2:$A$619,$A181,Documents!$C$2:$C$619,"factsheet")=0,"",MAXIFS(Documents!$E$2:$E$619,Documents!$A$2:$A$619,$A181,Documents!$C$2:$C$619,"factsheet")),"")</f>
        <v/>
      </c>
      <c r="E181">
        <f>IFERROR(IF(MAXIFS(Documents!$E$2:$E$619,Documents!$A$2:$A$619,$A181,Documents!$C$2:$C$619,"wedding")=0,"",MAXIFS(Documents!$E$2:$E$619,Documents!$A$2:$A$619,$A181,Documents!$C$2:$C$619,"wedding")),"")</f>
        <v/>
      </c>
      <c r="F181">
        <f>IFERROR(IF(MAXIFS(Documents!$E$2:$E$619,Documents!$A$2:$A$619,$A181,Documents!$C$2:$C$619,"events")=0,"",MAXIFS(Documents!$E$2:$E$619,Documents!$A$2:$A$619,$A181,Documents!$C$2:$C$619,"events")),"")</f>
        <v/>
      </c>
      <c r="G181">
        <f>IFERROR(IF(MAXIFS(Documents!$E$2:$E$619,Documents!$A$2:$A$619,$A181,Documents!$C$2:$C$619,"map")=0,"",MAXIFS(Documents!$E$2:$E$619,Documents!$A$2:$A$619,$A181,Documents!$C$2:$C$619,"map")),"")</f>
        <v/>
      </c>
      <c r="H181">
        <f>IFERROR(IF(MAXIFS(Documents!$E$2:$E$619,Documents!$A$2:$A$619,$A181,Documents!$C$2:$C$619,"dive_map")=0,"",MAXIFS(Documents!$E$2:$E$619,Documents!$A$2:$A$619,$A181,Documents!$C$2:$C$619,"dive_map")),"")</f>
        <v/>
      </c>
      <c r="I181">
        <f>IFERROR(IF(MAXIFS(Documents!$E$2:$E$619,Documents!$A$2:$A$619,$A181,Documents!$C$2:$C$619,"spa_menu")=0,"",MAXIFS(Documents!$E$2:$E$619,Documents!$A$2:$A$619,$A181,Documents!$C$2:$C$619,"spa_menu")),"")</f>
        <v/>
      </c>
      <c r="J181">
        <f>IFERROR(IF(MAXIFS(Documents!$E$2:$E$619,Documents!$A$2:$A$619,$A181,Documents!$C$2:$C$619,"dining_menu")=0,"",MAXIFS(Documents!$E$2:$E$619,Documents!$A$2:$A$619,$A181,Documents!$C$2:$C$619,"dining_menu")),"")</f>
        <v/>
      </c>
      <c r="K181">
        <f>IFERROR(IF(MAXIFS(Documents!$E$2:$E$619,Documents!$A$2:$A$619,$A181,Documents!$C$2:$C$619,"dive_prices")=0,"",MAXIFS(Documents!$E$2:$E$619,Documents!$A$2:$A$619,$A181,Documents!$C$2:$C$619,"dive_prices")),"")</f>
        <v/>
      </c>
      <c r="L181">
        <f>IFERROR(IF(MAXIFS(Documents!$E$2:$E$619,Documents!$A$2:$A$619,$A181,Documents!$C$2:$C$619,"excursions")=0,"",MAXIFS(Documents!$E$2:$E$619,Documents!$A$2:$A$619,$A181,Documents!$C$2:$C$619,"excursions")),"")</f>
        <v/>
      </c>
      <c r="M181">
        <f>IFERROR(IF(MAXIFS(Documents!$E$2:$E$619,Documents!$A$2:$A$619,$A181,Documents!$C$2:$C$619,"kids")=0,"",MAXIFS(Documents!$E$2:$E$619,Documents!$A$2:$A$619,$A181,Documents!$C$2:$C$619,"kids")),"")</f>
        <v/>
      </c>
      <c r="N181">
        <f>IFERROR(IF(MAXIFS(Documents!$E$2:$E$619,Documents!$A$2:$A$619,$A181,Documents!$C$2:$C$619,"villa_plans")=0,"",MAXIFS(Documents!$E$2:$E$619,Documents!$A$2:$A$619,$A181,Documents!$C$2:$C$619,"villa_plans")),"")</f>
        <v/>
      </c>
      <c r="O181">
        <f>IFERROR(IF(MAXIFS(Documents!$E$2:$E$619,Documents!$A$2:$A$619,$A181,Documents!$C$2:$C$619,"all_inclusive")=0,"",MAXIFS(Documents!$E$2:$E$619,Documents!$A$2:$A$619,$A181,Documents!$C$2:$C$619,"all_inclusive")),"")</f>
        <v/>
      </c>
      <c r="P181">
        <f>IFERROR(IF(MAXIFS(Documents!$E$2:$E$619,Documents!$A$2:$A$619,$A181,Documents!$C$2:$C$619,"sustainability")=0,"",MAXIFS(Documents!$E$2:$E$619,Documents!$A$2:$A$619,$A181,Documents!$C$2:$C$619,"sustainability")),"")</f>
        <v/>
      </c>
      <c r="Q181">
        <f>IFERROR(IF(MAXIFS(Documents!$E$2:$E$619,Documents!$A$2:$A$619,$A181,Documents!$C$2:$C$619,"calendar")=0,"",MAXIFS(Documents!$E$2:$E$619,Documents!$A$2:$A$619,$A181,Documents!$C$2:$C$619,"calendar")),"")</f>
        <v/>
      </c>
      <c r="R181">
        <f>IFERROR(IF(MAXIFS(Documents!$E$2:$E$619,Documents!$A$2:$A$619,$A181,Documents!$C$2:$C$619,"brochure")=0,"",MAXIFS(Documents!$E$2:$E$619,Documents!$A$2:$A$619,$A181,Documents!$C$2:$C$619,"brochure")),"")</f>
        <v/>
      </c>
      <c r="S181">
        <f>IFERROR(IF(MAXIFS(Documents!$E$2:$E$619,Documents!$A$2:$A$619,$A181,Documents!$C$2:$C$619,"press_kit")=0,"",MAXIFS(Documents!$E$2:$E$619,Documents!$A$2:$A$619,$A181,Documents!$C$2:$C$619,"press_kit")),"")</f>
        <v/>
      </c>
      <c r="T181">
        <f>IFERROR(IF(MAXIFS(Documents!$E$2:$E$619,Documents!$A$2:$A$619,$A181,Documents!$C$2:$C$619,"other")=0,"",MAXIFS(Documents!$E$2:$E$619,Documents!$A$2:$A$619,$A181,Documents!$C$2:$C$619,"other")),"")</f>
        <v/>
      </c>
      <c r="U181">
        <f>IFERROR(IF(MAXIFS(Documents!$E$2:$E$619,Documents!$A$2:$A$619,$A181,Documents!$C$2:$C$619,"obsolete")=0,"",MAXIFS(Documents!$E$2:$E$619,Documents!$A$2:$A$619,$A181,Documents!$C$2:$C$619,"obsolete")),"")</f>
        <v/>
      </c>
      <c r="V181">
        <f>COUNTIFS(Documents!$A$2:$A$619,$A181)</f>
        <v/>
      </c>
      <c r="W181">
        <f>COUNTIFS(Documents!$A$2:$A$619,$A181,Documents!$R$2:$R$619,"current")</f>
        <v/>
      </c>
      <c r="X181">
        <f>HYPERLINK("https://www.neoscapesmaldives.com/wp-content/uploads/LUX_-South-Ari-Atoll-Factsheet-ENG.pdf","2025_LUX_-South-Ari-Atoll-Factsheet-ENG.")</f>
        <v/>
      </c>
      <c r="Y181" t="inlineStr">
        <is>
          <t>wedding, events</t>
        </is>
      </c>
      <c r="Z181" t="inlineStr"/>
    </row>
    <row r="182">
      <c r="A182" t="n">
        <v>181</v>
      </c>
      <c r="B182" t="inlineStr">
        <is>
          <t>Yash Nature Resort</t>
        </is>
      </c>
      <c r="C182" t="inlineStr">
        <is>
          <t>not crawled</t>
        </is>
      </c>
      <c r="D182">
        <f>IFERROR(IF(MAXIFS(Documents!$E$2:$E$619,Documents!$A$2:$A$619,$A182,Documents!$C$2:$C$619,"factsheet")=0,"",MAXIFS(Documents!$E$2:$E$619,Documents!$A$2:$A$619,$A182,Documents!$C$2:$C$619,"factsheet")),"")</f>
        <v/>
      </c>
      <c r="E182">
        <f>IFERROR(IF(MAXIFS(Documents!$E$2:$E$619,Documents!$A$2:$A$619,$A182,Documents!$C$2:$C$619,"wedding")=0,"",MAXIFS(Documents!$E$2:$E$619,Documents!$A$2:$A$619,$A182,Documents!$C$2:$C$619,"wedding")),"")</f>
        <v/>
      </c>
      <c r="F182">
        <f>IFERROR(IF(MAXIFS(Documents!$E$2:$E$619,Documents!$A$2:$A$619,$A182,Documents!$C$2:$C$619,"events")=0,"",MAXIFS(Documents!$E$2:$E$619,Documents!$A$2:$A$619,$A182,Documents!$C$2:$C$619,"events")),"")</f>
        <v/>
      </c>
      <c r="G182">
        <f>IFERROR(IF(MAXIFS(Documents!$E$2:$E$619,Documents!$A$2:$A$619,$A182,Documents!$C$2:$C$619,"map")=0,"",MAXIFS(Documents!$E$2:$E$619,Documents!$A$2:$A$619,$A182,Documents!$C$2:$C$619,"map")),"")</f>
        <v/>
      </c>
      <c r="H182">
        <f>IFERROR(IF(MAXIFS(Documents!$E$2:$E$619,Documents!$A$2:$A$619,$A182,Documents!$C$2:$C$619,"dive_map")=0,"",MAXIFS(Documents!$E$2:$E$619,Documents!$A$2:$A$619,$A182,Documents!$C$2:$C$619,"dive_map")),"")</f>
        <v/>
      </c>
      <c r="I182">
        <f>IFERROR(IF(MAXIFS(Documents!$E$2:$E$619,Documents!$A$2:$A$619,$A182,Documents!$C$2:$C$619,"spa_menu")=0,"",MAXIFS(Documents!$E$2:$E$619,Documents!$A$2:$A$619,$A182,Documents!$C$2:$C$619,"spa_menu")),"")</f>
        <v/>
      </c>
      <c r="J182">
        <f>IFERROR(IF(MAXIFS(Documents!$E$2:$E$619,Documents!$A$2:$A$619,$A182,Documents!$C$2:$C$619,"dining_menu")=0,"",MAXIFS(Documents!$E$2:$E$619,Documents!$A$2:$A$619,$A182,Documents!$C$2:$C$619,"dining_menu")),"")</f>
        <v/>
      </c>
      <c r="K182">
        <f>IFERROR(IF(MAXIFS(Documents!$E$2:$E$619,Documents!$A$2:$A$619,$A182,Documents!$C$2:$C$619,"dive_prices")=0,"",MAXIFS(Documents!$E$2:$E$619,Documents!$A$2:$A$619,$A182,Documents!$C$2:$C$619,"dive_prices")),"")</f>
        <v/>
      </c>
      <c r="L182">
        <f>IFERROR(IF(MAXIFS(Documents!$E$2:$E$619,Documents!$A$2:$A$619,$A182,Documents!$C$2:$C$619,"excursions")=0,"",MAXIFS(Documents!$E$2:$E$619,Documents!$A$2:$A$619,$A182,Documents!$C$2:$C$619,"excursions")),"")</f>
        <v/>
      </c>
      <c r="M182">
        <f>IFERROR(IF(MAXIFS(Documents!$E$2:$E$619,Documents!$A$2:$A$619,$A182,Documents!$C$2:$C$619,"kids")=0,"",MAXIFS(Documents!$E$2:$E$619,Documents!$A$2:$A$619,$A182,Documents!$C$2:$C$619,"kids")),"")</f>
        <v/>
      </c>
      <c r="N182">
        <f>IFERROR(IF(MAXIFS(Documents!$E$2:$E$619,Documents!$A$2:$A$619,$A182,Documents!$C$2:$C$619,"villa_plans")=0,"",MAXIFS(Documents!$E$2:$E$619,Documents!$A$2:$A$619,$A182,Documents!$C$2:$C$619,"villa_plans")),"")</f>
        <v/>
      </c>
      <c r="O182">
        <f>IFERROR(IF(MAXIFS(Documents!$E$2:$E$619,Documents!$A$2:$A$619,$A182,Documents!$C$2:$C$619,"all_inclusive")=0,"",MAXIFS(Documents!$E$2:$E$619,Documents!$A$2:$A$619,$A182,Documents!$C$2:$C$619,"all_inclusive")),"")</f>
        <v/>
      </c>
      <c r="P182">
        <f>IFERROR(IF(MAXIFS(Documents!$E$2:$E$619,Documents!$A$2:$A$619,$A182,Documents!$C$2:$C$619,"sustainability")=0,"",MAXIFS(Documents!$E$2:$E$619,Documents!$A$2:$A$619,$A182,Documents!$C$2:$C$619,"sustainability")),"")</f>
        <v/>
      </c>
      <c r="Q182">
        <f>IFERROR(IF(MAXIFS(Documents!$E$2:$E$619,Documents!$A$2:$A$619,$A182,Documents!$C$2:$C$619,"calendar")=0,"",MAXIFS(Documents!$E$2:$E$619,Documents!$A$2:$A$619,$A182,Documents!$C$2:$C$619,"calendar")),"")</f>
        <v/>
      </c>
      <c r="R182">
        <f>IFERROR(IF(MAXIFS(Documents!$E$2:$E$619,Documents!$A$2:$A$619,$A182,Documents!$C$2:$C$619,"brochure")=0,"",MAXIFS(Documents!$E$2:$E$619,Documents!$A$2:$A$619,$A182,Documents!$C$2:$C$619,"brochure")),"")</f>
        <v/>
      </c>
      <c r="S182">
        <f>IFERROR(IF(MAXIFS(Documents!$E$2:$E$619,Documents!$A$2:$A$619,$A182,Documents!$C$2:$C$619,"press_kit")=0,"",MAXIFS(Documents!$E$2:$E$619,Documents!$A$2:$A$619,$A182,Documents!$C$2:$C$619,"press_kit")),"")</f>
        <v/>
      </c>
      <c r="T182">
        <f>IFERROR(IF(MAXIFS(Documents!$E$2:$E$619,Documents!$A$2:$A$619,$A182,Documents!$C$2:$C$619,"other")=0,"",MAXIFS(Documents!$E$2:$E$619,Documents!$A$2:$A$619,$A182,Documents!$C$2:$C$619,"other")),"")</f>
        <v/>
      </c>
      <c r="U182">
        <f>IFERROR(IF(MAXIFS(Documents!$E$2:$E$619,Documents!$A$2:$A$619,$A182,Documents!$C$2:$C$619,"obsolete")=0,"",MAXIFS(Documents!$E$2:$E$619,Documents!$A$2:$A$619,$A182,Documents!$C$2:$C$619,"obsolete")),"")</f>
        <v/>
      </c>
      <c r="V182">
        <f>COUNTIFS(Documents!$A$2:$A$619,$A182)</f>
        <v/>
      </c>
      <c r="W182">
        <f>COUNTIFS(Documents!$A$2:$A$619,$A182,Documents!$R$2:$R$619,"current")</f>
        <v/>
      </c>
      <c r="X182" t="inlineStr"/>
      <c r="Y182" t="inlineStr">
        <is>
          <t>factsheet, wedding, events</t>
        </is>
      </c>
      <c r="Z182" t="inlineStr"/>
    </row>
    <row r="183">
      <c r="A183" t="n">
        <v>182</v>
      </c>
      <c r="B183" t="inlineStr">
        <is>
          <t>Kuredhivaru Resort and Spa</t>
        </is>
      </c>
      <c r="C183" t="inlineStr">
        <is>
          <t>not crawled</t>
        </is>
      </c>
      <c r="D183">
        <f>IFERROR(IF(MAXIFS(Documents!$E$2:$E$619,Documents!$A$2:$A$619,$A183,Documents!$C$2:$C$619,"factsheet")=0,"",MAXIFS(Documents!$E$2:$E$619,Documents!$A$2:$A$619,$A183,Documents!$C$2:$C$619,"factsheet")),"")</f>
        <v/>
      </c>
      <c r="E183">
        <f>IFERROR(IF(MAXIFS(Documents!$E$2:$E$619,Documents!$A$2:$A$619,$A183,Documents!$C$2:$C$619,"wedding")=0,"",MAXIFS(Documents!$E$2:$E$619,Documents!$A$2:$A$619,$A183,Documents!$C$2:$C$619,"wedding")),"")</f>
        <v/>
      </c>
      <c r="F183">
        <f>IFERROR(IF(MAXIFS(Documents!$E$2:$E$619,Documents!$A$2:$A$619,$A183,Documents!$C$2:$C$619,"events")=0,"",MAXIFS(Documents!$E$2:$E$619,Documents!$A$2:$A$619,$A183,Documents!$C$2:$C$619,"events")),"")</f>
        <v/>
      </c>
      <c r="G183">
        <f>IFERROR(IF(MAXIFS(Documents!$E$2:$E$619,Documents!$A$2:$A$619,$A183,Documents!$C$2:$C$619,"map")=0,"",MAXIFS(Documents!$E$2:$E$619,Documents!$A$2:$A$619,$A183,Documents!$C$2:$C$619,"map")),"")</f>
        <v/>
      </c>
      <c r="H183">
        <f>IFERROR(IF(MAXIFS(Documents!$E$2:$E$619,Documents!$A$2:$A$619,$A183,Documents!$C$2:$C$619,"dive_map")=0,"",MAXIFS(Documents!$E$2:$E$619,Documents!$A$2:$A$619,$A183,Documents!$C$2:$C$619,"dive_map")),"")</f>
        <v/>
      </c>
      <c r="I183">
        <f>IFERROR(IF(MAXIFS(Documents!$E$2:$E$619,Documents!$A$2:$A$619,$A183,Documents!$C$2:$C$619,"spa_menu")=0,"",MAXIFS(Documents!$E$2:$E$619,Documents!$A$2:$A$619,$A183,Documents!$C$2:$C$619,"spa_menu")),"")</f>
        <v/>
      </c>
      <c r="J183">
        <f>IFERROR(IF(MAXIFS(Documents!$E$2:$E$619,Documents!$A$2:$A$619,$A183,Documents!$C$2:$C$619,"dining_menu")=0,"",MAXIFS(Documents!$E$2:$E$619,Documents!$A$2:$A$619,$A183,Documents!$C$2:$C$619,"dining_menu")),"")</f>
        <v/>
      </c>
      <c r="K183">
        <f>IFERROR(IF(MAXIFS(Documents!$E$2:$E$619,Documents!$A$2:$A$619,$A183,Documents!$C$2:$C$619,"dive_prices")=0,"",MAXIFS(Documents!$E$2:$E$619,Documents!$A$2:$A$619,$A183,Documents!$C$2:$C$619,"dive_prices")),"")</f>
        <v/>
      </c>
      <c r="L183">
        <f>IFERROR(IF(MAXIFS(Documents!$E$2:$E$619,Documents!$A$2:$A$619,$A183,Documents!$C$2:$C$619,"excursions")=0,"",MAXIFS(Documents!$E$2:$E$619,Documents!$A$2:$A$619,$A183,Documents!$C$2:$C$619,"excursions")),"")</f>
        <v/>
      </c>
      <c r="M183">
        <f>IFERROR(IF(MAXIFS(Documents!$E$2:$E$619,Documents!$A$2:$A$619,$A183,Documents!$C$2:$C$619,"kids")=0,"",MAXIFS(Documents!$E$2:$E$619,Documents!$A$2:$A$619,$A183,Documents!$C$2:$C$619,"kids")),"")</f>
        <v/>
      </c>
      <c r="N183">
        <f>IFERROR(IF(MAXIFS(Documents!$E$2:$E$619,Documents!$A$2:$A$619,$A183,Documents!$C$2:$C$619,"villa_plans")=0,"",MAXIFS(Documents!$E$2:$E$619,Documents!$A$2:$A$619,$A183,Documents!$C$2:$C$619,"villa_plans")),"")</f>
        <v/>
      </c>
      <c r="O183">
        <f>IFERROR(IF(MAXIFS(Documents!$E$2:$E$619,Documents!$A$2:$A$619,$A183,Documents!$C$2:$C$619,"all_inclusive")=0,"",MAXIFS(Documents!$E$2:$E$619,Documents!$A$2:$A$619,$A183,Documents!$C$2:$C$619,"all_inclusive")),"")</f>
        <v/>
      </c>
      <c r="P183">
        <f>IFERROR(IF(MAXIFS(Documents!$E$2:$E$619,Documents!$A$2:$A$619,$A183,Documents!$C$2:$C$619,"sustainability")=0,"",MAXIFS(Documents!$E$2:$E$619,Documents!$A$2:$A$619,$A183,Documents!$C$2:$C$619,"sustainability")),"")</f>
        <v/>
      </c>
      <c r="Q183">
        <f>IFERROR(IF(MAXIFS(Documents!$E$2:$E$619,Documents!$A$2:$A$619,$A183,Documents!$C$2:$C$619,"calendar")=0,"",MAXIFS(Documents!$E$2:$E$619,Documents!$A$2:$A$619,$A183,Documents!$C$2:$C$619,"calendar")),"")</f>
        <v/>
      </c>
      <c r="R183">
        <f>IFERROR(IF(MAXIFS(Documents!$E$2:$E$619,Documents!$A$2:$A$619,$A183,Documents!$C$2:$C$619,"brochure")=0,"",MAXIFS(Documents!$E$2:$E$619,Documents!$A$2:$A$619,$A183,Documents!$C$2:$C$619,"brochure")),"")</f>
        <v/>
      </c>
      <c r="S183">
        <f>IFERROR(IF(MAXIFS(Documents!$E$2:$E$619,Documents!$A$2:$A$619,$A183,Documents!$C$2:$C$619,"press_kit")=0,"",MAXIFS(Documents!$E$2:$E$619,Documents!$A$2:$A$619,$A183,Documents!$C$2:$C$619,"press_kit")),"")</f>
        <v/>
      </c>
      <c r="T183">
        <f>IFERROR(IF(MAXIFS(Documents!$E$2:$E$619,Documents!$A$2:$A$619,$A183,Documents!$C$2:$C$619,"other")=0,"",MAXIFS(Documents!$E$2:$E$619,Documents!$A$2:$A$619,$A183,Documents!$C$2:$C$619,"other")),"")</f>
        <v/>
      </c>
      <c r="U183">
        <f>IFERROR(IF(MAXIFS(Documents!$E$2:$E$619,Documents!$A$2:$A$619,$A183,Documents!$C$2:$C$619,"obsolete")=0,"",MAXIFS(Documents!$E$2:$E$619,Documents!$A$2:$A$619,$A183,Documents!$C$2:$C$619,"obsolete")),"")</f>
        <v/>
      </c>
      <c r="V183">
        <f>COUNTIFS(Documents!$A$2:$A$619,$A183)</f>
        <v/>
      </c>
      <c r="W183">
        <f>COUNTIFS(Documents!$A$2:$A$619,$A183,Documents!$R$2:$R$619,"current")</f>
        <v/>
      </c>
      <c r="X183">
        <f>HYPERLINK("https://www.neoscapesmaldives.com/wp-content/uploads/Kuredhivaru-Resort-And-Spa-Factsheet-ENG.pdf","2025_Kuredhivaru-Resort-And-Spa-Factshee")</f>
        <v/>
      </c>
      <c r="Y183" t="inlineStr">
        <is>
          <t>wedding, events</t>
        </is>
      </c>
      <c r="Z183" t="inlineStr"/>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61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46" customWidth="1" min="2" max="2"/>
    <col width="16" customWidth="1" min="3" max="3"/>
    <col width="50" customWidth="1" min="4" max="4"/>
    <col width="14" customWidth="1" min="5" max="5"/>
    <col width="12" customWidth="1" min="6" max="6"/>
    <col width="10" customWidth="1" min="7" max="7"/>
    <col width="8" customWidth="1" min="8" max="8"/>
    <col width="9" customWidth="1" min="9" max="9"/>
    <col width="12" customWidth="1" min="10" max="10"/>
    <col width="23" customWidth="1" min="11" max="11"/>
    <col width="13" customWidth="1" min="12" max="12"/>
    <col width="50" customWidth="1" min="13" max="13"/>
    <col width="50" customWidth="1" min="14" max="14"/>
    <col width="50" customWidth="1" min="15" max="15"/>
    <col width="50" customWidth="1" min="16" max="16"/>
    <col width="8" customWidth="1" min="17" max="17"/>
    <col width="10" customWidth="1" min="18" max="18"/>
    <col width="11" customWidth="1" min="19" max="19"/>
    <col width="14" customWidth="1" min="20" max="20"/>
    <col width="12" customWidth="1" min="21" max="21"/>
    <col width="26" customWidth="1" min="22" max="22"/>
  </cols>
  <sheetData>
    <row r="1">
      <c r="A1" s="1" t="inlineStr">
        <is>
          <t>resort_id</t>
        </is>
      </c>
      <c r="B1" s="1" t="inlineStr">
        <is>
          <t>resort_name</t>
        </is>
      </c>
      <c r="C1" s="1" t="inlineStr">
        <is>
          <t>doc_type</t>
        </is>
      </c>
      <c r="D1" s="1" t="inlineStr">
        <is>
          <t>file_name</t>
        </is>
      </c>
      <c r="E1" s="1" t="inlineStr">
        <is>
          <t>edition_year</t>
        </is>
      </c>
      <c r="F1" s="1" t="inlineStr">
        <is>
          <t>valid_from</t>
        </is>
      </c>
      <c r="G1" s="1" t="inlineStr">
        <is>
          <t>valid_to</t>
        </is>
      </c>
      <c r="H1" s="1" t="inlineStr">
        <is>
          <t>pages</t>
        </is>
      </c>
      <c r="I1" s="1" t="inlineStr">
        <is>
          <t>size_kb</t>
        </is>
      </c>
      <c r="J1" s="1" t="inlineStr">
        <is>
          <t>text_layer</t>
        </is>
      </c>
      <c r="K1" s="1" t="inlineStr">
        <is>
          <t>source</t>
        </is>
      </c>
      <c r="L1" s="1" t="inlineStr">
        <is>
          <t>source_type</t>
        </is>
      </c>
      <c r="M1" s="1" t="inlineStr">
        <is>
          <t>url</t>
        </is>
      </c>
      <c r="N1" s="1" t="inlineStr">
        <is>
          <t>all_urls</t>
        </is>
      </c>
      <c r="O1" s="1" t="inlineStr">
        <is>
          <t>sha256</t>
        </is>
      </c>
      <c r="P1" s="1" t="inlineStr">
        <is>
          <t>local_path</t>
        </is>
      </c>
      <c r="Q1" s="1" t="inlineStr">
        <is>
          <t>r2_key</t>
        </is>
      </c>
      <c r="R1" s="1" t="inlineStr">
        <is>
          <t>status</t>
        </is>
      </c>
      <c r="S1" s="1" t="inlineStr">
        <is>
          <t>is_latest</t>
        </is>
      </c>
      <c r="T1" s="1" t="inlineStr">
        <is>
          <t>match_status</t>
        </is>
      </c>
      <c r="U1" s="1" t="inlineStr">
        <is>
          <t>checked_on</t>
        </is>
      </c>
      <c r="V1" s="1" t="inlineStr">
        <is>
          <t>notes</t>
        </is>
      </c>
    </row>
    <row r="2">
      <c r="A2" t="n">
        <v>3</v>
      </c>
      <c r="B2" t="inlineStr">
        <is>
          <t>Adaaran Select Hudhuranfushi</t>
        </is>
      </c>
      <c r="C2" t="inlineStr">
        <is>
          <t>factsheet</t>
        </is>
      </c>
      <c r="D2" t="inlineStr">
        <is>
          <t>2026_document.pdf</t>
        </is>
      </c>
      <c r="E2" t="n">
        <v>2026</v>
      </c>
      <c r="H2" t="n">
        <v>13</v>
      </c>
      <c r="I2" t="n">
        <v>7701</v>
      </c>
      <c r="J2" t="inlineStr">
        <is>
          <t>Y</t>
        </is>
      </c>
      <c r="K2" t="inlineStr">
        <is>
          <t>adaaran.com</t>
        </is>
      </c>
      <c r="L2" t="inlineStr">
        <is>
          <t>official</t>
        </is>
      </c>
      <c r="M2" t="inlineStr">
        <is>
          <t>https://www.adaaran.com/selecthudhuranfushi/view-download/?id=menu-16</t>
        </is>
      </c>
      <c r="N2" t="inlineStr">
        <is>
          <t>https://www.adaaran.com/selecthudhuranfushi/view-download/?id=menu-16</t>
        </is>
      </c>
      <c r="O2" t="inlineStr">
        <is>
          <t>3764e1af8a14180ba61928a2b2f8faa8745f53e9b9eab3dd5023e29f457e7be2</t>
        </is>
      </c>
      <c r="P2" t="inlineStr">
        <is>
          <t>library/003_adaaran-select-hudhuranfushi/factsheet/2026_document.pdf</t>
        </is>
      </c>
      <c r="R2" t="inlineStr">
        <is>
          <t>current</t>
        </is>
      </c>
      <c r="S2" t="inlineStr">
        <is>
          <t>Y</t>
        </is>
      </c>
      <c r="T2" t="inlineStr">
        <is>
          <t>matched</t>
        </is>
      </c>
      <c r="U2" t="inlineStr">
        <is>
          <t>2026-10-04</t>
        </is>
      </c>
      <c r="V2" t="inlineStr"/>
    </row>
    <row r="3">
      <c r="A3" t="n">
        <v>3</v>
      </c>
      <c r="B3" t="inlineStr">
        <is>
          <t>Adaaran Select Hudhuranfushi</t>
        </is>
      </c>
      <c r="C3" t="inlineStr">
        <is>
          <t>factsheet</t>
        </is>
      </c>
      <c r="D3" t="inlineStr">
        <is>
          <t>2023_Fact-Sheet-Adaaran-Select-Hudhuran-Fushi.pdf</t>
        </is>
      </c>
      <c r="E3" t="n">
        <v>2023</v>
      </c>
      <c r="H3" t="n">
        <v>5</v>
      </c>
      <c r="I3" t="n">
        <v>1748</v>
      </c>
      <c r="J3" t="inlineStr">
        <is>
          <t>Y</t>
        </is>
      </c>
      <c r="K3" t="inlineStr">
        <is>
          <t>neoscapesmaldives.com</t>
        </is>
      </c>
      <c r="L3" t="inlineStr">
        <is>
          <t>dmc-agency</t>
        </is>
      </c>
      <c r="M3" t="inlineStr">
        <is>
          <t>https://www.neoscapesmaldives.com/wp-content/uploads/Fact-Sheet-Adaaran-Select-Hudhuran-Fushi.pdf</t>
        </is>
      </c>
      <c r="N3" t="inlineStr">
        <is>
          <t>https://www.neoscapesmaldives.com/wp-content/uploads/Fact-Sheet-Adaaran-Select-Hudhuran-Fushi.pdf</t>
        </is>
      </c>
      <c r="O3" t="inlineStr">
        <is>
          <t>c016ce75c6f518d6c8407fd70776be116b10d20e4460ac665533378ed48c4676</t>
        </is>
      </c>
      <c r="P3" t="inlineStr">
        <is>
          <t>library/003_adaaran-select-hudhuranfushi/factsheet/2023_Fact-Sheet-Adaaran-Select-Hudhuran-Fushi.pdf</t>
        </is>
      </c>
      <c r="R3" t="inlineStr">
        <is>
          <t>outdated</t>
        </is>
      </c>
      <c r="S3" t="inlineStr">
        <is>
          <t>N</t>
        </is>
      </c>
      <c r="T3" t="inlineStr">
        <is>
          <t>matched</t>
        </is>
      </c>
      <c r="U3" t="inlineStr">
        <is>
          <t>2026-10-04</t>
        </is>
      </c>
      <c r="V3" t="inlineStr"/>
    </row>
    <row r="4">
      <c r="A4" t="n">
        <v>3</v>
      </c>
      <c r="B4" t="inlineStr">
        <is>
          <t>Adaaran Select Hudhuranfushi</t>
        </is>
      </c>
      <c r="C4" t="inlineStr">
        <is>
          <t>wedding</t>
        </is>
      </c>
      <c r="D4" t="inlineStr">
        <is>
          <t>2027_document.pdf</t>
        </is>
      </c>
      <c r="E4" t="n">
        <v>2027</v>
      </c>
      <c r="H4" t="n">
        <v>6</v>
      </c>
      <c r="I4" t="n">
        <v>1919</v>
      </c>
      <c r="J4" t="inlineStr">
        <is>
          <t>Y</t>
        </is>
      </c>
      <c r="K4" t="inlineStr">
        <is>
          <t>adaaran.com</t>
        </is>
      </c>
      <c r="L4" t="inlineStr">
        <is>
          <t>official</t>
        </is>
      </c>
      <c r="M4" t="inlineStr">
        <is>
          <t>https://www.adaaran.com/selecthudhuranfushi/view-download/?id=ASHW</t>
        </is>
      </c>
      <c r="N4" t="inlineStr">
        <is>
          <t>https://www.adaaran.com/selecthudhuranfushi/view-download/?id=ASHW</t>
        </is>
      </c>
      <c r="O4" t="inlineStr">
        <is>
          <t>a53763cc618ed5a2dc139042880884ff710382cc026cf836a2f16fba4c261c79</t>
        </is>
      </c>
      <c r="P4" t="inlineStr">
        <is>
          <t>library/003_adaaran-select-hudhuranfushi/wedding/2027_document.pdf</t>
        </is>
      </c>
      <c r="R4" t="inlineStr">
        <is>
          <t>current</t>
        </is>
      </c>
      <c r="S4" t="inlineStr">
        <is>
          <t>Y</t>
        </is>
      </c>
      <c r="T4" t="inlineStr">
        <is>
          <t>matched</t>
        </is>
      </c>
      <c r="U4" t="inlineStr">
        <is>
          <t>2026-10-04</t>
        </is>
      </c>
      <c r="V4" t="inlineStr"/>
    </row>
    <row r="5">
      <c r="A5" t="n">
        <v>3</v>
      </c>
      <c r="B5" t="inlineStr">
        <is>
          <t>Adaaran Select Hudhuranfushi</t>
        </is>
      </c>
      <c r="C5" t="inlineStr">
        <is>
          <t>events</t>
        </is>
      </c>
      <c r="D5" t="inlineStr">
        <is>
          <t>2027_document.pdf</t>
        </is>
      </c>
      <c r="E5" t="n">
        <v>2027</v>
      </c>
      <c r="H5" t="n">
        <v>14</v>
      </c>
      <c r="I5" t="n">
        <v>24283</v>
      </c>
      <c r="J5" t="inlineStr">
        <is>
          <t>Y</t>
        </is>
      </c>
      <c r="K5" t="inlineStr">
        <is>
          <t>adaaran.com</t>
        </is>
      </c>
      <c r="L5" t="inlineStr">
        <is>
          <t>official</t>
        </is>
      </c>
      <c r="M5" t="inlineStr">
        <is>
          <t>https://www.adaaran.com/selecthudhuranfushi/view-download/?id=hrf-mice</t>
        </is>
      </c>
      <c r="N5" t="inlineStr">
        <is>
          <t>https://www.adaaran.com/selecthudhuranfushi/view-download/?id=hrf-mice</t>
        </is>
      </c>
      <c r="O5" t="inlineStr">
        <is>
          <t>20d39ba0f4494c88cba4056f12e54ceb279d40a8e5252404b0ae3655fe8bb61f</t>
        </is>
      </c>
      <c r="P5" t="inlineStr">
        <is>
          <t>library/003_adaaran-select-hudhuranfushi/events/2027_document.pdf</t>
        </is>
      </c>
      <c r="R5" t="inlineStr">
        <is>
          <t>current</t>
        </is>
      </c>
      <c r="S5" t="inlineStr">
        <is>
          <t>Y</t>
        </is>
      </c>
      <c r="T5" t="inlineStr">
        <is>
          <t>matched</t>
        </is>
      </c>
      <c r="U5" t="inlineStr">
        <is>
          <t>2026-10-04</t>
        </is>
      </c>
      <c r="V5" t="inlineStr"/>
    </row>
    <row r="6">
      <c r="A6" t="n">
        <v>3</v>
      </c>
      <c r="B6" t="inlineStr">
        <is>
          <t>Adaaran Select Hudhuranfushi</t>
        </is>
      </c>
      <c r="C6" t="inlineStr">
        <is>
          <t>map</t>
        </is>
      </c>
      <c r="D6" t="inlineStr">
        <is>
          <t>2025_Adaaran-Resorts-_-Sustainability-Management-Plan.pdf</t>
        </is>
      </c>
      <c r="E6" t="n">
        <v>2025</v>
      </c>
      <c r="H6" t="n">
        <v>23</v>
      </c>
      <c r="I6" t="n">
        <v>1948</v>
      </c>
      <c r="J6" t="inlineStr">
        <is>
          <t>Y</t>
        </is>
      </c>
      <c r="K6" t="inlineStr">
        <is>
          <t>adaaran.com</t>
        </is>
      </c>
      <c r="L6" t="inlineStr">
        <is>
          <t>official</t>
        </is>
      </c>
      <c r="M6" t="inlineStr">
        <is>
          <t>https://adaaran.eme-devops.com/2025/08/Adaaran-Resorts-%E2%80%93-Sustainability-Management-Plan.pdf</t>
        </is>
      </c>
      <c r="N6" t="inlineStr">
        <is>
          <t>https://adaaran.eme-devops.com/2025/08/Adaaran-Resorts-%E2%80%93-Sustainability-Management-Plan.pdf</t>
        </is>
      </c>
      <c r="O6" t="inlineStr">
        <is>
          <t>22b587766b38f4dab0abdd6311fd68bf96e97d0eb2ea82372c9062243cf71ba2</t>
        </is>
      </c>
      <c r="P6" t="inlineStr">
        <is>
          <t>library/003_adaaran-select-hudhuranfushi/map/2025_Adaaran-Resorts-_-Sustainability-Management-Plan.pdf</t>
        </is>
      </c>
      <c r="R6" t="inlineStr">
        <is>
          <t>current</t>
        </is>
      </c>
      <c r="S6" t="inlineStr">
        <is>
          <t>Y</t>
        </is>
      </c>
      <c r="T6" t="inlineStr">
        <is>
          <t>needs-review</t>
        </is>
      </c>
      <c r="U6" t="inlineStr">
        <is>
          <t>2026-10-04</t>
        </is>
      </c>
      <c r="V6" t="inlineStr">
        <is>
          <t>ambiguous match [3]</t>
        </is>
      </c>
    </row>
    <row r="7">
      <c r="A7" t="n">
        <v>3</v>
      </c>
      <c r="B7" t="inlineStr">
        <is>
          <t>Adaaran Select Hudhuranfushi</t>
        </is>
      </c>
      <c r="C7" t="inlineStr">
        <is>
          <t>map</t>
        </is>
      </c>
      <c r="D7" t="inlineStr">
        <is>
          <t>2020_Adaaran-Select-Huduran-Fushi-Map.pdf</t>
        </is>
      </c>
      <c r="E7" t="n">
        <v>2020</v>
      </c>
      <c r="H7" t="n">
        <v>1</v>
      </c>
      <c r="I7" t="n">
        <v>132</v>
      </c>
      <c r="J7" t="inlineStr">
        <is>
          <t>N</t>
        </is>
      </c>
      <c r="K7" t="inlineStr">
        <is>
          <t>neoscapesmaldives.com</t>
        </is>
      </c>
      <c r="L7" t="inlineStr">
        <is>
          <t>dmc-agency</t>
        </is>
      </c>
      <c r="M7" t="inlineStr">
        <is>
          <t>https://www.neoscapesmaldives.com/wp-content/uploads/Adaaran-Select-Huduran-Fushi-Map.pdf</t>
        </is>
      </c>
      <c r="N7" t="inlineStr">
        <is>
          <t>https://www.neoscapesmaldives.com/wp-content/uploads/Adaaran-Select-Huduran-Fushi-Map.pdf</t>
        </is>
      </c>
      <c r="O7" t="inlineStr">
        <is>
          <t>51b89df5cc8ab34fb1230a701df04d08ff70235e31cdbf37ac3e916ad6166a59</t>
        </is>
      </c>
      <c r="P7" t="inlineStr">
        <is>
          <t>library/003_adaaran-select-hudhuranfushi/map/2020_Adaaran-Select-Huduran-Fushi-Map.pdf</t>
        </is>
      </c>
      <c r="R7" t="inlineStr">
        <is>
          <t>outdated</t>
        </is>
      </c>
      <c r="S7" t="inlineStr">
        <is>
          <t>N</t>
        </is>
      </c>
      <c r="T7" t="inlineStr">
        <is>
          <t>needs-review</t>
        </is>
      </c>
      <c r="U7" t="inlineStr">
        <is>
          <t>2026-10-04</t>
        </is>
      </c>
      <c r="V7" t="inlineStr">
        <is>
          <t>ambiguous match [3]</t>
        </is>
      </c>
    </row>
    <row r="8">
      <c r="A8" t="n">
        <v>3</v>
      </c>
      <c r="B8" t="inlineStr">
        <is>
          <t>Adaaran Select Hudhuranfushi</t>
        </is>
      </c>
      <c r="C8" t="inlineStr">
        <is>
          <t>dining_menu</t>
        </is>
      </c>
      <c r="D8" t="inlineStr">
        <is>
          <t>2025_document.pdf</t>
        </is>
      </c>
      <c r="E8" t="n">
        <v>2025</v>
      </c>
      <c r="H8" t="n">
        <v>7</v>
      </c>
      <c r="I8" t="n">
        <v>600</v>
      </c>
      <c r="J8" t="inlineStr">
        <is>
          <t>Y</t>
        </is>
      </c>
      <c r="K8" t="inlineStr">
        <is>
          <t>adaaran.com</t>
        </is>
      </c>
      <c r="L8" t="inlineStr">
        <is>
          <t>official</t>
        </is>
      </c>
      <c r="M8" t="inlineStr">
        <is>
          <t>https://www.adaaran.com/selecthudhuranfushi/view-download/?id=menu-13</t>
        </is>
      </c>
      <c r="N8" t="inlineStr">
        <is>
          <t>https://www.adaaran.com/selecthudhuranfushi/view-download/?id=menu-13</t>
        </is>
      </c>
      <c r="O8" t="inlineStr">
        <is>
          <t>bc2eb63f728d8b23951b121041a9916e3b4d00d538ce0f180ad38b8eb85ff137</t>
        </is>
      </c>
      <c r="P8" t="inlineStr">
        <is>
          <t>library/003_adaaran-select-hudhuranfushi/dining_menu/2025_document.pdf</t>
        </is>
      </c>
      <c r="R8" t="inlineStr">
        <is>
          <t>current</t>
        </is>
      </c>
      <c r="S8" t="inlineStr">
        <is>
          <t>Y</t>
        </is>
      </c>
      <c r="T8" t="inlineStr">
        <is>
          <t>matched</t>
        </is>
      </c>
      <c r="U8" t="inlineStr">
        <is>
          <t>2026-10-04</t>
        </is>
      </c>
      <c r="V8" t="inlineStr"/>
    </row>
    <row r="9">
      <c r="A9" t="n">
        <v>3</v>
      </c>
      <c r="B9" t="inlineStr">
        <is>
          <t>Adaaran Select Hudhuranfushi</t>
        </is>
      </c>
      <c r="C9" t="inlineStr">
        <is>
          <t>dive_prices</t>
        </is>
      </c>
      <c r="D9" t="inlineStr">
        <is>
          <t>2026_document.pdf</t>
        </is>
      </c>
      <c r="E9" t="n">
        <v>2026</v>
      </c>
      <c r="H9" t="n">
        <v>1</v>
      </c>
      <c r="I9" t="n">
        <v>95</v>
      </c>
      <c r="J9" t="inlineStr">
        <is>
          <t>Y</t>
        </is>
      </c>
      <c r="K9" t="inlineStr">
        <is>
          <t>adaaran.com</t>
        </is>
      </c>
      <c r="L9" t="inlineStr">
        <is>
          <t>official</t>
        </is>
      </c>
      <c r="M9" t="inlineStr">
        <is>
          <t>https://www.adaaran.com/selecthudhuranfushi/view-download/?id=surf%20price%20list</t>
        </is>
      </c>
      <c r="N9" t="inlineStr">
        <is>
          <t>https://www.adaaran.com/selecthudhuranfushi/view-download/?id=surf%20price%20list</t>
        </is>
      </c>
      <c r="O9" t="inlineStr">
        <is>
          <t>e984a7ddc4341386ceae04dd4b7532f902551c3e086d6ee9205a19cba6e67d89</t>
        </is>
      </c>
      <c r="P9" t="inlineStr">
        <is>
          <t>library/003_adaaran-select-hudhuranfushi/dive_prices/2026_document.pdf</t>
        </is>
      </c>
      <c r="R9" t="inlineStr">
        <is>
          <t>current</t>
        </is>
      </c>
      <c r="S9" t="inlineStr">
        <is>
          <t>N</t>
        </is>
      </c>
      <c r="T9" t="inlineStr">
        <is>
          <t>matched</t>
        </is>
      </c>
      <c r="U9" t="inlineStr">
        <is>
          <t>2026-10-04</t>
        </is>
      </c>
      <c r="V9" t="inlineStr"/>
    </row>
    <row r="10">
      <c r="A10" t="n">
        <v>3</v>
      </c>
      <c r="B10" t="inlineStr">
        <is>
          <t>Adaaran Select Hudhuranfushi</t>
        </is>
      </c>
      <c r="C10" t="inlineStr">
        <is>
          <t>dive_prices</t>
        </is>
      </c>
      <c r="D10" t="inlineStr">
        <is>
          <t>2026_c84951ec_document.pdf</t>
        </is>
      </c>
      <c r="E10" t="n">
        <v>2026</v>
      </c>
      <c r="H10" t="n">
        <v>2</v>
      </c>
      <c r="I10" t="n">
        <v>230</v>
      </c>
      <c r="J10" t="inlineStr">
        <is>
          <t>Y</t>
        </is>
      </c>
      <c r="K10" t="inlineStr">
        <is>
          <t>adaaran.com</t>
        </is>
      </c>
      <c r="L10" t="inlineStr">
        <is>
          <t>official</t>
        </is>
      </c>
      <c r="M10" t="inlineStr">
        <is>
          <t>https://www.adaaran.com/selecthudhuranfushi/view-download/?id=Menu-10</t>
        </is>
      </c>
      <c r="N10" t="inlineStr">
        <is>
          <t>https://www.adaaran.com/selecthudhuranfushi/view-download/?id=Menu-10</t>
        </is>
      </c>
      <c r="O10" t="inlineStr">
        <is>
          <t>c84951ec4cc57cad023b025b343054d9f6c6e617337d0973f53881919ce9abd0</t>
        </is>
      </c>
      <c r="P10" t="inlineStr">
        <is>
          <t>library/003_adaaran-select-hudhuranfushi/dive_prices/2026_c84951ec_document.pdf</t>
        </is>
      </c>
      <c r="R10" t="inlineStr">
        <is>
          <t>current</t>
        </is>
      </c>
      <c r="S10" t="inlineStr">
        <is>
          <t>Y</t>
        </is>
      </c>
      <c r="T10" t="inlineStr">
        <is>
          <t>matched</t>
        </is>
      </c>
      <c r="U10" t="inlineStr">
        <is>
          <t>2026-10-04</t>
        </is>
      </c>
      <c r="V10" t="inlineStr"/>
    </row>
    <row r="11">
      <c r="A11" t="n">
        <v>3</v>
      </c>
      <c r="B11" t="inlineStr">
        <is>
          <t>Adaaran Select Hudhuranfushi</t>
        </is>
      </c>
      <c r="C11" t="inlineStr">
        <is>
          <t>dive_prices</t>
        </is>
      </c>
      <c r="D11" t="inlineStr">
        <is>
          <t>2025_document.pdf</t>
        </is>
      </c>
      <c r="E11" t="n">
        <v>2025</v>
      </c>
      <c r="H11" t="n">
        <v>3</v>
      </c>
      <c r="I11" t="n">
        <v>172</v>
      </c>
      <c r="J11" t="inlineStr">
        <is>
          <t>Y</t>
        </is>
      </c>
      <c r="K11" t="inlineStr">
        <is>
          <t>adaaran.com</t>
        </is>
      </c>
      <c r="L11" t="inlineStr">
        <is>
          <t>official</t>
        </is>
      </c>
      <c r="M11" t="inlineStr">
        <is>
          <t>https://www.adaaran.com/selecthudhuranfushi/view-download/?id=menu-11</t>
        </is>
      </c>
      <c r="N11" t="inlineStr">
        <is>
          <t>https://www.adaaran.com/selecthudhuranfushi/view-download/?id=menu-11</t>
        </is>
      </c>
      <c r="O11" t="inlineStr">
        <is>
          <t>ed51097d2e77cb469e68326f76f30b19293bcdb5393c422b9ee5c5f0cd68e535</t>
        </is>
      </c>
      <c r="P11" t="inlineStr">
        <is>
          <t>library/003_adaaran-select-hudhuranfushi/dive_prices/2025_document.pdf</t>
        </is>
      </c>
      <c r="R11" t="inlineStr">
        <is>
          <t>current</t>
        </is>
      </c>
      <c r="S11" t="inlineStr">
        <is>
          <t>N</t>
        </is>
      </c>
      <c r="T11" t="inlineStr">
        <is>
          <t>matched</t>
        </is>
      </c>
      <c r="U11" t="inlineStr">
        <is>
          <t>2026-10-04</t>
        </is>
      </c>
      <c r="V11" t="inlineStr"/>
    </row>
    <row r="12">
      <c r="A12" t="n">
        <v>3</v>
      </c>
      <c r="B12" t="inlineStr">
        <is>
          <t>Adaaran Select Hudhuranfushi</t>
        </is>
      </c>
      <c r="C12" t="inlineStr">
        <is>
          <t>excursions</t>
        </is>
      </c>
      <c r="D12" t="inlineStr">
        <is>
          <t>2026_document.pdf</t>
        </is>
      </c>
      <c r="E12" t="n">
        <v>2026</v>
      </c>
      <c r="H12" t="n">
        <v>12</v>
      </c>
      <c r="I12" t="n">
        <v>2120</v>
      </c>
      <c r="J12" t="inlineStr">
        <is>
          <t>Y</t>
        </is>
      </c>
      <c r="K12" t="inlineStr">
        <is>
          <t>adaaran.com</t>
        </is>
      </c>
      <c r="L12" t="inlineStr">
        <is>
          <t>official</t>
        </is>
      </c>
      <c r="M12" t="inlineStr">
        <is>
          <t>https://www.adaaran.com/selecthudhuranfushi/view-download/?id=menu-15</t>
        </is>
      </c>
      <c r="N12" t="inlineStr">
        <is>
          <t>https://www.adaaran.com/selecthudhuranfushi/view-download/?id=menu-15</t>
        </is>
      </c>
      <c r="O12" t="inlineStr">
        <is>
          <t>8b81dce618011a47650c0660914d33cf70f84170631babc4c60be23dbf29f59e</t>
        </is>
      </c>
      <c r="P12" t="inlineStr">
        <is>
          <t>library/003_adaaran-select-hudhuranfushi/excursions/2026_document.pdf</t>
        </is>
      </c>
      <c r="R12" t="inlineStr">
        <is>
          <t>current</t>
        </is>
      </c>
      <c r="S12" t="inlineStr">
        <is>
          <t>N</t>
        </is>
      </c>
      <c r="T12" t="inlineStr">
        <is>
          <t>matched</t>
        </is>
      </c>
      <c r="U12" t="inlineStr">
        <is>
          <t>2026-10-04</t>
        </is>
      </c>
      <c r="V12" t="inlineStr"/>
    </row>
    <row r="13">
      <c r="A13" t="n">
        <v>3</v>
      </c>
      <c r="B13" t="inlineStr">
        <is>
          <t>Adaaran Select Hudhuranfushi</t>
        </is>
      </c>
      <c r="C13" t="inlineStr">
        <is>
          <t>excursions</t>
        </is>
      </c>
      <c r="D13" t="inlineStr">
        <is>
          <t>2026_9e49ed08_document.pdf</t>
        </is>
      </c>
      <c r="E13" t="n">
        <v>2026</v>
      </c>
      <c r="H13" t="n">
        <v>14</v>
      </c>
      <c r="I13" t="n">
        <v>11407</v>
      </c>
      <c r="J13" t="inlineStr">
        <is>
          <t>Y</t>
        </is>
      </c>
      <c r="K13" t="inlineStr">
        <is>
          <t>adaaran.com</t>
        </is>
      </c>
      <c r="L13" t="inlineStr">
        <is>
          <t>official</t>
        </is>
      </c>
      <c r="M13" t="inlineStr">
        <is>
          <t>https://www.adaaran.com/selecthudhuranfushi/view-download/?id=hrf-excursion</t>
        </is>
      </c>
      <c r="N13" t="inlineStr">
        <is>
          <t>https://www.adaaran.com/selecthudhuranfushi/view-download/?id=hrf-excursion</t>
        </is>
      </c>
      <c r="O13" t="inlineStr">
        <is>
          <t>9e49ed088aebad320d2e0209a00998df2a7ed33100944f9af2a8d9a94d11454e</t>
        </is>
      </c>
      <c r="P13" t="inlineStr">
        <is>
          <t>library/003_adaaran-select-hudhuranfushi/excursions/2026_9e49ed08_document.pdf</t>
        </is>
      </c>
      <c r="R13" t="inlineStr">
        <is>
          <t>current</t>
        </is>
      </c>
      <c r="S13" t="inlineStr">
        <is>
          <t>Y</t>
        </is>
      </c>
      <c r="T13" t="inlineStr">
        <is>
          <t>matched</t>
        </is>
      </c>
      <c r="U13" t="inlineStr">
        <is>
          <t>2026-10-04</t>
        </is>
      </c>
      <c r="V13" t="inlineStr"/>
    </row>
    <row r="14">
      <c r="A14" t="n">
        <v>3</v>
      </c>
      <c r="B14" t="inlineStr">
        <is>
          <t>Adaaran Select Hudhuranfushi</t>
        </is>
      </c>
      <c r="C14" t="inlineStr">
        <is>
          <t>sustainability</t>
        </is>
      </c>
      <c r="D14" t="inlineStr">
        <is>
          <t>2026_2026-Environment-Policy-Adaaran-Resorts-Maldives.pdf</t>
        </is>
      </c>
      <c r="E14" t="n">
        <v>2026</v>
      </c>
      <c r="H14" t="n">
        <v>5</v>
      </c>
      <c r="I14" t="n">
        <v>382</v>
      </c>
      <c r="J14" t="inlineStr">
        <is>
          <t>Y</t>
        </is>
      </c>
      <c r="K14" t="inlineStr">
        <is>
          <t>adaaran.com</t>
        </is>
      </c>
      <c r="L14" t="inlineStr">
        <is>
          <t>official</t>
        </is>
      </c>
      <c r="M14" t="inlineStr">
        <is>
          <t>https://adaaran.eme-devops.com/2026/06/2026-Environment-Policy-Adaaran-Resorts-Maldives.pdf</t>
        </is>
      </c>
      <c r="N14" t="inlineStr">
        <is>
          <t>https://adaaran.eme-devops.com/2026/06/2026-Environment-Policy-Adaaran-Resorts-Maldives.pdf</t>
        </is>
      </c>
      <c r="O14" t="inlineStr">
        <is>
          <t>5b43ab1ac5eaf17e810421d364db68b9a624f6d16903fda4452dc00ca9f38505</t>
        </is>
      </c>
      <c r="P14" t="inlineStr">
        <is>
          <t>library/003_adaaran-select-hudhuranfushi/sustainability/2026_2026-Environment-Policy-Adaaran-Resorts-Maldives.pdf</t>
        </is>
      </c>
      <c r="R14" t="inlineStr">
        <is>
          <t>current</t>
        </is>
      </c>
      <c r="S14" t="inlineStr">
        <is>
          <t>N</t>
        </is>
      </c>
      <c r="T14" t="inlineStr">
        <is>
          <t>needs-review</t>
        </is>
      </c>
      <c r="U14" t="inlineStr">
        <is>
          <t>2026-10-04</t>
        </is>
      </c>
      <c r="V14" t="inlineStr">
        <is>
          <t>ambiguous match [3]</t>
        </is>
      </c>
    </row>
    <row r="15">
      <c r="A15" t="n">
        <v>3</v>
      </c>
      <c r="B15" t="inlineStr">
        <is>
          <t>Adaaran Select Hudhuranfushi</t>
        </is>
      </c>
      <c r="C15" t="inlineStr">
        <is>
          <t>sustainability</t>
        </is>
      </c>
      <c r="D15" t="inlineStr">
        <is>
          <t>2026_Adaaran-Resorts-SMP-2026-.pdf</t>
        </is>
      </c>
      <c r="E15" t="n">
        <v>2026</v>
      </c>
      <c r="H15" t="n">
        <v>23</v>
      </c>
      <c r="I15" t="n">
        <v>2167</v>
      </c>
      <c r="J15" t="inlineStr">
        <is>
          <t>Y</t>
        </is>
      </c>
      <c r="K15" t="inlineStr">
        <is>
          <t>adaaran.com</t>
        </is>
      </c>
      <c r="L15" t="inlineStr">
        <is>
          <t>official</t>
        </is>
      </c>
      <c r="M15" t="inlineStr">
        <is>
          <t>https://adaaran.eme-devops.com/2026/06/Adaaran-Resorts-SMP-2026-.pdf</t>
        </is>
      </c>
      <c r="N15" t="inlineStr">
        <is>
          <t>https://adaaran.eme-devops.com/2026/06/Adaaran-Resorts-SMP-2026-.pdf</t>
        </is>
      </c>
      <c r="O15" t="inlineStr">
        <is>
          <t>b79763f6347abc842dc59415c85b301658a9015637b1f44f509e7e1f600d38df</t>
        </is>
      </c>
      <c r="P15" t="inlineStr">
        <is>
          <t>library/003_adaaran-select-hudhuranfushi/sustainability/2026_Adaaran-Resorts-SMP-2026-.pdf</t>
        </is>
      </c>
      <c r="R15" t="inlineStr">
        <is>
          <t>current</t>
        </is>
      </c>
      <c r="S15" t="inlineStr">
        <is>
          <t>Y</t>
        </is>
      </c>
      <c r="T15" t="inlineStr">
        <is>
          <t>needs-review</t>
        </is>
      </c>
      <c r="U15" t="inlineStr">
        <is>
          <t>2026-10-04</t>
        </is>
      </c>
      <c r="V15" t="inlineStr">
        <is>
          <t>ambiguous match [3]</t>
        </is>
      </c>
    </row>
    <row r="16">
      <c r="A16" t="n">
        <v>3</v>
      </c>
      <c r="B16" t="inlineStr">
        <is>
          <t>Adaaran Select Hudhuranfushi</t>
        </is>
      </c>
      <c r="C16" t="inlineStr">
        <is>
          <t>sustainability</t>
        </is>
      </c>
      <c r="D16" t="inlineStr">
        <is>
          <t>2025_Sustainabilty-Report-ASH-2025-26_compressed.pdf</t>
        </is>
      </c>
      <c r="E16" t="n">
        <v>2025</v>
      </c>
      <c r="H16" t="n">
        <v>21</v>
      </c>
      <c r="I16" t="n">
        <v>4199</v>
      </c>
      <c r="J16" t="inlineStr">
        <is>
          <t>Y</t>
        </is>
      </c>
      <c r="K16" t="inlineStr">
        <is>
          <t>adaaran.com</t>
        </is>
      </c>
      <c r="L16" t="inlineStr">
        <is>
          <t>official</t>
        </is>
      </c>
      <c r="M16" t="inlineStr">
        <is>
          <t>https://adaaran.eme-devops.com/2026/05/Sustainabilty-Report-ASH-2025-26_compressed.pdf</t>
        </is>
      </c>
      <c r="N16" t="inlineStr">
        <is>
          <t>https://adaaran.eme-devops.com/2026/05/Sustainabilty-Report-ASH-2025-26_compressed.pdf</t>
        </is>
      </c>
      <c r="O16" t="inlineStr">
        <is>
          <t>69a359fd09709c1e9054954395bdaa7e4807d5ed38598e81d9a25c8d4ec89b0f</t>
        </is>
      </c>
      <c r="P16" t="inlineStr">
        <is>
          <t>library/003_adaaran-select-hudhuranfushi/sustainability/2025_Sustainabilty-Report-ASH-2025-26_compressed.pdf</t>
        </is>
      </c>
      <c r="R16" t="inlineStr">
        <is>
          <t>current</t>
        </is>
      </c>
      <c r="S16" t="inlineStr">
        <is>
          <t>N</t>
        </is>
      </c>
      <c r="T16" t="inlineStr">
        <is>
          <t>matched</t>
        </is>
      </c>
      <c r="U16" t="inlineStr">
        <is>
          <t>2026-10-04</t>
        </is>
      </c>
      <c r="V16" t="inlineStr"/>
    </row>
    <row r="17">
      <c r="A17" t="n">
        <v>3</v>
      </c>
      <c r="B17" t="inlineStr">
        <is>
          <t>Adaaran Select Hudhuranfushi</t>
        </is>
      </c>
      <c r="C17" t="inlineStr">
        <is>
          <t>sustainability</t>
        </is>
      </c>
      <c r="D17" t="inlineStr">
        <is>
          <t>2025_Adaaran-Resorts-_-Sustainability-Policy.pdf</t>
        </is>
      </c>
      <c r="E17" t="n">
        <v>2025</v>
      </c>
      <c r="H17" t="n">
        <v>5</v>
      </c>
      <c r="I17" t="n">
        <v>384</v>
      </c>
      <c r="J17" t="inlineStr">
        <is>
          <t>Y</t>
        </is>
      </c>
      <c r="K17" t="inlineStr">
        <is>
          <t>adaaran.com</t>
        </is>
      </c>
      <c r="L17" t="inlineStr">
        <is>
          <t>official</t>
        </is>
      </c>
      <c r="M17" t="inlineStr">
        <is>
          <t>https://adaaran.eme-devops.com/2025/08/Adaaran-Resorts-%E2%80%93-Sustainability-Policy.pdf</t>
        </is>
      </c>
      <c r="N17" t="inlineStr">
        <is>
          <t>https://adaaran.eme-devops.com/2025/08/Adaaran-Resorts-%E2%80%93-Sustainability-Policy.pdf</t>
        </is>
      </c>
      <c r="O17" t="inlineStr">
        <is>
          <t>957954fce422f65bf83fec81ee12552964da033300e4db181bdec241ca17287f</t>
        </is>
      </c>
      <c r="P17" t="inlineStr">
        <is>
          <t>library/003_adaaran-select-hudhuranfushi/sustainability/2025_Adaaran-Resorts-_-Sustainability-Policy.pdf</t>
        </is>
      </c>
      <c r="R17" t="inlineStr">
        <is>
          <t>current</t>
        </is>
      </c>
      <c r="S17" t="inlineStr">
        <is>
          <t>N</t>
        </is>
      </c>
      <c r="T17" t="inlineStr">
        <is>
          <t>needs-review</t>
        </is>
      </c>
      <c r="U17" t="inlineStr">
        <is>
          <t>2026-10-04</t>
        </is>
      </c>
      <c r="V17" t="inlineStr">
        <is>
          <t>ambiguous match [3]</t>
        </is>
      </c>
    </row>
    <row r="18">
      <c r="A18" t="n">
        <v>3</v>
      </c>
      <c r="B18" t="inlineStr">
        <is>
          <t>Adaaran Select Hudhuranfushi</t>
        </is>
      </c>
      <c r="C18" t="inlineStr">
        <is>
          <t>sustainability</t>
        </is>
      </c>
      <c r="D18" t="inlineStr">
        <is>
          <t>2025_Adaaran-Select-Hudhuran-Fushi-_-Sustainability-Report-2024-2025.pdf</t>
        </is>
      </c>
      <c r="E18" t="n">
        <v>2025</v>
      </c>
      <c r="H18" t="n">
        <v>19</v>
      </c>
      <c r="I18" t="n">
        <v>3043</v>
      </c>
      <c r="J18" t="inlineStr">
        <is>
          <t>Y</t>
        </is>
      </c>
      <c r="K18" t="inlineStr">
        <is>
          <t>adaaran.com</t>
        </is>
      </c>
      <c r="L18" t="inlineStr">
        <is>
          <t>official</t>
        </is>
      </c>
      <c r="M18" t="inlineStr">
        <is>
          <t>https://adaaran.eme-devops.com/2025/08/Adaaran-Select-Hudhuran-Fushi-%E2%80%93-Sustainability-Report-2024-2025.pdf</t>
        </is>
      </c>
      <c r="N18" t="inlineStr">
        <is>
          <t>https://adaaran.eme-devops.com/2025/08/Adaaran-Select-Hudhuran-Fushi-%E2%80%93-Sustainability-Report-2024-2025.pdf</t>
        </is>
      </c>
      <c r="O18" t="inlineStr">
        <is>
          <t>15e27309fe69d1384476bca7a347cdc7a22b5277358a34a49b6466261a123f35</t>
        </is>
      </c>
      <c r="P18" t="inlineStr">
        <is>
          <t>library/003_adaaran-select-hudhuranfushi/sustainability/2025_Adaaran-Select-Hudhuran-Fushi-_-Sustainability-Report-2024-2025.pdf</t>
        </is>
      </c>
      <c r="R18" t="inlineStr">
        <is>
          <t>current</t>
        </is>
      </c>
      <c r="S18" t="inlineStr">
        <is>
          <t>N</t>
        </is>
      </c>
      <c r="T18" t="inlineStr">
        <is>
          <t>matched</t>
        </is>
      </c>
      <c r="U18" t="inlineStr">
        <is>
          <t>2026-10-04</t>
        </is>
      </c>
      <c r="V18" t="inlineStr"/>
    </row>
    <row r="19">
      <c r="A19" t="n">
        <v>3</v>
      </c>
      <c r="B19" t="inlineStr">
        <is>
          <t>Adaaran Select Hudhuranfushi</t>
        </is>
      </c>
      <c r="C19" t="inlineStr">
        <is>
          <t>sustainability</t>
        </is>
      </c>
      <c r="D19" t="inlineStr">
        <is>
          <t>2023_Adaaran-Select-Hudhuranfushi-Sustainability-Report-2023-24.pdf</t>
        </is>
      </c>
      <c r="E19" t="n">
        <v>2023</v>
      </c>
      <c r="H19" t="n">
        <v>17</v>
      </c>
      <c r="I19" t="n">
        <v>2515</v>
      </c>
      <c r="J19" t="inlineStr">
        <is>
          <t>Y</t>
        </is>
      </c>
      <c r="K19" t="inlineStr">
        <is>
          <t>adaaran.com</t>
        </is>
      </c>
      <c r="L19" t="inlineStr">
        <is>
          <t>official</t>
        </is>
      </c>
      <c r="M19" t="inlineStr">
        <is>
          <t>https://adaaran.eme-devops.com/2025/08/Adaaran-Select-Hudhuranfushi-Sustainability-Report-2023-24.pdf</t>
        </is>
      </c>
      <c r="N19" t="inlineStr">
        <is>
          <t>https://adaaran.eme-devops.com/2025/08/Adaaran-Select-Hudhuranfushi-Sustainability-Report-2023-24.pdf</t>
        </is>
      </c>
      <c r="O19" t="inlineStr">
        <is>
          <t>3ce908f23d54e644eacb1fab2bae24ee0ed7266ecc1e2e8aec7cae30ae59e7ad</t>
        </is>
      </c>
      <c r="P19" t="inlineStr">
        <is>
          <t>library/003_adaaran-select-hudhuranfushi/sustainability/2023_Adaaran-Select-Hudhuranfushi-Sustainability-Report-2023-24.pdf</t>
        </is>
      </c>
      <c r="R19" t="inlineStr">
        <is>
          <t>outdated</t>
        </is>
      </c>
      <c r="S19" t="inlineStr">
        <is>
          <t>N</t>
        </is>
      </c>
      <c r="T19" t="inlineStr">
        <is>
          <t>matched</t>
        </is>
      </c>
      <c r="U19" t="inlineStr">
        <is>
          <t>2026-10-04</t>
        </is>
      </c>
      <c r="V19" t="inlineStr"/>
    </row>
    <row r="20">
      <c r="A20" t="n">
        <v>3</v>
      </c>
      <c r="B20" t="inlineStr">
        <is>
          <t>Adaaran Select Hudhuranfushi</t>
        </is>
      </c>
      <c r="C20" t="inlineStr">
        <is>
          <t>sustainability</t>
        </is>
      </c>
      <c r="D20" t="inlineStr">
        <is>
          <t>2022_Adaaran-Select-Hudhuranfushi-Sustainability-Report-2022-23.pdf</t>
        </is>
      </c>
      <c r="E20" t="n">
        <v>2022</v>
      </c>
      <c r="H20" t="n">
        <v>16</v>
      </c>
      <c r="I20" t="n">
        <v>4384</v>
      </c>
      <c r="J20" t="inlineStr">
        <is>
          <t>Y</t>
        </is>
      </c>
      <c r="K20" t="inlineStr">
        <is>
          <t>adaaran.com</t>
        </is>
      </c>
      <c r="L20" t="inlineStr">
        <is>
          <t>official</t>
        </is>
      </c>
      <c r="M20" t="inlineStr">
        <is>
          <t>https://adaaran.eme-devops.com/2025/08/Adaaran-Select-Hudhuranfushi-Sustainability-Report-2022-23.pdf</t>
        </is>
      </c>
      <c r="N20" t="inlineStr">
        <is>
          <t>https://adaaran.eme-devops.com/2025/08/Adaaran-Select-Hudhuranfushi-Sustainability-Report-2022-23.pdf</t>
        </is>
      </c>
      <c r="O20" t="inlineStr">
        <is>
          <t>1a940a12891c464608ca25e4a73fbfe1469cc5bb591e1918c7386a4a8408450e</t>
        </is>
      </c>
      <c r="P20" t="inlineStr">
        <is>
          <t>library/003_adaaran-select-hudhuranfushi/sustainability/2022_Adaaran-Select-Hudhuranfushi-Sustainability-Report-2022-23.pdf</t>
        </is>
      </c>
      <c r="R20" t="inlineStr">
        <is>
          <t>outdated</t>
        </is>
      </c>
      <c r="S20" t="inlineStr">
        <is>
          <t>N</t>
        </is>
      </c>
      <c r="T20" t="inlineStr">
        <is>
          <t>matched</t>
        </is>
      </c>
      <c r="U20" t="inlineStr">
        <is>
          <t>2026-10-04</t>
        </is>
      </c>
      <c r="V20" t="inlineStr"/>
    </row>
    <row r="21">
      <c r="A21" t="n">
        <v>3</v>
      </c>
      <c r="B21" t="inlineStr">
        <is>
          <t>Adaaran Select Hudhuranfushi</t>
        </is>
      </c>
      <c r="C21" t="inlineStr">
        <is>
          <t>sustainability</t>
        </is>
      </c>
      <c r="D21" t="inlineStr">
        <is>
          <t>2021_Adaaran-Select-Hudhuranfushi-Sustainability-Report-2021-22.pdf</t>
        </is>
      </c>
      <c r="E21" t="n">
        <v>2021</v>
      </c>
      <c r="H21" t="n">
        <v>19</v>
      </c>
      <c r="I21" t="n">
        <v>4728</v>
      </c>
      <c r="J21" t="inlineStr">
        <is>
          <t>Y</t>
        </is>
      </c>
      <c r="K21" t="inlineStr">
        <is>
          <t>adaaran.com</t>
        </is>
      </c>
      <c r="L21" t="inlineStr">
        <is>
          <t>official</t>
        </is>
      </c>
      <c r="M21" t="inlineStr">
        <is>
          <t>https://adaaran.eme-devops.com/2025/08/Adaaran-Select-Hudhuranfushi-Sustainability-Report-2021-22.pdf</t>
        </is>
      </c>
      <c r="N21" t="inlineStr">
        <is>
          <t>https://adaaran.eme-devops.com/2025/08/Adaaran-Select-Hudhuranfushi-Sustainability-Report-2021-22.pdf</t>
        </is>
      </c>
      <c r="O21" t="inlineStr">
        <is>
          <t>d310fd2fb311577c9ba0f38180b792a7e1b8c8a84570964f165d426be895e8ea</t>
        </is>
      </c>
      <c r="P21" t="inlineStr">
        <is>
          <t>library/003_adaaran-select-hudhuranfushi/sustainability/2021_Adaaran-Select-Hudhuranfushi-Sustainability-Report-2021-22.pdf</t>
        </is>
      </c>
      <c r="R21" t="inlineStr">
        <is>
          <t>outdated</t>
        </is>
      </c>
      <c r="S21" t="inlineStr">
        <is>
          <t>N</t>
        </is>
      </c>
      <c r="T21" t="inlineStr">
        <is>
          <t>matched</t>
        </is>
      </c>
      <c r="U21" t="inlineStr">
        <is>
          <t>2026-10-04</t>
        </is>
      </c>
      <c r="V21" t="inlineStr"/>
    </row>
    <row r="22">
      <c r="A22" t="n">
        <v>3</v>
      </c>
      <c r="B22" t="inlineStr">
        <is>
          <t>Adaaran Select Hudhuranfushi</t>
        </is>
      </c>
      <c r="C22" t="inlineStr">
        <is>
          <t>sustainability</t>
        </is>
      </c>
      <c r="D22" t="inlineStr">
        <is>
          <t>2019_Adaaran-Select-Hudhuranfushi-Sustainability-Report-2019-20-21.pdf</t>
        </is>
      </c>
      <c r="E22" t="n">
        <v>2019</v>
      </c>
      <c r="H22" t="n">
        <v>22</v>
      </c>
      <c r="I22" t="n">
        <v>5601</v>
      </c>
      <c r="J22" t="inlineStr">
        <is>
          <t>N</t>
        </is>
      </c>
      <c r="K22" t="inlineStr">
        <is>
          <t>adaaran.com</t>
        </is>
      </c>
      <c r="L22" t="inlineStr">
        <is>
          <t>official</t>
        </is>
      </c>
      <c r="M22" t="inlineStr">
        <is>
          <t>https://adaaran.eme-devops.com/2025/08/Adaaran-Select-Hudhuranfushi-Sustainability-Report-2019-20-21.pdf</t>
        </is>
      </c>
      <c r="N22" t="inlineStr">
        <is>
          <t>https://adaaran.eme-devops.com/2025/08/Adaaran-Select-Hudhuranfushi-Sustainability-Report-2019-20-21.pdf</t>
        </is>
      </c>
      <c r="O22" t="inlineStr">
        <is>
          <t>544f09afa7e35999efe785602e91b5ac9b55243b626e9557c6c8a0f65eeb874e</t>
        </is>
      </c>
      <c r="P22" t="inlineStr">
        <is>
          <t>library/003_adaaran-select-hudhuranfushi/sustainability/2019_Adaaran-Select-Hudhuranfushi-Sustainability-Report-2019-20-21.pdf</t>
        </is>
      </c>
      <c r="R22" t="inlineStr">
        <is>
          <t>outdated</t>
        </is>
      </c>
      <c r="S22" t="inlineStr">
        <is>
          <t>N</t>
        </is>
      </c>
      <c r="T22" t="inlineStr">
        <is>
          <t>matched</t>
        </is>
      </c>
      <c r="U22" t="inlineStr">
        <is>
          <t>2026-10-04</t>
        </is>
      </c>
      <c r="V22" t="inlineStr"/>
    </row>
    <row r="23">
      <c r="A23" t="n">
        <v>4</v>
      </c>
      <c r="B23" t="inlineStr">
        <is>
          <t>Ayada Maldives</t>
        </is>
      </c>
      <c r="C23" t="inlineStr">
        <is>
          <t>factsheet</t>
        </is>
      </c>
      <c r="D23" t="inlineStr">
        <is>
          <t>2024_Ayada-Maldives-Factsheet.pdf</t>
        </is>
      </c>
      <c r="E23" t="n">
        <v>2024</v>
      </c>
      <c r="H23" t="n">
        <v>5</v>
      </c>
      <c r="I23" t="n">
        <v>1010</v>
      </c>
      <c r="J23" t="inlineStr">
        <is>
          <t>Y</t>
        </is>
      </c>
      <c r="K23" t="inlineStr">
        <is>
          <t>neoscapesmaldives.com</t>
        </is>
      </c>
      <c r="L23" t="inlineStr">
        <is>
          <t>dmc-agency</t>
        </is>
      </c>
      <c r="M23" t="inlineStr">
        <is>
          <t>https://www.neoscapesmaldives.com/wp-content/uploads/Ayada-Maldives-Factsheet.pdf</t>
        </is>
      </c>
      <c r="N23" t="inlineStr">
        <is>
          <t>https://www.neoscapesmaldives.com/wp-content/uploads/Ayada-Maldives-Factsheet.pdf</t>
        </is>
      </c>
      <c r="O23" t="inlineStr">
        <is>
          <t>19b02051f838b69028909773e22e302bf07da75a4c7b3814532d31d99b99689b</t>
        </is>
      </c>
      <c r="P23" t="inlineStr">
        <is>
          <t>library/004_ayada-maldives/factsheet/2024_Ayada-Maldives-Factsheet.pdf</t>
        </is>
      </c>
      <c r="R23" t="inlineStr">
        <is>
          <t>outdated</t>
        </is>
      </c>
      <c r="S23" t="inlineStr">
        <is>
          <t>Y</t>
        </is>
      </c>
      <c r="T23" t="inlineStr">
        <is>
          <t>matched</t>
        </is>
      </c>
      <c r="U23" t="inlineStr">
        <is>
          <t>2026-10-04</t>
        </is>
      </c>
      <c r="V23" t="inlineStr"/>
    </row>
    <row r="24">
      <c r="A24" t="n">
        <v>4</v>
      </c>
      <c r="B24" t="inlineStr">
        <is>
          <t>Ayada Maldives</t>
        </is>
      </c>
      <c r="C24" t="inlineStr">
        <is>
          <t>wedding</t>
        </is>
      </c>
      <c r="D24" t="inlineStr">
        <is>
          <t>2024_Ayada-Maldives-Wedding-Package-2024.pdf</t>
        </is>
      </c>
      <c r="E24" t="n">
        <v>2024</v>
      </c>
      <c r="H24" t="n">
        <v>8</v>
      </c>
      <c r="I24" t="n">
        <v>6441</v>
      </c>
      <c r="J24" t="inlineStr">
        <is>
          <t>Y</t>
        </is>
      </c>
      <c r="K24" t="inlineStr">
        <is>
          <t>ayadamaldives.com</t>
        </is>
      </c>
      <c r="L24" t="inlineStr">
        <is>
          <t>official</t>
        </is>
      </c>
      <c r="M24" t="inlineStr">
        <is>
          <t>https://www.ayadamaldives.com/s/Ayada-Maldives-Wedding-Package-2024.pdf</t>
        </is>
      </c>
      <c r="N24" t="inlineStr">
        <is>
          <t>https://www.ayadamaldives.com/s/Ayada-Maldives-Wedding-Package-2024.pdf</t>
        </is>
      </c>
      <c r="O24" t="inlineStr">
        <is>
          <t>6393fde676a95714b524b2051379a2317881bf2a14b9821d15247f38d73a0350</t>
        </is>
      </c>
      <c r="P24" t="inlineStr">
        <is>
          <t>library/004_ayada-maldives/wedding/2024_Ayada-Maldives-Wedding-Package-2024.pdf</t>
        </is>
      </c>
      <c r="R24" t="inlineStr">
        <is>
          <t>outdated</t>
        </is>
      </c>
      <c r="S24" t="inlineStr">
        <is>
          <t>Y</t>
        </is>
      </c>
      <c r="T24" t="inlineStr">
        <is>
          <t>matched</t>
        </is>
      </c>
      <c r="U24" t="inlineStr">
        <is>
          <t>2026-10-04</t>
        </is>
      </c>
      <c r="V24" t="inlineStr"/>
    </row>
    <row r="25">
      <c r="A25" t="n">
        <v>4</v>
      </c>
      <c r="B25" t="inlineStr">
        <is>
          <t>Ayada Maldives</t>
        </is>
      </c>
      <c r="C25" t="inlineStr">
        <is>
          <t>dining_menu</t>
        </is>
      </c>
      <c r="D25" t="inlineStr">
        <is>
          <t>2024_CH-Bev-List.pdf</t>
        </is>
      </c>
      <c r="E25" t="n">
        <v>2024</v>
      </c>
      <c r="H25" t="n">
        <v>10</v>
      </c>
      <c r="I25" t="n">
        <v>2566</v>
      </c>
      <c r="J25" t="inlineStr">
        <is>
          <t>Y</t>
        </is>
      </c>
      <c r="K25" t="inlineStr">
        <is>
          <t>ayadamaldives.com</t>
        </is>
      </c>
      <c r="L25" t="inlineStr">
        <is>
          <t>official</t>
        </is>
      </c>
      <c r="M25" t="inlineStr">
        <is>
          <t>https://www.ayadamaldives.com/s/CH-Bev-List.pdf</t>
        </is>
      </c>
      <c r="N25" t="inlineStr">
        <is>
          <t>https://www.ayadamaldives.com/s/CH-Bev-List.pdf</t>
        </is>
      </c>
      <c r="O25" t="inlineStr">
        <is>
          <t>7066a36fd8272d652962db727a0c622485e7558367863b6a5ac1cad4ac72cee0</t>
        </is>
      </c>
      <c r="P25" t="inlineStr">
        <is>
          <t>library/004_ayada-maldives/dining_menu/2024_CH-Bev-List.pdf</t>
        </is>
      </c>
      <c r="R25" t="inlineStr">
        <is>
          <t>outdated</t>
        </is>
      </c>
      <c r="S25" t="inlineStr">
        <is>
          <t>N</t>
        </is>
      </c>
      <c r="T25" t="inlineStr">
        <is>
          <t>matched</t>
        </is>
      </c>
      <c r="U25" t="inlineStr">
        <is>
          <t>2026-10-04</t>
        </is>
      </c>
      <c r="V25" t="inlineStr"/>
    </row>
    <row r="26">
      <c r="A26" t="n">
        <v>4</v>
      </c>
      <c r="B26" t="inlineStr">
        <is>
          <t>Ayada Maldives</t>
        </is>
      </c>
      <c r="C26" t="inlineStr">
        <is>
          <t>dining_menu</t>
        </is>
      </c>
      <c r="D26" t="inlineStr">
        <is>
          <t>2024_Wine-List-2024-russian.pdf</t>
        </is>
      </c>
      <c r="E26" t="n">
        <v>2024</v>
      </c>
      <c r="H26" t="n">
        <v>11</v>
      </c>
      <c r="I26" t="n">
        <v>675</v>
      </c>
      <c r="J26" t="inlineStr">
        <is>
          <t>Y</t>
        </is>
      </c>
      <c r="K26" t="inlineStr">
        <is>
          <t>ayadamaldives.com</t>
        </is>
      </c>
      <c r="L26" t="inlineStr">
        <is>
          <t>official</t>
        </is>
      </c>
      <c r="M26" t="inlineStr">
        <is>
          <t>https://www.ayadamaldives.com/s/Wine-List-2024-russian.pdf</t>
        </is>
      </c>
      <c r="N26" t="inlineStr">
        <is>
          <t>https://www.ayadamaldives.com/s/Wine-List-2024-russian.pdf</t>
        </is>
      </c>
      <c r="O26" t="inlineStr">
        <is>
          <t>6241fb078a6b38a94889f3acedc4c4e9b7466ba7198a373eee756ab8c9d298fd</t>
        </is>
      </c>
      <c r="P26" t="inlineStr">
        <is>
          <t>library/004_ayada-maldives/dining_menu/2024_Wine-List-2024-russian.pdf</t>
        </is>
      </c>
      <c r="R26" t="inlineStr">
        <is>
          <t>outdated</t>
        </is>
      </c>
      <c r="S26" t="inlineStr">
        <is>
          <t>Y</t>
        </is>
      </c>
      <c r="T26" t="inlineStr">
        <is>
          <t>matched</t>
        </is>
      </c>
      <c r="U26" t="inlineStr">
        <is>
          <t>2026-10-04</t>
        </is>
      </c>
      <c r="V26" t="inlineStr"/>
    </row>
    <row r="27">
      <c r="A27" t="n">
        <v>4</v>
      </c>
      <c r="B27" t="inlineStr">
        <is>
          <t>Ayada Maldives</t>
        </is>
      </c>
      <c r="C27" t="inlineStr">
        <is>
          <t>dining_menu</t>
        </is>
      </c>
      <c r="D27" t="inlineStr">
        <is>
          <t>2024_Wine-List-2024.pdf</t>
        </is>
      </c>
      <c r="E27" t="n">
        <v>2024</v>
      </c>
      <c r="H27" t="n">
        <v>11</v>
      </c>
      <c r="I27" t="n">
        <v>613</v>
      </c>
      <c r="J27" t="inlineStr">
        <is>
          <t>Y</t>
        </is>
      </c>
      <c r="K27" t="inlineStr">
        <is>
          <t>ayadamaldives.com</t>
        </is>
      </c>
      <c r="L27" t="inlineStr">
        <is>
          <t>official</t>
        </is>
      </c>
      <c r="M27" t="inlineStr">
        <is>
          <t>https://www.ayadamaldives.com/s/Wine-List-2024.pdf</t>
        </is>
      </c>
      <c r="N27" t="inlineStr">
        <is>
          <t>https://www.ayadamaldives.com/s/Wine-List-2024.pdf</t>
        </is>
      </c>
      <c r="O27" t="inlineStr">
        <is>
          <t>e8afbac975a711457b75da281377a2f797ebdd303b39fb3294d54da5809c5061</t>
        </is>
      </c>
      <c r="P27" t="inlineStr">
        <is>
          <t>library/004_ayada-maldives/dining_menu/2024_Wine-List-2024.pdf</t>
        </is>
      </c>
      <c r="R27" t="inlineStr">
        <is>
          <t>outdated</t>
        </is>
      </c>
      <c r="S27" t="inlineStr">
        <is>
          <t>N</t>
        </is>
      </c>
      <c r="T27" t="inlineStr">
        <is>
          <t>matched</t>
        </is>
      </c>
      <c r="U27" t="inlineStr">
        <is>
          <t>2026-10-04</t>
        </is>
      </c>
      <c r="V27" t="inlineStr"/>
    </row>
    <row r="28">
      <c r="A28" t="n">
        <v>4</v>
      </c>
      <c r="B28" t="inlineStr">
        <is>
          <t>Ayada Maldives</t>
        </is>
      </c>
      <c r="C28" t="inlineStr">
        <is>
          <t>dining_menu</t>
        </is>
      </c>
      <c r="D28" t="inlineStr">
        <is>
          <t>2024_Eng-Bev-List.pdf</t>
        </is>
      </c>
      <c r="E28" t="n">
        <v>2024</v>
      </c>
      <c r="H28" t="n">
        <v>10</v>
      </c>
      <c r="I28" t="n">
        <v>927</v>
      </c>
      <c r="J28" t="inlineStr">
        <is>
          <t>Y</t>
        </is>
      </c>
      <c r="K28" t="inlineStr">
        <is>
          <t>ayadamaldives.com</t>
        </is>
      </c>
      <c r="L28" t="inlineStr">
        <is>
          <t>official</t>
        </is>
      </c>
      <c r="M28" t="inlineStr">
        <is>
          <t>https://www.ayadamaldives.com/s/Eng-Bev-List.pdf</t>
        </is>
      </c>
      <c r="N28" t="inlineStr">
        <is>
          <t>https://www.ayadamaldives.com/s/Eng-Bev-List.pdf</t>
        </is>
      </c>
      <c r="O28" t="inlineStr">
        <is>
          <t>5db2fbe56312d1c7924162b009be0c635809700ffeccb360f81d74116ecef420</t>
        </is>
      </c>
      <c r="P28" t="inlineStr">
        <is>
          <t>library/004_ayada-maldives/dining_menu/2024_Eng-Bev-List.pdf</t>
        </is>
      </c>
      <c r="R28" t="inlineStr">
        <is>
          <t>outdated</t>
        </is>
      </c>
      <c r="S28" t="inlineStr">
        <is>
          <t>N</t>
        </is>
      </c>
      <c r="T28" t="inlineStr">
        <is>
          <t>matched</t>
        </is>
      </c>
      <c r="U28" t="inlineStr">
        <is>
          <t>2026-10-04</t>
        </is>
      </c>
      <c r="V28" t="inlineStr"/>
    </row>
    <row r="29">
      <c r="A29" t="n">
        <v>4</v>
      </c>
      <c r="B29" t="inlineStr">
        <is>
          <t>Ayada Maldives</t>
        </is>
      </c>
      <c r="C29" t="inlineStr">
        <is>
          <t>dining_menu</t>
        </is>
      </c>
      <c r="D29" t="inlineStr">
        <is>
          <t>2024_RU-Bev-List.pdf</t>
        </is>
      </c>
      <c r="E29" t="n">
        <v>2024</v>
      </c>
      <c r="H29" t="n">
        <v>10</v>
      </c>
      <c r="I29" t="n">
        <v>1188</v>
      </c>
      <c r="J29" t="inlineStr">
        <is>
          <t>Y</t>
        </is>
      </c>
      <c r="K29" t="inlineStr">
        <is>
          <t>ayadamaldives.com</t>
        </is>
      </c>
      <c r="L29" t="inlineStr">
        <is>
          <t>official</t>
        </is>
      </c>
      <c r="M29" t="inlineStr">
        <is>
          <t>https://www.ayadamaldives.com/s/RU-Bev-List.pdf</t>
        </is>
      </c>
      <c r="N29" t="inlineStr">
        <is>
          <t>https://www.ayadamaldives.com/s/RU-Bev-List.pdf</t>
        </is>
      </c>
      <c r="O29" t="inlineStr">
        <is>
          <t>2feccd92e690e001116c38de71f8ece41aea48a2261ef7a733949a67ca12205a</t>
        </is>
      </c>
      <c r="P29" t="inlineStr">
        <is>
          <t>library/004_ayada-maldives/dining_menu/2024_RU-Bev-List.pdf</t>
        </is>
      </c>
      <c r="R29" t="inlineStr">
        <is>
          <t>outdated</t>
        </is>
      </c>
      <c r="S29" t="inlineStr">
        <is>
          <t>N</t>
        </is>
      </c>
      <c r="T29" t="inlineStr">
        <is>
          <t>matched</t>
        </is>
      </c>
      <c r="U29" t="inlineStr">
        <is>
          <t>2026-10-04</t>
        </is>
      </c>
      <c r="V29" t="inlineStr"/>
    </row>
    <row r="30">
      <c r="A30" t="n">
        <v>4</v>
      </c>
      <c r="B30" t="inlineStr">
        <is>
          <t>Ayada Maldives</t>
        </is>
      </c>
      <c r="C30" t="inlineStr">
        <is>
          <t>dining_menu</t>
        </is>
      </c>
      <c r="D30" t="inlineStr">
        <is>
          <t>2024_Wine-List-2024-chinese.pdf</t>
        </is>
      </c>
      <c r="E30" t="n">
        <v>2024</v>
      </c>
      <c r="H30" t="n">
        <v>11</v>
      </c>
      <c r="I30" t="n">
        <v>2449</v>
      </c>
      <c r="J30" t="inlineStr">
        <is>
          <t>Y</t>
        </is>
      </c>
      <c r="K30" t="inlineStr">
        <is>
          <t>ayadamaldives.com</t>
        </is>
      </c>
      <c r="L30" t="inlineStr">
        <is>
          <t>official</t>
        </is>
      </c>
      <c r="M30" t="inlineStr">
        <is>
          <t>https://www.ayadamaldives.com/s/Wine-List-2024-chinese.pdf</t>
        </is>
      </c>
      <c r="N30" t="inlineStr">
        <is>
          <t>https://www.ayadamaldives.com/s/Wine-List-2024-chinese.pdf</t>
        </is>
      </c>
      <c r="O30" t="inlineStr">
        <is>
          <t>66021ce4c6422cb1e357ac0dde8148bc1133e9a567521d331fd112872d2f4d78</t>
        </is>
      </c>
      <c r="P30" t="inlineStr">
        <is>
          <t>library/004_ayada-maldives/dining_menu/2024_Wine-List-2024-chinese.pdf</t>
        </is>
      </c>
      <c r="R30" t="inlineStr">
        <is>
          <t>outdated</t>
        </is>
      </c>
      <c r="S30" t="inlineStr">
        <is>
          <t>N</t>
        </is>
      </c>
      <c r="T30" t="inlineStr">
        <is>
          <t>matched</t>
        </is>
      </c>
      <c r="U30" t="inlineStr">
        <is>
          <t>2026-10-04</t>
        </is>
      </c>
      <c r="V30" t="inlineStr"/>
    </row>
    <row r="31">
      <c r="A31" t="n">
        <v>4</v>
      </c>
      <c r="B31" t="inlineStr">
        <is>
          <t>Ayada Maldives</t>
        </is>
      </c>
      <c r="C31" t="inlineStr">
        <is>
          <t>dining_menu</t>
        </is>
      </c>
      <c r="D31" t="inlineStr">
        <is>
          <t>2024_CigarMenu2pdf-onlynames-1.pdf</t>
        </is>
      </c>
      <c r="E31" t="n">
        <v>2024</v>
      </c>
      <c r="H31" t="n">
        <v>1</v>
      </c>
      <c r="I31" t="n">
        <v>4086</v>
      </c>
      <c r="J31" t="inlineStr">
        <is>
          <t>Y</t>
        </is>
      </c>
      <c r="K31" t="inlineStr">
        <is>
          <t>ayadamaldives.com</t>
        </is>
      </c>
      <c r="L31" t="inlineStr">
        <is>
          <t>official</t>
        </is>
      </c>
      <c r="M31" t="inlineStr">
        <is>
          <t>https://www.ayadamaldives.com/s/CigarMenu2pdf-onlynames-1.pdf</t>
        </is>
      </c>
      <c r="N31" t="inlineStr">
        <is>
          <t>https://www.ayadamaldives.com/s/CigarMenu2pdf-onlynames-1.pdf</t>
        </is>
      </c>
      <c r="O31" t="inlineStr">
        <is>
          <t>af0837caf02917d64e4503c3b97a72abffd86bd8d384a299ccfe6fa8f1fd6c8b</t>
        </is>
      </c>
      <c r="P31" t="inlineStr">
        <is>
          <t>library/004_ayada-maldives/dining_menu/2024_CigarMenu2pdf-onlynames-1.pdf</t>
        </is>
      </c>
      <c r="R31" t="inlineStr">
        <is>
          <t>outdated</t>
        </is>
      </c>
      <c r="S31" t="inlineStr">
        <is>
          <t>N</t>
        </is>
      </c>
      <c r="T31" t="inlineStr">
        <is>
          <t>matched</t>
        </is>
      </c>
      <c r="U31" t="inlineStr">
        <is>
          <t>2026-10-04</t>
        </is>
      </c>
      <c r="V31" t="inlineStr"/>
    </row>
    <row r="32">
      <c r="A32" t="n">
        <v>4</v>
      </c>
      <c r="B32" t="inlineStr">
        <is>
          <t>Ayada Maldives</t>
        </is>
      </c>
      <c r="C32" t="inlineStr">
        <is>
          <t>dining_menu</t>
        </is>
      </c>
      <c r="D32" t="inlineStr">
        <is>
          <t>2023_In-Villa-Dinning-Menu-24hrs-English.pdf</t>
        </is>
      </c>
      <c r="E32" t="n">
        <v>2023</v>
      </c>
      <c r="H32" t="n">
        <v>5</v>
      </c>
      <c r="I32" t="n">
        <v>58</v>
      </c>
      <c r="J32" t="inlineStr">
        <is>
          <t>Y</t>
        </is>
      </c>
      <c r="K32" t="inlineStr">
        <is>
          <t>ayadamaldives.com</t>
        </is>
      </c>
      <c r="L32" t="inlineStr">
        <is>
          <t>official</t>
        </is>
      </c>
      <c r="M32" t="inlineStr">
        <is>
          <t>https://www.ayadamaldives.com/s/In-Villa-Dinning-Menu-24hrs-English.pdf</t>
        </is>
      </c>
      <c r="N32" t="inlineStr">
        <is>
          <t>https://www.ayadamaldives.com/s/In-Villa-Dinning-Menu-24hrs-English.pdf</t>
        </is>
      </c>
      <c r="O32" t="inlineStr">
        <is>
          <t>b574fe01ad0cc2cf1333f5bc3b94d6cab24ceb16f08abfd7fd778b3c03491bb7</t>
        </is>
      </c>
      <c r="P32" t="inlineStr">
        <is>
          <t>library/004_ayada-maldives/dining_menu/2023_In-Villa-Dinning-Menu-24hrs-English.pdf</t>
        </is>
      </c>
      <c r="R32" t="inlineStr">
        <is>
          <t>outdated</t>
        </is>
      </c>
      <c r="S32" t="inlineStr">
        <is>
          <t>N</t>
        </is>
      </c>
      <c r="T32" t="inlineStr">
        <is>
          <t>matched</t>
        </is>
      </c>
      <c r="U32" t="inlineStr">
        <is>
          <t>2026-10-04</t>
        </is>
      </c>
      <c r="V32" t="inlineStr"/>
    </row>
    <row r="33">
      <c r="A33" t="n">
        <v>4</v>
      </c>
      <c r="B33" t="inlineStr">
        <is>
          <t>Ayada Maldives</t>
        </is>
      </c>
      <c r="C33" t="inlineStr">
        <is>
          <t>dining_menu</t>
        </is>
      </c>
      <c r="D33" t="inlineStr">
        <is>
          <t>2023_Sea-Salt-new-menu-Russian-re3m.pdf</t>
        </is>
      </c>
      <c r="E33" t="n">
        <v>2023</v>
      </c>
      <c r="H33" t="n">
        <v>1</v>
      </c>
      <c r="I33" t="n">
        <v>194</v>
      </c>
      <c r="J33" t="inlineStr">
        <is>
          <t>Y</t>
        </is>
      </c>
      <c r="K33" t="inlineStr">
        <is>
          <t>ayadamaldives.com</t>
        </is>
      </c>
      <c r="L33" t="inlineStr">
        <is>
          <t>official</t>
        </is>
      </c>
      <c r="M33" t="inlineStr">
        <is>
          <t>https://www.ayadamaldives.com/s/Sea-Salt-new-menu-Russian-re3m.pdf</t>
        </is>
      </c>
      <c r="N33" t="inlineStr">
        <is>
          <t>https://www.ayadamaldives.com/s/Sea-Salt-new-menu-Russian-re3m.pdf</t>
        </is>
      </c>
      <c r="O33" t="inlineStr">
        <is>
          <t>421a0b9258b977d3d57c52a89fcb1acc29c64cd30950b6cc6203a68c024fb0e0</t>
        </is>
      </c>
      <c r="P33" t="inlineStr">
        <is>
          <t>library/004_ayada-maldives/dining_menu/2023_Sea-Salt-new-menu-Russian-re3m.pdf</t>
        </is>
      </c>
      <c r="R33" t="inlineStr">
        <is>
          <t>outdated</t>
        </is>
      </c>
      <c r="S33" t="inlineStr">
        <is>
          <t>N</t>
        </is>
      </c>
      <c r="T33" t="inlineStr">
        <is>
          <t>matched</t>
        </is>
      </c>
      <c r="U33" t="inlineStr">
        <is>
          <t>2026-10-04</t>
        </is>
      </c>
      <c r="V33" t="inlineStr"/>
    </row>
    <row r="34">
      <c r="A34" t="n">
        <v>4</v>
      </c>
      <c r="B34" t="inlineStr">
        <is>
          <t>Ayada Maldives</t>
        </is>
      </c>
      <c r="C34" t="inlineStr">
        <is>
          <t>dining_menu</t>
        </is>
      </c>
      <c r="D34" t="inlineStr">
        <is>
          <t>2023_Sea-Salt-new-menu-p7pe.pdf</t>
        </is>
      </c>
      <c r="E34" t="n">
        <v>2023</v>
      </c>
      <c r="H34" t="n">
        <v>1</v>
      </c>
      <c r="I34" t="n">
        <v>90</v>
      </c>
      <c r="J34" t="inlineStr">
        <is>
          <t>Y</t>
        </is>
      </c>
      <c r="K34" t="inlineStr">
        <is>
          <t>ayadamaldives.com</t>
        </is>
      </c>
      <c r="L34" t="inlineStr">
        <is>
          <t>official</t>
        </is>
      </c>
      <c r="M34" t="inlineStr">
        <is>
          <t>https://www.ayadamaldives.com/s/Sea-Salt-new-menu-p7pe.pdf</t>
        </is>
      </c>
      <c r="N34" t="inlineStr">
        <is>
          <t>https://www.ayadamaldives.com/s/Sea-Salt-new-menu-p7pe.pdf</t>
        </is>
      </c>
      <c r="O34" t="inlineStr">
        <is>
          <t>547fbf548f962acaaf39a52f5dd4b83e5e110f0bc6bb1773d1eb59db6ce4bc6b</t>
        </is>
      </c>
      <c r="P34" t="inlineStr">
        <is>
          <t>library/004_ayada-maldives/dining_menu/2023_Sea-Salt-new-menu-p7pe.pdf</t>
        </is>
      </c>
      <c r="R34" t="inlineStr">
        <is>
          <t>outdated</t>
        </is>
      </c>
      <c r="S34" t="inlineStr">
        <is>
          <t>N</t>
        </is>
      </c>
      <c r="T34" t="inlineStr">
        <is>
          <t>matched</t>
        </is>
      </c>
      <c r="U34" t="inlineStr">
        <is>
          <t>2026-10-04</t>
        </is>
      </c>
      <c r="V34" t="inlineStr"/>
    </row>
    <row r="35">
      <c r="A35" t="n">
        <v>4</v>
      </c>
      <c r="B35" t="inlineStr">
        <is>
          <t>Ayada Maldives</t>
        </is>
      </c>
      <c r="C35" t="inlineStr">
        <is>
          <t>dining_menu</t>
        </is>
      </c>
      <c r="D35" t="inlineStr">
        <is>
          <t>2023_Sea-Salt-new-menu-Chinese-mfnc.pdf</t>
        </is>
      </c>
      <c r="E35" t="n">
        <v>2023</v>
      </c>
      <c r="H35" t="n">
        <v>1</v>
      </c>
      <c r="I35" t="n">
        <v>219</v>
      </c>
      <c r="J35" t="inlineStr">
        <is>
          <t>Y</t>
        </is>
      </c>
      <c r="K35" t="inlineStr">
        <is>
          <t>ayadamaldives.com</t>
        </is>
      </c>
      <c r="L35" t="inlineStr">
        <is>
          <t>official</t>
        </is>
      </c>
      <c r="M35" t="inlineStr">
        <is>
          <t>https://www.ayadamaldives.com/s/Sea-Salt-new-menu-Chinese-mfnc.pdf</t>
        </is>
      </c>
      <c r="N35" t="inlineStr">
        <is>
          <t>https://www.ayadamaldives.com/s/Sea-Salt-new-menu-Chinese-mfnc.pdf</t>
        </is>
      </c>
      <c r="O35" t="inlineStr">
        <is>
          <t>cae35e5f758b161a4f5a2a301fe4eccb255a675b34e99d0856f3c951e3cb2840</t>
        </is>
      </c>
      <c r="P35" t="inlineStr">
        <is>
          <t>library/004_ayada-maldives/dining_menu/2023_Sea-Salt-new-menu-Chinese-mfnc.pdf</t>
        </is>
      </c>
      <c r="R35" t="inlineStr">
        <is>
          <t>outdated</t>
        </is>
      </c>
      <c r="S35" t="inlineStr">
        <is>
          <t>N</t>
        </is>
      </c>
      <c r="T35" t="inlineStr">
        <is>
          <t>matched</t>
        </is>
      </c>
      <c r="U35" t="inlineStr">
        <is>
          <t>2026-10-04</t>
        </is>
      </c>
      <c r="V35" t="inlineStr"/>
    </row>
    <row r="36">
      <c r="A36" t="n">
        <v>4</v>
      </c>
      <c r="B36" t="inlineStr">
        <is>
          <t>Ayada Maldives</t>
        </is>
      </c>
      <c r="C36" t="inlineStr">
        <is>
          <t>dining_menu</t>
        </is>
      </c>
      <c r="D36" t="inlineStr">
        <is>
          <t>2022_IDJ-Bin-end-List-2022-English.pdf</t>
        </is>
      </c>
      <c r="E36" t="n">
        <v>2022</v>
      </c>
      <c r="H36" t="n">
        <v>1</v>
      </c>
      <c r="I36" t="n">
        <v>70</v>
      </c>
      <c r="J36" t="inlineStr">
        <is>
          <t>Y</t>
        </is>
      </c>
      <c r="K36" t="inlineStr">
        <is>
          <t>ayadamaldives.com</t>
        </is>
      </c>
      <c r="L36" t="inlineStr">
        <is>
          <t>official</t>
        </is>
      </c>
      <c r="M36" t="inlineStr">
        <is>
          <t>https://www.ayadamaldives.com/s/IDJ-Bin-end-List-2022-English.pdf</t>
        </is>
      </c>
      <c r="N36" t="inlineStr">
        <is>
          <t>https://www.ayadamaldives.com/s/IDJ-Bin-end-List-2022-English.pdf</t>
        </is>
      </c>
      <c r="O36" t="inlineStr">
        <is>
          <t>2d082c4de6baa295551a709e3f3fe21cfbbf6f47f205f62afacbb96e6d88a542</t>
        </is>
      </c>
      <c r="P36" t="inlineStr">
        <is>
          <t>library/004_ayada-maldives/dining_menu/2022_IDJ-Bin-end-List-2022-English.pdf</t>
        </is>
      </c>
      <c r="R36" t="inlineStr">
        <is>
          <t>outdated</t>
        </is>
      </c>
      <c r="S36" t="inlineStr">
        <is>
          <t>N</t>
        </is>
      </c>
      <c r="T36" t="inlineStr">
        <is>
          <t>matched</t>
        </is>
      </c>
      <c r="U36" t="inlineStr">
        <is>
          <t>2026-10-04</t>
        </is>
      </c>
      <c r="V36" t="inlineStr"/>
    </row>
    <row r="37">
      <c r="A37" t="n">
        <v>4</v>
      </c>
      <c r="B37" t="inlineStr">
        <is>
          <t>Ayada Maldives</t>
        </is>
      </c>
      <c r="C37" t="inlineStr">
        <is>
          <t>dining_menu</t>
        </is>
      </c>
      <c r="D37" t="inlineStr">
        <is>
          <t>2022_Mizu-Menu-2022-ds72.pdf</t>
        </is>
      </c>
      <c r="E37" t="n">
        <v>2022</v>
      </c>
      <c r="H37" t="n">
        <v>1</v>
      </c>
      <c r="I37" t="n">
        <v>157</v>
      </c>
      <c r="J37" t="inlineStr">
        <is>
          <t>Y</t>
        </is>
      </c>
      <c r="K37" t="inlineStr">
        <is>
          <t>ayadamaldives.com</t>
        </is>
      </c>
      <c r="L37" t="inlineStr">
        <is>
          <t>official</t>
        </is>
      </c>
      <c r="M37" t="inlineStr">
        <is>
          <t>https://www.ayadamaldives.com/s/Mizu-Menu-2022-ds72.pdf</t>
        </is>
      </c>
      <c r="N37" t="inlineStr">
        <is>
          <t>https://www.ayadamaldives.com/s/Mizu-Menu-2022-ds72.pdf</t>
        </is>
      </c>
      <c r="O37" t="inlineStr">
        <is>
          <t>02cdfa0e31f1c7a9a8c6892002577af260a8ab63149311448be967c052929c0d</t>
        </is>
      </c>
      <c r="P37" t="inlineStr">
        <is>
          <t>library/004_ayada-maldives/dining_menu/2022_Mizu-Menu-2022-ds72.pdf</t>
        </is>
      </c>
      <c r="R37" t="inlineStr">
        <is>
          <t>outdated</t>
        </is>
      </c>
      <c r="S37" t="inlineStr">
        <is>
          <t>N</t>
        </is>
      </c>
      <c r="T37" t="inlineStr">
        <is>
          <t>matched</t>
        </is>
      </c>
      <c r="U37" t="inlineStr">
        <is>
          <t>2026-10-04</t>
        </is>
      </c>
      <c r="V37" t="inlineStr"/>
    </row>
    <row r="38">
      <c r="A38" t="n">
        <v>4</v>
      </c>
      <c r="B38" t="inlineStr">
        <is>
          <t>Ayada Maldives</t>
        </is>
      </c>
      <c r="C38" t="inlineStr">
        <is>
          <t>dining_menu</t>
        </is>
      </c>
      <c r="D38" t="inlineStr">
        <is>
          <t>2022_Private-Dining-Menu-ca8b.pdf</t>
        </is>
      </c>
      <c r="E38" t="n">
        <v>2022</v>
      </c>
      <c r="H38" t="n">
        <v>1</v>
      </c>
      <c r="I38" t="n">
        <v>2361</v>
      </c>
      <c r="J38" t="inlineStr">
        <is>
          <t>Y</t>
        </is>
      </c>
      <c r="K38" t="inlineStr">
        <is>
          <t>ayadamaldives.com</t>
        </is>
      </c>
      <c r="L38" t="inlineStr">
        <is>
          <t>official</t>
        </is>
      </c>
      <c r="M38" t="inlineStr">
        <is>
          <t>https://www.ayadamaldives.com/s/Private-Dining-Menu-ca8b.pdf</t>
        </is>
      </c>
      <c r="N38" t="inlineStr">
        <is>
          <t>https://www.ayadamaldives.com/s/Private-Dining-Menu-ca8b.pdf</t>
        </is>
      </c>
      <c r="O38" t="inlineStr">
        <is>
          <t>8c794155f4129755f88ee3971e388236b792bac0109c0d35eba11412c0b3c04a</t>
        </is>
      </c>
      <c r="P38" t="inlineStr">
        <is>
          <t>library/004_ayada-maldives/dining_menu/2022_Private-Dining-Menu-ca8b.pdf</t>
        </is>
      </c>
      <c r="R38" t="inlineStr">
        <is>
          <t>outdated</t>
        </is>
      </c>
      <c r="S38" t="inlineStr">
        <is>
          <t>N</t>
        </is>
      </c>
      <c r="T38" t="inlineStr">
        <is>
          <t>matched</t>
        </is>
      </c>
      <c r="U38" t="inlineStr">
        <is>
          <t>2026-10-04</t>
        </is>
      </c>
      <c r="V38" t="inlineStr"/>
    </row>
    <row r="39">
      <c r="A39" t="n">
        <v>4</v>
      </c>
      <c r="B39" t="inlineStr">
        <is>
          <t>Ayada Maldives</t>
        </is>
      </c>
      <c r="C39" t="inlineStr">
        <is>
          <t>dining_menu</t>
        </is>
      </c>
      <c r="D39" t="inlineStr">
        <is>
          <t>2020_Beverage-List-Russian.pdf</t>
        </is>
      </c>
      <c r="E39" t="n">
        <v>2020</v>
      </c>
      <c r="H39" t="n">
        <v>7</v>
      </c>
      <c r="I39" t="n">
        <v>146</v>
      </c>
      <c r="J39" t="inlineStr">
        <is>
          <t>Y</t>
        </is>
      </c>
      <c r="K39" t="inlineStr">
        <is>
          <t>ayadamaldives.com</t>
        </is>
      </c>
      <c r="L39" t="inlineStr">
        <is>
          <t>official</t>
        </is>
      </c>
      <c r="M39" t="inlineStr">
        <is>
          <t>https://www.ayadamaldives.com/s/Beverage-List-Russian.pdf</t>
        </is>
      </c>
      <c r="N39" t="inlineStr">
        <is>
          <t>https://www.ayadamaldives.com/s/Beverage-List-Russian.pdf</t>
        </is>
      </c>
      <c r="O39" t="inlineStr">
        <is>
          <t>97a588b88659b836f4e2d3fe35d53a42fca10829b93f977181421dce0aba3b97</t>
        </is>
      </c>
      <c r="P39" t="inlineStr">
        <is>
          <t>library/004_ayada-maldives/dining_menu/2020_Beverage-List-Russian.pdf</t>
        </is>
      </c>
      <c r="R39" t="inlineStr">
        <is>
          <t>outdated</t>
        </is>
      </c>
      <c r="S39" t="inlineStr">
        <is>
          <t>N</t>
        </is>
      </c>
      <c r="T39" t="inlineStr">
        <is>
          <t>matched</t>
        </is>
      </c>
      <c r="U39" t="inlineStr">
        <is>
          <t>2026-10-04</t>
        </is>
      </c>
      <c r="V39" t="inlineStr"/>
    </row>
    <row r="40">
      <c r="A40" t="n">
        <v>4</v>
      </c>
      <c r="B40" t="inlineStr">
        <is>
          <t>Ayada Maldives</t>
        </is>
      </c>
      <c r="C40" t="inlineStr">
        <is>
          <t>dining_menu</t>
        </is>
      </c>
      <c r="D40" t="inlineStr">
        <is>
          <t>2020_Kai-Menu-October-Russian.pdf</t>
        </is>
      </c>
      <c r="E40" t="n">
        <v>2020</v>
      </c>
      <c r="H40" t="n">
        <v>5</v>
      </c>
      <c r="I40" t="n">
        <v>316</v>
      </c>
      <c r="J40" t="inlineStr">
        <is>
          <t>Y</t>
        </is>
      </c>
      <c r="K40" t="inlineStr">
        <is>
          <t>ayadamaldives.com</t>
        </is>
      </c>
      <c r="L40" t="inlineStr">
        <is>
          <t>official</t>
        </is>
      </c>
      <c r="M40" t="inlineStr">
        <is>
          <t>https://www.ayadamaldives.com/s/Kai-Menu-October-Russian.pdf</t>
        </is>
      </c>
      <c r="N40" t="inlineStr">
        <is>
          <t>https://www.ayadamaldives.com/s/Kai-Menu-October-Russian.pdf</t>
        </is>
      </c>
      <c r="O40" t="inlineStr">
        <is>
          <t>4583c25fcac701cf7a69ddd895698d5f4d120014e177f638081b144dfecb2b22</t>
        </is>
      </c>
      <c r="P40" t="inlineStr">
        <is>
          <t>library/004_ayada-maldives/dining_menu/2020_Kai-Menu-October-Russian.pdf</t>
        </is>
      </c>
      <c r="R40" t="inlineStr">
        <is>
          <t>outdated</t>
        </is>
      </c>
      <c r="S40" t="inlineStr">
        <is>
          <t>N</t>
        </is>
      </c>
      <c r="T40" t="inlineStr">
        <is>
          <t>matched</t>
        </is>
      </c>
      <c r="U40" t="inlineStr">
        <is>
          <t>2026-10-04</t>
        </is>
      </c>
      <c r="V40" t="inlineStr"/>
    </row>
    <row r="41">
      <c r="A41" t="n">
        <v>4</v>
      </c>
      <c r="B41" t="inlineStr">
        <is>
          <t>Ayada Maldives</t>
        </is>
      </c>
      <c r="C41" t="inlineStr">
        <is>
          <t>dining_menu</t>
        </is>
      </c>
      <c r="D41" t="inlineStr">
        <is>
          <t>2020_ZD-October-Menu-Russian-FINAL.pdf</t>
        </is>
      </c>
      <c r="E41" t="n">
        <v>2020</v>
      </c>
      <c r="H41" t="n">
        <v>4</v>
      </c>
      <c r="I41" t="n">
        <v>453</v>
      </c>
      <c r="J41" t="inlineStr">
        <is>
          <t>Y</t>
        </is>
      </c>
      <c r="K41" t="inlineStr">
        <is>
          <t>ayadamaldives.com</t>
        </is>
      </c>
      <c r="L41" t="inlineStr">
        <is>
          <t>official</t>
        </is>
      </c>
      <c r="M41" t="inlineStr">
        <is>
          <t>https://www.ayadamaldives.com/s/ZD-October-Menu-Russian-FINAL.pdf</t>
        </is>
      </c>
      <c r="N41" t="inlineStr">
        <is>
          <t>https://www.ayadamaldives.com/s/ZD-October-Menu-Russian-FINAL.pdf</t>
        </is>
      </c>
      <c r="O41" t="inlineStr">
        <is>
          <t>00a4cde4aac5c7a9b18edd288eba1f4b520f051111b370148c49c16dd913104f</t>
        </is>
      </c>
      <c r="P41" t="inlineStr">
        <is>
          <t>library/004_ayada-maldives/dining_menu/2020_ZD-October-Menu-Russian-FINAL.pdf</t>
        </is>
      </c>
      <c r="R41" t="inlineStr">
        <is>
          <t>outdated</t>
        </is>
      </c>
      <c r="S41" t="inlineStr">
        <is>
          <t>N</t>
        </is>
      </c>
      <c r="T41" t="inlineStr">
        <is>
          <t>matched</t>
        </is>
      </c>
      <c r="U41" t="inlineStr">
        <is>
          <t>2026-10-04</t>
        </is>
      </c>
      <c r="V41" t="inlineStr"/>
    </row>
    <row r="42">
      <c r="A42" t="n">
        <v>4</v>
      </c>
      <c r="B42" t="inlineStr">
        <is>
          <t>Ayada Maldives</t>
        </is>
      </c>
      <c r="C42" t="inlineStr">
        <is>
          <t>dining_menu</t>
        </is>
      </c>
      <c r="D42" t="inlineStr">
        <is>
          <t>2020_Russian-Beach-BBQ-Menu.pdf</t>
        </is>
      </c>
      <c r="E42" t="n">
        <v>2020</v>
      </c>
      <c r="H42" t="n">
        <v>1</v>
      </c>
      <c r="I42" t="n">
        <v>76</v>
      </c>
      <c r="J42" t="inlineStr">
        <is>
          <t>Y</t>
        </is>
      </c>
      <c r="K42" t="inlineStr">
        <is>
          <t>ayadamaldives.com</t>
        </is>
      </c>
      <c r="L42" t="inlineStr">
        <is>
          <t>official</t>
        </is>
      </c>
      <c r="M42" t="inlineStr">
        <is>
          <t>https://www.ayadamaldives.com/s/Russian-Beach-BBQ-Menu.pdf</t>
        </is>
      </c>
      <c r="N42" t="inlineStr">
        <is>
          <t>https://www.ayadamaldives.com/s/Russian-Beach-BBQ-Menu.pdf</t>
        </is>
      </c>
      <c r="O42" t="inlineStr">
        <is>
          <t>781f790a26fa07bc599e04e417d10c65ab9646716cd55bf5c30494f2deab34c1</t>
        </is>
      </c>
      <c r="P42" t="inlineStr">
        <is>
          <t>library/004_ayada-maldives/dining_menu/2020_Russian-Beach-BBQ-Menu.pdf</t>
        </is>
      </c>
      <c r="R42" t="inlineStr">
        <is>
          <t>outdated</t>
        </is>
      </c>
      <c r="S42" t="inlineStr">
        <is>
          <t>N</t>
        </is>
      </c>
      <c r="T42" t="inlineStr">
        <is>
          <t>matched</t>
        </is>
      </c>
      <c r="U42" t="inlineStr">
        <is>
          <t>2026-10-04</t>
        </is>
      </c>
      <c r="V42" t="inlineStr"/>
    </row>
    <row r="43">
      <c r="A43" t="n">
        <v>4</v>
      </c>
      <c r="B43" t="inlineStr">
        <is>
          <t>Ayada Maldives</t>
        </is>
      </c>
      <c r="C43" t="inlineStr">
        <is>
          <t>dining_menu</t>
        </is>
      </c>
      <c r="D43" t="inlineStr">
        <is>
          <t>2020_Ocean-Breeze-Russian-Menu-October-FINAL.pdf</t>
        </is>
      </c>
      <c r="E43" t="n">
        <v>2020</v>
      </c>
      <c r="H43" t="n">
        <v>4</v>
      </c>
      <c r="I43" t="n">
        <v>162</v>
      </c>
      <c r="J43" t="inlineStr">
        <is>
          <t>Y</t>
        </is>
      </c>
      <c r="K43" t="inlineStr">
        <is>
          <t>ayadamaldives.com</t>
        </is>
      </c>
      <c r="L43" t="inlineStr">
        <is>
          <t>official</t>
        </is>
      </c>
      <c r="M43" t="inlineStr">
        <is>
          <t>https://www.ayadamaldives.com/s/Ocean-Breeze-Russian-Menu-October-FINAL.pdf</t>
        </is>
      </c>
      <c r="N43" t="inlineStr">
        <is>
          <t>https://www.ayadamaldives.com/s/Ocean-Breeze-Russian-Menu-October-FINAL.pdf</t>
        </is>
      </c>
      <c r="O43" t="inlineStr">
        <is>
          <t>9e1c4155be3a2ae955dd7f4e0aa538ab36cd5aa54e718bc7365663b884efd89f</t>
        </is>
      </c>
      <c r="P43" t="inlineStr">
        <is>
          <t>library/004_ayada-maldives/dining_menu/2020_Ocean-Breeze-Russian-Menu-October-FINAL.pdf</t>
        </is>
      </c>
      <c r="R43" t="inlineStr">
        <is>
          <t>outdated</t>
        </is>
      </c>
      <c r="S43" t="inlineStr">
        <is>
          <t>N</t>
        </is>
      </c>
      <c r="T43" t="inlineStr">
        <is>
          <t>matched</t>
        </is>
      </c>
      <c r="U43" t="inlineStr">
        <is>
          <t>2026-10-04</t>
        </is>
      </c>
      <c r="V43" t="inlineStr"/>
    </row>
    <row r="44">
      <c r="A44" t="n">
        <v>4</v>
      </c>
      <c r="B44" t="inlineStr">
        <is>
          <t>Ayada Maldives</t>
        </is>
      </c>
      <c r="C44" t="inlineStr">
        <is>
          <t>dining_menu</t>
        </is>
      </c>
      <c r="D44" t="inlineStr">
        <is>
          <t>2019_WineCheesepdf.pdf</t>
        </is>
      </c>
      <c r="E44" t="n">
        <v>2019</v>
      </c>
      <c r="H44" t="n">
        <v>1</v>
      </c>
      <c r="I44" t="n">
        <v>4911</v>
      </c>
      <c r="J44" t="inlineStr">
        <is>
          <t>Y</t>
        </is>
      </c>
      <c r="K44" t="inlineStr">
        <is>
          <t>ayadamaldives.com</t>
        </is>
      </c>
      <c r="L44" t="inlineStr">
        <is>
          <t>official</t>
        </is>
      </c>
      <c r="M44" t="inlineStr">
        <is>
          <t>https://www.ayadamaldives.com/s/WineCheesepdf.pdf</t>
        </is>
      </c>
      <c r="N44" t="inlineStr">
        <is>
          <t>https://www.ayadamaldives.com/s/WineCheesepdf.pdf</t>
        </is>
      </c>
      <c r="O44" t="inlineStr">
        <is>
          <t>a70a63874e27d4f867e4d100e0fd56f81598e12b8f6749adcb8d413baba3050b</t>
        </is>
      </c>
      <c r="P44" t="inlineStr">
        <is>
          <t>library/004_ayada-maldives/dining_menu/2019_WineCheesepdf.pdf</t>
        </is>
      </c>
      <c r="R44" t="inlineStr">
        <is>
          <t>outdated</t>
        </is>
      </c>
      <c r="S44" t="inlineStr">
        <is>
          <t>N</t>
        </is>
      </c>
      <c r="T44" t="inlineStr">
        <is>
          <t>matched</t>
        </is>
      </c>
      <c r="U44" t="inlineStr">
        <is>
          <t>2026-10-04</t>
        </is>
      </c>
      <c r="V44" t="inlineStr"/>
    </row>
    <row r="45">
      <c r="A45" t="n">
        <v>4</v>
      </c>
      <c r="B45" t="inlineStr">
        <is>
          <t>Ayada Maldives</t>
        </is>
      </c>
      <c r="C45" t="inlineStr">
        <is>
          <t>dive_prices</t>
        </is>
      </c>
      <c r="D45" t="inlineStr">
        <is>
          <t>2025_Watersports-_Prices_2025-2.pdf</t>
        </is>
      </c>
      <c r="E45" t="n">
        <v>2025</v>
      </c>
      <c r="H45" t="n">
        <v>2</v>
      </c>
      <c r="I45" t="n">
        <v>75</v>
      </c>
      <c r="J45" t="inlineStr">
        <is>
          <t>Y</t>
        </is>
      </c>
      <c r="K45" t="inlineStr">
        <is>
          <t>ayadamaldives.com</t>
        </is>
      </c>
      <c r="L45" t="inlineStr">
        <is>
          <t>official</t>
        </is>
      </c>
      <c r="M45" t="inlineStr">
        <is>
          <t>https://www.ayadamaldives.com/s/Watersports-_Prices_2025-2.pdf</t>
        </is>
      </c>
      <c r="N45" t="inlineStr">
        <is>
          <t>https://www.ayadamaldives.com/s/Watersports-_Prices_2025-2.pdf</t>
        </is>
      </c>
      <c r="O45" t="inlineStr">
        <is>
          <t>ded0ba0e00cbbe402086857b7bb2fbf3e121d204b3b1d086ea2fb4b640491ce0</t>
        </is>
      </c>
      <c r="P45" t="inlineStr">
        <is>
          <t>library/004_ayada-maldives/dive_prices/2025_Watersports-_Prices_2025-2.pdf</t>
        </is>
      </c>
      <c r="R45" t="inlineStr">
        <is>
          <t>current</t>
        </is>
      </c>
      <c r="S45" t="inlineStr">
        <is>
          <t>Y</t>
        </is>
      </c>
      <c r="T45" t="inlineStr">
        <is>
          <t>matched</t>
        </is>
      </c>
      <c r="U45" t="inlineStr">
        <is>
          <t>2026-10-04</t>
        </is>
      </c>
      <c r="V45" t="inlineStr"/>
    </row>
    <row r="46">
      <c r="A46" t="n">
        <v>4</v>
      </c>
      <c r="B46" t="inlineStr">
        <is>
          <t>Ayada Maldives</t>
        </is>
      </c>
      <c r="C46" t="inlineStr">
        <is>
          <t>dive_prices</t>
        </is>
      </c>
      <c r="D46" t="inlineStr">
        <is>
          <t>2022_Safety-Information.pdf</t>
        </is>
      </c>
      <c r="E46" t="n">
        <v>2022</v>
      </c>
      <c r="H46" t="n">
        <v>2</v>
      </c>
      <c r="I46" t="n">
        <v>3718</v>
      </c>
      <c r="J46" t="inlineStr">
        <is>
          <t>Y</t>
        </is>
      </c>
      <c r="K46" t="inlineStr">
        <is>
          <t>ayadamaldives.com</t>
        </is>
      </c>
      <c r="L46" t="inlineStr">
        <is>
          <t>official</t>
        </is>
      </c>
      <c r="M46" t="inlineStr">
        <is>
          <t>https://www.ayadamaldives.com/s/Safety-Information.pdf</t>
        </is>
      </c>
      <c r="N46" t="inlineStr">
        <is>
          <t>https://www.ayadamaldives.com/s/Safety-Information.pdf</t>
        </is>
      </c>
      <c r="O46" t="inlineStr">
        <is>
          <t>49fed3f5e9e0cf235e9cce18c9e3a56a7d47577101c89e511300609a6f4ea443</t>
        </is>
      </c>
      <c r="P46" t="inlineStr">
        <is>
          <t>library/004_ayada-maldives/dive_prices/2022_Safety-Information.pdf</t>
        </is>
      </c>
      <c r="R46" t="inlineStr">
        <is>
          <t>outdated</t>
        </is>
      </c>
      <c r="S46" t="inlineStr">
        <is>
          <t>N</t>
        </is>
      </c>
      <c r="T46" t="inlineStr">
        <is>
          <t>matched</t>
        </is>
      </c>
      <c r="U46" t="inlineStr">
        <is>
          <t>2026-10-04</t>
        </is>
      </c>
      <c r="V46" t="inlineStr"/>
    </row>
    <row r="47">
      <c r="A47" t="n">
        <v>4</v>
      </c>
      <c r="B47" t="inlineStr">
        <is>
          <t>Ayada Maldives</t>
        </is>
      </c>
      <c r="C47" t="inlineStr">
        <is>
          <t>excursions</t>
        </is>
      </c>
      <c r="D47" t="inlineStr">
        <is>
          <t>2024_Jet-Car-zytf.pdf</t>
        </is>
      </c>
      <c r="E47" t="n">
        <v>2024</v>
      </c>
      <c r="H47" t="n">
        <v>1</v>
      </c>
      <c r="I47" t="n">
        <v>1897</v>
      </c>
      <c r="J47" t="inlineStr">
        <is>
          <t>Y</t>
        </is>
      </c>
      <c r="K47" t="inlineStr">
        <is>
          <t>ayadamaldives.com</t>
        </is>
      </c>
      <c r="L47" t="inlineStr">
        <is>
          <t>official</t>
        </is>
      </c>
      <c r="M47" t="inlineStr">
        <is>
          <t>https://www.ayadamaldives.com/s/Jet-Car-zytf.pdf</t>
        </is>
      </c>
      <c r="N47" t="inlineStr">
        <is>
          <t>https://www.ayadamaldives.com/s/Jet-Car-zytf.pdf</t>
        </is>
      </c>
      <c r="O47" t="inlineStr">
        <is>
          <t>a5a17131ac1daf4087229fd2bc638a9d2c765d311f86c45b4c62b35d36f4caf5</t>
        </is>
      </c>
      <c r="P47" t="inlineStr">
        <is>
          <t>library/004_ayada-maldives/excursions/2024_Jet-Car-zytf.pdf</t>
        </is>
      </c>
      <c r="R47" t="inlineStr">
        <is>
          <t>outdated</t>
        </is>
      </c>
      <c r="S47" t="inlineStr">
        <is>
          <t>Y</t>
        </is>
      </c>
      <c r="T47" t="inlineStr">
        <is>
          <t>matched</t>
        </is>
      </c>
      <c r="U47" t="inlineStr">
        <is>
          <t>2026-10-04</t>
        </is>
      </c>
      <c r="V47" t="inlineStr"/>
    </row>
    <row r="48">
      <c r="A48" t="n">
        <v>4</v>
      </c>
      <c r="B48" t="inlineStr">
        <is>
          <t>Ayada Maldives</t>
        </is>
      </c>
      <c r="C48" t="inlineStr">
        <is>
          <t>all_inclusive</t>
        </is>
      </c>
      <c r="D48" t="inlineStr">
        <is>
          <t>2025_Photography2025.pdf</t>
        </is>
      </c>
      <c r="E48" t="n">
        <v>2025</v>
      </c>
      <c r="H48" t="n">
        <v>7</v>
      </c>
      <c r="I48" t="n">
        <v>2196</v>
      </c>
      <c r="J48" t="inlineStr">
        <is>
          <t>Y</t>
        </is>
      </c>
      <c r="K48" t="inlineStr">
        <is>
          <t>ayadamaldives.com</t>
        </is>
      </c>
      <c r="L48" t="inlineStr">
        <is>
          <t>official</t>
        </is>
      </c>
      <c r="M48" t="inlineStr">
        <is>
          <t>https://www.ayadamaldives.com/s/Photography2025.pdf</t>
        </is>
      </c>
      <c r="N48" t="inlineStr">
        <is>
          <t>https://www.ayadamaldives.com/s/Photography2025.pdf</t>
        </is>
      </c>
      <c r="O48" t="inlineStr">
        <is>
          <t>733b3493a7d6c9d29bb404b740cb51448fc2851e57df7b9ec5c7c0e02547c6cb</t>
        </is>
      </c>
      <c r="P48" t="inlineStr">
        <is>
          <t>library/004_ayada-maldives/all_inclusive/2025_Photography2025.pdf</t>
        </is>
      </c>
      <c r="R48" t="inlineStr">
        <is>
          <t>current</t>
        </is>
      </c>
      <c r="S48" t="inlineStr">
        <is>
          <t>Y</t>
        </is>
      </c>
      <c r="T48" t="inlineStr">
        <is>
          <t>matched</t>
        </is>
      </c>
      <c r="U48" t="inlineStr">
        <is>
          <t>2026-10-04</t>
        </is>
      </c>
      <c r="V48" t="inlineStr"/>
    </row>
    <row r="49">
      <c r="A49" t="n">
        <v>4</v>
      </c>
      <c r="B49" t="inlineStr">
        <is>
          <t>Ayada Maldives</t>
        </is>
      </c>
      <c r="C49" t="inlineStr">
        <is>
          <t>all_inclusive</t>
        </is>
      </c>
      <c r="D49" t="inlineStr">
        <is>
          <t>2021_Diamond-All-Inclusive.pdf</t>
        </is>
      </c>
      <c r="E49" t="n">
        <v>2021</v>
      </c>
      <c r="H49" t="n">
        <v>1</v>
      </c>
      <c r="I49" t="n">
        <v>425</v>
      </c>
      <c r="J49" t="inlineStr">
        <is>
          <t>Y</t>
        </is>
      </c>
      <c r="K49" t="inlineStr">
        <is>
          <t>ayadamaldives.com</t>
        </is>
      </c>
      <c r="L49" t="inlineStr">
        <is>
          <t>official</t>
        </is>
      </c>
      <c r="M49" t="inlineStr">
        <is>
          <t>https://ayada2.squarespace.com/s/Diamond-All-Inclusive.pdf</t>
        </is>
      </c>
      <c r="N49" t="inlineStr">
        <is>
          <t>https://ayada2.squarespace.com/s/Diamond-All-Inclusive.pdf</t>
        </is>
      </c>
      <c r="O49" t="inlineStr">
        <is>
          <t>ee423ef4674887941b9f0022a63001786843f0a02362696538a54cd620263d73</t>
        </is>
      </c>
      <c r="P49" t="inlineStr">
        <is>
          <t>library/004_ayada-maldives/all_inclusive/2021_Diamond-All-Inclusive.pdf</t>
        </is>
      </c>
      <c r="R49" t="inlineStr">
        <is>
          <t>outdated</t>
        </is>
      </c>
      <c r="S49" t="inlineStr">
        <is>
          <t>N</t>
        </is>
      </c>
      <c r="T49" t="inlineStr">
        <is>
          <t>matched</t>
        </is>
      </c>
      <c r="U49" t="inlineStr">
        <is>
          <t>2026-10-04</t>
        </is>
      </c>
      <c r="V49" t="inlineStr"/>
    </row>
    <row r="50">
      <c r="A50" t="n">
        <v>4</v>
      </c>
      <c r="B50" t="inlineStr">
        <is>
          <t>Ayada Maldives</t>
        </is>
      </c>
      <c r="C50" t="inlineStr">
        <is>
          <t>brochure</t>
        </is>
      </c>
      <c r="D50" t="inlineStr">
        <is>
          <t>2021_Ayada-Reopening-Guidelines-Revised.pdf</t>
        </is>
      </c>
      <c r="E50" t="n">
        <v>2021</v>
      </c>
      <c r="H50" t="n">
        <v>1</v>
      </c>
      <c r="I50" t="n">
        <v>3660</v>
      </c>
      <c r="J50" t="inlineStr">
        <is>
          <t>Y</t>
        </is>
      </c>
      <c r="K50" t="inlineStr">
        <is>
          <t>ayadamaldives.com</t>
        </is>
      </c>
      <c r="L50" t="inlineStr">
        <is>
          <t>official</t>
        </is>
      </c>
      <c r="M50" t="inlineStr">
        <is>
          <t>https://www.ayadamaldives.com/s/Ayada-Reopening-Guidelines-Revised.pdf</t>
        </is>
      </c>
      <c r="N50" t="inlineStr">
        <is>
          <t>https://www.ayadamaldives.com/s/Ayada-Reopening-Guidelines-Revised.pdf</t>
        </is>
      </c>
      <c r="O50" t="inlineStr">
        <is>
          <t>275e7380109c3b7d6c9d54e332ef2f283cece6b69d80e760e217b8036bdb5c72</t>
        </is>
      </c>
      <c r="P50" t="inlineStr">
        <is>
          <t>library/004_ayada-maldives/brochure/2021_Ayada-Reopening-Guidelines-Revised.pdf</t>
        </is>
      </c>
      <c r="R50" t="inlineStr">
        <is>
          <t>outdated</t>
        </is>
      </c>
      <c r="S50" t="inlineStr">
        <is>
          <t>Y</t>
        </is>
      </c>
      <c r="T50" t="inlineStr">
        <is>
          <t>matched</t>
        </is>
      </c>
      <c r="U50" t="inlineStr">
        <is>
          <t>2026-10-04</t>
        </is>
      </c>
      <c r="V50" t="inlineStr"/>
    </row>
    <row r="51">
      <c r="A51" t="n">
        <v>4</v>
      </c>
      <c r="B51" t="inlineStr">
        <is>
          <t>Ayada Maldives</t>
        </is>
      </c>
      <c r="C51" t="inlineStr">
        <is>
          <t>press_kit</t>
        </is>
      </c>
      <c r="D51" t="inlineStr">
        <is>
          <t>2023_OttomanBevList-Eng_compressed.pdf</t>
        </is>
      </c>
      <c r="E51" t="n">
        <v>2023</v>
      </c>
      <c r="H51" t="n">
        <v>1</v>
      </c>
      <c r="I51" t="n">
        <v>39</v>
      </c>
      <c r="J51" t="inlineStr">
        <is>
          <t>Y</t>
        </is>
      </c>
      <c r="K51" t="inlineStr">
        <is>
          <t>ayadamaldives.com</t>
        </is>
      </c>
      <c r="L51" t="inlineStr">
        <is>
          <t>official</t>
        </is>
      </c>
      <c r="M51" t="inlineStr">
        <is>
          <t>https://www.ayadamaldives.com/s/OttomanBevList-Eng_compressed.pdf</t>
        </is>
      </c>
      <c r="N51" t="inlineStr">
        <is>
          <t>https://www.ayadamaldives.com/s/OttomanBevList-Eng_compressed.pdf | https://www.ayadamaldives.com/s/Ottoman-Bev-List-Eng_compressed.pdf</t>
        </is>
      </c>
      <c r="O51" t="inlineStr">
        <is>
          <t>0509a538702e6003e43ce3a5cadd04b5a6041bd668038e6865491c1cff751345</t>
        </is>
      </c>
      <c r="P51" t="inlineStr">
        <is>
          <t>library/004_ayada-maldives/press_kit/2023_OttomanBevList-Eng_compressed.pdf</t>
        </is>
      </c>
      <c r="R51" t="inlineStr">
        <is>
          <t>outdated</t>
        </is>
      </c>
      <c r="S51" t="inlineStr">
        <is>
          <t>Y</t>
        </is>
      </c>
      <c r="T51" t="inlineStr">
        <is>
          <t>matched</t>
        </is>
      </c>
      <c r="U51" t="inlineStr">
        <is>
          <t>2026-10-04</t>
        </is>
      </c>
      <c r="V51" t="inlineStr"/>
    </row>
    <row r="52">
      <c r="A52" t="n">
        <v>4</v>
      </c>
      <c r="B52" t="inlineStr">
        <is>
          <t>Ayada Maldives</t>
        </is>
      </c>
      <c r="C52" t="inlineStr">
        <is>
          <t>other</t>
        </is>
      </c>
      <c r="D52" t="inlineStr">
        <is>
          <t>2024_Jet-Car-Russian.pdf</t>
        </is>
      </c>
      <c r="E52" t="n">
        <v>2024</v>
      </c>
      <c r="H52" t="n">
        <v>1</v>
      </c>
      <c r="I52" t="n">
        <v>1903</v>
      </c>
      <c r="J52" t="inlineStr">
        <is>
          <t>Y</t>
        </is>
      </c>
      <c r="K52" t="inlineStr">
        <is>
          <t>ayadamaldives.com</t>
        </is>
      </c>
      <c r="L52" t="inlineStr">
        <is>
          <t>official</t>
        </is>
      </c>
      <c r="M52" t="inlineStr">
        <is>
          <t>https://www.ayadamaldives.com/s/Jet-Car-Russian.pdf</t>
        </is>
      </c>
      <c r="N52" t="inlineStr">
        <is>
          <t>https://www.ayadamaldives.com/s/Jet-Car-Russian.pdf</t>
        </is>
      </c>
      <c r="O52" t="inlineStr">
        <is>
          <t>aefc0aa8f91be2517c276bc4659c932706511fd0897171e11cb65a49152b8167</t>
        </is>
      </c>
      <c r="P52" t="inlineStr">
        <is>
          <t>library/004_ayada-maldives/other/2024_Jet-Car-Russian.pdf</t>
        </is>
      </c>
      <c r="R52" t="inlineStr">
        <is>
          <t>outdated</t>
        </is>
      </c>
      <c r="S52" t="inlineStr">
        <is>
          <t>Y</t>
        </is>
      </c>
      <c r="T52" t="inlineStr">
        <is>
          <t>matched</t>
        </is>
      </c>
      <c r="U52" t="inlineStr">
        <is>
          <t>2026-10-04</t>
        </is>
      </c>
      <c r="V52" t="inlineStr"/>
    </row>
    <row r="53">
      <c r="A53" t="n">
        <v>5</v>
      </c>
      <c r="B53" t="inlineStr">
        <is>
          <t>Bolifushi Island Resort</t>
        </is>
      </c>
      <c r="C53" t="inlineStr">
        <is>
          <t>factsheet</t>
        </is>
      </c>
      <c r="D53" t="inlineStr">
        <is>
          <t>2023_OZEN-RESERVE-BOLIFUSHI-Fact-Sheet.pdf</t>
        </is>
      </c>
      <c r="E53" t="n">
        <v>2023</v>
      </c>
      <c r="H53" t="n">
        <v>16</v>
      </c>
      <c r="I53" t="n">
        <v>3164</v>
      </c>
      <c r="J53" t="inlineStr">
        <is>
          <t>Y</t>
        </is>
      </c>
      <c r="K53" t="inlineStr">
        <is>
          <t>neoscapesmaldives.com</t>
        </is>
      </c>
      <c r="L53" t="inlineStr">
        <is>
          <t>dmc-agency</t>
        </is>
      </c>
      <c r="M53" t="inlineStr">
        <is>
          <t>https://www.neoscapesmaldives.com/wp-content/uploads/OZEN-RESERVE-BOLIFUSHI-Fact-Sheet.pdf</t>
        </is>
      </c>
      <c r="N53" t="inlineStr">
        <is>
          <t>https://www.neoscapesmaldives.com/wp-content/uploads/OZEN-RESERVE-BOLIFUSHI-Fact-Sheet.pdf</t>
        </is>
      </c>
      <c r="O53" t="inlineStr">
        <is>
          <t>7ed1921719e7da56c5cbd60a08b4d7caaa3c7c7d8e4ddfe5d9f707be2f6e5c18</t>
        </is>
      </c>
      <c r="P53" t="inlineStr">
        <is>
          <t>library/005_bolifushi-island-resort/factsheet/2023_OZEN-RESERVE-BOLIFUSHI-Fact-Sheet.pdf</t>
        </is>
      </c>
      <c r="R53" t="inlineStr">
        <is>
          <t>outdated</t>
        </is>
      </c>
      <c r="S53" t="inlineStr">
        <is>
          <t>Y</t>
        </is>
      </c>
      <c r="T53" t="inlineStr">
        <is>
          <t>matched</t>
        </is>
      </c>
      <c r="U53" t="inlineStr">
        <is>
          <t>2026-10-04</t>
        </is>
      </c>
      <c r="V53" t="inlineStr"/>
    </row>
    <row r="54">
      <c r="A54" t="n">
        <v>5</v>
      </c>
      <c r="B54" t="inlineStr">
        <is>
          <t>Bolifushi Island Resort</t>
        </is>
      </c>
      <c r="C54" t="inlineStr">
        <is>
          <t>map</t>
        </is>
      </c>
      <c r="D54" t="inlineStr">
        <is>
          <t>2023_OZEN-RESERVE-BOLIFUSHI-Resort-Map-1.pdf</t>
        </is>
      </c>
      <c r="E54" t="n">
        <v>2023</v>
      </c>
      <c r="H54" t="n">
        <v>1</v>
      </c>
      <c r="I54" t="n">
        <v>289</v>
      </c>
      <c r="J54" t="inlineStr">
        <is>
          <t>Y</t>
        </is>
      </c>
      <c r="K54" t="inlineStr">
        <is>
          <t>neoscapesmaldives.com</t>
        </is>
      </c>
      <c r="L54" t="inlineStr">
        <is>
          <t>dmc-agency</t>
        </is>
      </c>
      <c r="M54" t="inlineStr">
        <is>
          <t>https://www.neoscapesmaldives.com/wp-content/uploads/OZEN-RESERVE-BOLIFUSHI-Resort-Map-1.pdf</t>
        </is>
      </c>
      <c r="N54" t="inlineStr">
        <is>
          <t>https://www.neoscapesmaldives.com/wp-content/uploads/OZEN-RESERVE-BOLIFUSHI-Resort-Map-1.pdf</t>
        </is>
      </c>
      <c r="O54" t="inlineStr">
        <is>
          <t>2dbf84410d5c1fcd345ba54a1a8db59029d55fba891f362311f8f475b03f3ef6</t>
        </is>
      </c>
      <c r="P54" t="inlineStr">
        <is>
          <t>library/005_bolifushi-island-resort/map/2023_OZEN-RESERVE-BOLIFUSHI-Resort-Map-1.pdf</t>
        </is>
      </c>
      <c r="R54" t="inlineStr">
        <is>
          <t>outdated</t>
        </is>
      </c>
      <c r="S54" t="inlineStr">
        <is>
          <t>Y</t>
        </is>
      </c>
      <c r="T54" t="inlineStr">
        <is>
          <t>matched</t>
        </is>
      </c>
      <c r="U54" t="inlineStr">
        <is>
          <t>2026-10-04</t>
        </is>
      </c>
      <c r="V54" t="inlineStr"/>
    </row>
    <row r="55">
      <c r="A55" t="n">
        <v>6</v>
      </c>
      <c r="B55" t="inlineStr">
        <is>
          <t>Joali Being Bodufushi</t>
        </is>
      </c>
      <c r="C55" t="inlineStr">
        <is>
          <t>factsheet</t>
        </is>
      </c>
      <c r="D55" t="inlineStr">
        <is>
          <t>2025_JoaliBeing_Factsheet_V13.pdf</t>
        </is>
      </c>
      <c r="E55" t="n">
        <v>2025</v>
      </c>
      <c r="H55" t="n">
        <v>6</v>
      </c>
      <c r="I55" t="n">
        <v>9076</v>
      </c>
      <c r="J55" t="inlineStr">
        <is>
          <t>Y</t>
        </is>
      </c>
      <c r="K55" t="inlineStr">
        <is>
          <t>neoscapesmaldives.com</t>
        </is>
      </c>
      <c r="L55" t="inlineStr">
        <is>
          <t>dmc-agency</t>
        </is>
      </c>
      <c r="M55" t="inlineStr">
        <is>
          <t>https://www.neoscapesmaldives.com/wp-content/uploads/JoaliBeing_Factsheet_V13.pdf</t>
        </is>
      </c>
      <c r="N55" t="inlineStr">
        <is>
          <t>https://www.neoscapesmaldives.com/wp-content/uploads/JoaliBeing_Factsheet_V13.pdf</t>
        </is>
      </c>
      <c r="O55" t="inlineStr">
        <is>
          <t>9ad07a852c3410a087dd9af50cffcddaa1341e032690482fb80ead824656d515</t>
        </is>
      </c>
      <c r="P55" t="inlineStr">
        <is>
          <t>library/006_joali-being-bodufushi/factsheet/2025_JoaliBeing_Factsheet_V13.pdf</t>
        </is>
      </c>
      <c r="R55" t="inlineStr">
        <is>
          <t>current</t>
        </is>
      </c>
      <c r="S55" t="inlineStr">
        <is>
          <t>Y</t>
        </is>
      </c>
      <c r="T55" t="inlineStr">
        <is>
          <t>matched</t>
        </is>
      </c>
      <c r="U55" t="inlineStr">
        <is>
          <t>2026-10-04</t>
        </is>
      </c>
      <c r="V55" t="inlineStr"/>
    </row>
    <row r="56">
      <c r="A56" t="n">
        <v>6</v>
      </c>
      <c r="B56" t="inlineStr">
        <is>
          <t>Joali Being Bodufushi</t>
        </is>
      </c>
      <c r="C56" t="inlineStr">
        <is>
          <t>map</t>
        </is>
      </c>
      <c r="D56" t="inlineStr">
        <is>
          <t>2024_Map_25x30_V3.pdf</t>
        </is>
      </c>
      <c r="E56" t="n">
        <v>2024</v>
      </c>
      <c r="H56" t="n">
        <v>2</v>
      </c>
      <c r="I56" t="n">
        <v>7549</v>
      </c>
      <c r="J56" t="inlineStr">
        <is>
          <t>Y</t>
        </is>
      </c>
      <c r="K56" t="inlineStr">
        <is>
          <t>neoscapesmaldives.com</t>
        </is>
      </c>
      <c r="L56" t="inlineStr">
        <is>
          <t>dmc-agency</t>
        </is>
      </c>
      <c r="M56" t="inlineStr">
        <is>
          <t>https://www.neoscapesmaldives.com/wp-content/uploads/Map_25x30_V3.pdf</t>
        </is>
      </c>
      <c r="N56" t="inlineStr">
        <is>
          <t>https://www.neoscapesmaldives.com/wp-content/uploads/Map_25x30_V3.pdf</t>
        </is>
      </c>
      <c r="O56" t="inlineStr">
        <is>
          <t>44d13728557e1bd7adf711a79098f565301e93d297f5e61dbfcfc6f8af309e51</t>
        </is>
      </c>
      <c r="P56" t="inlineStr">
        <is>
          <t>library/006_joali-being-bodufushi/map/2024_Map_25x30_V3.pdf</t>
        </is>
      </c>
      <c r="R56" t="inlineStr">
        <is>
          <t>outdated</t>
        </is>
      </c>
      <c r="S56" t="inlineStr">
        <is>
          <t>Y</t>
        </is>
      </c>
      <c r="T56" t="inlineStr">
        <is>
          <t>needs-review</t>
        </is>
      </c>
      <c r="U56" t="inlineStr">
        <is>
          <t>2026-10-04</t>
        </is>
      </c>
      <c r="V56" t="inlineStr">
        <is>
          <t>ambiguous match [6]</t>
        </is>
      </c>
    </row>
    <row r="57">
      <c r="A57" t="n">
        <v>7</v>
      </c>
      <c r="B57" t="inlineStr">
        <is>
          <t>Joali Muravandhoo</t>
        </is>
      </c>
      <c r="C57" t="inlineStr">
        <is>
          <t>factsheet</t>
        </is>
      </c>
      <c r="D57" t="inlineStr">
        <is>
          <t>2023_JOALI-Maldives-Factsheet.pdf</t>
        </is>
      </c>
      <c r="E57" t="n">
        <v>2023</v>
      </c>
      <c r="H57" t="n">
        <v>4</v>
      </c>
      <c r="I57" t="n">
        <v>1549</v>
      </c>
      <c r="J57" t="inlineStr">
        <is>
          <t>Y</t>
        </is>
      </c>
      <c r="K57" t="inlineStr">
        <is>
          <t>neoscapesmaldives.com</t>
        </is>
      </c>
      <c r="L57" t="inlineStr">
        <is>
          <t>dmc-agency</t>
        </is>
      </c>
      <c r="M57" t="inlineStr">
        <is>
          <t>https://www.neoscapesmaldives.com/wp-content/uploads/JOALI-Maldives-Factsheet.pdf</t>
        </is>
      </c>
      <c r="N57" t="inlineStr">
        <is>
          <t>https://www.neoscapesmaldives.com/wp-content/uploads/JOALI-Maldives-Factsheet.pdf</t>
        </is>
      </c>
      <c r="O57" t="inlineStr">
        <is>
          <t>6bae9d01e36b8840ecdec117eb478c8c9420eb0389239e53aeec1022b734028d</t>
        </is>
      </c>
      <c r="P57" t="inlineStr">
        <is>
          <t>library/007_joali-muravandhoo/factsheet/2023_JOALI-Maldives-Factsheet.pdf</t>
        </is>
      </c>
      <c r="R57" t="inlineStr">
        <is>
          <t>outdated</t>
        </is>
      </c>
      <c r="S57" t="inlineStr">
        <is>
          <t>Y</t>
        </is>
      </c>
      <c r="T57" t="inlineStr">
        <is>
          <t>matched</t>
        </is>
      </c>
      <c r="U57" t="inlineStr">
        <is>
          <t>2026-10-04</t>
        </is>
      </c>
      <c r="V57" t="inlineStr"/>
    </row>
    <row r="58">
      <c r="A58" t="n">
        <v>7</v>
      </c>
      <c r="B58" t="inlineStr">
        <is>
          <t>Joali Muravandhoo</t>
        </is>
      </c>
      <c r="C58" t="inlineStr">
        <is>
          <t>map</t>
        </is>
      </c>
      <c r="D58" t="inlineStr">
        <is>
          <t>2023_JOALI-Maldives-Island-Map.pdf</t>
        </is>
      </c>
      <c r="E58" t="n">
        <v>2023</v>
      </c>
      <c r="H58" t="n">
        <v>2</v>
      </c>
      <c r="I58" t="n">
        <v>2717</v>
      </c>
      <c r="J58" t="inlineStr">
        <is>
          <t>N</t>
        </is>
      </c>
      <c r="K58" t="inlineStr">
        <is>
          <t>neoscapesmaldives.com</t>
        </is>
      </c>
      <c r="L58" t="inlineStr">
        <is>
          <t>dmc-agency</t>
        </is>
      </c>
      <c r="M58" t="inlineStr">
        <is>
          <t>https://www.neoscapesmaldives.com/wp-content/uploads/JOALI-Maldives-Island-Map.pdf</t>
        </is>
      </c>
      <c r="N58" t="inlineStr">
        <is>
          <t>https://www.neoscapesmaldives.com/wp-content/uploads/JOALI-Maldives-Island-Map.pdf</t>
        </is>
      </c>
      <c r="O58" t="inlineStr">
        <is>
          <t>3510c6fa7c7effb2c089f422de3f188b7a6fd8effe0a3b37cd057cd784d18a0f</t>
        </is>
      </c>
      <c r="P58" t="inlineStr">
        <is>
          <t>library/007_joali-muravandhoo/map/2023_JOALI-Maldives-Island-Map.pdf</t>
        </is>
      </c>
      <c r="R58" t="inlineStr">
        <is>
          <t>outdated</t>
        </is>
      </c>
      <c r="S58" t="inlineStr">
        <is>
          <t>Y</t>
        </is>
      </c>
      <c r="T58" t="inlineStr">
        <is>
          <t>matched</t>
        </is>
      </c>
      <c r="U58" t="inlineStr">
        <is>
          <t>2026-10-04</t>
        </is>
      </c>
      <c r="V58" t="inlineStr"/>
    </row>
    <row r="59">
      <c r="A59" t="n">
        <v>8</v>
      </c>
      <c r="B59" t="inlineStr">
        <is>
          <t>Hilton Maldives Amingiri Resort &amp; Spa</t>
        </is>
      </c>
      <c r="C59" t="inlineStr">
        <is>
          <t>factsheet</t>
        </is>
      </c>
      <c r="D59" t="inlineStr">
        <is>
          <t>2025_MLEAI_Factsheet-March-2025.pdf</t>
        </is>
      </c>
      <c r="E59" t="n">
        <v>2025</v>
      </c>
      <c r="H59" t="n">
        <v>2</v>
      </c>
      <c r="I59" t="n">
        <v>250</v>
      </c>
      <c r="J59" t="inlineStr">
        <is>
          <t>Y</t>
        </is>
      </c>
      <c r="K59" t="inlineStr">
        <is>
          <t>neoscapesmaldives.com</t>
        </is>
      </c>
      <c r="L59" t="inlineStr">
        <is>
          <t>dmc-agency</t>
        </is>
      </c>
      <c r="M59" t="inlineStr">
        <is>
          <t>https://www.neoscapesmaldives.com/wp-content/uploads/MLEAI_Factsheet-March-2025.pdf</t>
        </is>
      </c>
      <c r="N59" t="inlineStr">
        <is>
          <t>https://www.neoscapesmaldives.com/wp-content/uploads/MLEAI_Factsheet-March-2025.pdf</t>
        </is>
      </c>
      <c r="O59" t="inlineStr">
        <is>
          <t>51b24e8c0b5a444c26b336cca78a0fc740bbc207e6a34b0ba0491150fb079a55</t>
        </is>
      </c>
      <c r="P59" t="inlineStr">
        <is>
          <t>library/008_hilton-maldives-amingiri-resort-spa/factsheet/2025_MLEAI_Factsheet-March-2025.pdf</t>
        </is>
      </c>
      <c r="R59" t="inlineStr">
        <is>
          <t>current</t>
        </is>
      </c>
      <c r="S59" t="inlineStr">
        <is>
          <t>Y</t>
        </is>
      </c>
      <c r="T59" t="inlineStr">
        <is>
          <t>matched</t>
        </is>
      </c>
      <c r="U59" t="inlineStr">
        <is>
          <t>2026-10-04</t>
        </is>
      </c>
      <c r="V59" t="inlineStr"/>
    </row>
    <row r="60">
      <c r="A60" t="n">
        <v>8</v>
      </c>
      <c r="B60" t="inlineStr">
        <is>
          <t>Hilton Maldives Amingiri Resort &amp; Spa</t>
        </is>
      </c>
      <c r="C60" t="inlineStr">
        <is>
          <t>map</t>
        </is>
      </c>
      <c r="D60" t="inlineStr">
        <is>
          <t>2025_2025-Hilton-Maldives-Amingiri-Resort-_-Spa-Map.pdf</t>
        </is>
      </c>
      <c r="E60" t="n">
        <v>2025</v>
      </c>
      <c r="H60" t="n">
        <v>1</v>
      </c>
      <c r="I60" t="n">
        <v>622</v>
      </c>
      <c r="J60" t="inlineStr">
        <is>
          <t>N</t>
        </is>
      </c>
      <c r="K60" t="inlineStr">
        <is>
          <t>neoscapesmaldives.com</t>
        </is>
      </c>
      <c r="L60" t="inlineStr">
        <is>
          <t>dmc-agency</t>
        </is>
      </c>
      <c r="M60" t="inlineStr">
        <is>
          <t>https://www.neoscapesmaldives.com/wp-content/uploads/2025-Hilton-Maldives-Amingiri-Resort-_-Spa-Map.pdf</t>
        </is>
      </c>
      <c r="N60" t="inlineStr">
        <is>
          <t>https://www.neoscapesmaldives.com/wp-content/uploads/2025-Hilton-Maldives-Amingiri-Resort-_-Spa-Map.pdf</t>
        </is>
      </c>
      <c r="O60" t="inlineStr">
        <is>
          <t>4825c21a657592a7077412dd1beabaa7c1a0373f1160e7b8434c0c757b211393</t>
        </is>
      </c>
      <c r="P60" t="inlineStr">
        <is>
          <t>library/008_hilton-maldives-amingiri-resort-spa/map/2025_2025-Hilton-Maldives-Amingiri-Resort-_-Spa-Map.pdf</t>
        </is>
      </c>
      <c r="R60" t="inlineStr">
        <is>
          <t>current</t>
        </is>
      </c>
      <c r="S60" t="inlineStr">
        <is>
          <t>Y</t>
        </is>
      </c>
      <c r="T60" t="inlineStr">
        <is>
          <t>matched</t>
        </is>
      </c>
      <c r="U60" t="inlineStr">
        <is>
          <t>2026-10-04</t>
        </is>
      </c>
      <c r="V60" t="inlineStr"/>
    </row>
    <row r="61">
      <c r="A61" t="n">
        <v>9</v>
      </c>
      <c r="B61" t="inlineStr">
        <is>
          <t>Amilla Fushi</t>
        </is>
      </c>
      <c r="C61" t="inlineStr">
        <is>
          <t>factsheet</t>
        </is>
      </c>
      <c r="D61" t="inlineStr">
        <is>
          <t>2026_Amilla-Maldives_Fact-Sheet_2026.pdf</t>
        </is>
      </c>
      <c r="E61" t="n">
        <v>2026</v>
      </c>
      <c r="H61" t="n">
        <v>10</v>
      </c>
      <c r="I61" t="n">
        <v>26830</v>
      </c>
      <c r="J61" t="inlineStr">
        <is>
          <t>Y</t>
        </is>
      </c>
      <c r="K61" t="inlineStr">
        <is>
          <t>amilla.com</t>
        </is>
      </c>
      <c r="L61" t="inlineStr">
        <is>
          <t>official</t>
        </is>
      </c>
      <c r="M61" t="inlineStr">
        <is>
          <t>https://amilla.com/wp-content/uploads/Amilla-Maldives_Fact-Sheet_2026.pdf</t>
        </is>
      </c>
      <c r="N61" t="inlineStr">
        <is>
          <t>https://amilla.com/wp-content/uploads/Amilla-Maldives_Fact-Sheet_2026.pdf</t>
        </is>
      </c>
      <c r="O61" t="inlineStr">
        <is>
          <t>55c3d64c2e4bd1a4b767e8b0bc371ce254898ff8a114450cce3bc0f9307dd3be</t>
        </is>
      </c>
      <c r="P61" t="inlineStr">
        <is>
          <t>library/009_amilla-fushi/factsheet/2026_Amilla-Maldives_Fact-Sheet_2026.pdf</t>
        </is>
      </c>
      <c r="R61" t="inlineStr">
        <is>
          <t>current</t>
        </is>
      </c>
      <c r="S61" t="inlineStr">
        <is>
          <t>Y</t>
        </is>
      </c>
      <c r="T61" t="inlineStr">
        <is>
          <t>matched</t>
        </is>
      </c>
      <c r="U61" t="inlineStr">
        <is>
          <t>2026-10-04</t>
        </is>
      </c>
      <c r="V61" t="inlineStr"/>
    </row>
    <row r="62">
      <c r="A62" t="n">
        <v>9</v>
      </c>
      <c r="B62" t="inlineStr">
        <is>
          <t>Amilla Fushi</t>
        </is>
      </c>
      <c r="C62" t="inlineStr">
        <is>
          <t>factsheet</t>
        </is>
      </c>
      <c r="D62" t="inlineStr">
        <is>
          <t>2023_Amilla-Maldives-Resort-Residences-Fact-Sheet.pdf</t>
        </is>
      </c>
      <c r="E62" t="n">
        <v>2023</v>
      </c>
      <c r="H62" t="n">
        <v>6</v>
      </c>
      <c r="I62" t="n">
        <v>21584</v>
      </c>
      <c r="J62" t="inlineStr">
        <is>
          <t>Y</t>
        </is>
      </c>
      <c r="K62" t="inlineStr">
        <is>
          <t>amilla.com</t>
        </is>
      </c>
      <c r="L62" t="inlineStr">
        <is>
          <t>official</t>
        </is>
      </c>
      <c r="M62" t="inlineStr">
        <is>
          <t>https://amilla.com/wp-content/uploads/2023/05/Amilla-Maldives-Resort-Residences-Fact-Sheet.pdf</t>
        </is>
      </c>
      <c r="N62" t="inlineStr">
        <is>
          <t>https://amilla.com/wp-content/uploads/2023/05/Amilla-Maldives-Resort-Residences-Fact-Sheet.pdf</t>
        </is>
      </c>
      <c r="O62" t="inlineStr">
        <is>
          <t>9a5a8207ac7acf1a8f114401cd9fcc960981b3a8a7378f009a59fa514e02be1b</t>
        </is>
      </c>
      <c r="P62" t="inlineStr">
        <is>
          <t>library/009_amilla-fushi/factsheet/2023_Amilla-Maldives-Resort-Residences-Fact-Sheet.pdf</t>
        </is>
      </c>
      <c r="R62" t="inlineStr">
        <is>
          <t>outdated</t>
        </is>
      </c>
      <c r="S62" t="inlineStr">
        <is>
          <t>N</t>
        </is>
      </c>
      <c r="T62" t="inlineStr">
        <is>
          <t>matched</t>
        </is>
      </c>
      <c r="U62" t="inlineStr">
        <is>
          <t>2026-10-04</t>
        </is>
      </c>
      <c r="V62" t="inlineStr"/>
    </row>
    <row r="63">
      <c r="A63" t="n">
        <v>9</v>
      </c>
      <c r="B63" t="inlineStr">
        <is>
          <t>Amilla Fushi</t>
        </is>
      </c>
      <c r="C63" t="inlineStr">
        <is>
          <t>wedding</t>
        </is>
      </c>
      <c r="D63" t="inlineStr">
        <is>
          <t>2024_Football-Camp-with-Mikael-Silvestre.pdf</t>
        </is>
      </c>
      <c r="E63" t="n">
        <v>2024</v>
      </c>
      <c r="H63" t="n">
        <v>1</v>
      </c>
      <c r="I63" t="n">
        <v>410</v>
      </c>
      <c r="J63" t="inlineStr">
        <is>
          <t>Y</t>
        </is>
      </c>
      <c r="K63" t="inlineStr">
        <is>
          <t>amilla.com</t>
        </is>
      </c>
      <c r="L63" t="inlineStr">
        <is>
          <t>official</t>
        </is>
      </c>
      <c r="M63" t="inlineStr">
        <is>
          <t>https://amilla.com/wp-content/uploads/Football-Camp-with-Mikael-Silvestre.pdf</t>
        </is>
      </c>
      <c r="N63" t="inlineStr">
        <is>
          <t>https://amilla.com/wp-content/uploads/Football-Camp-with-Mikael-Silvestre.pdf</t>
        </is>
      </c>
      <c r="O63" t="inlineStr">
        <is>
          <t>d294a688db2c5eba9a9f2df90f75a268d9b1c44b451140c90bc2a388dc1f3ce4</t>
        </is>
      </c>
      <c r="P63" t="inlineStr">
        <is>
          <t>library/009_amilla-fushi/wedding/2024_Football-Camp-with-Mikael-Silvestre.pdf</t>
        </is>
      </c>
      <c r="R63" t="inlineStr">
        <is>
          <t>outdated</t>
        </is>
      </c>
      <c r="S63" t="inlineStr">
        <is>
          <t>Y</t>
        </is>
      </c>
      <c r="T63" t="inlineStr">
        <is>
          <t>matched</t>
        </is>
      </c>
      <c r="U63" t="inlineStr">
        <is>
          <t>2026-10-04</t>
        </is>
      </c>
      <c r="V63" t="inlineStr"/>
    </row>
    <row r="64">
      <c r="A64" t="n">
        <v>9</v>
      </c>
      <c r="B64" t="inlineStr">
        <is>
          <t>Amilla Fushi</t>
        </is>
      </c>
      <c r="C64" t="inlineStr">
        <is>
          <t>wedding</t>
        </is>
      </c>
      <c r="D64" t="inlineStr">
        <is>
          <t>2024_Football-camp-with-Teddy-Sheringham-2024.pdf</t>
        </is>
      </c>
      <c r="E64" t="n">
        <v>2024</v>
      </c>
      <c r="H64" t="n">
        <v>1</v>
      </c>
      <c r="I64" t="n">
        <v>274</v>
      </c>
      <c r="J64" t="inlineStr">
        <is>
          <t>Y</t>
        </is>
      </c>
      <c r="K64" t="inlineStr">
        <is>
          <t>amilla.com</t>
        </is>
      </c>
      <c r="L64" t="inlineStr">
        <is>
          <t>official</t>
        </is>
      </c>
      <c r="M64" t="inlineStr">
        <is>
          <t>https://amilla.com/wp-content/uploads/Football-camp-with-Teddy-Sheringham-2024.pdf</t>
        </is>
      </c>
      <c r="N64" t="inlineStr">
        <is>
          <t>https://amilla.com/wp-content/uploads/Football-camp-with-Teddy-Sheringham-2024.pdf</t>
        </is>
      </c>
      <c r="O64" t="inlineStr">
        <is>
          <t>31bc94cf68093d6626384afbfd2e46689db77b8f82c2f33175be467469e3964d</t>
        </is>
      </c>
      <c r="P64" t="inlineStr">
        <is>
          <t>library/009_amilla-fushi/wedding/2024_Football-camp-with-Teddy-Sheringham-2024.pdf</t>
        </is>
      </c>
      <c r="R64" t="inlineStr">
        <is>
          <t>outdated</t>
        </is>
      </c>
      <c r="S64" t="inlineStr">
        <is>
          <t>N</t>
        </is>
      </c>
      <c r="T64" t="inlineStr">
        <is>
          <t>matched</t>
        </is>
      </c>
      <c r="U64" t="inlineStr">
        <is>
          <t>2026-10-04</t>
        </is>
      </c>
      <c r="V64" t="inlineStr"/>
    </row>
    <row r="65">
      <c r="A65" t="n">
        <v>9</v>
      </c>
      <c r="B65" t="inlineStr">
        <is>
          <t>Amilla Fushi</t>
        </is>
      </c>
      <c r="C65" t="inlineStr">
        <is>
          <t>map</t>
        </is>
      </c>
      <c r="D65" t="inlineStr">
        <is>
          <t>2024_Resort-Map-2024_Updated_LR.pdf</t>
        </is>
      </c>
      <c r="E65" t="n">
        <v>2024</v>
      </c>
      <c r="H65" t="n">
        <v>1</v>
      </c>
      <c r="I65" t="n">
        <v>1232</v>
      </c>
      <c r="J65" t="inlineStr">
        <is>
          <t>Y</t>
        </is>
      </c>
      <c r="K65" t="inlineStr">
        <is>
          <t>amilla.com</t>
        </is>
      </c>
      <c r="L65" t="inlineStr">
        <is>
          <t>official</t>
        </is>
      </c>
      <c r="M65" t="inlineStr">
        <is>
          <t>https://amilla.com/wp-content/uploads/2023/04/Resort-Map-2024_Updated_LR.pdf</t>
        </is>
      </c>
      <c r="N65" t="inlineStr">
        <is>
          <t>https://amilla.com/wp-content/uploads/2023/04/Resort-Map-2024_Updated_LR.pdf</t>
        </is>
      </c>
      <c r="O65" t="inlineStr">
        <is>
          <t>c6126df98b7665fd3ad9a243e7d4cce80c0d5d6f25c918e04cb5d9e5a4de315e</t>
        </is>
      </c>
      <c r="P65" t="inlineStr">
        <is>
          <t>library/009_amilla-fushi/map/2024_Resort-Map-2024_Updated_LR.pdf</t>
        </is>
      </c>
      <c r="R65" t="inlineStr">
        <is>
          <t>outdated</t>
        </is>
      </c>
      <c r="S65" t="inlineStr">
        <is>
          <t>Y</t>
        </is>
      </c>
      <c r="T65" t="inlineStr">
        <is>
          <t>matched</t>
        </is>
      </c>
      <c r="U65" t="inlineStr">
        <is>
          <t>2026-10-04</t>
        </is>
      </c>
      <c r="V65" t="inlineStr"/>
    </row>
    <row r="66">
      <c r="A66" t="n">
        <v>9</v>
      </c>
      <c r="B66" t="inlineStr">
        <is>
          <t>Amilla Fushi</t>
        </is>
      </c>
      <c r="C66" t="inlineStr">
        <is>
          <t>map</t>
        </is>
      </c>
      <c r="D66" t="inlineStr">
        <is>
          <t>2019_Amilla-Resort-Map.pdf</t>
        </is>
      </c>
      <c r="E66" t="n">
        <v>2019</v>
      </c>
      <c r="H66" t="n">
        <v>1</v>
      </c>
      <c r="I66" t="n">
        <v>3237</v>
      </c>
      <c r="J66" t="inlineStr">
        <is>
          <t>N</t>
        </is>
      </c>
      <c r="K66" t="inlineStr">
        <is>
          <t>neoscapesmaldives.com</t>
        </is>
      </c>
      <c r="L66" t="inlineStr">
        <is>
          <t>dmc-agency</t>
        </is>
      </c>
      <c r="M66" t="inlineStr">
        <is>
          <t>https://www.neoscapesmaldives.com/wp-content/uploads/Amilla-Resort-Map.pdf</t>
        </is>
      </c>
      <c r="N66" t="inlineStr">
        <is>
          <t>https://www.neoscapesmaldives.com/wp-content/uploads/Amilla-Resort-Map.pdf</t>
        </is>
      </c>
      <c r="O66" t="inlineStr">
        <is>
          <t>ccb74f3d025b7ac4fa42b815e7428b9bd43082913f65dc5953a33e093c29dc5b</t>
        </is>
      </c>
      <c r="P66" t="inlineStr">
        <is>
          <t>library/009_amilla-fushi/map/2019_Amilla-Resort-Map.pdf</t>
        </is>
      </c>
      <c r="R66" t="inlineStr">
        <is>
          <t>outdated</t>
        </is>
      </c>
      <c r="S66" t="inlineStr">
        <is>
          <t>N</t>
        </is>
      </c>
      <c r="T66" t="inlineStr">
        <is>
          <t>matched</t>
        </is>
      </c>
      <c r="U66" t="inlineStr">
        <is>
          <t>2026-10-04</t>
        </is>
      </c>
      <c r="V66" t="inlineStr"/>
    </row>
    <row r="67">
      <c r="A67" t="n">
        <v>9</v>
      </c>
      <c r="B67" t="inlineStr">
        <is>
          <t>Amilla Fushi</t>
        </is>
      </c>
      <c r="C67" t="inlineStr">
        <is>
          <t>spa_menu</t>
        </is>
      </c>
      <c r="D67" t="inlineStr">
        <is>
          <t>2026_International-Yoga-Day-2026.pdf</t>
        </is>
      </c>
      <c r="E67" t="n">
        <v>2026</v>
      </c>
      <c r="H67" t="n">
        <v>1</v>
      </c>
      <c r="I67" t="n">
        <v>666</v>
      </c>
      <c r="J67" t="inlineStr">
        <is>
          <t>Y</t>
        </is>
      </c>
      <c r="K67" t="inlineStr">
        <is>
          <t>amilla.com</t>
        </is>
      </c>
      <c r="L67" t="inlineStr">
        <is>
          <t>official</t>
        </is>
      </c>
      <c r="M67" t="inlineStr">
        <is>
          <t>https://amilla.com/wp-content/uploads/International-Yoga-Day-2026.pdf</t>
        </is>
      </c>
      <c r="N67" t="inlineStr">
        <is>
          <t>https://amilla.com/wp-content/uploads/International-Yoga-Day-2026.pdf</t>
        </is>
      </c>
      <c r="O67" t="inlineStr">
        <is>
          <t>13a5ece2a73f38e2f9e1b617c5a5bc00ddeacbf3b90d7147770ba8ddea9579c2</t>
        </is>
      </c>
      <c r="P67" t="inlineStr">
        <is>
          <t>library/009_amilla-fushi/spa_menu/2026_International-Yoga-Day-2026.pdf</t>
        </is>
      </c>
      <c r="R67" t="inlineStr">
        <is>
          <t>current</t>
        </is>
      </c>
      <c r="S67" t="inlineStr">
        <is>
          <t>N</t>
        </is>
      </c>
      <c r="T67" t="inlineStr">
        <is>
          <t>matched</t>
        </is>
      </c>
      <c r="U67" t="inlineStr">
        <is>
          <t>2026-10-04</t>
        </is>
      </c>
      <c r="V67" t="inlineStr"/>
    </row>
    <row r="68">
      <c r="A68" t="n">
        <v>9</v>
      </c>
      <c r="B68" t="inlineStr">
        <is>
          <t>Amilla Fushi</t>
        </is>
      </c>
      <c r="C68" t="inlineStr">
        <is>
          <t>spa_menu</t>
        </is>
      </c>
      <c r="D68" t="inlineStr">
        <is>
          <t>2026_Global-Wellness-Day.pdf</t>
        </is>
      </c>
      <c r="E68" t="n">
        <v>2026</v>
      </c>
      <c r="H68" t="n">
        <v>1</v>
      </c>
      <c r="I68" t="n">
        <v>2414</v>
      </c>
      <c r="J68" t="inlineStr">
        <is>
          <t>Y</t>
        </is>
      </c>
      <c r="K68" t="inlineStr">
        <is>
          <t>amilla.com</t>
        </is>
      </c>
      <c r="L68" t="inlineStr">
        <is>
          <t>official</t>
        </is>
      </c>
      <c r="M68" t="inlineStr">
        <is>
          <t>https://amilla.com/wp-content/uploads/Global-Wellness-Day.pdf</t>
        </is>
      </c>
      <c r="N68" t="inlineStr">
        <is>
          <t>https://amilla.com/wp-content/uploads/Global-Wellness-Day.pdf</t>
        </is>
      </c>
      <c r="O68" t="inlineStr">
        <is>
          <t>20f8cef18f949295945ee5798e1add033df0f3bdfad9fd49016f8e6cb0ad20df</t>
        </is>
      </c>
      <c r="P68" t="inlineStr">
        <is>
          <t>library/009_amilla-fushi/spa_menu/2026_Global-Wellness-Day.pdf</t>
        </is>
      </c>
      <c r="R68" t="inlineStr">
        <is>
          <t>current</t>
        </is>
      </c>
      <c r="S68" t="inlineStr">
        <is>
          <t>N</t>
        </is>
      </c>
      <c r="T68" t="inlineStr">
        <is>
          <t>matched</t>
        </is>
      </c>
      <c r="U68" t="inlineStr">
        <is>
          <t>2026-10-04</t>
        </is>
      </c>
      <c r="V68" t="inlineStr"/>
    </row>
    <row r="69">
      <c r="A69" t="n">
        <v>9</v>
      </c>
      <c r="B69" t="inlineStr">
        <is>
          <t>Amilla Fushi</t>
        </is>
      </c>
      <c r="C69" t="inlineStr">
        <is>
          <t>spa_menu</t>
        </is>
      </c>
      <c r="D69" t="inlineStr">
        <is>
          <t>2026_Mothers-Day_2026.pdf</t>
        </is>
      </c>
      <c r="E69" t="n">
        <v>2026</v>
      </c>
      <c r="H69" t="n">
        <v>2</v>
      </c>
      <c r="I69" t="n">
        <v>7202</v>
      </c>
      <c r="J69" t="inlineStr">
        <is>
          <t>Y</t>
        </is>
      </c>
      <c r="K69" t="inlineStr">
        <is>
          <t>amilla.com</t>
        </is>
      </c>
      <c r="L69" t="inlineStr">
        <is>
          <t>official</t>
        </is>
      </c>
      <c r="M69" t="inlineStr">
        <is>
          <t>https://amilla.com/wp-content/uploads/Mothers-Day_2026.pdf</t>
        </is>
      </c>
      <c r="N69" t="inlineStr">
        <is>
          <t>https://amilla.com/wp-content/uploads/Mothers-Day_2026.pdf</t>
        </is>
      </c>
      <c r="O69" t="inlineStr">
        <is>
          <t>b0e6fe529bbeca1b8e0e2e2df8e3f0a69537c20d72e5724f37cd67e2fc634781</t>
        </is>
      </c>
      <c r="P69" t="inlineStr">
        <is>
          <t>library/009_amilla-fushi/spa_menu/2026_Mothers-Day_2026.pdf</t>
        </is>
      </c>
      <c r="R69" t="inlineStr">
        <is>
          <t>current</t>
        </is>
      </c>
      <c r="S69" t="inlineStr">
        <is>
          <t>Y</t>
        </is>
      </c>
      <c r="T69" t="inlineStr">
        <is>
          <t>matched</t>
        </is>
      </c>
      <c r="U69" t="inlineStr">
        <is>
          <t>2026-10-04</t>
        </is>
      </c>
      <c r="V69" t="inlineStr"/>
    </row>
    <row r="70">
      <c r="A70" t="n">
        <v>9</v>
      </c>
      <c r="B70" t="inlineStr">
        <is>
          <t>Amilla Fushi</t>
        </is>
      </c>
      <c r="C70" t="inlineStr">
        <is>
          <t>spa_menu</t>
        </is>
      </c>
      <c r="D70" t="inlineStr">
        <is>
          <t>2024_Javvu-Spa-Menu_October2024_v2.pdf</t>
        </is>
      </c>
      <c r="E70" t="n">
        <v>2024</v>
      </c>
      <c r="H70" t="n">
        <v>7</v>
      </c>
      <c r="I70" t="n">
        <v>615</v>
      </c>
      <c r="J70" t="inlineStr">
        <is>
          <t>Y</t>
        </is>
      </c>
      <c r="K70" t="inlineStr">
        <is>
          <t>amilla.com</t>
        </is>
      </c>
      <c r="L70" t="inlineStr">
        <is>
          <t>official</t>
        </is>
      </c>
      <c r="M70" t="inlineStr">
        <is>
          <t>https://amilla.com/wp-content/uploads/Javvu-Spa-Menu_October2024_v2.pdf</t>
        </is>
      </c>
      <c r="N70" t="inlineStr">
        <is>
          <t>https://amilla.com/wp-content/uploads/Javvu-Spa-Menu_October2024_v2.pdf</t>
        </is>
      </c>
      <c r="O70" t="inlineStr">
        <is>
          <t>1e36b525946f3b33dcddd20e490ebb273f4a401252ab29ed38e84a34ec413d0d</t>
        </is>
      </c>
      <c r="P70" t="inlineStr">
        <is>
          <t>library/009_amilla-fushi/spa_menu/2024_Javvu-Spa-Menu_October2024_v2.pdf</t>
        </is>
      </c>
      <c r="R70" t="inlineStr">
        <is>
          <t>outdated</t>
        </is>
      </c>
      <c r="S70" t="inlineStr">
        <is>
          <t>N</t>
        </is>
      </c>
      <c r="T70" t="inlineStr">
        <is>
          <t>matched</t>
        </is>
      </c>
      <c r="U70" t="inlineStr">
        <is>
          <t>2026-10-04</t>
        </is>
      </c>
      <c r="V70" t="inlineStr"/>
    </row>
    <row r="71">
      <c r="A71" t="n">
        <v>9</v>
      </c>
      <c r="B71" t="inlineStr">
        <is>
          <t>Amilla Fushi</t>
        </is>
      </c>
      <c r="C71" t="inlineStr">
        <is>
          <t>spa_menu</t>
        </is>
      </c>
      <c r="D71" t="inlineStr">
        <is>
          <t>2024_Claire-OSullivan-July-VP.pdf</t>
        </is>
      </c>
      <c r="E71" t="n">
        <v>2024</v>
      </c>
      <c r="H71" t="n">
        <v>2</v>
      </c>
      <c r="I71" t="n">
        <v>220</v>
      </c>
      <c r="J71" t="inlineStr">
        <is>
          <t>Y</t>
        </is>
      </c>
      <c r="K71" t="inlineStr">
        <is>
          <t>amilla.com</t>
        </is>
      </c>
      <c r="L71" t="inlineStr">
        <is>
          <t>official</t>
        </is>
      </c>
      <c r="M71" t="inlineStr">
        <is>
          <t>https://amilla.com/wp-content/uploads/Claire-OSullivan-July-VP.pdf</t>
        </is>
      </c>
      <c r="N71" t="inlineStr">
        <is>
          <t>https://amilla.com/wp-content/uploads/Claire-OSullivan-July-VP.pdf</t>
        </is>
      </c>
      <c r="O71" t="inlineStr">
        <is>
          <t>a508b7213ba08258f69d1624b4b7957432ef079a1d6d88da3cec7c14616172cb</t>
        </is>
      </c>
      <c r="P71" t="inlineStr">
        <is>
          <t>library/009_amilla-fushi/spa_menu/2024_Claire-OSullivan-July-VP.pdf</t>
        </is>
      </c>
      <c r="R71" t="inlineStr">
        <is>
          <t>outdated</t>
        </is>
      </c>
      <c r="S71" t="inlineStr">
        <is>
          <t>N</t>
        </is>
      </c>
      <c r="T71" t="inlineStr">
        <is>
          <t>matched</t>
        </is>
      </c>
      <c r="U71" t="inlineStr">
        <is>
          <t>2026-10-04</t>
        </is>
      </c>
      <c r="V71" t="inlineStr"/>
    </row>
    <row r="72">
      <c r="A72" t="n">
        <v>9</v>
      </c>
      <c r="B72" t="inlineStr">
        <is>
          <t>Amilla Fushi</t>
        </is>
      </c>
      <c r="C72" t="inlineStr">
        <is>
          <t>spa_menu</t>
        </is>
      </c>
      <c r="D72" t="inlineStr">
        <is>
          <t>2024_Consuelo-Sayoran-August-2024.pdf</t>
        </is>
      </c>
      <c r="E72" t="n">
        <v>2024</v>
      </c>
      <c r="H72" t="n">
        <v>2</v>
      </c>
      <c r="I72" t="n">
        <v>162</v>
      </c>
      <c r="J72" t="inlineStr">
        <is>
          <t>Y</t>
        </is>
      </c>
      <c r="K72" t="inlineStr">
        <is>
          <t>amilla.com</t>
        </is>
      </c>
      <c r="L72" t="inlineStr">
        <is>
          <t>official</t>
        </is>
      </c>
      <c r="M72" t="inlineStr">
        <is>
          <t>https://amilla.com/wp-content/uploads/Consuelo-Sayoran-August-2024.pdf</t>
        </is>
      </c>
      <c r="N72" t="inlineStr">
        <is>
          <t>https://amilla.com/wp-content/uploads/Consuelo-Sayoran-August-2024.pdf</t>
        </is>
      </c>
      <c r="O72" t="inlineStr">
        <is>
          <t>d85db066b8706b13cc52de294624eb7c84e6da96ae4bc7ae4a34b97c78812c5b</t>
        </is>
      </c>
      <c r="P72" t="inlineStr">
        <is>
          <t>library/009_amilla-fushi/spa_menu/2024_Consuelo-Sayoran-August-2024.pdf</t>
        </is>
      </c>
      <c r="R72" t="inlineStr">
        <is>
          <t>outdated</t>
        </is>
      </c>
      <c r="S72" t="inlineStr">
        <is>
          <t>N</t>
        </is>
      </c>
      <c r="T72" t="inlineStr">
        <is>
          <t>matched</t>
        </is>
      </c>
      <c r="U72" t="inlineStr">
        <is>
          <t>2026-10-04</t>
        </is>
      </c>
      <c r="V72" t="inlineStr"/>
    </row>
    <row r="73">
      <c r="A73" t="n">
        <v>9</v>
      </c>
      <c r="B73" t="inlineStr">
        <is>
          <t>Amilla Fushi</t>
        </is>
      </c>
      <c r="C73" t="inlineStr">
        <is>
          <t>spa_menu</t>
        </is>
      </c>
      <c r="D73" t="inlineStr">
        <is>
          <t>2024_AmillaMaldives_Javvu-Spa-Menu-2024.pdf</t>
        </is>
      </c>
      <c r="E73" t="n">
        <v>2024</v>
      </c>
      <c r="H73" t="n">
        <v>6</v>
      </c>
      <c r="I73" t="n">
        <v>398</v>
      </c>
      <c r="J73" t="inlineStr">
        <is>
          <t>Y</t>
        </is>
      </c>
      <c r="K73" t="inlineStr">
        <is>
          <t>amilla.com</t>
        </is>
      </c>
      <c r="L73" t="inlineStr">
        <is>
          <t>official</t>
        </is>
      </c>
      <c r="M73" t="inlineStr">
        <is>
          <t>https://amilla.com/wp-content/uploads/AmillaMaldives_Javvu-Spa-Menu-2024.pdf</t>
        </is>
      </c>
      <c r="N73" t="inlineStr">
        <is>
          <t>https://amilla.com/wp-content/uploads/AmillaMaldives_Javvu-Spa-Menu-2024.pdf</t>
        </is>
      </c>
      <c r="O73" t="inlineStr">
        <is>
          <t>05e6a9324a90c6ffac3a16f8076ef754d6f4a00636ba13607f99d7707c297d21</t>
        </is>
      </c>
      <c r="P73" t="inlineStr">
        <is>
          <t>library/009_amilla-fushi/spa_menu/2024_AmillaMaldives_Javvu-Spa-Menu-2024.pdf</t>
        </is>
      </c>
      <c r="R73" t="inlineStr">
        <is>
          <t>outdated</t>
        </is>
      </c>
      <c r="S73" t="inlineStr">
        <is>
          <t>N</t>
        </is>
      </c>
      <c r="T73" t="inlineStr">
        <is>
          <t>matched</t>
        </is>
      </c>
      <c r="U73" t="inlineStr">
        <is>
          <t>2026-10-04</t>
        </is>
      </c>
      <c r="V73" t="inlineStr"/>
    </row>
    <row r="74">
      <c r="A74" t="n">
        <v>9</v>
      </c>
      <c r="B74" t="inlineStr">
        <is>
          <t>Amilla Fushi</t>
        </is>
      </c>
      <c r="C74" t="inlineStr">
        <is>
          <t>spa_menu</t>
        </is>
      </c>
      <c r="D74" t="inlineStr">
        <is>
          <t>2024_Master-Sifu-Aniket-Visiting-Practitioner.pdf</t>
        </is>
      </c>
      <c r="E74" t="n">
        <v>2024</v>
      </c>
      <c r="H74" t="n">
        <v>3</v>
      </c>
      <c r="I74" t="n">
        <v>359</v>
      </c>
      <c r="J74" t="inlineStr">
        <is>
          <t>Y</t>
        </is>
      </c>
      <c r="K74" t="inlineStr">
        <is>
          <t>amilla.com</t>
        </is>
      </c>
      <c r="L74" t="inlineStr">
        <is>
          <t>official</t>
        </is>
      </c>
      <c r="M74" t="inlineStr">
        <is>
          <t>https://amilla.com/wp-content/uploads/Master-Sifu-Aniket-Visiting-Practitioner.pdf</t>
        </is>
      </c>
      <c r="N74" t="inlineStr">
        <is>
          <t>https://amilla.com/wp-content/uploads/Master-Sifu-Aniket-Visiting-Practitioner.pdf</t>
        </is>
      </c>
      <c r="O74" t="inlineStr">
        <is>
          <t>faaf2eacd99edf4233d97d0b8f6be3e77bb21748f959b58acfa53bfe6916e63a</t>
        </is>
      </c>
      <c r="P74" t="inlineStr">
        <is>
          <t>library/009_amilla-fushi/spa_menu/2024_Master-Sifu-Aniket-Visiting-Practitioner.pdf</t>
        </is>
      </c>
      <c r="R74" t="inlineStr">
        <is>
          <t>outdated</t>
        </is>
      </c>
      <c r="S74" t="inlineStr">
        <is>
          <t>N</t>
        </is>
      </c>
      <c r="T74" t="inlineStr">
        <is>
          <t>matched</t>
        </is>
      </c>
      <c r="U74" t="inlineStr">
        <is>
          <t>2026-10-04</t>
        </is>
      </c>
      <c r="V74" t="inlineStr"/>
    </row>
    <row r="75">
      <c r="A75" t="n">
        <v>9</v>
      </c>
      <c r="B75" t="inlineStr">
        <is>
          <t>Amilla Fushi</t>
        </is>
      </c>
      <c r="C75" t="inlineStr">
        <is>
          <t>spa_menu</t>
        </is>
      </c>
      <c r="D75" t="inlineStr">
        <is>
          <t>2024_Jang-Kanlayanee.pdf</t>
        </is>
      </c>
      <c r="E75" t="n">
        <v>2024</v>
      </c>
      <c r="H75" t="n">
        <v>3</v>
      </c>
      <c r="I75" t="n">
        <v>296</v>
      </c>
      <c r="J75" t="inlineStr">
        <is>
          <t>Y</t>
        </is>
      </c>
      <c r="K75" t="inlineStr">
        <is>
          <t>amilla.com</t>
        </is>
      </c>
      <c r="L75" t="inlineStr">
        <is>
          <t>official</t>
        </is>
      </c>
      <c r="M75" t="inlineStr">
        <is>
          <t>https://amilla.com/wp-content/uploads/Jang-Kanlayanee.pdf</t>
        </is>
      </c>
      <c r="N75" t="inlineStr">
        <is>
          <t>https://amilla.com/wp-content/uploads/Jang-Kanlayanee.pdf</t>
        </is>
      </c>
      <c r="O75" t="inlineStr">
        <is>
          <t>387e7c78d444418e5c96d391188dabc1650e149157b07c55f31795955c53b7d5</t>
        </is>
      </c>
      <c r="P75" t="inlineStr">
        <is>
          <t>library/009_amilla-fushi/spa_menu/2024_Jang-Kanlayanee.pdf</t>
        </is>
      </c>
      <c r="R75" t="inlineStr">
        <is>
          <t>outdated</t>
        </is>
      </c>
      <c r="S75" t="inlineStr">
        <is>
          <t>N</t>
        </is>
      </c>
      <c r="T75" t="inlineStr">
        <is>
          <t>matched</t>
        </is>
      </c>
      <c r="U75" t="inlineStr">
        <is>
          <t>2026-10-04</t>
        </is>
      </c>
      <c r="V75" t="inlineStr"/>
    </row>
    <row r="76">
      <c r="A76" t="n">
        <v>9</v>
      </c>
      <c r="B76" t="inlineStr">
        <is>
          <t>Amilla Fushi</t>
        </is>
      </c>
      <c r="C76" t="inlineStr">
        <is>
          <t>spa_menu</t>
        </is>
      </c>
      <c r="D76" t="inlineStr">
        <is>
          <t>2024_Shyam.K.C.pdf</t>
        </is>
      </c>
      <c r="E76" t="n">
        <v>2024</v>
      </c>
      <c r="H76" t="n">
        <v>2</v>
      </c>
      <c r="I76" t="n">
        <v>216</v>
      </c>
      <c r="J76" t="inlineStr">
        <is>
          <t>Y</t>
        </is>
      </c>
      <c r="K76" t="inlineStr">
        <is>
          <t>amilla.com</t>
        </is>
      </c>
      <c r="L76" t="inlineStr">
        <is>
          <t>official</t>
        </is>
      </c>
      <c r="M76" t="inlineStr">
        <is>
          <t>https://amilla.com/wp-content/uploads/Shyam.K.C.pdf</t>
        </is>
      </c>
      <c r="N76" t="inlineStr">
        <is>
          <t>https://amilla.com/wp-content/uploads/Shyam.K.C.pdf</t>
        </is>
      </c>
      <c r="O76" t="inlineStr">
        <is>
          <t>6fd718e05875e109de5752c8966d03e371832f51ef716a41c0e5c0a58416c848</t>
        </is>
      </c>
      <c r="P76" t="inlineStr">
        <is>
          <t>library/009_amilla-fushi/spa_menu/2024_Shyam.K.C.pdf</t>
        </is>
      </c>
      <c r="R76" t="inlineStr">
        <is>
          <t>outdated</t>
        </is>
      </c>
      <c r="S76" t="inlineStr">
        <is>
          <t>N</t>
        </is>
      </c>
      <c r="T76" t="inlineStr">
        <is>
          <t>matched</t>
        </is>
      </c>
      <c r="U76" t="inlineStr">
        <is>
          <t>2026-10-04</t>
        </is>
      </c>
      <c r="V76" t="inlineStr"/>
    </row>
    <row r="77">
      <c r="A77" t="n">
        <v>9</v>
      </c>
      <c r="B77" t="inlineStr">
        <is>
          <t>Amilla Fushi</t>
        </is>
      </c>
      <c r="C77" t="inlineStr">
        <is>
          <t>spa_menu</t>
        </is>
      </c>
      <c r="D77" t="inlineStr">
        <is>
          <t>2024_Valentines-Day-at-Javvu-Spa-1.pdf</t>
        </is>
      </c>
      <c r="E77" t="n">
        <v>2024</v>
      </c>
      <c r="H77" t="n">
        <v>1</v>
      </c>
      <c r="I77" t="n">
        <v>419</v>
      </c>
      <c r="J77" t="inlineStr">
        <is>
          <t>Y</t>
        </is>
      </c>
      <c r="K77" t="inlineStr">
        <is>
          <t>amilla.com</t>
        </is>
      </c>
      <c r="L77" t="inlineStr">
        <is>
          <t>official</t>
        </is>
      </c>
      <c r="M77" t="inlineStr">
        <is>
          <t>https://amilla.com/wp-content/uploads/Valentines-Day-at-Javvu-Spa-1.pdf</t>
        </is>
      </c>
      <c r="N77" t="inlineStr">
        <is>
          <t>https://amilla.com/wp-content/uploads/Valentines-Day-at-Javvu-Spa-1.pdf</t>
        </is>
      </c>
      <c r="O77" t="inlineStr">
        <is>
          <t>c7406d3de8a4656f684530e00b19750d8b83090ca7f0328b928c32a5d91fc52b</t>
        </is>
      </c>
      <c r="P77" t="inlineStr">
        <is>
          <t>library/009_amilla-fushi/spa_menu/2024_Valentines-Day-at-Javvu-Spa-1.pdf</t>
        </is>
      </c>
      <c r="R77" t="inlineStr">
        <is>
          <t>outdated</t>
        </is>
      </c>
      <c r="S77" t="inlineStr">
        <is>
          <t>N</t>
        </is>
      </c>
      <c r="T77" t="inlineStr">
        <is>
          <t>matched</t>
        </is>
      </c>
      <c r="U77" t="inlineStr">
        <is>
          <t>2026-10-04</t>
        </is>
      </c>
      <c r="V77" t="inlineStr"/>
    </row>
    <row r="78">
      <c r="A78" t="n">
        <v>9</v>
      </c>
      <c r="B78" t="inlineStr">
        <is>
          <t>Amilla Fushi</t>
        </is>
      </c>
      <c r="C78" t="inlineStr">
        <is>
          <t>spa_menu</t>
        </is>
      </c>
      <c r="D78" t="inlineStr">
        <is>
          <t>2024_Dr.-Fabio-Massimo-Paciucci-.pdf</t>
        </is>
      </c>
      <c r="E78" t="n">
        <v>2024</v>
      </c>
      <c r="H78" t="n">
        <v>2</v>
      </c>
      <c r="I78" t="n">
        <v>155</v>
      </c>
      <c r="J78" t="inlineStr">
        <is>
          <t>Y</t>
        </is>
      </c>
      <c r="K78" t="inlineStr">
        <is>
          <t>amilla.com</t>
        </is>
      </c>
      <c r="L78" t="inlineStr">
        <is>
          <t>official</t>
        </is>
      </c>
      <c r="M78" t="inlineStr">
        <is>
          <t>https://amilla.com/wp-content/uploads/Dr.-Fabio-Massimo-Paciucci-.pdf</t>
        </is>
      </c>
      <c r="N78" t="inlineStr">
        <is>
          <t>https://amilla.com/wp-content/uploads/Dr.-Fabio-Massimo-Paciucci-.pdf</t>
        </is>
      </c>
      <c r="O78" t="inlineStr">
        <is>
          <t>39d4b4f98a7839c1ea4e7b5e77c0a1cdfde45cc1fdc3749019a57d9532f744a2</t>
        </is>
      </c>
      <c r="P78" t="inlineStr">
        <is>
          <t>library/009_amilla-fushi/spa_menu/2024_Dr.-Fabio-Massimo-Paciucci-.pdf</t>
        </is>
      </c>
      <c r="R78" t="inlineStr">
        <is>
          <t>outdated</t>
        </is>
      </c>
      <c r="S78" t="inlineStr">
        <is>
          <t>N</t>
        </is>
      </c>
      <c r="T78" t="inlineStr">
        <is>
          <t>matched</t>
        </is>
      </c>
      <c r="U78" t="inlineStr">
        <is>
          <t>2026-10-04</t>
        </is>
      </c>
      <c r="V78" t="inlineStr"/>
    </row>
    <row r="79">
      <c r="A79" t="n">
        <v>9</v>
      </c>
      <c r="B79" t="inlineStr">
        <is>
          <t>Amilla Fushi</t>
        </is>
      </c>
      <c r="C79" t="inlineStr">
        <is>
          <t>spa_menu</t>
        </is>
      </c>
      <c r="D79" t="inlineStr">
        <is>
          <t>2024_Katrina-Valente.pdf</t>
        </is>
      </c>
      <c r="E79" t="n">
        <v>2024</v>
      </c>
      <c r="H79" t="n">
        <v>2</v>
      </c>
      <c r="I79" t="n">
        <v>613</v>
      </c>
      <c r="J79" t="inlineStr">
        <is>
          <t>Y</t>
        </is>
      </c>
      <c r="K79" t="inlineStr">
        <is>
          <t>amilla.com</t>
        </is>
      </c>
      <c r="L79" t="inlineStr">
        <is>
          <t>official</t>
        </is>
      </c>
      <c r="M79" t="inlineStr">
        <is>
          <t>https://amilla.com/wp-content/uploads/Katrina-Valente.pdf</t>
        </is>
      </c>
      <c r="N79" t="inlineStr">
        <is>
          <t>https://amilla.com/wp-content/uploads/Katrina-Valente.pdf</t>
        </is>
      </c>
      <c r="O79" t="inlineStr">
        <is>
          <t>59e3abb4ed57202a7a183a01287a4788a176c65e040e08063a367a9e10238bf9</t>
        </is>
      </c>
      <c r="P79" t="inlineStr">
        <is>
          <t>library/009_amilla-fushi/spa_menu/2024_Katrina-Valente.pdf</t>
        </is>
      </c>
      <c r="R79" t="inlineStr">
        <is>
          <t>outdated</t>
        </is>
      </c>
      <c r="S79" t="inlineStr">
        <is>
          <t>N</t>
        </is>
      </c>
      <c r="T79" t="inlineStr">
        <is>
          <t>matched</t>
        </is>
      </c>
      <c r="U79" t="inlineStr">
        <is>
          <t>2026-10-04</t>
        </is>
      </c>
      <c r="V79" t="inlineStr"/>
    </row>
    <row r="80">
      <c r="A80" t="n">
        <v>9</v>
      </c>
      <c r="B80" t="inlineStr">
        <is>
          <t>Amilla Fushi</t>
        </is>
      </c>
      <c r="C80" t="inlineStr">
        <is>
          <t>spa_menu</t>
        </is>
      </c>
      <c r="D80" t="inlineStr">
        <is>
          <t>2023_Tridendra-Shayak.pdf</t>
        </is>
      </c>
      <c r="E80" t="n">
        <v>2023</v>
      </c>
      <c r="H80" t="n">
        <v>2</v>
      </c>
      <c r="I80" t="n">
        <v>579</v>
      </c>
      <c r="J80" t="inlineStr">
        <is>
          <t>Y</t>
        </is>
      </c>
      <c r="K80" t="inlineStr">
        <is>
          <t>amilla.com</t>
        </is>
      </c>
      <c r="L80" t="inlineStr">
        <is>
          <t>official</t>
        </is>
      </c>
      <c r="M80" t="inlineStr">
        <is>
          <t>https://amilla.com/wp-content/uploads/Tridendra-Shayak.pdf</t>
        </is>
      </c>
      <c r="N80" t="inlineStr">
        <is>
          <t>https://amilla.com/wp-content/uploads/Tridendra-Shayak.pdf</t>
        </is>
      </c>
      <c r="O80" t="inlineStr">
        <is>
          <t>0ec88840a60bda1cddefdce25c6906433f8e7375b7b70957415059242d256742</t>
        </is>
      </c>
      <c r="P80" t="inlineStr">
        <is>
          <t>library/009_amilla-fushi/spa_menu/2023_Tridendra-Shayak.pdf</t>
        </is>
      </c>
      <c r="R80" t="inlineStr">
        <is>
          <t>outdated</t>
        </is>
      </c>
      <c r="S80" t="inlineStr">
        <is>
          <t>N</t>
        </is>
      </c>
      <c r="T80" t="inlineStr">
        <is>
          <t>matched</t>
        </is>
      </c>
      <c r="U80" t="inlineStr">
        <is>
          <t>2026-10-04</t>
        </is>
      </c>
      <c r="V80" t="inlineStr"/>
    </row>
    <row r="81">
      <c r="A81" t="n">
        <v>9</v>
      </c>
      <c r="B81" t="inlineStr">
        <is>
          <t>Amilla Fushi</t>
        </is>
      </c>
      <c r="C81" t="inlineStr">
        <is>
          <t>spa_menu</t>
        </is>
      </c>
      <c r="D81" t="inlineStr">
        <is>
          <t>2023_Paul-Emery.pdf</t>
        </is>
      </c>
      <c r="E81" t="n">
        <v>2023</v>
      </c>
      <c r="H81" t="n">
        <v>2</v>
      </c>
      <c r="I81" t="n">
        <v>476</v>
      </c>
      <c r="J81" t="inlineStr">
        <is>
          <t>Y</t>
        </is>
      </c>
      <c r="K81" t="inlineStr">
        <is>
          <t>amilla.com</t>
        </is>
      </c>
      <c r="L81" t="inlineStr">
        <is>
          <t>official</t>
        </is>
      </c>
      <c r="M81" t="inlineStr">
        <is>
          <t>https://amilla.com/wp-content/uploads/Paul-Emery.pdf</t>
        </is>
      </c>
      <c r="N81" t="inlineStr">
        <is>
          <t>https://amilla.com/wp-content/uploads/Paul-Emery.pdf</t>
        </is>
      </c>
      <c r="O81" t="inlineStr">
        <is>
          <t>a62a859c09a5dcacb16a717567794b258fa0f1f1374cd62640c03fe7eadc22fc</t>
        </is>
      </c>
      <c r="P81" t="inlineStr">
        <is>
          <t>library/009_amilla-fushi/spa_menu/2023_Paul-Emery.pdf</t>
        </is>
      </c>
      <c r="R81" t="inlineStr">
        <is>
          <t>outdated</t>
        </is>
      </c>
      <c r="S81" t="inlineStr">
        <is>
          <t>N</t>
        </is>
      </c>
      <c r="T81" t="inlineStr">
        <is>
          <t>matched</t>
        </is>
      </c>
      <c r="U81" t="inlineStr">
        <is>
          <t>2026-10-04</t>
        </is>
      </c>
      <c r="V81" t="inlineStr"/>
    </row>
    <row r="82">
      <c r="A82" t="n">
        <v>9</v>
      </c>
      <c r="B82" t="inlineStr">
        <is>
          <t>Amilla Fushi</t>
        </is>
      </c>
      <c r="C82" t="inlineStr">
        <is>
          <t>spa_menu</t>
        </is>
      </c>
      <c r="D82" t="inlineStr">
        <is>
          <t>2023_George-Kleopas.pdf</t>
        </is>
      </c>
      <c r="E82" t="n">
        <v>2023</v>
      </c>
      <c r="H82" t="n">
        <v>2</v>
      </c>
      <c r="I82" t="n">
        <v>669</v>
      </c>
      <c r="J82" t="inlineStr">
        <is>
          <t>Y</t>
        </is>
      </c>
      <c r="K82" t="inlineStr">
        <is>
          <t>amilla.com</t>
        </is>
      </c>
      <c r="L82" t="inlineStr">
        <is>
          <t>official</t>
        </is>
      </c>
      <c r="M82" t="inlineStr">
        <is>
          <t>https://amilla.com/wp-content/uploads/George-Kleopas.pdf</t>
        </is>
      </c>
      <c r="N82" t="inlineStr">
        <is>
          <t>https://amilla.com/wp-content/uploads/George-Kleopas.pdf</t>
        </is>
      </c>
      <c r="O82" t="inlineStr">
        <is>
          <t>07c89c144b8b1a8dd8e783ded982e5ad3bc40c970e915d9067a00497ba19ce99</t>
        </is>
      </c>
      <c r="P82" t="inlineStr">
        <is>
          <t>library/009_amilla-fushi/spa_menu/2023_George-Kleopas.pdf</t>
        </is>
      </c>
      <c r="R82" t="inlineStr">
        <is>
          <t>outdated</t>
        </is>
      </c>
      <c r="S82" t="inlineStr">
        <is>
          <t>N</t>
        </is>
      </c>
      <c r="T82" t="inlineStr">
        <is>
          <t>matched</t>
        </is>
      </c>
      <c r="U82" t="inlineStr">
        <is>
          <t>2026-10-04</t>
        </is>
      </c>
      <c r="V82" t="inlineStr"/>
    </row>
    <row r="83">
      <c r="A83" t="n">
        <v>9</v>
      </c>
      <c r="B83" t="inlineStr">
        <is>
          <t>Amilla Fushi</t>
        </is>
      </c>
      <c r="C83" t="inlineStr">
        <is>
          <t>dining_menu</t>
        </is>
      </c>
      <c r="D83" t="inlineStr">
        <is>
          <t>2026_Menu-_-Dr.-Lim-1.pdf</t>
        </is>
      </c>
      <c r="E83" t="n">
        <v>2026</v>
      </c>
      <c r="H83" t="n">
        <v>1</v>
      </c>
      <c r="I83" t="n">
        <v>65</v>
      </c>
      <c r="J83" t="inlineStr">
        <is>
          <t>Y</t>
        </is>
      </c>
      <c r="K83" t="inlineStr">
        <is>
          <t>amilla.com</t>
        </is>
      </c>
      <c r="L83" t="inlineStr">
        <is>
          <t>official</t>
        </is>
      </c>
      <c r="M83" t="inlineStr">
        <is>
          <t>https://amilla.com/wp-content/uploads/Menu-_-Dr.-Lim-1.pdf</t>
        </is>
      </c>
      <c r="N83" t="inlineStr">
        <is>
          <t>https://amilla.com/wp-content/uploads/Menu-_-Dr.-Lim-1.pdf</t>
        </is>
      </c>
      <c r="O83" t="inlineStr">
        <is>
          <t>cee517b94b038f925a9178fde2046a61f97618274f54ee3c5f405b392085952b</t>
        </is>
      </c>
      <c r="P83" t="inlineStr">
        <is>
          <t>library/009_amilla-fushi/dining_menu/2026_Menu-_-Dr.-Lim-1.pdf</t>
        </is>
      </c>
      <c r="R83" t="inlineStr">
        <is>
          <t>current</t>
        </is>
      </c>
      <c r="S83" t="inlineStr">
        <is>
          <t>N</t>
        </is>
      </c>
      <c r="T83" t="inlineStr">
        <is>
          <t>matched</t>
        </is>
      </c>
      <c r="U83" t="inlineStr">
        <is>
          <t>2026-10-04</t>
        </is>
      </c>
      <c r="V83" t="inlineStr"/>
    </row>
    <row r="84">
      <c r="A84" t="n">
        <v>9</v>
      </c>
      <c r="B84" t="inlineStr">
        <is>
          <t>Amilla Fushi</t>
        </is>
      </c>
      <c r="C84" t="inlineStr">
        <is>
          <t>dining_menu</t>
        </is>
      </c>
      <c r="D84" t="inlineStr">
        <is>
          <t>2026_Final.pdf</t>
        </is>
      </c>
      <c r="E84" t="n">
        <v>2026</v>
      </c>
      <c r="H84" t="n">
        <v>1</v>
      </c>
      <c r="I84" t="n">
        <v>3054</v>
      </c>
      <c r="J84" t="inlineStr">
        <is>
          <t>Y</t>
        </is>
      </c>
      <c r="K84" t="inlineStr">
        <is>
          <t>amilla.com</t>
        </is>
      </c>
      <c r="L84" t="inlineStr">
        <is>
          <t>official</t>
        </is>
      </c>
      <c r="M84" t="inlineStr">
        <is>
          <t>https://amilla.com/wp-content/uploads/Final.pdf</t>
        </is>
      </c>
      <c r="N84" t="inlineStr">
        <is>
          <t>https://amilla.com/wp-content/uploads/Final.pdf</t>
        </is>
      </c>
      <c r="O84" t="inlineStr">
        <is>
          <t>4956d1b78b78de83b54194c3420a035bef2e516b28dc8ef5e52b30d86695fa17</t>
        </is>
      </c>
      <c r="P84" t="inlineStr">
        <is>
          <t>library/009_amilla-fushi/dining_menu/2026_Final.pdf</t>
        </is>
      </c>
      <c r="R84" t="inlineStr">
        <is>
          <t>current</t>
        </is>
      </c>
      <c r="S84" t="inlineStr">
        <is>
          <t>N</t>
        </is>
      </c>
      <c r="T84" t="inlineStr">
        <is>
          <t>matched</t>
        </is>
      </c>
      <c r="U84" t="inlineStr">
        <is>
          <t>2026-10-04</t>
        </is>
      </c>
      <c r="V84" t="inlineStr"/>
    </row>
    <row r="85">
      <c r="A85" t="n">
        <v>9</v>
      </c>
      <c r="B85" t="inlineStr">
        <is>
          <t>Amilla Fushi</t>
        </is>
      </c>
      <c r="C85" t="inlineStr">
        <is>
          <t>dining_menu</t>
        </is>
      </c>
      <c r="D85" t="inlineStr">
        <is>
          <t>2026_Menu_Nikki_.pdf</t>
        </is>
      </c>
      <c r="E85" t="n">
        <v>2026</v>
      </c>
      <c r="H85" t="n">
        <v>1</v>
      </c>
      <c r="I85" t="n">
        <v>37</v>
      </c>
      <c r="J85" t="inlineStr">
        <is>
          <t>Y</t>
        </is>
      </c>
      <c r="K85" t="inlineStr">
        <is>
          <t>amilla.com</t>
        </is>
      </c>
      <c r="L85" t="inlineStr">
        <is>
          <t>official</t>
        </is>
      </c>
      <c r="M85" t="inlineStr">
        <is>
          <t>https://amilla.com/wp-content/uploads/Menu_Nikki_.pdf</t>
        </is>
      </c>
      <c r="N85" t="inlineStr">
        <is>
          <t>https://amilla.com/wp-content/uploads/Menu_Nikki_.pdf</t>
        </is>
      </c>
      <c r="O85" t="inlineStr">
        <is>
          <t>c0ef1254a0880be774668aea530cdb966043484e056945a7275f2c1c4c974e11</t>
        </is>
      </c>
      <c r="P85" t="inlineStr">
        <is>
          <t>library/009_amilla-fushi/dining_menu/2026_Menu_Nikki_.pdf</t>
        </is>
      </c>
      <c r="R85" t="inlineStr">
        <is>
          <t>current</t>
        </is>
      </c>
      <c r="S85" t="inlineStr">
        <is>
          <t>N</t>
        </is>
      </c>
      <c r="T85" t="inlineStr">
        <is>
          <t>matched</t>
        </is>
      </c>
      <c r="U85" t="inlineStr">
        <is>
          <t>2026-10-04</t>
        </is>
      </c>
      <c r="V85" t="inlineStr"/>
    </row>
    <row r="86">
      <c r="A86" t="n">
        <v>9</v>
      </c>
      <c r="B86" t="inlineStr">
        <is>
          <t>Amilla Fushi</t>
        </is>
      </c>
      <c r="C86" t="inlineStr">
        <is>
          <t>dining_menu</t>
        </is>
      </c>
      <c r="D86" t="inlineStr">
        <is>
          <t>2026_Clay-Studio-Menu.pdf</t>
        </is>
      </c>
      <c r="E86" t="n">
        <v>2026</v>
      </c>
      <c r="H86" t="n">
        <v>3</v>
      </c>
      <c r="I86" t="n">
        <v>657</v>
      </c>
      <c r="J86" t="inlineStr">
        <is>
          <t>Y</t>
        </is>
      </c>
      <c r="K86" t="inlineStr">
        <is>
          <t>amilla.com</t>
        </is>
      </c>
      <c r="L86" t="inlineStr">
        <is>
          <t>official</t>
        </is>
      </c>
      <c r="M86" t="inlineStr">
        <is>
          <t>https://amilla.com/wp-content/uploads/Clay-Studio-Menu.pdf</t>
        </is>
      </c>
      <c r="N86" t="inlineStr">
        <is>
          <t>https://amilla.com/wp-content/uploads/Clay-Studio-Menu.pdf</t>
        </is>
      </c>
      <c r="O86" t="inlineStr">
        <is>
          <t>67eb48e9e29bffbf68e1f2869b24d93b539474b0f8b14b4479ef713e8d45ef6f</t>
        </is>
      </c>
      <c r="P86" t="inlineStr">
        <is>
          <t>library/009_amilla-fushi/dining_menu/2026_Clay-Studio-Menu.pdf</t>
        </is>
      </c>
      <c r="R86" t="inlineStr">
        <is>
          <t>current</t>
        </is>
      </c>
      <c r="S86" t="inlineStr">
        <is>
          <t>N</t>
        </is>
      </c>
      <c r="T86" t="inlineStr">
        <is>
          <t>matched</t>
        </is>
      </c>
      <c r="U86" t="inlineStr">
        <is>
          <t>2026-10-04</t>
        </is>
      </c>
      <c r="V86" t="inlineStr"/>
    </row>
    <row r="87">
      <c r="A87" t="n">
        <v>9</v>
      </c>
      <c r="B87" t="inlineStr">
        <is>
          <t>Amilla Fushi</t>
        </is>
      </c>
      <c r="C87" t="inlineStr">
        <is>
          <t>dining_menu</t>
        </is>
      </c>
      <c r="D87" t="inlineStr">
        <is>
          <t>2026_Menu_Dr.-Shagnika.pdf</t>
        </is>
      </c>
      <c r="E87" t="n">
        <v>2026</v>
      </c>
      <c r="H87" t="n">
        <v>2</v>
      </c>
      <c r="I87" t="n">
        <v>2588</v>
      </c>
      <c r="J87" t="inlineStr">
        <is>
          <t>Y</t>
        </is>
      </c>
      <c r="K87" t="inlineStr">
        <is>
          <t>amilla.com</t>
        </is>
      </c>
      <c r="L87" t="inlineStr">
        <is>
          <t>official</t>
        </is>
      </c>
      <c r="M87" t="inlineStr">
        <is>
          <t>https://amilla.com/wp-content/uploads/Menu_Dr.-Shagnika.pdf</t>
        </is>
      </c>
      <c r="N87" t="inlineStr">
        <is>
          <t>https://amilla.com/wp-content/uploads/Menu_Dr.-Shagnika.pdf</t>
        </is>
      </c>
      <c r="O87" t="inlineStr">
        <is>
          <t>87a9469554863bb8c6d24224fa26e6b8b8e775ca0025ee07eb00c666f7a1f3f2</t>
        </is>
      </c>
      <c r="P87" t="inlineStr">
        <is>
          <t>library/009_amilla-fushi/dining_menu/2026_Menu_Dr.-Shagnika.pdf</t>
        </is>
      </c>
      <c r="R87" t="inlineStr">
        <is>
          <t>current</t>
        </is>
      </c>
      <c r="S87" t="inlineStr">
        <is>
          <t>N</t>
        </is>
      </c>
      <c r="T87" t="inlineStr">
        <is>
          <t>matched</t>
        </is>
      </c>
      <c r="U87" t="inlineStr">
        <is>
          <t>2026-10-04</t>
        </is>
      </c>
      <c r="V87" t="inlineStr"/>
    </row>
    <row r="88">
      <c r="A88" t="n">
        <v>9</v>
      </c>
      <c r="B88" t="inlineStr">
        <is>
          <t>Amilla Fushi</t>
        </is>
      </c>
      <c r="C88" t="inlineStr">
        <is>
          <t>dining_menu</t>
        </is>
      </c>
      <c r="D88" t="inlineStr">
        <is>
          <t>2026_Eid-Al-adha_2026.pdf</t>
        </is>
      </c>
      <c r="E88" t="n">
        <v>2026</v>
      </c>
      <c r="H88" t="n">
        <v>7</v>
      </c>
      <c r="I88" t="n">
        <v>22845</v>
      </c>
      <c r="J88" t="inlineStr">
        <is>
          <t>Y</t>
        </is>
      </c>
      <c r="K88" t="inlineStr">
        <is>
          <t>amilla.com</t>
        </is>
      </c>
      <c r="L88" t="inlineStr">
        <is>
          <t>official</t>
        </is>
      </c>
      <c r="M88" t="inlineStr">
        <is>
          <t>https://amilla.com/wp-content/uploads/Eid-Al-adha_2026.pdf</t>
        </is>
      </c>
      <c r="N88" t="inlineStr">
        <is>
          <t>https://amilla.com/wp-content/uploads/Eid-Al-adha_2026.pdf</t>
        </is>
      </c>
      <c r="O88" t="inlineStr">
        <is>
          <t>39d61ffc69d62256b5a97e003ddfc1ee7a3c3b68024d54a0e14cfbf667f36701</t>
        </is>
      </c>
      <c r="P88" t="inlineStr">
        <is>
          <t>library/009_amilla-fushi/dining_menu/2026_Eid-Al-adha_2026.pdf</t>
        </is>
      </c>
      <c r="R88" t="inlineStr">
        <is>
          <t>current</t>
        </is>
      </c>
      <c r="S88" t="inlineStr">
        <is>
          <t>Y</t>
        </is>
      </c>
      <c r="T88" t="inlineStr">
        <is>
          <t>matched</t>
        </is>
      </c>
      <c r="U88" t="inlineStr">
        <is>
          <t>2026-10-04</t>
        </is>
      </c>
      <c r="V88" t="inlineStr"/>
    </row>
    <row r="89">
      <c r="A89" t="n">
        <v>9</v>
      </c>
      <c r="B89" t="inlineStr">
        <is>
          <t>Amilla Fushi</t>
        </is>
      </c>
      <c r="C89" t="inlineStr">
        <is>
          <t>dining_menu</t>
        </is>
      </c>
      <c r="D89" t="inlineStr">
        <is>
          <t>2026_Dr.-Shreejit_Menu.pdf</t>
        </is>
      </c>
      <c r="E89" t="n">
        <v>2026</v>
      </c>
      <c r="H89" t="n">
        <v>3</v>
      </c>
      <c r="I89" t="n">
        <v>207</v>
      </c>
      <c r="J89" t="inlineStr">
        <is>
          <t>Y</t>
        </is>
      </c>
      <c r="K89" t="inlineStr">
        <is>
          <t>amilla.com</t>
        </is>
      </c>
      <c r="L89" t="inlineStr">
        <is>
          <t>official</t>
        </is>
      </c>
      <c r="M89" t="inlineStr">
        <is>
          <t>https://amilla.com/wp-content/uploads/Dr.-Shreejit_Menu.pdf</t>
        </is>
      </c>
      <c r="N89" t="inlineStr">
        <is>
          <t>https://amilla.com/wp-content/uploads/Dr.-Shreejit_Menu.pdf</t>
        </is>
      </c>
      <c r="O89" t="inlineStr">
        <is>
          <t>6429a16c8cdae48a88ebc3fac237240c97f76c9cf2694720b7ed987ed1ee497b</t>
        </is>
      </c>
      <c r="P89" t="inlineStr">
        <is>
          <t>library/009_amilla-fushi/dining_menu/2026_Dr.-Shreejit_Menu.pdf</t>
        </is>
      </c>
      <c r="R89" t="inlineStr">
        <is>
          <t>current</t>
        </is>
      </c>
      <c r="S89" t="inlineStr">
        <is>
          <t>N</t>
        </is>
      </c>
      <c r="T89" t="inlineStr">
        <is>
          <t>matched</t>
        </is>
      </c>
      <c r="U89" t="inlineStr">
        <is>
          <t>2026-10-04</t>
        </is>
      </c>
      <c r="V89" t="inlineStr"/>
    </row>
    <row r="90">
      <c r="A90" t="n">
        <v>9</v>
      </c>
      <c r="B90" t="inlineStr">
        <is>
          <t>Amilla Fushi</t>
        </is>
      </c>
      <c r="C90" t="inlineStr">
        <is>
          <t>dining_menu</t>
        </is>
      </c>
      <c r="D90" t="inlineStr">
        <is>
          <t>2026_Amp_Menu.pdf</t>
        </is>
      </c>
      <c r="E90" t="n">
        <v>2026</v>
      </c>
      <c r="H90" t="n">
        <v>2</v>
      </c>
      <c r="I90" t="n">
        <v>234</v>
      </c>
      <c r="J90" t="inlineStr">
        <is>
          <t>Y</t>
        </is>
      </c>
      <c r="K90" t="inlineStr">
        <is>
          <t>amilla.com</t>
        </is>
      </c>
      <c r="L90" t="inlineStr">
        <is>
          <t>official</t>
        </is>
      </c>
      <c r="M90" t="inlineStr">
        <is>
          <t>https://amilla.com/wp-content/uploads/Amp_Menu.pdf</t>
        </is>
      </c>
      <c r="N90" t="inlineStr">
        <is>
          <t>https://amilla.com/wp-content/uploads/Amp_Menu.pdf</t>
        </is>
      </c>
      <c r="O90" t="inlineStr">
        <is>
          <t>363b6c35f2ce5e3168747e230009279493f54596c38ea801b8974f351be67c4a</t>
        </is>
      </c>
      <c r="P90" t="inlineStr">
        <is>
          <t>library/009_amilla-fushi/dining_menu/2026_Amp_Menu.pdf</t>
        </is>
      </c>
      <c r="R90" t="inlineStr">
        <is>
          <t>current</t>
        </is>
      </c>
      <c r="S90" t="inlineStr">
        <is>
          <t>N</t>
        </is>
      </c>
      <c r="T90" t="inlineStr">
        <is>
          <t>matched</t>
        </is>
      </c>
      <c r="U90" t="inlineStr">
        <is>
          <t>2026-10-04</t>
        </is>
      </c>
      <c r="V90" t="inlineStr"/>
    </row>
    <row r="91">
      <c r="A91" t="n">
        <v>9</v>
      </c>
      <c r="B91" t="inlineStr">
        <is>
          <t>Amilla Fushi</t>
        </is>
      </c>
      <c r="C91" t="inlineStr">
        <is>
          <t>dining_menu</t>
        </is>
      </c>
      <c r="D91" t="inlineStr">
        <is>
          <t>2026_Jang-Menu.pdf</t>
        </is>
      </c>
      <c r="E91" t="n">
        <v>2026</v>
      </c>
      <c r="H91" t="n">
        <v>2</v>
      </c>
      <c r="I91" t="n">
        <v>213</v>
      </c>
      <c r="J91" t="inlineStr">
        <is>
          <t>Y</t>
        </is>
      </c>
      <c r="K91" t="inlineStr">
        <is>
          <t>amilla.com</t>
        </is>
      </c>
      <c r="L91" t="inlineStr">
        <is>
          <t>official</t>
        </is>
      </c>
      <c r="M91" t="inlineStr">
        <is>
          <t>https://amilla.com/wp-content/uploads/Jang-Menu.pdf</t>
        </is>
      </c>
      <c r="N91" t="inlineStr">
        <is>
          <t>https://amilla.com/wp-content/uploads/Jang-Menu.pdf</t>
        </is>
      </c>
      <c r="O91" t="inlineStr">
        <is>
          <t>40e7c165774bfdfe584cd47aec14e44500521caef427be42d36eafd550c6cf00</t>
        </is>
      </c>
      <c r="P91" t="inlineStr">
        <is>
          <t>library/009_amilla-fushi/dining_menu/2026_Jang-Menu.pdf</t>
        </is>
      </c>
      <c r="R91" t="inlineStr">
        <is>
          <t>current</t>
        </is>
      </c>
      <c r="S91" t="inlineStr">
        <is>
          <t>N</t>
        </is>
      </c>
      <c r="T91" t="inlineStr">
        <is>
          <t>matched</t>
        </is>
      </c>
      <c r="U91" t="inlineStr">
        <is>
          <t>2026-10-04</t>
        </is>
      </c>
      <c r="V91" t="inlineStr"/>
    </row>
    <row r="92">
      <c r="A92" t="n">
        <v>9</v>
      </c>
      <c r="B92" t="inlineStr">
        <is>
          <t>Amilla Fushi</t>
        </is>
      </c>
      <c r="C92" t="inlineStr">
        <is>
          <t>dining_menu</t>
        </is>
      </c>
      <c r="D92" t="inlineStr">
        <is>
          <t>2026_Francesc_Menu.pdf</t>
        </is>
      </c>
      <c r="E92" t="n">
        <v>2026</v>
      </c>
      <c r="H92" t="n">
        <v>2</v>
      </c>
      <c r="I92" t="n">
        <v>152</v>
      </c>
      <c r="J92" t="inlineStr">
        <is>
          <t>Y</t>
        </is>
      </c>
      <c r="K92" t="inlineStr">
        <is>
          <t>amilla.com</t>
        </is>
      </c>
      <c r="L92" t="inlineStr">
        <is>
          <t>official</t>
        </is>
      </c>
      <c r="M92" t="inlineStr">
        <is>
          <t>https://amilla.com/wp-content/uploads/Francesc_Menu.pdf</t>
        </is>
      </c>
      <c r="N92" t="inlineStr">
        <is>
          <t>https://amilla.com/wp-content/uploads/Francesc_Menu.pdf</t>
        </is>
      </c>
      <c r="O92" t="inlineStr">
        <is>
          <t>9922000d1bae659209241d90a23b73467116b8a37ea2eb032b247f276e03c75e</t>
        </is>
      </c>
      <c r="P92" t="inlineStr">
        <is>
          <t>library/009_amilla-fushi/dining_menu/2026_Francesc_Menu.pdf</t>
        </is>
      </c>
      <c r="R92" t="inlineStr">
        <is>
          <t>current</t>
        </is>
      </c>
      <c r="S92" t="inlineStr">
        <is>
          <t>Y</t>
        </is>
      </c>
      <c r="T92" t="inlineStr">
        <is>
          <t>needs-review</t>
        </is>
      </c>
      <c r="U92" t="inlineStr">
        <is>
          <t>2026-10-04</t>
        </is>
      </c>
      <c r="V92" t="inlineStr">
        <is>
          <t>ambiguous match [9, 128]</t>
        </is>
      </c>
    </row>
    <row r="93">
      <c r="A93" t="n">
        <v>128</v>
      </c>
      <c r="B93" t="inlineStr">
        <is>
          <t>One &amp; Only Reethi Rah, Maldives</t>
        </is>
      </c>
      <c r="C93" t="inlineStr">
        <is>
          <t>dining_menu</t>
        </is>
      </c>
      <c r="D93" t="inlineStr">
        <is>
          <t>2026_Francesc_Menu.pdf</t>
        </is>
      </c>
      <c r="E93" t="n">
        <v>2026</v>
      </c>
      <c r="H93" t="n">
        <v>2</v>
      </c>
      <c r="I93" t="n">
        <v>152</v>
      </c>
      <c r="J93" t="inlineStr">
        <is>
          <t>Y</t>
        </is>
      </c>
      <c r="K93" t="inlineStr">
        <is>
          <t>amilla.com</t>
        </is>
      </c>
      <c r="L93" t="inlineStr">
        <is>
          <t>official</t>
        </is>
      </c>
      <c r="M93" t="inlineStr">
        <is>
          <t>https://amilla.com/wp-content/uploads/Francesc_Menu.pdf</t>
        </is>
      </c>
      <c r="N93" t="inlineStr">
        <is>
          <t>https://amilla.com/wp-content/uploads/Francesc_Menu.pdf</t>
        </is>
      </c>
      <c r="O93" t="inlineStr">
        <is>
          <t>9922000d1bae659209241d90a23b73467116b8a37ea2eb032b247f276e03c75e</t>
        </is>
      </c>
      <c r="P93" t="inlineStr">
        <is>
          <t>library/009_amilla-fushi/dining_menu/2026_Francesc_Menu.pdf</t>
        </is>
      </c>
      <c r="R93" t="inlineStr">
        <is>
          <t>current</t>
        </is>
      </c>
      <c r="S93" t="inlineStr">
        <is>
          <t>Y</t>
        </is>
      </c>
      <c r="T93" t="inlineStr">
        <is>
          <t>needs-review</t>
        </is>
      </c>
      <c r="U93" t="inlineStr">
        <is>
          <t>2026-10-04</t>
        </is>
      </c>
      <c r="V93" t="inlineStr">
        <is>
          <t>ambiguous match [9, 128]</t>
        </is>
      </c>
    </row>
    <row r="94">
      <c r="A94" t="n">
        <v>9</v>
      </c>
      <c r="B94" t="inlineStr">
        <is>
          <t>Amilla Fushi</t>
        </is>
      </c>
      <c r="C94" t="inlineStr">
        <is>
          <t>dining_menu</t>
        </is>
      </c>
      <c r="D94" t="inlineStr">
        <is>
          <t>2025_DBI-Amilla-Tablet-Mobile-Menu-July-2025.pdf</t>
        </is>
      </c>
      <c r="E94" t="n">
        <v>2025</v>
      </c>
      <c r="H94" t="n">
        <v>18</v>
      </c>
      <c r="I94" t="n">
        <v>5022</v>
      </c>
      <c r="J94" t="inlineStr">
        <is>
          <t>Y</t>
        </is>
      </c>
      <c r="K94" t="inlineStr">
        <is>
          <t>amilla.com</t>
        </is>
      </c>
      <c r="L94" t="inlineStr">
        <is>
          <t>official</t>
        </is>
      </c>
      <c r="M94" t="inlineStr">
        <is>
          <t>https://amilla.com/wp-content/uploads/DBI-Amilla-Tablet-Mobile-Menu-July-2025.pdf</t>
        </is>
      </c>
      <c r="N94" t="inlineStr">
        <is>
          <t>https://amilla.com/wp-content/uploads/DBI-Amilla-Tablet-Mobile-Menu-July-2025.pdf</t>
        </is>
      </c>
      <c r="O94" t="inlineStr">
        <is>
          <t>da5f146cb1e112b3dc801b1f934687c26cec651cdbc72776ff85dbdf04bf0cda</t>
        </is>
      </c>
      <c r="P94" t="inlineStr">
        <is>
          <t>library/009_amilla-fushi/dining_menu/2025_DBI-Amilla-Tablet-Mobile-Menu-July-2025.pdf</t>
        </is>
      </c>
      <c r="R94" t="inlineStr">
        <is>
          <t>current</t>
        </is>
      </c>
      <c r="S94" t="inlineStr">
        <is>
          <t>N</t>
        </is>
      </c>
      <c r="T94" t="inlineStr">
        <is>
          <t>matched</t>
        </is>
      </c>
      <c r="U94" t="inlineStr">
        <is>
          <t>2026-10-04</t>
        </is>
      </c>
      <c r="V94" t="inlineStr"/>
    </row>
    <row r="95">
      <c r="A95" t="n">
        <v>9</v>
      </c>
      <c r="B95" t="inlineStr">
        <is>
          <t>Amilla Fushi</t>
        </is>
      </c>
      <c r="C95" t="inlineStr">
        <is>
          <t>dining_menu</t>
        </is>
      </c>
      <c r="D95" t="inlineStr">
        <is>
          <t>2025_Yoko-Kawaguchi_Menu.pdf</t>
        </is>
      </c>
      <c r="E95" t="n">
        <v>2025</v>
      </c>
      <c r="H95" t="n">
        <v>2</v>
      </c>
      <c r="I95" t="n">
        <v>181</v>
      </c>
      <c r="J95" t="inlineStr">
        <is>
          <t>Y</t>
        </is>
      </c>
      <c r="K95" t="inlineStr">
        <is>
          <t>amilla.com</t>
        </is>
      </c>
      <c r="L95" t="inlineStr">
        <is>
          <t>official</t>
        </is>
      </c>
      <c r="M95" t="inlineStr">
        <is>
          <t>https://amilla.com/wp-content/uploads/Yoko-Kawaguchi_Menu.pdf</t>
        </is>
      </c>
      <c r="N95" t="inlineStr">
        <is>
          <t>https://amilla.com/wp-content/uploads/Yoko-Kawaguchi_Menu.pdf</t>
        </is>
      </c>
      <c r="O95" t="inlineStr">
        <is>
          <t>b3e799bc4814fe49a72a9e01154d355e9428af739e924ec3ef4725f8767df2ea</t>
        </is>
      </c>
      <c r="P95" t="inlineStr">
        <is>
          <t>library/009_amilla-fushi/dining_menu/2025_Yoko-Kawaguchi_Menu.pdf</t>
        </is>
      </c>
      <c r="R95" t="inlineStr">
        <is>
          <t>current</t>
        </is>
      </c>
      <c r="S95" t="inlineStr">
        <is>
          <t>N</t>
        </is>
      </c>
      <c r="T95" t="inlineStr">
        <is>
          <t>matched</t>
        </is>
      </c>
      <c r="U95" t="inlineStr">
        <is>
          <t>2026-10-04</t>
        </is>
      </c>
      <c r="V95" t="inlineStr"/>
    </row>
    <row r="96">
      <c r="A96" t="n">
        <v>9</v>
      </c>
      <c r="B96" t="inlineStr">
        <is>
          <t>Amilla Fushi</t>
        </is>
      </c>
      <c r="C96" t="inlineStr">
        <is>
          <t>dining_menu</t>
        </is>
      </c>
      <c r="D96" t="inlineStr">
        <is>
          <t>2025_Rashdy-Ahmad_Menu.pdf</t>
        </is>
      </c>
      <c r="E96" t="n">
        <v>2025</v>
      </c>
      <c r="H96" t="n">
        <v>2</v>
      </c>
      <c r="I96" t="n">
        <v>219</v>
      </c>
      <c r="J96" t="inlineStr">
        <is>
          <t>Y</t>
        </is>
      </c>
      <c r="K96" t="inlineStr">
        <is>
          <t>amilla.com</t>
        </is>
      </c>
      <c r="L96" t="inlineStr">
        <is>
          <t>official</t>
        </is>
      </c>
      <c r="M96" t="inlineStr">
        <is>
          <t>https://amilla.com/wp-content/uploads/Rashdy-Ahmad_Menu.pdf</t>
        </is>
      </c>
      <c r="N96" t="inlineStr">
        <is>
          <t>https://amilla.com/wp-content/uploads/Rashdy-Ahmad_Menu.pdf</t>
        </is>
      </c>
      <c r="O96" t="inlineStr">
        <is>
          <t>cb89e0e749e9ba529965605ac4b921c8a73ec6962faf67092eeb12cce1bd5f94</t>
        </is>
      </c>
      <c r="P96" t="inlineStr">
        <is>
          <t>library/009_amilla-fushi/dining_menu/2025_Rashdy-Ahmad_Menu.pdf</t>
        </is>
      </c>
      <c r="R96" t="inlineStr">
        <is>
          <t>current</t>
        </is>
      </c>
      <c r="S96" t="inlineStr">
        <is>
          <t>N</t>
        </is>
      </c>
      <c r="T96" t="inlineStr">
        <is>
          <t>matched</t>
        </is>
      </c>
      <c r="U96" t="inlineStr">
        <is>
          <t>2026-10-04</t>
        </is>
      </c>
      <c r="V96" t="inlineStr"/>
    </row>
    <row r="97">
      <c r="A97" t="n">
        <v>9</v>
      </c>
      <c r="B97" t="inlineStr">
        <is>
          <t>Amilla Fushi</t>
        </is>
      </c>
      <c r="C97" t="inlineStr">
        <is>
          <t>dining_menu</t>
        </is>
      </c>
      <c r="D97" t="inlineStr">
        <is>
          <t>2025_Dr.-Amit_Menu.pdf</t>
        </is>
      </c>
      <c r="E97" t="n">
        <v>2025</v>
      </c>
      <c r="H97" t="n">
        <v>3</v>
      </c>
      <c r="I97" t="n">
        <v>236</v>
      </c>
      <c r="J97" t="inlineStr">
        <is>
          <t>Y</t>
        </is>
      </c>
      <c r="K97" t="inlineStr">
        <is>
          <t>amilla.com</t>
        </is>
      </c>
      <c r="L97" t="inlineStr">
        <is>
          <t>official</t>
        </is>
      </c>
      <c r="M97" t="inlineStr">
        <is>
          <t>https://amilla.com/wp-content/uploads/Dr.-Amit_Menu.pdf</t>
        </is>
      </c>
      <c r="N97" t="inlineStr">
        <is>
          <t>https://amilla.com/wp-content/uploads/Dr.-Amit_Menu.pdf</t>
        </is>
      </c>
      <c r="O97" t="inlineStr">
        <is>
          <t>f0bc24b0388fed390b01d1cb4a1578bd0f685886ad705b68e49b4e38fef888df</t>
        </is>
      </c>
      <c r="P97" t="inlineStr">
        <is>
          <t>library/009_amilla-fushi/dining_menu/2025_Dr.-Amit_Menu.pdf</t>
        </is>
      </c>
      <c r="R97" t="inlineStr">
        <is>
          <t>current</t>
        </is>
      </c>
      <c r="S97" t="inlineStr">
        <is>
          <t>N</t>
        </is>
      </c>
      <c r="T97" t="inlineStr">
        <is>
          <t>matched</t>
        </is>
      </c>
      <c r="U97" t="inlineStr">
        <is>
          <t>2026-10-04</t>
        </is>
      </c>
      <c r="V97" t="inlineStr"/>
    </row>
    <row r="98">
      <c r="A98" t="n">
        <v>9</v>
      </c>
      <c r="B98" t="inlineStr">
        <is>
          <t>Amilla Fushi</t>
        </is>
      </c>
      <c r="C98" t="inlineStr">
        <is>
          <t>dining_menu</t>
        </is>
      </c>
      <c r="D98" t="inlineStr">
        <is>
          <t>2025_Karol_Menu.pdf</t>
        </is>
      </c>
      <c r="E98" t="n">
        <v>2025</v>
      </c>
      <c r="H98" t="n">
        <v>3</v>
      </c>
      <c r="I98" t="n">
        <v>149</v>
      </c>
      <c r="J98" t="inlineStr">
        <is>
          <t>Y</t>
        </is>
      </c>
      <c r="K98" t="inlineStr">
        <is>
          <t>amilla.com</t>
        </is>
      </c>
      <c r="L98" t="inlineStr">
        <is>
          <t>official</t>
        </is>
      </c>
      <c r="M98" t="inlineStr">
        <is>
          <t>https://amilla.com/wp-content/uploads/Karol_Menu.pdf</t>
        </is>
      </c>
      <c r="N98" t="inlineStr">
        <is>
          <t>https://amilla.com/wp-content/uploads/Karol_Menu.pdf</t>
        </is>
      </c>
      <c r="O98" t="inlineStr">
        <is>
          <t>1025b3da4761a5e9733f41f665c9291a1959dd5e5e4ebfde7274ffe78bc346da</t>
        </is>
      </c>
      <c r="P98" t="inlineStr">
        <is>
          <t>library/009_amilla-fushi/dining_menu/2025_Karol_Menu.pdf</t>
        </is>
      </c>
      <c r="R98" t="inlineStr">
        <is>
          <t>current</t>
        </is>
      </c>
      <c r="S98" t="inlineStr">
        <is>
          <t>N</t>
        </is>
      </c>
      <c r="T98" t="inlineStr">
        <is>
          <t>matched</t>
        </is>
      </c>
      <c r="U98" t="inlineStr">
        <is>
          <t>2026-10-04</t>
        </is>
      </c>
      <c r="V98" t="inlineStr"/>
    </row>
    <row r="99">
      <c r="A99" t="n">
        <v>9</v>
      </c>
      <c r="B99" t="inlineStr">
        <is>
          <t>Amilla Fushi</t>
        </is>
      </c>
      <c r="C99" t="inlineStr">
        <is>
          <t>dining_menu</t>
        </is>
      </c>
      <c r="D99" t="inlineStr">
        <is>
          <t>2025_Dr.-Sohal_Menu-1.pdf</t>
        </is>
      </c>
      <c r="E99" t="n">
        <v>2025</v>
      </c>
      <c r="H99" t="n">
        <v>2</v>
      </c>
      <c r="I99" t="n">
        <v>206</v>
      </c>
      <c r="J99" t="inlineStr">
        <is>
          <t>Y</t>
        </is>
      </c>
      <c r="K99" t="inlineStr">
        <is>
          <t>amilla.com</t>
        </is>
      </c>
      <c r="L99" t="inlineStr">
        <is>
          <t>official</t>
        </is>
      </c>
      <c r="M99" t="inlineStr">
        <is>
          <t>https://amilla.com/wp-content/uploads/Dr.-Sohal_Menu-1.pdf</t>
        </is>
      </c>
      <c r="N99" t="inlineStr">
        <is>
          <t>https://amilla.com/wp-content/uploads/Dr.-Sohal_Menu-1.pdf</t>
        </is>
      </c>
      <c r="O99" t="inlineStr">
        <is>
          <t>706ca1c5b3079cc14e2d5b30ca3955e71dd25e6b851d4019e4b7102eaed92853</t>
        </is>
      </c>
      <c r="P99" t="inlineStr">
        <is>
          <t>library/009_amilla-fushi/dining_menu/2025_Dr.-Sohal_Menu-1.pdf</t>
        </is>
      </c>
      <c r="R99" t="inlineStr">
        <is>
          <t>current</t>
        </is>
      </c>
      <c r="S99" t="inlineStr">
        <is>
          <t>N</t>
        </is>
      </c>
      <c r="T99" t="inlineStr">
        <is>
          <t>matched</t>
        </is>
      </c>
      <c r="U99" t="inlineStr">
        <is>
          <t>2026-10-04</t>
        </is>
      </c>
      <c r="V99" t="inlineStr"/>
    </row>
    <row r="100">
      <c r="A100" t="n">
        <v>9</v>
      </c>
      <c r="B100" t="inlineStr">
        <is>
          <t>Amilla Fushi</t>
        </is>
      </c>
      <c r="C100" t="inlineStr">
        <is>
          <t>dining_menu</t>
        </is>
      </c>
      <c r="D100" t="inlineStr">
        <is>
          <t>2025_Lisa_Menu.pdf</t>
        </is>
      </c>
      <c r="E100" t="n">
        <v>2025</v>
      </c>
      <c r="H100" t="n">
        <v>2</v>
      </c>
      <c r="I100" t="n">
        <v>254</v>
      </c>
      <c r="J100" t="inlineStr">
        <is>
          <t>Y</t>
        </is>
      </c>
      <c r="K100" t="inlineStr">
        <is>
          <t>amilla.com</t>
        </is>
      </c>
      <c r="L100" t="inlineStr">
        <is>
          <t>official</t>
        </is>
      </c>
      <c r="M100" t="inlineStr">
        <is>
          <t>https://amilla.com/wp-content/uploads/Lisa_Menu.pdf</t>
        </is>
      </c>
      <c r="N100" t="inlineStr">
        <is>
          <t>https://amilla.com/wp-content/uploads/Lisa_Menu.pdf</t>
        </is>
      </c>
      <c r="O100" t="inlineStr">
        <is>
          <t>5ed4a8109cb1b0c125b2e4488d2ece9912d3ef659eb3075180db9418ceac17aa</t>
        </is>
      </c>
      <c r="P100" t="inlineStr">
        <is>
          <t>library/009_amilla-fushi/dining_menu/2025_Lisa_Menu.pdf</t>
        </is>
      </c>
      <c r="R100" t="inlineStr">
        <is>
          <t>current</t>
        </is>
      </c>
      <c r="S100" t="inlineStr">
        <is>
          <t>N</t>
        </is>
      </c>
      <c r="T100" t="inlineStr">
        <is>
          <t>matched</t>
        </is>
      </c>
      <c r="U100" t="inlineStr">
        <is>
          <t>2026-10-04</t>
        </is>
      </c>
      <c r="V100" t="inlineStr"/>
    </row>
    <row r="101">
      <c r="A101" t="n">
        <v>9</v>
      </c>
      <c r="B101" t="inlineStr">
        <is>
          <t>Amilla Fushi</t>
        </is>
      </c>
      <c r="C101" t="inlineStr">
        <is>
          <t>dining_menu</t>
        </is>
      </c>
      <c r="D101" t="inlineStr">
        <is>
          <t>2025_Pallavi-Sawant_Menu-1.pdf</t>
        </is>
      </c>
      <c r="E101" t="n">
        <v>2025</v>
      </c>
      <c r="H101" t="n">
        <v>2</v>
      </c>
      <c r="I101" t="n">
        <v>374</v>
      </c>
      <c r="J101" t="inlineStr">
        <is>
          <t>Y</t>
        </is>
      </c>
      <c r="K101" t="inlineStr">
        <is>
          <t>amilla.com</t>
        </is>
      </c>
      <c r="L101" t="inlineStr">
        <is>
          <t>official</t>
        </is>
      </c>
      <c r="M101" t="inlineStr">
        <is>
          <t>https://amilla.com/wp-content/uploads/Pallavi-Sawant_Menu-1.pdf</t>
        </is>
      </c>
      <c r="N101" t="inlineStr">
        <is>
          <t>https://amilla.com/wp-content/uploads/Pallavi-Sawant_Menu-1.pdf</t>
        </is>
      </c>
      <c r="O101" t="inlineStr">
        <is>
          <t>09bec42eb0549689873bb77b063ccb913bc93fa101060e7eb372d225abdd2632</t>
        </is>
      </c>
      <c r="P101" t="inlineStr">
        <is>
          <t>library/009_amilla-fushi/dining_menu/2025_Pallavi-Sawant_Menu-1.pdf</t>
        </is>
      </c>
      <c r="R101" t="inlineStr">
        <is>
          <t>current</t>
        </is>
      </c>
      <c r="S101" t="inlineStr">
        <is>
          <t>N</t>
        </is>
      </c>
      <c r="T101" t="inlineStr">
        <is>
          <t>matched</t>
        </is>
      </c>
      <c r="U101" t="inlineStr">
        <is>
          <t>2026-10-04</t>
        </is>
      </c>
      <c r="V101" t="inlineStr"/>
    </row>
    <row r="102">
      <c r="A102" t="n">
        <v>9</v>
      </c>
      <c r="B102" t="inlineStr">
        <is>
          <t>Amilla Fushi</t>
        </is>
      </c>
      <c r="C102" t="inlineStr">
        <is>
          <t>dining_menu</t>
        </is>
      </c>
      <c r="D102" t="inlineStr">
        <is>
          <t>2025_Pallavi-Sawant_Menu.pdf</t>
        </is>
      </c>
      <c r="E102" t="n">
        <v>2025</v>
      </c>
      <c r="H102" t="n">
        <v>2</v>
      </c>
      <c r="I102" t="n">
        <v>361</v>
      </c>
      <c r="J102" t="inlineStr">
        <is>
          <t>Y</t>
        </is>
      </c>
      <c r="K102" t="inlineStr">
        <is>
          <t>amilla.com</t>
        </is>
      </c>
      <c r="L102" t="inlineStr">
        <is>
          <t>official</t>
        </is>
      </c>
      <c r="M102" t="inlineStr">
        <is>
          <t>https://amilla.com/wp-content/uploads/Pallavi-Sawant_Menu.pdf</t>
        </is>
      </c>
      <c r="N102" t="inlineStr">
        <is>
          <t>https://amilla.com/wp-content/uploads/Pallavi-Sawant_Menu.pdf</t>
        </is>
      </c>
      <c r="O102" t="inlineStr">
        <is>
          <t>bb7d6d5f29f618ee184e070aa18a8d2c0543ff21289a5a9df831a800c4b89921</t>
        </is>
      </c>
      <c r="P102" t="inlineStr">
        <is>
          <t>library/009_amilla-fushi/dining_menu/2025_Pallavi-Sawant_Menu.pdf</t>
        </is>
      </c>
      <c r="R102" t="inlineStr">
        <is>
          <t>current</t>
        </is>
      </c>
      <c r="S102" t="inlineStr">
        <is>
          <t>N</t>
        </is>
      </c>
      <c r="T102" t="inlineStr">
        <is>
          <t>matched</t>
        </is>
      </c>
      <c r="U102" t="inlineStr">
        <is>
          <t>2026-10-04</t>
        </is>
      </c>
      <c r="V102" t="inlineStr"/>
    </row>
    <row r="103">
      <c r="A103" t="n">
        <v>9</v>
      </c>
      <c r="B103" t="inlineStr">
        <is>
          <t>Amilla Fushi</t>
        </is>
      </c>
      <c r="C103" t="inlineStr">
        <is>
          <t>dining_menu</t>
        </is>
      </c>
      <c r="D103" t="inlineStr">
        <is>
          <t>2025_Patience_Menu-1.pdf</t>
        </is>
      </c>
      <c r="E103" t="n">
        <v>2025</v>
      </c>
      <c r="H103" t="n">
        <v>2</v>
      </c>
      <c r="I103" t="n">
        <v>216</v>
      </c>
      <c r="J103" t="inlineStr">
        <is>
          <t>Y</t>
        </is>
      </c>
      <c r="K103" t="inlineStr">
        <is>
          <t>amilla.com</t>
        </is>
      </c>
      <c r="L103" t="inlineStr">
        <is>
          <t>official</t>
        </is>
      </c>
      <c r="M103" t="inlineStr">
        <is>
          <t>https://amilla.com/wp-content/uploads/Patience_Menu-1.pdf</t>
        </is>
      </c>
      <c r="N103" t="inlineStr">
        <is>
          <t>https://amilla.com/wp-content/uploads/Patience_Menu-1.pdf</t>
        </is>
      </c>
      <c r="O103" t="inlineStr">
        <is>
          <t>6189784ec0967047996ce2256625a13588880062b18fd39f8b0574ae10099aad</t>
        </is>
      </c>
      <c r="P103" t="inlineStr">
        <is>
          <t>library/009_amilla-fushi/dining_menu/2025_Patience_Menu-1.pdf</t>
        </is>
      </c>
      <c r="R103" t="inlineStr">
        <is>
          <t>current</t>
        </is>
      </c>
      <c r="S103" t="inlineStr">
        <is>
          <t>N</t>
        </is>
      </c>
      <c r="T103" t="inlineStr">
        <is>
          <t>matched</t>
        </is>
      </c>
      <c r="U103" t="inlineStr">
        <is>
          <t>2026-10-04</t>
        </is>
      </c>
      <c r="V103" t="inlineStr"/>
    </row>
    <row r="104">
      <c r="A104" t="n">
        <v>9</v>
      </c>
      <c r="B104" t="inlineStr">
        <is>
          <t>Amilla Fushi</t>
        </is>
      </c>
      <c r="C104" t="inlineStr">
        <is>
          <t>dining_menu</t>
        </is>
      </c>
      <c r="D104" t="inlineStr">
        <is>
          <t>2025_Patience_Menu.pdf</t>
        </is>
      </c>
      <c r="E104" t="n">
        <v>2025</v>
      </c>
      <c r="H104" t="n">
        <v>2</v>
      </c>
      <c r="I104" t="n">
        <v>204</v>
      </c>
      <c r="J104" t="inlineStr">
        <is>
          <t>Y</t>
        </is>
      </c>
      <c r="K104" t="inlineStr">
        <is>
          <t>amilla.com</t>
        </is>
      </c>
      <c r="L104" t="inlineStr">
        <is>
          <t>official</t>
        </is>
      </c>
      <c r="M104" t="inlineStr">
        <is>
          <t>https://amilla.com/wp-content/uploads/Patience_Menu.pdf</t>
        </is>
      </c>
      <c r="N104" t="inlineStr">
        <is>
          <t>https://amilla.com/wp-content/uploads/Patience_Menu.pdf</t>
        </is>
      </c>
      <c r="O104" t="inlineStr">
        <is>
          <t>1d5173245b98c8e37a739876ad923929082e1f1c0e8089445dd11cee2a6ca1e2</t>
        </is>
      </c>
      <c r="P104" t="inlineStr">
        <is>
          <t>library/009_amilla-fushi/dining_menu/2025_Patience_Menu.pdf</t>
        </is>
      </c>
      <c r="R104" t="inlineStr">
        <is>
          <t>current</t>
        </is>
      </c>
      <c r="S104" t="inlineStr">
        <is>
          <t>N</t>
        </is>
      </c>
      <c r="T104" t="inlineStr">
        <is>
          <t>matched</t>
        </is>
      </c>
      <c r="U104" t="inlineStr">
        <is>
          <t>2026-10-04</t>
        </is>
      </c>
      <c r="V104" t="inlineStr"/>
    </row>
    <row r="105">
      <c r="A105" t="n">
        <v>9</v>
      </c>
      <c r="B105" t="inlineStr">
        <is>
          <t>Amilla Fushi</t>
        </is>
      </c>
      <c r="C105" t="inlineStr">
        <is>
          <t>dining_menu</t>
        </is>
      </c>
      <c r="D105" t="inlineStr">
        <is>
          <t>2024_VP-Dr.-Tridendra-Service-Menu-2.pdf</t>
        </is>
      </c>
      <c r="E105" t="n">
        <v>2024</v>
      </c>
      <c r="H105" t="n">
        <v>2</v>
      </c>
      <c r="I105" t="n">
        <v>243</v>
      </c>
      <c r="J105" t="inlineStr">
        <is>
          <t>Y</t>
        </is>
      </c>
      <c r="K105" t="inlineStr">
        <is>
          <t>amilla.com</t>
        </is>
      </c>
      <c r="L105" t="inlineStr">
        <is>
          <t>official</t>
        </is>
      </c>
      <c r="M105" t="inlineStr">
        <is>
          <t>https://amilla.com/wp-content/uploads/VP-Dr.-Tridendra-Service-Menu-2.pdf</t>
        </is>
      </c>
      <c r="N105" t="inlineStr">
        <is>
          <t>https://amilla.com/wp-content/uploads/VP-Dr.-Tridendra-Service-Menu-2.pdf</t>
        </is>
      </c>
      <c r="O105" t="inlineStr">
        <is>
          <t>abcb00154c181d8b8f057fa72cbbea38e66d4049e953c966951c07ab963b8b44</t>
        </is>
      </c>
      <c r="P105" t="inlineStr">
        <is>
          <t>library/009_amilla-fushi/dining_menu/2024_VP-Dr.-Tridendra-Service-Menu-2.pdf</t>
        </is>
      </c>
      <c r="R105" t="inlineStr">
        <is>
          <t>outdated</t>
        </is>
      </c>
      <c r="S105" t="inlineStr">
        <is>
          <t>N</t>
        </is>
      </c>
      <c r="T105" t="inlineStr">
        <is>
          <t>matched</t>
        </is>
      </c>
      <c r="U105" t="inlineStr">
        <is>
          <t>2026-10-04</t>
        </is>
      </c>
      <c r="V105" t="inlineStr"/>
    </row>
    <row r="106">
      <c r="A106" t="n">
        <v>9</v>
      </c>
      <c r="B106" t="inlineStr">
        <is>
          <t>Amilla Fushi</t>
        </is>
      </c>
      <c r="C106" t="inlineStr">
        <is>
          <t>dining_menu</t>
        </is>
      </c>
      <c r="D106" t="inlineStr">
        <is>
          <t>2024_Umana-Noordeen_Menu.pdf</t>
        </is>
      </c>
      <c r="E106" t="n">
        <v>2024</v>
      </c>
      <c r="H106" t="n">
        <v>2</v>
      </c>
      <c r="I106" t="n">
        <v>300</v>
      </c>
      <c r="J106" t="inlineStr">
        <is>
          <t>Y</t>
        </is>
      </c>
      <c r="K106" t="inlineStr">
        <is>
          <t>amilla.com</t>
        </is>
      </c>
      <c r="L106" t="inlineStr">
        <is>
          <t>official</t>
        </is>
      </c>
      <c r="M106" t="inlineStr">
        <is>
          <t>https://amilla.com/wp-content/uploads/Umana-Noordeen_Menu.pdf</t>
        </is>
      </c>
      <c r="N106" t="inlineStr">
        <is>
          <t>https://amilla.com/wp-content/uploads/Umana-Noordeen_Menu.pdf</t>
        </is>
      </c>
      <c r="O106" t="inlineStr">
        <is>
          <t>f411c44b9381e6b441dad084b442b89dd2949ae277e4afe896ce535d0b7c62e8</t>
        </is>
      </c>
      <c r="P106" t="inlineStr">
        <is>
          <t>library/009_amilla-fushi/dining_menu/2024_Umana-Noordeen_Menu.pdf</t>
        </is>
      </c>
      <c r="R106" t="inlineStr">
        <is>
          <t>outdated</t>
        </is>
      </c>
      <c r="S106" t="inlineStr">
        <is>
          <t>N</t>
        </is>
      </c>
      <c r="T106" t="inlineStr">
        <is>
          <t>matched</t>
        </is>
      </c>
      <c r="U106" t="inlineStr">
        <is>
          <t>2026-10-04</t>
        </is>
      </c>
      <c r="V106" t="inlineStr"/>
    </row>
    <row r="107">
      <c r="A107" t="n">
        <v>9</v>
      </c>
      <c r="B107" t="inlineStr">
        <is>
          <t>Amilla Fushi</t>
        </is>
      </c>
      <c r="C107" t="inlineStr">
        <is>
          <t>dining_menu</t>
        </is>
      </c>
      <c r="D107" t="inlineStr">
        <is>
          <t>2024_Umana-Noordeen_Menu-1.pdf</t>
        </is>
      </c>
      <c r="E107" t="n">
        <v>2024</v>
      </c>
      <c r="H107" t="n">
        <v>2</v>
      </c>
      <c r="I107" t="n">
        <v>521</v>
      </c>
      <c r="J107" t="inlineStr">
        <is>
          <t>Y</t>
        </is>
      </c>
      <c r="K107" t="inlineStr">
        <is>
          <t>amilla.com</t>
        </is>
      </c>
      <c r="L107" t="inlineStr">
        <is>
          <t>official</t>
        </is>
      </c>
      <c r="M107" t="inlineStr">
        <is>
          <t>https://amilla.com/wp-content/uploads/Umana-Noordeen_Menu-1.pdf</t>
        </is>
      </c>
      <c r="N107" t="inlineStr">
        <is>
          <t>https://amilla.com/wp-content/uploads/Umana-Noordeen_Menu-1.pdf</t>
        </is>
      </c>
      <c r="O107" t="inlineStr">
        <is>
          <t>d30ce892564f4323ea97d3a264750f4fe564b074241cd75e31f8c0aefc193c68</t>
        </is>
      </c>
      <c r="P107" t="inlineStr">
        <is>
          <t>library/009_amilla-fushi/dining_menu/2024_Umana-Noordeen_Menu-1.pdf</t>
        </is>
      </c>
      <c r="R107" t="inlineStr">
        <is>
          <t>outdated</t>
        </is>
      </c>
      <c r="S107" t="inlineStr">
        <is>
          <t>N</t>
        </is>
      </c>
      <c r="T107" t="inlineStr">
        <is>
          <t>matched</t>
        </is>
      </c>
      <c r="U107" t="inlineStr">
        <is>
          <t>2026-10-04</t>
        </is>
      </c>
      <c r="V107" t="inlineStr"/>
    </row>
    <row r="108">
      <c r="A108" t="n">
        <v>9</v>
      </c>
      <c r="B108" t="inlineStr">
        <is>
          <t>Amilla Fushi</t>
        </is>
      </c>
      <c r="C108" t="inlineStr">
        <is>
          <t>dining_menu</t>
        </is>
      </c>
      <c r="D108" t="inlineStr">
        <is>
          <t>2024_VP-Dr.-Tridendra-Service-Menu-1.pdf</t>
        </is>
      </c>
      <c r="E108" t="n">
        <v>2024</v>
      </c>
      <c r="H108" t="n">
        <v>2</v>
      </c>
      <c r="I108" t="n">
        <v>266</v>
      </c>
      <c r="J108" t="inlineStr">
        <is>
          <t>Y</t>
        </is>
      </c>
      <c r="K108" t="inlineStr">
        <is>
          <t>amilla.com</t>
        </is>
      </c>
      <c r="L108" t="inlineStr">
        <is>
          <t>official</t>
        </is>
      </c>
      <c r="M108" t="inlineStr">
        <is>
          <t>https://amilla.com/wp-content/uploads/VP-Dr.-Tridendra-Service-Menu-1.pdf</t>
        </is>
      </c>
      <c r="N108" t="inlineStr">
        <is>
          <t>https://amilla.com/wp-content/uploads/VP-Dr.-Tridendra-Service-Menu-1.pdf</t>
        </is>
      </c>
      <c r="O108" t="inlineStr">
        <is>
          <t>491c943ce57c2a2b2f590c2af1866c7dadb38eadb1b744c515759cbca1d8789a</t>
        </is>
      </c>
      <c r="P108" t="inlineStr">
        <is>
          <t>library/009_amilla-fushi/dining_menu/2024_VP-Dr.-Tridendra-Service-Menu-1.pdf</t>
        </is>
      </c>
      <c r="R108" t="inlineStr">
        <is>
          <t>outdated</t>
        </is>
      </c>
      <c r="S108" t="inlineStr">
        <is>
          <t>N</t>
        </is>
      </c>
      <c r="T108" t="inlineStr">
        <is>
          <t>matched</t>
        </is>
      </c>
      <c r="U108" t="inlineStr">
        <is>
          <t>2026-10-04</t>
        </is>
      </c>
      <c r="V108" t="inlineStr"/>
    </row>
    <row r="109">
      <c r="A109" t="n">
        <v>9</v>
      </c>
      <c r="B109" t="inlineStr">
        <is>
          <t>Amilla Fushi</t>
        </is>
      </c>
      <c r="C109" t="inlineStr">
        <is>
          <t>dining_menu</t>
        </is>
      </c>
      <c r="D109" t="inlineStr">
        <is>
          <t>2024_DBI-Amilla-2024.pdf</t>
        </is>
      </c>
      <c r="E109" t="n">
        <v>2024</v>
      </c>
      <c r="H109" t="n">
        <v>18</v>
      </c>
      <c r="I109" t="n">
        <v>4756</v>
      </c>
      <c r="J109" t="inlineStr">
        <is>
          <t>Y</t>
        </is>
      </c>
      <c r="K109" t="inlineStr">
        <is>
          <t>amilla.com</t>
        </is>
      </c>
      <c r="L109" t="inlineStr">
        <is>
          <t>official</t>
        </is>
      </c>
      <c r="M109" t="inlineStr">
        <is>
          <t>https://amilla.com/wp-content/uploads/DBI-Amilla-2024.pdf</t>
        </is>
      </c>
      <c r="N109" t="inlineStr">
        <is>
          <t>https://amilla.com/wp-content/uploads/DBI-Amilla-2024.pdf</t>
        </is>
      </c>
      <c r="O109" t="inlineStr">
        <is>
          <t>f3b2bf04e133103d3854de0aed3b574f957350bb7b34d446c699114221f0a092</t>
        </is>
      </c>
      <c r="P109" t="inlineStr">
        <is>
          <t>library/009_amilla-fushi/dining_menu/2024_DBI-Amilla-2024.pdf</t>
        </is>
      </c>
      <c r="R109" t="inlineStr">
        <is>
          <t>outdated</t>
        </is>
      </c>
      <c r="S109" t="inlineStr">
        <is>
          <t>N</t>
        </is>
      </c>
      <c r="T109" t="inlineStr">
        <is>
          <t>matched</t>
        </is>
      </c>
      <c r="U109" t="inlineStr">
        <is>
          <t>2026-10-04</t>
        </is>
      </c>
      <c r="V109" t="inlineStr"/>
    </row>
    <row r="110">
      <c r="A110" t="n">
        <v>9</v>
      </c>
      <c r="B110" t="inlineStr">
        <is>
          <t>Amilla Fushi</t>
        </is>
      </c>
      <c r="C110" t="inlineStr">
        <is>
          <t>dining_menu</t>
        </is>
      </c>
      <c r="D110" t="inlineStr">
        <is>
          <t>2024_VP-Dr.-Tridendra-Service-Menu.pdf</t>
        </is>
      </c>
      <c r="E110" t="n">
        <v>2024</v>
      </c>
      <c r="H110" t="n">
        <v>2</v>
      </c>
      <c r="I110" t="n">
        <v>266</v>
      </c>
      <c r="J110" t="inlineStr">
        <is>
          <t>Y</t>
        </is>
      </c>
      <c r="K110" t="inlineStr">
        <is>
          <t>amilla.com</t>
        </is>
      </c>
      <c r="L110" t="inlineStr">
        <is>
          <t>official</t>
        </is>
      </c>
      <c r="M110" t="inlineStr">
        <is>
          <t>https://amilla.com/wp-content/uploads/VP-Dr.-Tridendra-Service-Menu.pdf</t>
        </is>
      </c>
      <c r="N110" t="inlineStr">
        <is>
          <t>https://amilla.com/wp-content/uploads/VP-Dr.-Tridendra-Service-Menu.pdf</t>
        </is>
      </c>
      <c r="O110" t="inlineStr">
        <is>
          <t>52c6662e77026593283683fc002e28e2925c71eb834fb23a82dea7299cd279a5</t>
        </is>
      </c>
      <c r="P110" t="inlineStr">
        <is>
          <t>library/009_amilla-fushi/dining_menu/2024_VP-Dr.-Tridendra-Service-Menu.pdf</t>
        </is>
      </c>
      <c r="R110" t="inlineStr">
        <is>
          <t>outdated</t>
        </is>
      </c>
      <c r="S110" t="inlineStr">
        <is>
          <t>N</t>
        </is>
      </c>
      <c r="T110" t="inlineStr">
        <is>
          <t>matched</t>
        </is>
      </c>
      <c r="U110" t="inlineStr">
        <is>
          <t>2026-10-04</t>
        </is>
      </c>
      <c r="V110" t="inlineStr"/>
    </row>
    <row r="111">
      <c r="A111" t="n">
        <v>9</v>
      </c>
      <c r="B111" t="inlineStr">
        <is>
          <t>Amilla Fushi</t>
        </is>
      </c>
      <c r="C111" t="inlineStr">
        <is>
          <t>dining_menu</t>
        </is>
      </c>
      <c r="D111" t="inlineStr">
        <is>
          <t>2024_Eid-al-Fitr-at-Amilla.pdf</t>
        </is>
      </c>
      <c r="E111" t="n">
        <v>2024</v>
      </c>
      <c r="H111" t="n">
        <v>1</v>
      </c>
      <c r="I111" t="n">
        <v>497</v>
      </c>
      <c r="J111" t="inlineStr">
        <is>
          <t>Y</t>
        </is>
      </c>
      <c r="K111" t="inlineStr">
        <is>
          <t>amilla.com</t>
        </is>
      </c>
      <c r="L111" t="inlineStr">
        <is>
          <t>official</t>
        </is>
      </c>
      <c r="M111" t="inlineStr">
        <is>
          <t>https://amilla.com/wp-content/uploads/Eid-al-Fitr-at-Amilla.pdf</t>
        </is>
      </c>
      <c r="N111" t="inlineStr">
        <is>
          <t>https://amilla.com/wp-content/uploads/Eid-al-Fitr-at-Amilla.pdf</t>
        </is>
      </c>
      <c r="O111" t="inlineStr">
        <is>
          <t>92d7cb125ef9ec34e59a76f771263b9b6f31ac079c6be284b0e97464010df104</t>
        </is>
      </c>
      <c r="P111" t="inlineStr">
        <is>
          <t>library/009_amilla-fushi/dining_menu/2024_Eid-al-Fitr-at-Amilla.pdf</t>
        </is>
      </c>
      <c r="R111" t="inlineStr">
        <is>
          <t>outdated</t>
        </is>
      </c>
      <c r="S111" t="inlineStr">
        <is>
          <t>N</t>
        </is>
      </c>
      <c r="T111" t="inlineStr">
        <is>
          <t>matched</t>
        </is>
      </c>
      <c r="U111" t="inlineStr">
        <is>
          <t>2026-10-04</t>
        </is>
      </c>
      <c r="V111" t="inlineStr"/>
    </row>
    <row r="112">
      <c r="A112" t="n">
        <v>9</v>
      </c>
      <c r="B112" t="inlineStr">
        <is>
          <t>Amilla Fushi</t>
        </is>
      </c>
      <c r="C112" t="inlineStr">
        <is>
          <t>dining_menu</t>
        </is>
      </c>
      <c r="D112" t="inlineStr">
        <is>
          <t>2024_Elle-Lenka-Fernandes-Menu.pdf</t>
        </is>
      </c>
      <c r="E112" t="n">
        <v>2024</v>
      </c>
      <c r="H112" t="n">
        <v>2</v>
      </c>
      <c r="I112" t="n">
        <v>159</v>
      </c>
      <c r="J112" t="inlineStr">
        <is>
          <t>Y</t>
        </is>
      </c>
      <c r="K112" t="inlineStr">
        <is>
          <t>amilla.com</t>
        </is>
      </c>
      <c r="L112" t="inlineStr">
        <is>
          <t>official</t>
        </is>
      </c>
      <c r="M112" t="inlineStr">
        <is>
          <t>https://amilla.com/wp-content/uploads/Elle-Lenka-Fernandes-Menu.pdf</t>
        </is>
      </c>
      <c r="N112" t="inlineStr">
        <is>
          <t>https://amilla.com/wp-content/uploads/Elle-Lenka-Fernandes-Menu.pdf</t>
        </is>
      </c>
      <c r="O112" t="inlineStr">
        <is>
          <t>ae786440033a8d5cc14149cd78b4eebc02b478a95cb329df777b8f6ddbe8860f</t>
        </is>
      </c>
      <c r="P112" t="inlineStr">
        <is>
          <t>library/009_amilla-fushi/dining_menu/2024_Elle-Lenka-Fernandes-Menu.pdf</t>
        </is>
      </c>
      <c r="R112" t="inlineStr">
        <is>
          <t>outdated</t>
        </is>
      </c>
      <c r="S112" t="inlineStr">
        <is>
          <t>N</t>
        </is>
      </c>
      <c r="T112" t="inlineStr">
        <is>
          <t>matched</t>
        </is>
      </c>
      <c r="U112" t="inlineStr">
        <is>
          <t>2026-10-04</t>
        </is>
      </c>
      <c r="V112" t="inlineStr"/>
    </row>
    <row r="113">
      <c r="A113" t="n">
        <v>9</v>
      </c>
      <c r="B113" t="inlineStr">
        <is>
          <t>Amilla Fushi</t>
        </is>
      </c>
      <c r="C113" t="inlineStr">
        <is>
          <t>dining_menu</t>
        </is>
      </c>
      <c r="D113" t="inlineStr">
        <is>
          <t>2023_East-WYW-Menu.pdf</t>
        </is>
      </c>
      <c r="E113" t="n">
        <v>2023</v>
      </c>
      <c r="H113" t="n">
        <v>7</v>
      </c>
      <c r="I113" t="n">
        <v>315</v>
      </c>
      <c r="J113" t="inlineStr">
        <is>
          <t>Y</t>
        </is>
      </c>
      <c r="K113" t="inlineStr">
        <is>
          <t>amilla.com</t>
        </is>
      </c>
      <c r="L113" t="inlineStr">
        <is>
          <t>official</t>
        </is>
      </c>
      <c r="M113" t="inlineStr">
        <is>
          <t>https://amilla.com/wp-content/uploads/East-WYW-Menu.pdf</t>
        </is>
      </c>
      <c r="N113" t="inlineStr">
        <is>
          <t>https://amilla.com/wp-content/uploads/East-WYW-Menu.pdf</t>
        </is>
      </c>
      <c r="O113" t="inlineStr">
        <is>
          <t>1a1300de3203f2e2bec7d2d2173a132edf6ef0d949a99f1ced3dde0956c4514c</t>
        </is>
      </c>
      <c r="P113" t="inlineStr">
        <is>
          <t>library/009_amilla-fushi/dining_menu/2023_East-WYW-Menu.pdf</t>
        </is>
      </c>
      <c r="R113" t="inlineStr">
        <is>
          <t>outdated</t>
        </is>
      </c>
      <c r="S113" t="inlineStr">
        <is>
          <t>N</t>
        </is>
      </c>
      <c r="T113" t="inlineStr">
        <is>
          <t>matched</t>
        </is>
      </c>
      <c r="U113" t="inlineStr">
        <is>
          <t>2026-10-04</t>
        </is>
      </c>
      <c r="V113" t="inlineStr"/>
    </row>
    <row r="114">
      <c r="A114" t="n">
        <v>9</v>
      </c>
      <c r="B114" t="inlineStr">
        <is>
          <t>Amilla Fushi</t>
        </is>
      </c>
      <c r="C114" t="inlineStr">
        <is>
          <t>dining_menu</t>
        </is>
      </c>
      <c r="D114" t="inlineStr">
        <is>
          <t>2023_East-Menu.pdf</t>
        </is>
      </c>
      <c r="E114" t="n">
        <v>2023</v>
      </c>
      <c r="H114" t="n">
        <v>2</v>
      </c>
      <c r="I114" t="n">
        <v>297</v>
      </c>
      <c r="J114" t="inlineStr">
        <is>
          <t>Y</t>
        </is>
      </c>
      <c r="K114" t="inlineStr">
        <is>
          <t>amilla.com</t>
        </is>
      </c>
      <c r="L114" t="inlineStr">
        <is>
          <t>official</t>
        </is>
      </c>
      <c r="M114" t="inlineStr">
        <is>
          <t>https://amilla.com/wp-content/uploads/East-Menu.pdf</t>
        </is>
      </c>
      <c r="N114" t="inlineStr">
        <is>
          <t>https://amilla.com/wp-content/uploads/East-Menu.pdf</t>
        </is>
      </c>
      <c r="O114" t="inlineStr">
        <is>
          <t>a27c87dce601a8de88412133f18b944f521dcfd941a9ae81b5937fc8ed64181e</t>
        </is>
      </c>
      <c r="P114" t="inlineStr">
        <is>
          <t>library/009_amilla-fushi/dining_menu/2023_East-Menu.pdf</t>
        </is>
      </c>
      <c r="R114" t="inlineStr">
        <is>
          <t>outdated</t>
        </is>
      </c>
      <c r="S114" t="inlineStr">
        <is>
          <t>N</t>
        </is>
      </c>
      <c r="T114" t="inlineStr">
        <is>
          <t>matched</t>
        </is>
      </c>
      <c r="U114" t="inlineStr">
        <is>
          <t>2026-10-04</t>
        </is>
      </c>
      <c r="V114" t="inlineStr"/>
    </row>
    <row r="115">
      <c r="A115" t="n">
        <v>9</v>
      </c>
      <c r="B115" t="inlineStr">
        <is>
          <t>Amilla Fushi</t>
        </is>
      </c>
      <c r="C115" t="inlineStr">
        <is>
          <t>dining_menu</t>
        </is>
      </c>
      <c r="D115" t="inlineStr">
        <is>
          <t>2023_Joes-Pizza-Menu.pdf</t>
        </is>
      </c>
      <c r="E115" t="n">
        <v>2023</v>
      </c>
      <c r="H115" t="n">
        <v>1</v>
      </c>
      <c r="I115" t="n">
        <v>668</v>
      </c>
      <c r="J115" t="inlineStr">
        <is>
          <t>Y</t>
        </is>
      </c>
      <c r="K115" t="inlineStr">
        <is>
          <t>amilla.com</t>
        </is>
      </c>
      <c r="L115" t="inlineStr">
        <is>
          <t>official</t>
        </is>
      </c>
      <c r="M115" t="inlineStr">
        <is>
          <t>https://amilla.com/wp-content/uploads/Joes-Pizza-Menu.pdf</t>
        </is>
      </c>
      <c r="N115" t="inlineStr">
        <is>
          <t>https://amilla.com/wp-content/uploads/Joes-Pizza-Menu.pdf</t>
        </is>
      </c>
      <c r="O115" t="inlineStr">
        <is>
          <t>dbfc140aa72090dd2899c9fc2f4c81ae4e79b811b145c69b20cefe62de1ff457</t>
        </is>
      </c>
      <c r="P115" t="inlineStr">
        <is>
          <t>library/009_amilla-fushi/dining_menu/2023_Joes-Pizza-Menu.pdf</t>
        </is>
      </c>
      <c r="R115" t="inlineStr">
        <is>
          <t>outdated</t>
        </is>
      </c>
      <c r="S115" t="inlineStr">
        <is>
          <t>N</t>
        </is>
      </c>
      <c r="T115" t="inlineStr">
        <is>
          <t>matched</t>
        </is>
      </c>
      <c r="U115" t="inlineStr">
        <is>
          <t>2026-10-04</t>
        </is>
      </c>
      <c r="V115" t="inlineStr"/>
    </row>
    <row r="116">
      <c r="A116" t="n">
        <v>9</v>
      </c>
      <c r="B116" t="inlineStr">
        <is>
          <t>Amilla Fushi</t>
        </is>
      </c>
      <c r="C116" t="inlineStr">
        <is>
          <t>dining_menu</t>
        </is>
      </c>
      <c r="D116" t="inlineStr">
        <is>
          <t>2023_In-Villa-Home-Delivery-Menu.pdf</t>
        </is>
      </c>
      <c r="E116" t="n">
        <v>2023</v>
      </c>
      <c r="H116" t="n">
        <v>26</v>
      </c>
      <c r="I116" t="n">
        <v>9116</v>
      </c>
      <c r="J116" t="inlineStr">
        <is>
          <t>Y</t>
        </is>
      </c>
      <c r="K116" t="inlineStr">
        <is>
          <t>amilla.com</t>
        </is>
      </c>
      <c r="L116" t="inlineStr">
        <is>
          <t>official</t>
        </is>
      </c>
      <c r="M116" t="inlineStr">
        <is>
          <t>https://amilla.com/wp-content/uploads/In-Villa-Home-Delivery-Menu.pdf</t>
        </is>
      </c>
      <c r="N116" t="inlineStr">
        <is>
          <t>https://amilla.com/wp-content/uploads/In-Villa-Home-Delivery-Menu.pdf</t>
        </is>
      </c>
      <c r="O116" t="inlineStr">
        <is>
          <t>aad7a54b1e88e590d182305f4ff0e84e5fb951955903524ca8b66c9a3a513f82</t>
        </is>
      </c>
      <c r="P116" t="inlineStr">
        <is>
          <t>library/009_amilla-fushi/dining_menu/2023_In-Villa-Home-Delivery-Menu.pdf</t>
        </is>
      </c>
      <c r="R116" t="inlineStr">
        <is>
          <t>outdated</t>
        </is>
      </c>
      <c r="S116" t="inlineStr">
        <is>
          <t>N</t>
        </is>
      </c>
      <c r="T116" t="inlineStr">
        <is>
          <t>matched</t>
        </is>
      </c>
      <c r="U116" t="inlineStr">
        <is>
          <t>2026-10-04</t>
        </is>
      </c>
      <c r="V116" t="inlineStr"/>
    </row>
    <row r="117">
      <c r="A117" t="n">
        <v>9</v>
      </c>
      <c r="B117" t="inlineStr">
        <is>
          <t>Amilla Fushi</t>
        </is>
      </c>
      <c r="C117" t="inlineStr">
        <is>
          <t>dining_menu</t>
        </is>
      </c>
      <c r="D117" t="inlineStr">
        <is>
          <t>2020_Wine-List.pdf</t>
        </is>
      </c>
      <c r="E117" t="n">
        <v>2020</v>
      </c>
      <c r="H117" t="n">
        <v>6</v>
      </c>
      <c r="I117" t="n">
        <v>315</v>
      </c>
      <c r="J117" t="inlineStr">
        <is>
          <t>Y</t>
        </is>
      </c>
      <c r="K117" t="inlineStr">
        <is>
          <t>amilla.com</t>
        </is>
      </c>
      <c r="L117" t="inlineStr">
        <is>
          <t>official</t>
        </is>
      </c>
      <c r="M117" t="inlineStr">
        <is>
          <t>https://amilla.com/wp-content/uploads/Wine-List.pdf</t>
        </is>
      </c>
      <c r="N117" t="inlineStr">
        <is>
          <t>https://amilla.com/wp-content/uploads/Wine-List.pdf</t>
        </is>
      </c>
      <c r="O117" t="inlineStr">
        <is>
          <t>9fb31674abfec0ec93851829d18e5cdccce692671e6c3ef4631296da7b7db280</t>
        </is>
      </c>
      <c r="P117" t="inlineStr">
        <is>
          <t>library/009_amilla-fushi/dining_menu/2020_Wine-List.pdf</t>
        </is>
      </c>
      <c r="R117" t="inlineStr">
        <is>
          <t>outdated</t>
        </is>
      </c>
      <c r="S117" t="inlineStr">
        <is>
          <t>N</t>
        </is>
      </c>
      <c r="T117" t="inlineStr">
        <is>
          <t>matched</t>
        </is>
      </c>
      <c r="U117" t="inlineStr">
        <is>
          <t>2026-10-04</t>
        </is>
      </c>
      <c r="V117" t="inlineStr"/>
    </row>
    <row r="118">
      <c r="A118" t="n">
        <v>9</v>
      </c>
      <c r="B118" t="inlineStr">
        <is>
          <t>Amilla Fushi</t>
        </is>
      </c>
      <c r="C118" t="inlineStr">
        <is>
          <t>dive_prices</t>
        </is>
      </c>
      <c r="D118" t="inlineStr">
        <is>
          <t>2025_GSTUPD_DBI-Amilla-WS-Price-List-2025_online.pdf</t>
        </is>
      </c>
      <c r="E118" t="n">
        <v>2025</v>
      </c>
      <c r="H118" t="n">
        <v>15</v>
      </c>
      <c r="I118" t="n">
        <v>2310</v>
      </c>
      <c r="J118" t="inlineStr">
        <is>
          <t>Y</t>
        </is>
      </c>
      <c r="K118" t="inlineStr">
        <is>
          <t>amilla.com</t>
        </is>
      </c>
      <c r="L118" t="inlineStr">
        <is>
          <t>official</t>
        </is>
      </c>
      <c r="M118" t="inlineStr">
        <is>
          <t>https://amilla.com/wp-content/uploads/GSTUPD_DBI-Amilla-WS-Price-List-2025_online.pdf</t>
        </is>
      </c>
      <c r="N118" t="inlineStr">
        <is>
          <t>https://amilla.com/wp-content/uploads/GSTUPD_DBI-Amilla-WS-Price-List-2025_online.pdf</t>
        </is>
      </c>
      <c r="O118" t="inlineStr">
        <is>
          <t>a16fad4103e7f4cc0a7fdfc3645a4838d1ce6045921a144ffdfbcfb77c1a22fd</t>
        </is>
      </c>
      <c r="P118" t="inlineStr">
        <is>
          <t>library/009_amilla-fushi/dive_prices/2025_GSTUPD_DBI-Amilla-WS-Price-List-2025_online.pdf</t>
        </is>
      </c>
      <c r="R118" t="inlineStr">
        <is>
          <t>current</t>
        </is>
      </c>
      <c r="S118" t="inlineStr">
        <is>
          <t>Y</t>
        </is>
      </c>
      <c r="T118" t="inlineStr">
        <is>
          <t>matched</t>
        </is>
      </c>
      <c r="U118" t="inlineStr">
        <is>
          <t>2026-10-04</t>
        </is>
      </c>
      <c r="V118" t="inlineStr"/>
    </row>
    <row r="119">
      <c r="A119" t="n">
        <v>9</v>
      </c>
      <c r="B119" t="inlineStr">
        <is>
          <t>Amilla Fushi</t>
        </is>
      </c>
      <c r="C119" t="inlineStr">
        <is>
          <t>dive_prices</t>
        </is>
      </c>
      <c r="D119" t="inlineStr">
        <is>
          <t>2025_Sports-Fishing-2025.pdf</t>
        </is>
      </c>
      <c r="E119" t="n">
        <v>2025</v>
      </c>
      <c r="H119" t="n">
        <v>7</v>
      </c>
      <c r="I119" t="n">
        <v>598</v>
      </c>
      <c r="J119" t="inlineStr">
        <is>
          <t>Y</t>
        </is>
      </c>
      <c r="K119" t="inlineStr">
        <is>
          <t>amilla.com</t>
        </is>
      </c>
      <c r="L119" t="inlineStr">
        <is>
          <t>official</t>
        </is>
      </c>
      <c r="M119" t="inlineStr">
        <is>
          <t>https://amilla.com/wp-content/uploads/Sports-Fishing-2025.pdf</t>
        </is>
      </c>
      <c r="N119" t="inlineStr">
        <is>
          <t>https://amilla.com/wp-content/uploads/Sports-Fishing-2025.pdf</t>
        </is>
      </c>
      <c r="O119" t="inlineStr">
        <is>
          <t>0e98291911f7e62e2bc40acb6865daee2e7a2ca392ab4b0c380f09bba664dda3</t>
        </is>
      </c>
      <c r="P119" t="inlineStr">
        <is>
          <t>library/009_amilla-fushi/dive_prices/2025_Sports-Fishing-2025.pdf</t>
        </is>
      </c>
      <c r="R119" t="inlineStr">
        <is>
          <t>current</t>
        </is>
      </c>
      <c r="S119" t="inlineStr">
        <is>
          <t>N</t>
        </is>
      </c>
      <c r="T119" t="inlineStr">
        <is>
          <t>matched</t>
        </is>
      </c>
      <c r="U119" t="inlineStr">
        <is>
          <t>2026-10-04</t>
        </is>
      </c>
      <c r="V119" t="inlineStr"/>
    </row>
    <row r="120">
      <c r="A120" t="n">
        <v>9</v>
      </c>
      <c r="B120" t="inlineStr">
        <is>
          <t>Amilla Fushi</t>
        </is>
      </c>
      <c r="C120" t="inlineStr">
        <is>
          <t>dive_prices</t>
        </is>
      </c>
      <c r="D120" t="inlineStr">
        <is>
          <t>2024_Marine-Life-Information.pdf</t>
        </is>
      </c>
      <c r="E120" t="n">
        <v>2024</v>
      </c>
      <c r="H120" t="n">
        <v>11</v>
      </c>
      <c r="I120" t="n">
        <v>3038</v>
      </c>
      <c r="J120" t="inlineStr">
        <is>
          <t>Y</t>
        </is>
      </c>
      <c r="K120" t="inlineStr">
        <is>
          <t>amilla.com</t>
        </is>
      </c>
      <c r="L120" t="inlineStr">
        <is>
          <t>official</t>
        </is>
      </c>
      <c r="M120" t="inlineStr">
        <is>
          <t>https://amilla.com/wp-content/uploads/Marine-Life-Information.pdf</t>
        </is>
      </c>
      <c r="N120" t="inlineStr">
        <is>
          <t>https://amilla.com/wp-content/uploads/Marine-Life-Information.pdf</t>
        </is>
      </c>
      <c r="O120" t="inlineStr">
        <is>
          <t>0382fff749e13fb5f3b5162c1a5d2f49a42c336568d77b820c83ca50e29c02a3</t>
        </is>
      </c>
      <c r="P120" t="inlineStr">
        <is>
          <t>library/009_amilla-fushi/dive_prices/2024_Marine-Life-Information.pdf</t>
        </is>
      </c>
      <c r="R120" t="inlineStr">
        <is>
          <t>outdated</t>
        </is>
      </c>
      <c r="S120" t="inlineStr">
        <is>
          <t>N</t>
        </is>
      </c>
      <c r="T120" t="inlineStr">
        <is>
          <t>matched</t>
        </is>
      </c>
      <c r="U120" t="inlineStr">
        <is>
          <t>2026-10-04</t>
        </is>
      </c>
      <c r="V120" t="inlineStr"/>
    </row>
    <row r="121">
      <c r="A121" t="n">
        <v>9</v>
      </c>
      <c r="B121" t="inlineStr">
        <is>
          <t>Amilla Fushi</t>
        </is>
      </c>
      <c r="C121" t="inlineStr">
        <is>
          <t>dive_prices</t>
        </is>
      </c>
      <c r="D121" t="inlineStr">
        <is>
          <t>2024_Snorkelling-at-Amilla-01.pdf</t>
        </is>
      </c>
      <c r="E121" t="n">
        <v>2024</v>
      </c>
      <c r="H121" t="n">
        <v>2</v>
      </c>
      <c r="I121" t="n">
        <v>1316</v>
      </c>
      <c r="J121" t="inlineStr">
        <is>
          <t>Y</t>
        </is>
      </c>
      <c r="K121" t="inlineStr">
        <is>
          <t>amilla.com</t>
        </is>
      </c>
      <c r="L121" t="inlineStr">
        <is>
          <t>official</t>
        </is>
      </c>
      <c r="M121" t="inlineStr">
        <is>
          <t>https://amilla.com/wp-content/uploads/Snorkelling-at-Amilla-01.pdf</t>
        </is>
      </c>
      <c r="N121" t="inlineStr">
        <is>
          <t>https://amilla.com/wp-content/uploads/Snorkelling-at-Amilla-01.pdf</t>
        </is>
      </c>
      <c r="O121" t="inlineStr">
        <is>
          <t>134fb76922f439b00bb018ea7b479240495595d6118fa517013cee01b175de75</t>
        </is>
      </c>
      <c r="P121" t="inlineStr">
        <is>
          <t>library/009_amilla-fushi/dive_prices/2024_Snorkelling-at-Amilla-01.pdf</t>
        </is>
      </c>
      <c r="R121" t="inlineStr">
        <is>
          <t>outdated</t>
        </is>
      </c>
      <c r="S121" t="inlineStr">
        <is>
          <t>N</t>
        </is>
      </c>
      <c r="T121" t="inlineStr">
        <is>
          <t>matched</t>
        </is>
      </c>
      <c r="U121" t="inlineStr">
        <is>
          <t>2026-10-04</t>
        </is>
      </c>
      <c r="V121" t="inlineStr"/>
    </row>
    <row r="122">
      <c r="A122" t="n">
        <v>9</v>
      </c>
      <c r="B122" t="inlineStr">
        <is>
          <t>Amilla Fushi</t>
        </is>
      </c>
      <c r="C122" t="inlineStr">
        <is>
          <t>dive_prices</t>
        </is>
      </c>
      <c r="D122" t="inlineStr">
        <is>
          <t>2023_Amilla-Penguin-Journey.pdf</t>
        </is>
      </c>
      <c r="E122" t="n">
        <v>2023</v>
      </c>
      <c r="H122" t="n">
        <v>1</v>
      </c>
      <c r="I122" t="n">
        <v>892</v>
      </c>
      <c r="J122" t="inlineStr">
        <is>
          <t>Y</t>
        </is>
      </c>
      <c r="K122" t="inlineStr">
        <is>
          <t>amilla.com</t>
        </is>
      </c>
      <c r="L122" t="inlineStr">
        <is>
          <t>official</t>
        </is>
      </c>
      <c r="M122" t="inlineStr">
        <is>
          <t>https://amilla.com/wp-content/uploads/Amilla-Penguin-Journey.pdf</t>
        </is>
      </c>
      <c r="N122" t="inlineStr">
        <is>
          <t>https://amilla.com/wp-content/uploads/Amilla-Penguin-Journey.pdf</t>
        </is>
      </c>
      <c r="O122" t="inlineStr">
        <is>
          <t>7d2cf3b5a980c6f5b0c2011ec5690961197487b3ea0e1a45ee21411b0d3e117c</t>
        </is>
      </c>
      <c r="P122" t="inlineStr">
        <is>
          <t>library/009_amilla-fushi/dive_prices/2023_Amilla-Penguin-Journey.pdf</t>
        </is>
      </c>
      <c r="R122" t="inlineStr">
        <is>
          <t>outdated</t>
        </is>
      </c>
      <c r="S122" t="inlineStr">
        <is>
          <t>N</t>
        </is>
      </c>
      <c r="T122" t="inlineStr">
        <is>
          <t>matched</t>
        </is>
      </c>
      <c r="U122" t="inlineStr">
        <is>
          <t>2026-10-04</t>
        </is>
      </c>
      <c r="V122" t="inlineStr"/>
    </row>
    <row r="123">
      <c r="A123" t="n">
        <v>9</v>
      </c>
      <c r="B123" t="inlineStr">
        <is>
          <t>Amilla Fushi</t>
        </is>
      </c>
      <c r="C123" t="inlineStr">
        <is>
          <t>dive_prices</t>
        </is>
      </c>
      <c r="D123" t="inlineStr">
        <is>
          <t>2023_DBI-Amilla-Watersports.pdf</t>
        </is>
      </c>
      <c r="E123" t="n">
        <v>2023</v>
      </c>
      <c r="H123" t="n">
        <v>3</v>
      </c>
      <c r="I123" t="n">
        <v>7647</v>
      </c>
      <c r="J123" t="inlineStr">
        <is>
          <t>Y</t>
        </is>
      </c>
      <c r="K123" t="inlineStr">
        <is>
          <t>amilla.com</t>
        </is>
      </c>
      <c r="L123" t="inlineStr">
        <is>
          <t>official</t>
        </is>
      </c>
      <c r="M123" t="inlineStr">
        <is>
          <t>https://amilla.com/wp-content/uploads/DBI-Amilla-Watersports.pdf</t>
        </is>
      </c>
      <c r="N123" t="inlineStr">
        <is>
          <t>https://amilla.com/wp-content/uploads/DBI-Amilla-Watersports.pdf</t>
        </is>
      </c>
      <c r="O123" t="inlineStr">
        <is>
          <t>234f8222ae618b4f507b1e72db0447872fbc3566180e4f1951314e20a8eb9aff</t>
        </is>
      </c>
      <c r="P123" t="inlineStr">
        <is>
          <t>library/009_amilla-fushi/dive_prices/2023_DBI-Amilla-Watersports.pdf</t>
        </is>
      </c>
      <c r="R123" t="inlineStr">
        <is>
          <t>outdated</t>
        </is>
      </c>
      <c r="S123" t="inlineStr">
        <is>
          <t>N</t>
        </is>
      </c>
      <c r="T123" t="inlineStr">
        <is>
          <t>matched</t>
        </is>
      </c>
      <c r="U123" t="inlineStr">
        <is>
          <t>2026-10-04</t>
        </is>
      </c>
      <c r="V123" t="inlineStr"/>
    </row>
    <row r="124">
      <c r="A124" t="n">
        <v>9</v>
      </c>
      <c r="B124" t="inlineStr">
        <is>
          <t>Amilla Fushi</t>
        </is>
      </c>
      <c r="C124" t="inlineStr">
        <is>
          <t>dive_prices</t>
        </is>
      </c>
      <c r="D124" t="inlineStr">
        <is>
          <t>2011_DBI-Amilla-Compendium-Diving-Rates.pdf</t>
        </is>
      </c>
      <c r="E124" t="n">
        <v>2011</v>
      </c>
      <c r="H124" t="n">
        <v>25</v>
      </c>
      <c r="I124" t="n">
        <v>1613</v>
      </c>
      <c r="J124" t="inlineStr">
        <is>
          <t>Y</t>
        </is>
      </c>
      <c r="K124" t="inlineStr">
        <is>
          <t>amilla.com</t>
        </is>
      </c>
      <c r="L124" t="inlineStr">
        <is>
          <t>official</t>
        </is>
      </c>
      <c r="M124" t="inlineStr">
        <is>
          <t>https://amilla.com/wp-content/uploads/DBI-Amilla-Compendium-Diving-Rates.pdf</t>
        </is>
      </c>
      <c r="N124" t="inlineStr">
        <is>
          <t>https://amilla.com/wp-content/uploads/DBI-Amilla-Compendium-Diving-Rates.pdf</t>
        </is>
      </c>
      <c r="O124" t="inlineStr">
        <is>
          <t>ce3ee1670d66600cf3b453a9041ada45e83ccbad659d948a41a98ab5c65959f7</t>
        </is>
      </c>
      <c r="P124" t="inlineStr">
        <is>
          <t>library/009_amilla-fushi/dive_prices/2011_DBI-Amilla-Compendium-Diving-Rates.pdf</t>
        </is>
      </c>
      <c r="R124" t="inlineStr">
        <is>
          <t>outdated</t>
        </is>
      </c>
      <c r="S124" t="inlineStr">
        <is>
          <t>N</t>
        </is>
      </c>
      <c r="T124" t="inlineStr">
        <is>
          <t>matched</t>
        </is>
      </c>
      <c r="U124" t="inlineStr">
        <is>
          <t>2026-10-04</t>
        </is>
      </c>
      <c r="V124" t="inlineStr"/>
    </row>
    <row r="125">
      <c r="A125" t="n">
        <v>9</v>
      </c>
      <c r="B125" t="inlineStr">
        <is>
          <t>Amilla Fushi</t>
        </is>
      </c>
      <c r="C125" t="inlineStr">
        <is>
          <t>excursions</t>
        </is>
      </c>
      <c r="D125" t="inlineStr">
        <is>
          <t>2025_Excursions_-September-2025.pdf</t>
        </is>
      </c>
      <c r="E125" t="n">
        <v>2025</v>
      </c>
      <c r="H125" t="n">
        <v>3</v>
      </c>
      <c r="I125" t="n">
        <v>418</v>
      </c>
      <c r="J125" t="inlineStr">
        <is>
          <t>Y</t>
        </is>
      </c>
      <c r="K125" t="inlineStr">
        <is>
          <t>amilla.com</t>
        </is>
      </c>
      <c r="L125" t="inlineStr">
        <is>
          <t>official</t>
        </is>
      </c>
      <c r="M125" t="inlineStr">
        <is>
          <t>https://amilla.com/wp-content/uploads/Excursions_-September-2025.pdf</t>
        </is>
      </c>
      <c r="N125" t="inlineStr">
        <is>
          <t>https://amilla.com/wp-content/uploads/Excursions_-September-2025.pdf</t>
        </is>
      </c>
      <c r="O125" t="inlineStr">
        <is>
          <t>26e14d964532cb09480541d1f420273ff5b63fb67cf19a6f31b7af11aa61a18c</t>
        </is>
      </c>
      <c r="P125" t="inlineStr">
        <is>
          <t>library/009_amilla-fushi/excursions/2025_Excursions_-September-2025.pdf</t>
        </is>
      </c>
      <c r="R125" t="inlineStr">
        <is>
          <t>current</t>
        </is>
      </c>
      <c r="S125" t="inlineStr">
        <is>
          <t>Y</t>
        </is>
      </c>
      <c r="T125" t="inlineStr">
        <is>
          <t>matched</t>
        </is>
      </c>
      <c r="U125" t="inlineStr">
        <is>
          <t>2026-10-04</t>
        </is>
      </c>
      <c r="V125" t="inlineStr"/>
    </row>
    <row r="126">
      <c r="A126" t="n">
        <v>9</v>
      </c>
      <c r="B126" t="inlineStr">
        <is>
          <t>Amilla Fushi</t>
        </is>
      </c>
      <c r="C126" t="inlineStr">
        <is>
          <t>excursions</t>
        </is>
      </c>
      <c r="D126" t="inlineStr">
        <is>
          <t>2025_Excursions_2025-2-1.pdf</t>
        </is>
      </c>
      <c r="E126" t="n">
        <v>2025</v>
      </c>
      <c r="H126" t="n">
        <v>3</v>
      </c>
      <c r="I126" t="n">
        <v>458</v>
      </c>
      <c r="J126" t="inlineStr">
        <is>
          <t>Y</t>
        </is>
      </c>
      <c r="K126" t="inlineStr">
        <is>
          <t>amilla.com</t>
        </is>
      </c>
      <c r="L126" t="inlineStr">
        <is>
          <t>official</t>
        </is>
      </c>
      <c r="M126" t="inlineStr">
        <is>
          <t>https://amilla.com/wp-content/uploads/Excursions_2025-2-1.pdf</t>
        </is>
      </c>
      <c r="N126" t="inlineStr">
        <is>
          <t>https://amilla.com/wp-content/uploads/Excursions_2025-2-1.pdf | https://amilla.com/wp-content/uploads/Excursions_2025-2.pdf</t>
        </is>
      </c>
      <c r="O126" t="inlineStr">
        <is>
          <t>3425cb4d732c0389dbb0c607e6a0a7b44895f5fd5c4028574061c6d07f33ead5</t>
        </is>
      </c>
      <c r="P126" t="inlineStr">
        <is>
          <t>library/009_amilla-fushi/excursions/2025_Excursions_2025-2-1.pdf</t>
        </is>
      </c>
      <c r="R126" t="inlineStr">
        <is>
          <t>current</t>
        </is>
      </c>
      <c r="S126" t="inlineStr">
        <is>
          <t>N</t>
        </is>
      </c>
      <c r="T126" t="inlineStr">
        <is>
          <t>matched</t>
        </is>
      </c>
      <c r="U126" t="inlineStr">
        <is>
          <t>2026-10-04</t>
        </is>
      </c>
      <c r="V126" t="inlineStr"/>
    </row>
    <row r="127">
      <c r="A127" t="n">
        <v>9</v>
      </c>
      <c r="B127" t="inlineStr">
        <is>
          <t>Amilla Fushi</t>
        </is>
      </c>
      <c r="C127" t="inlineStr">
        <is>
          <t>excursions</t>
        </is>
      </c>
      <c r="D127" t="inlineStr">
        <is>
          <t>2024_Earth-Day-at-Amilla-2024.pdf</t>
        </is>
      </c>
      <c r="E127" t="n">
        <v>2024</v>
      </c>
      <c r="H127" t="n">
        <v>1</v>
      </c>
      <c r="I127" t="n">
        <v>522</v>
      </c>
      <c r="J127" t="inlineStr">
        <is>
          <t>Y</t>
        </is>
      </c>
      <c r="K127" t="inlineStr">
        <is>
          <t>amilla.com</t>
        </is>
      </c>
      <c r="L127" t="inlineStr">
        <is>
          <t>official</t>
        </is>
      </c>
      <c r="M127" t="inlineStr">
        <is>
          <t>https://amilla.com/wp-content/uploads/Earth-Day-at-Amilla-2024.pdf</t>
        </is>
      </c>
      <c r="N127" t="inlineStr">
        <is>
          <t>https://amilla.com/wp-content/uploads/Earth-Day-at-Amilla-2024.pdf</t>
        </is>
      </c>
      <c r="O127" t="inlineStr">
        <is>
          <t>84b6cf65a7892b858e2a4b7fab2585f9c8b270bc25f87336bd943b184380fb20</t>
        </is>
      </c>
      <c r="P127" t="inlineStr">
        <is>
          <t>library/009_amilla-fushi/excursions/2024_Earth-Day-at-Amilla-2024.pdf</t>
        </is>
      </c>
      <c r="R127" t="inlineStr">
        <is>
          <t>outdated</t>
        </is>
      </c>
      <c r="S127" t="inlineStr">
        <is>
          <t>N</t>
        </is>
      </c>
      <c r="T127" t="inlineStr">
        <is>
          <t>matched</t>
        </is>
      </c>
      <c r="U127" t="inlineStr">
        <is>
          <t>2026-10-04</t>
        </is>
      </c>
      <c r="V127" t="inlineStr"/>
    </row>
    <row r="128">
      <c r="A128" t="n">
        <v>9</v>
      </c>
      <c r="B128" t="inlineStr">
        <is>
          <t>Amilla Fushi</t>
        </is>
      </c>
      <c r="C128" t="inlineStr">
        <is>
          <t>kids</t>
        </is>
      </c>
      <c r="D128" t="inlineStr">
        <is>
          <t>2025_Tennis-1.pdf</t>
        </is>
      </c>
      <c r="E128" t="n">
        <v>2025</v>
      </c>
      <c r="H128" t="n">
        <v>1</v>
      </c>
      <c r="I128" t="n">
        <v>1421</v>
      </c>
      <c r="J128" t="inlineStr">
        <is>
          <t>Y</t>
        </is>
      </c>
      <c r="K128" t="inlineStr">
        <is>
          <t>amilla.com</t>
        </is>
      </c>
      <c r="L128" t="inlineStr">
        <is>
          <t>official</t>
        </is>
      </c>
      <c r="M128" t="inlineStr">
        <is>
          <t>https://amilla.com/wp-content/uploads/Tennis-1.pdf</t>
        </is>
      </c>
      <c r="N128" t="inlineStr">
        <is>
          <t>https://amilla.com/wp-content/uploads/Tennis-1.pdf</t>
        </is>
      </c>
      <c r="O128" t="inlineStr">
        <is>
          <t>cf64b42b1388f8801cafce1bf7e59e99bc0ecca72c4d77b6f6d06f5dc5b9af58</t>
        </is>
      </c>
      <c r="P128" t="inlineStr">
        <is>
          <t>library/009_amilla-fushi/kids/2025_Tennis-1.pdf</t>
        </is>
      </c>
      <c r="R128" t="inlineStr">
        <is>
          <t>current</t>
        </is>
      </c>
      <c r="S128" t="inlineStr">
        <is>
          <t>Y</t>
        </is>
      </c>
      <c r="T128" t="inlineStr">
        <is>
          <t>matched</t>
        </is>
      </c>
      <c r="U128" t="inlineStr">
        <is>
          <t>2026-10-04</t>
        </is>
      </c>
      <c r="V128" t="inlineStr"/>
    </row>
    <row r="129">
      <c r="A129" t="n">
        <v>9</v>
      </c>
      <c r="B129" t="inlineStr">
        <is>
          <t>Amilla Fushi</t>
        </is>
      </c>
      <c r="C129" t="inlineStr">
        <is>
          <t>kids</t>
        </is>
      </c>
      <c r="D129" t="inlineStr">
        <is>
          <t>2024_Kids-Club-Schedule_2024.pdf</t>
        </is>
      </c>
      <c r="E129" t="n">
        <v>2024</v>
      </c>
      <c r="H129" t="n">
        <v>2</v>
      </c>
      <c r="I129" t="n">
        <v>216</v>
      </c>
      <c r="J129" t="inlineStr">
        <is>
          <t>Y</t>
        </is>
      </c>
      <c r="K129" t="inlineStr">
        <is>
          <t>amilla.com</t>
        </is>
      </c>
      <c r="L129" t="inlineStr">
        <is>
          <t>official</t>
        </is>
      </c>
      <c r="M129" t="inlineStr">
        <is>
          <t>https://amilla.com/wp-content/uploads/Kids-Club-Schedule_2024.pdf</t>
        </is>
      </c>
      <c r="N129" t="inlineStr">
        <is>
          <t>https://amilla.com/wp-content/uploads/Kids-Club-Schedule_2024.pdf</t>
        </is>
      </c>
      <c r="O129" t="inlineStr">
        <is>
          <t>038050272549bdd9795c8cc51cff23784aa7a3e73e9e61b213b92d8cacaea8e4</t>
        </is>
      </c>
      <c r="P129" t="inlineStr">
        <is>
          <t>library/009_amilla-fushi/kids/2024_Kids-Club-Schedule_2024.pdf</t>
        </is>
      </c>
      <c r="R129" t="inlineStr">
        <is>
          <t>outdated</t>
        </is>
      </c>
      <c r="S129" t="inlineStr">
        <is>
          <t>N</t>
        </is>
      </c>
      <c r="T129" t="inlineStr">
        <is>
          <t>matched</t>
        </is>
      </c>
      <c r="U129" t="inlineStr">
        <is>
          <t>2026-10-04</t>
        </is>
      </c>
      <c r="V129" t="inlineStr"/>
    </row>
    <row r="130">
      <c r="A130" t="n">
        <v>9</v>
      </c>
      <c r="B130" t="inlineStr">
        <is>
          <t>Amilla Fushi</t>
        </is>
      </c>
      <c r="C130" t="inlineStr">
        <is>
          <t>kids</t>
        </is>
      </c>
      <c r="D130" t="inlineStr">
        <is>
          <t>2024_Tennis_Vlad_2024.pdf</t>
        </is>
      </c>
      <c r="E130" t="n">
        <v>2024</v>
      </c>
      <c r="H130" t="n">
        <v>1</v>
      </c>
      <c r="I130" t="n">
        <v>1487</v>
      </c>
      <c r="J130" t="inlineStr">
        <is>
          <t>Y</t>
        </is>
      </c>
      <c r="K130" t="inlineStr">
        <is>
          <t>amilla.com</t>
        </is>
      </c>
      <c r="L130" t="inlineStr">
        <is>
          <t>official</t>
        </is>
      </c>
      <c r="M130" t="inlineStr">
        <is>
          <t>https://amilla.com/wp-content/uploads/Tennis_Vlad_2024.pdf</t>
        </is>
      </c>
      <c r="N130" t="inlineStr">
        <is>
          <t>https://amilla.com/wp-content/uploads/Tennis_Vlad_2024.pdf</t>
        </is>
      </c>
      <c r="O130" t="inlineStr">
        <is>
          <t>a68d17cf46131a3fa6fe6e13dac1e6eb6047630c1c9669ab39c440b5810d8ad8</t>
        </is>
      </c>
      <c r="P130" t="inlineStr">
        <is>
          <t>library/009_amilla-fushi/kids/2024_Tennis_Vlad_2024.pdf</t>
        </is>
      </c>
      <c r="R130" t="inlineStr">
        <is>
          <t>outdated</t>
        </is>
      </c>
      <c r="S130" t="inlineStr">
        <is>
          <t>N</t>
        </is>
      </c>
      <c r="T130" t="inlineStr">
        <is>
          <t>matched</t>
        </is>
      </c>
      <c r="U130" t="inlineStr">
        <is>
          <t>2026-10-04</t>
        </is>
      </c>
      <c r="V130" t="inlineStr"/>
    </row>
    <row r="131">
      <c r="A131" t="n">
        <v>9</v>
      </c>
      <c r="B131" t="inlineStr">
        <is>
          <t>Amilla Fushi</t>
        </is>
      </c>
      <c r="C131" t="inlineStr">
        <is>
          <t>kids</t>
        </is>
      </c>
      <c r="D131" t="inlineStr">
        <is>
          <t>2023_Tennis.pdf</t>
        </is>
      </c>
      <c r="E131" t="n">
        <v>2023</v>
      </c>
      <c r="H131" t="n">
        <v>1</v>
      </c>
      <c r="I131" t="n">
        <v>1393</v>
      </c>
      <c r="J131" t="inlineStr">
        <is>
          <t>Y</t>
        </is>
      </c>
      <c r="K131" t="inlineStr">
        <is>
          <t>amilla.com</t>
        </is>
      </c>
      <c r="L131" t="inlineStr">
        <is>
          <t>official</t>
        </is>
      </c>
      <c r="M131" t="inlineStr">
        <is>
          <t>https://amilla.com/wp-content/uploads/Tennis.pdf</t>
        </is>
      </c>
      <c r="N131" t="inlineStr">
        <is>
          <t>https://amilla.com/wp-content/uploads/Tennis.pdf</t>
        </is>
      </c>
      <c r="O131" t="inlineStr">
        <is>
          <t>4a74be1913d5106c5a62598a6c30da30226700e0d9b27c33fbde4d28f1335fb1</t>
        </is>
      </c>
      <c r="P131" t="inlineStr">
        <is>
          <t>library/009_amilla-fushi/kids/2023_Tennis.pdf</t>
        </is>
      </c>
      <c r="R131" t="inlineStr">
        <is>
          <t>outdated</t>
        </is>
      </c>
      <c r="S131" t="inlineStr">
        <is>
          <t>N</t>
        </is>
      </c>
      <c r="T131" t="inlineStr">
        <is>
          <t>matched</t>
        </is>
      </c>
      <c r="U131" t="inlineStr">
        <is>
          <t>2026-10-04</t>
        </is>
      </c>
      <c r="V131" t="inlineStr"/>
    </row>
    <row r="132">
      <c r="A132" t="n">
        <v>9</v>
      </c>
      <c r="B132" t="inlineStr">
        <is>
          <t>Amilla Fushi</t>
        </is>
      </c>
      <c r="C132" t="inlineStr">
        <is>
          <t>villa_plans</t>
        </is>
      </c>
      <c r="D132" t="inlineStr">
        <is>
          <t>2026_Accessibility-Inclusivity_2026.pdf</t>
        </is>
      </c>
      <c r="E132" t="n">
        <v>2026</v>
      </c>
      <c r="H132" t="n">
        <v>6</v>
      </c>
      <c r="I132" t="n">
        <v>2247</v>
      </c>
      <c r="J132" t="inlineStr">
        <is>
          <t>Y</t>
        </is>
      </c>
      <c r="K132" t="inlineStr">
        <is>
          <t>amilla.com</t>
        </is>
      </c>
      <c r="L132" t="inlineStr">
        <is>
          <t>official</t>
        </is>
      </c>
      <c r="M132" t="inlineStr">
        <is>
          <t>https://amilla.com/wp-content/uploads/Accessibility-Inclusivity_2026.pdf</t>
        </is>
      </c>
      <c r="N132" t="inlineStr">
        <is>
          <t>https://amilla.com/wp-content/uploads/Accessibility-Inclusivity_2026.pdf</t>
        </is>
      </c>
      <c r="O132" t="inlineStr">
        <is>
          <t>5d6ec2cb3dd7f90f349168366790baff90a9a032b3d4f153d778fdd3e155cd9a</t>
        </is>
      </c>
      <c r="P132" t="inlineStr">
        <is>
          <t>library/009_amilla-fushi/villa_plans/2026_Accessibility-Inclusivity_2026.pdf</t>
        </is>
      </c>
      <c r="R132" t="inlineStr">
        <is>
          <t>current</t>
        </is>
      </c>
      <c r="S132" t="inlineStr">
        <is>
          <t>Y</t>
        </is>
      </c>
      <c r="T132" t="inlineStr">
        <is>
          <t>matched</t>
        </is>
      </c>
      <c r="U132" t="inlineStr">
        <is>
          <t>2026-10-04</t>
        </is>
      </c>
      <c r="V132" t="inlineStr"/>
    </row>
    <row r="133">
      <c r="A133" t="n">
        <v>9</v>
      </c>
      <c r="B133" t="inlineStr">
        <is>
          <t>Amilla Fushi</t>
        </is>
      </c>
      <c r="C133" t="inlineStr">
        <is>
          <t>villa_plans</t>
        </is>
      </c>
      <c r="D133" t="inlineStr">
        <is>
          <t>2025_Four-Bedroom-Residence-.pdf</t>
        </is>
      </c>
      <c r="E133" t="n">
        <v>2025</v>
      </c>
      <c r="H133" t="n">
        <v>2</v>
      </c>
      <c r="I133" t="n">
        <v>6294</v>
      </c>
      <c r="J133" t="inlineStr">
        <is>
          <t>N</t>
        </is>
      </c>
      <c r="K133" t="inlineStr">
        <is>
          <t>amilla.com</t>
        </is>
      </c>
      <c r="L133" t="inlineStr">
        <is>
          <t>official</t>
        </is>
      </c>
      <c r="M133" t="inlineStr">
        <is>
          <t>https://amilla.com/wp-content/uploads/Four-Bedroom-Residence-.pdf</t>
        </is>
      </c>
      <c r="N133" t="inlineStr">
        <is>
          <t>https://amilla.com/wp-content/uploads/Four-Bedroom-Residence-.pdf</t>
        </is>
      </c>
      <c r="O133" t="inlineStr">
        <is>
          <t>916e2a6dc0ad87e3d032556ba020442c95637f6f855a66550f9b1d8fe4e0968d</t>
        </is>
      </c>
      <c r="P133" t="inlineStr">
        <is>
          <t>library/009_amilla-fushi/villa_plans/2025_Four-Bedroom-Residence-.pdf</t>
        </is>
      </c>
      <c r="R133" t="inlineStr">
        <is>
          <t>current</t>
        </is>
      </c>
      <c r="S133" t="inlineStr">
        <is>
          <t>N</t>
        </is>
      </c>
      <c r="T133" t="inlineStr">
        <is>
          <t>matched</t>
        </is>
      </c>
      <c r="U133" t="inlineStr">
        <is>
          <t>2026-10-04</t>
        </is>
      </c>
      <c r="V133" t="inlineStr"/>
    </row>
    <row r="134">
      <c r="A134" t="n">
        <v>9</v>
      </c>
      <c r="B134" t="inlineStr">
        <is>
          <t>Amilla Fushi</t>
        </is>
      </c>
      <c r="C134" t="inlineStr">
        <is>
          <t>villa_plans</t>
        </is>
      </c>
      <c r="D134" t="inlineStr">
        <is>
          <t>2025_The-Great-Beach-Residence.pdf</t>
        </is>
      </c>
      <c r="E134" t="n">
        <v>2025</v>
      </c>
      <c r="H134" t="n">
        <v>2</v>
      </c>
      <c r="I134" t="n">
        <v>6410</v>
      </c>
      <c r="J134" t="inlineStr">
        <is>
          <t>N</t>
        </is>
      </c>
      <c r="K134" t="inlineStr">
        <is>
          <t>amilla.com</t>
        </is>
      </c>
      <c r="L134" t="inlineStr">
        <is>
          <t>official</t>
        </is>
      </c>
      <c r="M134" t="inlineStr">
        <is>
          <t>https://amilla.com/wp-content/uploads/The-Great-Beach-Residence.pdf</t>
        </is>
      </c>
      <c r="N134" t="inlineStr">
        <is>
          <t>https://amilla.com/wp-content/uploads/The-Great-Beach-Residence.pdf</t>
        </is>
      </c>
      <c r="O134" t="inlineStr">
        <is>
          <t>4c97a2e690993cc917f951cf5d97e4c6f0dada94cd76a48c1978c52b6cfb89a8</t>
        </is>
      </c>
      <c r="P134" t="inlineStr">
        <is>
          <t>library/009_amilla-fushi/villa_plans/2025_The-Great-Beach-Residence.pdf</t>
        </is>
      </c>
      <c r="R134" t="inlineStr">
        <is>
          <t>current</t>
        </is>
      </c>
      <c r="S134" t="inlineStr">
        <is>
          <t>N</t>
        </is>
      </c>
      <c r="T134" t="inlineStr">
        <is>
          <t>matched</t>
        </is>
      </c>
      <c r="U134" t="inlineStr">
        <is>
          <t>2026-10-04</t>
        </is>
      </c>
      <c r="V134" t="inlineStr"/>
    </row>
    <row r="135">
      <c r="A135" t="n">
        <v>9</v>
      </c>
      <c r="B135" t="inlineStr">
        <is>
          <t>Amilla Fushi</t>
        </is>
      </c>
      <c r="C135" t="inlineStr">
        <is>
          <t>villa_plans</t>
        </is>
      </c>
      <c r="D135" t="inlineStr">
        <is>
          <t>2022_Fatcheet-Amilla-Maldives-Resort-and-Residences.pdf</t>
        </is>
      </c>
      <c r="E135" t="n">
        <v>2022</v>
      </c>
      <c r="H135" t="n">
        <v>3</v>
      </c>
      <c r="I135" t="n">
        <v>708</v>
      </c>
      <c r="J135" t="inlineStr">
        <is>
          <t>Y</t>
        </is>
      </c>
      <c r="K135" t="inlineStr">
        <is>
          <t>neoscapesmaldives.com</t>
        </is>
      </c>
      <c r="L135" t="inlineStr">
        <is>
          <t>dmc-agency</t>
        </is>
      </c>
      <c r="M135" t="inlineStr">
        <is>
          <t>https://www.neoscapesmaldives.com/wp-content/uploads/Fatcheet-Amilla-Maldives-Resort-and-Residences.pdf</t>
        </is>
      </c>
      <c r="N135" t="inlineStr">
        <is>
          <t>https://www.neoscapesmaldives.com/wp-content/uploads/Fatcheet-Amilla-Maldives-Resort-and-Residences.pdf</t>
        </is>
      </c>
      <c r="O135" t="inlineStr">
        <is>
          <t>074e637d7db166970972d1c5137ebfb87cc1142febadf8df6968e3291a14869e</t>
        </is>
      </c>
      <c r="P135" t="inlineStr">
        <is>
          <t>library/009_amilla-fushi/villa_plans/2022_Fatcheet-Amilla-Maldives-Resort-and-Residences.pdf</t>
        </is>
      </c>
      <c r="R135" t="inlineStr">
        <is>
          <t>outdated</t>
        </is>
      </c>
      <c r="S135" t="inlineStr">
        <is>
          <t>N</t>
        </is>
      </c>
      <c r="T135" t="inlineStr">
        <is>
          <t>matched</t>
        </is>
      </c>
      <c r="U135" t="inlineStr">
        <is>
          <t>2026-10-04</t>
        </is>
      </c>
      <c r="V135" t="inlineStr"/>
    </row>
    <row r="136">
      <c r="A136" t="n">
        <v>9</v>
      </c>
      <c r="B136" t="inlineStr">
        <is>
          <t>Amilla Fushi</t>
        </is>
      </c>
      <c r="C136" t="inlineStr">
        <is>
          <t>all_inclusive</t>
        </is>
      </c>
      <c r="D136" t="inlineStr">
        <is>
          <t>2025_Meal-Plans-2025-Updated.pdf</t>
        </is>
      </c>
      <c r="E136" t="n">
        <v>2025</v>
      </c>
      <c r="H136" t="n">
        <v>2</v>
      </c>
      <c r="I136" t="n">
        <v>96</v>
      </c>
      <c r="J136" t="inlineStr">
        <is>
          <t>Y</t>
        </is>
      </c>
      <c r="K136" t="inlineStr">
        <is>
          <t>amilla.com</t>
        </is>
      </c>
      <c r="L136" t="inlineStr">
        <is>
          <t>official</t>
        </is>
      </c>
      <c r="M136" t="inlineStr">
        <is>
          <t>https://amilla.com/wp-content/uploads/Meal-Plans-2025-Updated.pdf</t>
        </is>
      </c>
      <c r="N136" t="inlineStr">
        <is>
          <t>https://amilla.com/wp-content/uploads/Meal-Plans-2025-Updated.pdf | https://amilla.com/wp-content/uploads/Amilla-Maldives-Meal-Plans-2026.pdf</t>
        </is>
      </c>
      <c r="O136" t="inlineStr">
        <is>
          <t>d86650416ae42f1a3762a45e9029c35856294fb1573d34ad51eb9fcc8de21657</t>
        </is>
      </c>
      <c r="P136" t="inlineStr">
        <is>
          <t>library/009_amilla-fushi/all_inclusive/2025_Meal-Plans-2025-Updated.pdf</t>
        </is>
      </c>
      <c r="R136" t="inlineStr">
        <is>
          <t>current</t>
        </is>
      </c>
      <c r="S136" t="inlineStr">
        <is>
          <t>N</t>
        </is>
      </c>
      <c r="T136" t="inlineStr">
        <is>
          <t>matched</t>
        </is>
      </c>
      <c r="U136" t="inlineStr">
        <is>
          <t>2026-10-04</t>
        </is>
      </c>
      <c r="V136" t="inlineStr"/>
    </row>
    <row r="137">
      <c r="A137" t="n">
        <v>9</v>
      </c>
      <c r="B137" t="inlineStr">
        <is>
          <t>Amilla Fushi</t>
        </is>
      </c>
      <c r="C137" t="inlineStr">
        <is>
          <t>all_inclusive</t>
        </is>
      </c>
      <c r="D137" t="inlineStr">
        <is>
          <t>2025_Bluejay_Packages_v3.pdf</t>
        </is>
      </c>
      <c r="E137" t="n">
        <v>2025</v>
      </c>
      <c r="H137" t="n">
        <v>4</v>
      </c>
      <c r="I137" t="n">
        <v>619</v>
      </c>
      <c r="J137" t="inlineStr">
        <is>
          <t>Y</t>
        </is>
      </c>
      <c r="K137" t="inlineStr">
        <is>
          <t>amilla.com</t>
        </is>
      </c>
      <c r="L137" t="inlineStr">
        <is>
          <t>official</t>
        </is>
      </c>
      <c r="M137" t="inlineStr">
        <is>
          <t>https://amilla.com/wp-content/uploads/Bluejay_Packages_v3.pdf</t>
        </is>
      </c>
      <c r="N137" t="inlineStr">
        <is>
          <t>https://amilla.com/wp-content/uploads/Bluejay_Packages_v3.pdf</t>
        </is>
      </c>
      <c r="O137" t="inlineStr">
        <is>
          <t>3f84e7a2859a05dc143b93ec46ca2c03edec046de5a95dc13a324d5588ae4893</t>
        </is>
      </c>
      <c r="P137" t="inlineStr">
        <is>
          <t>library/009_amilla-fushi/all_inclusive/2025_Bluejay_Packages_v3.pdf</t>
        </is>
      </c>
      <c r="R137" t="inlineStr">
        <is>
          <t>current</t>
        </is>
      </c>
      <c r="S137" t="inlineStr">
        <is>
          <t>Y</t>
        </is>
      </c>
      <c r="T137" t="inlineStr">
        <is>
          <t>matched</t>
        </is>
      </c>
      <c r="U137" t="inlineStr">
        <is>
          <t>2026-10-04</t>
        </is>
      </c>
      <c r="V137" t="inlineStr"/>
    </row>
    <row r="138">
      <c r="A138" t="n">
        <v>9</v>
      </c>
      <c r="B138" t="inlineStr">
        <is>
          <t>Amilla Fushi</t>
        </is>
      </c>
      <c r="C138" t="inlineStr">
        <is>
          <t>all_inclusive</t>
        </is>
      </c>
      <c r="D138" t="inlineStr">
        <is>
          <t>2024_Bluejay-Photography-Packages.pdf</t>
        </is>
      </c>
      <c r="E138" t="n">
        <v>2024</v>
      </c>
      <c r="H138" t="n">
        <v>4</v>
      </c>
      <c r="I138" t="n">
        <v>235</v>
      </c>
      <c r="J138" t="inlineStr">
        <is>
          <t>Y</t>
        </is>
      </c>
      <c r="K138" t="inlineStr">
        <is>
          <t>amilla.com</t>
        </is>
      </c>
      <c r="L138" t="inlineStr">
        <is>
          <t>official</t>
        </is>
      </c>
      <c r="M138" t="inlineStr">
        <is>
          <t>https://amilla.com/wp-content/uploads/Bluejay-Photography-Packages.pdf</t>
        </is>
      </c>
      <c r="N138" t="inlineStr">
        <is>
          <t>https://amilla.com/wp-content/uploads/Bluejay-Photography-Packages.pdf</t>
        </is>
      </c>
      <c r="O138" t="inlineStr">
        <is>
          <t>f8ce19c101455eb8f5cc087c2b3c53804fbe710d8532c75e09678911d918ac76</t>
        </is>
      </c>
      <c r="P138" t="inlineStr">
        <is>
          <t>library/009_amilla-fushi/all_inclusive/2024_Bluejay-Photography-Packages.pdf</t>
        </is>
      </c>
      <c r="R138" t="inlineStr">
        <is>
          <t>outdated</t>
        </is>
      </c>
      <c r="S138" t="inlineStr">
        <is>
          <t>N</t>
        </is>
      </c>
      <c r="T138" t="inlineStr">
        <is>
          <t>matched</t>
        </is>
      </c>
      <c r="U138" t="inlineStr">
        <is>
          <t>2026-10-04</t>
        </is>
      </c>
      <c r="V138" t="inlineStr"/>
    </row>
    <row r="139">
      <c r="A139" t="n">
        <v>9</v>
      </c>
      <c r="B139" t="inlineStr">
        <is>
          <t>Amilla Fushi</t>
        </is>
      </c>
      <c r="C139" t="inlineStr">
        <is>
          <t>all_inclusive</t>
        </is>
      </c>
      <c r="D139" t="inlineStr">
        <is>
          <t>2023_Inclusive-travel-accessibility.pdf</t>
        </is>
      </c>
      <c r="E139" t="n">
        <v>2023</v>
      </c>
      <c r="H139" t="n">
        <v>6</v>
      </c>
      <c r="I139" t="n">
        <v>940</v>
      </c>
      <c r="J139" t="inlineStr">
        <is>
          <t>Y</t>
        </is>
      </c>
      <c r="K139" t="inlineStr">
        <is>
          <t>amilla.com</t>
        </is>
      </c>
      <c r="L139" t="inlineStr">
        <is>
          <t>official</t>
        </is>
      </c>
      <c r="M139" t="inlineStr">
        <is>
          <t>https://amilla.com/wp-content/uploads/Inclusive-travel-accessibility.pdf</t>
        </is>
      </c>
      <c r="N139" t="inlineStr">
        <is>
          <t>https://amilla.com/wp-content/uploads/Inclusive-travel-accessibility.pdf</t>
        </is>
      </c>
      <c r="O139" t="inlineStr">
        <is>
          <t>a1ffe90d32647b1545f513de1e9cbae200311ff0b34efa412bcbaf56306e4302</t>
        </is>
      </c>
      <c r="P139" t="inlineStr">
        <is>
          <t>library/009_amilla-fushi/all_inclusive/2023_Inclusive-travel-accessibility.pdf</t>
        </is>
      </c>
      <c r="R139" t="inlineStr">
        <is>
          <t>outdated</t>
        </is>
      </c>
      <c r="S139" t="inlineStr">
        <is>
          <t>N</t>
        </is>
      </c>
      <c r="T139" t="inlineStr">
        <is>
          <t>matched</t>
        </is>
      </c>
      <c r="U139" t="inlineStr">
        <is>
          <t>2026-10-04</t>
        </is>
      </c>
      <c r="V139" t="inlineStr"/>
    </row>
    <row r="140">
      <c r="A140" t="n">
        <v>9</v>
      </c>
      <c r="B140" t="inlineStr">
        <is>
          <t>Amilla Fushi</t>
        </is>
      </c>
      <c r="C140" t="inlineStr">
        <is>
          <t>sustainability</t>
        </is>
      </c>
      <c r="D140" t="inlineStr">
        <is>
          <t>2026_World-Sea-Turtle-Day-Flyer.pdf</t>
        </is>
      </c>
      <c r="E140" t="n">
        <v>2026</v>
      </c>
      <c r="H140" t="n">
        <v>1</v>
      </c>
      <c r="I140" t="n">
        <v>2599</v>
      </c>
      <c r="J140" t="inlineStr">
        <is>
          <t>Y</t>
        </is>
      </c>
      <c r="K140" t="inlineStr">
        <is>
          <t>amilla.com</t>
        </is>
      </c>
      <c r="L140" t="inlineStr">
        <is>
          <t>official</t>
        </is>
      </c>
      <c r="M140" t="inlineStr">
        <is>
          <t>https://amilla.com/wp-content/uploads/World-Sea-Turtle-Day-Flyer.pdf</t>
        </is>
      </c>
      <c r="N140" t="inlineStr">
        <is>
          <t>https://amilla.com/wp-content/uploads/World-Sea-Turtle-Day-Flyer.pdf</t>
        </is>
      </c>
      <c r="O140" t="inlineStr">
        <is>
          <t>88c702ccb5c011b33ac9f9efb51fa1b8b478970e151927bd392bbd965596b8ef</t>
        </is>
      </c>
      <c r="P140" t="inlineStr">
        <is>
          <t>library/009_amilla-fushi/sustainability/2026_World-Sea-Turtle-Day-Flyer.pdf</t>
        </is>
      </c>
      <c r="R140" t="inlineStr">
        <is>
          <t>current</t>
        </is>
      </c>
      <c r="S140" t="inlineStr">
        <is>
          <t>N</t>
        </is>
      </c>
      <c r="T140" t="inlineStr">
        <is>
          <t>matched</t>
        </is>
      </c>
      <c r="U140" t="inlineStr">
        <is>
          <t>2026-10-04</t>
        </is>
      </c>
      <c r="V140" t="inlineStr"/>
    </row>
    <row r="141">
      <c r="A141" t="n">
        <v>9</v>
      </c>
      <c r="B141" t="inlineStr">
        <is>
          <t>Amilla Fushi</t>
        </is>
      </c>
      <c r="C141" t="inlineStr">
        <is>
          <t>sustainability</t>
        </is>
      </c>
      <c r="D141" t="inlineStr">
        <is>
          <t>2026_Amilla-Maldives_Sustainability_2026.pdf</t>
        </is>
      </c>
      <c r="E141" t="n">
        <v>2026</v>
      </c>
      <c r="H141" t="n">
        <v>4</v>
      </c>
      <c r="I141" t="n">
        <v>2560</v>
      </c>
      <c r="J141" t="inlineStr">
        <is>
          <t>Y</t>
        </is>
      </c>
      <c r="K141" t="inlineStr">
        <is>
          <t>amilla.com</t>
        </is>
      </c>
      <c r="L141" t="inlineStr">
        <is>
          <t>official</t>
        </is>
      </c>
      <c r="M141" t="inlineStr">
        <is>
          <t>https://amilla.com/wp-content/uploads/Amilla-Maldives_Sustainability_2026.pdf</t>
        </is>
      </c>
      <c r="N141" t="inlineStr">
        <is>
          <t>https://amilla.com/wp-content/uploads/Amilla-Maldives_Sustainability_2026.pdf</t>
        </is>
      </c>
      <c r="O141" t="inlineStr">
        <is>
          <t>b443dd440d6820ecaceb36d8a82925ad1631ecd2446dcdf41d1345fdec07a62c</t>
        </is>
      </c>
      <c r="P141" t="inlineStr">
        <is>
          <t>library/009_amilla-fushi/sustainability/2026_Amilla-Maldives_Sustainability_2026.pdf</t>
        </is>
      </c>
      <c r="R141" t="inlineStr">
        <is>
          <t>current</t>
        </is>
      </c>
      <c r="S141" t="inlineStr">
        <is>
          <t>Y</t>
        </is>
      </c>
      <c r="T141" t="inlineStr">
        <is>
          <t>matched</t>
        </is>
      </c>
      <c r="U141" t="inlineStr">
        <is>
          <t>2026-10-04</t>
        </is>
      </c>
      <c r="V141" t="inlineStr"/>
    </row>
    <row r="142">
      <c r="A142" t="n">
        <v>9</v>
      </c>
      <c r="B142" t="inlineStr">
        <is>
          <t>Amilla Fushi</t>
        </is>
      </c>
      <c r="C142" t="inlineStr">
        <is>
          <t>calendar</t>
        </is>
      </c>
      <c r="D142" t="inlineStr">
        <is>
          <t>2024_Orthodox-Easter_2024.pdf</t>
        </is>
      </c>
      <c r="E142" t="n">
        <v>2024</v>
      </c>
      <c r="H142" t="n">
        <v>1</v>
      </c>
      <c r="I142" t="n">
        <v>162</v>
      </c>
      <c r="J142" t="inlineStr">
        <is>
          <t>Y</t>
        </is>
      </c>
      <c r="K142" t="inlineStr">
        <is>
          <t>amilla.com</t>
        </is>
      </c>
      <c r="L142" t="inlineStr">
        <is>
          <t>official</t>
        </is>
      </c>
      <c r="M142" t="inlineStr">
        <is>
          <t>https://amilla.com/wp-content/uploads/Orthodox-Easter_2024.pdf</t>
        </is>
      </c>
      <c r="N142" t="inlineStr">
        <is>
          <t>https://amilla.com/wp-content/uploads/Orthodox-Easter_2024.pdf</t>
        </is>
      </c>
      <c r="O142" t="inlineStr">
        <is>
          <t>6382de2bc74ec1f5ee4566a8325ff4829f3a428433d1df758a5a7dffa33fd2fa</t>
        </is>
      </c>
      <c r="P142" t="inlineStr">
        <is>
          <t>library/009_amilla-fushi/calendar/2024_Orthodox-Easter_2024.pdf</t>
        </is>
      </c>
      <c r="R142" t="inlineStr">
        <is>
          <t>outdated</t>
        </is>
      </c>
      <c r="S142" t="inlineStr">
        <is>
          <t>Y</t>
        </is>
      </c>
      <c r="T142" t="inlineStr">
        <is>
          <t>matched</t>
        </is>
      </c>
      <c r="U142" t="inlineStr">
        <is>
          <t>2026-10-04</t>
        </is>
      </c>
      <c r="V142" t="inlineStr"/>
    </row>
    <row r="143">
      <c r="A143" t="n">
        <v>9</v>
      </c>
      <c r="B143" t="inlineStr">
        <is>
          <t>Amilla Fushi</t>
        </is>
      </c>
      <c r="C143" t="inlineStr">
        <is>
          <t>calendar</t>
        </is>
      </c>
      <c r="D143" t="inlineStr">
        <is>
          <t>2024_Chinese-New-Year-2024.pdf</t>
        </is>
      </c>
      <c r="E143" t="n">
        <v>2024</v>
      </c>
      <c r="H143" t="n">
        <v>1</v>
      </c>
      <c r="I143" t="n">
        <v>585</v>
      </c>
      <c r="J143" t="inlineStr">
        <is>
          <t>Y</t>
        </is>
      </c>
      <c r="K143" t="inlineStr">
        <is>
          <t>amilla.com</t>
        </is>
      </c>
      <c r="L143" t="inlineStr">
        <is>
          <t>official</t>
        </is>
      </c>
      <c r="M143" t="inlineStr">
        <is>
          <t>https://amilla.com/wp-content/uploads/Chinese-New-Year-2024.pdf</t>
        </is>
      </c>
      <c r="N143" t="inlineStr">
        <is>
          <t>https://amilla.com/wp-content/uploads/Chinese-New-Year-2024.pdf</t>
        </is>
      </c>
      <c r="O143" t="inlineStr">
        <is>
          <t>cb1df5fa1c32ec40f0e6a3f4b871ec7fda22c4c5e4d5b5c62896acf43c0a04c7</t>
        </is>
      </c>
      <c r="P143" t="inlineStr">
        <is>
          <t>library/009_amilla-fushi/calendar/2024_Chinese-New-Year-2024.pdf</t>
        </is>
      </c>
      <c r="R143" t="inlineStr">
        <is>
          <t>outdated</t>
        </is>
      </c>
      <c r="S143" t="inlineStr">
        <is>
          <t>N</t>
        </is>
      </c>
      <c r="T143" t="inlineStr">
        <is>
          <t>matched</t>
        </is>
      </c>
      <c r="U143" t="inlineStr">
        <is>
          <t>2026-10-04</t>
        </is>
      </c>
      <c r="V143" t="inlineStr"/>
    </row>
    <row r="144">
      <c r="A144" t="n">
        <v>9</v>
      </c>
      <c r="B144" t="inlineStr">
        <is>
          <t>Amilla Fushi</t>
        </is>
      </c>
      <c r="C144" t="inlineStr">
        <is>
          <t>calendar</t>
        </is>
      </c>
      <c r="D144" t="inlineStr">
        <is>
          <t>2023_Pause-Retreat.pdf</t>
        </is>
      </c>
      <c r="E144" t="n">
        <v>2023</v>
      </c>
      <c r="H144" t="n">
        <v>6</v>
      </c>
      <c r="I144" t="n">
        <v>2879</v>
      </c>
      <c r="J144" t="inlineStr">
        <is>
          <t>Y</t>
        </is>
      </c>
      <c r="K144" t="inlineStr">
        <is>
          <t>amilla.com</t>
        </is>
      </c>
      <c r="L144" t="inlineStr">
        <is>
          <t>official</t>
        </is>
      </c>
      <c r="M144" t="inlineStr">
        <is>
          <t>https://amilla.com/wp-content/uploads/Pause-Retreat.pdf</t>
        </is>
      </c>
      <c r="N144" t="inlineStr">
        <is>
          <t>https://amilla.com/wp-content/uploads/Pause-Retreat.pdf</t>
        </is>
      </c>
      <c r="O144" t="inlineStr">
        <is>
          <t>f3f7f0305171accb354ec52bdcbfc46e173e31471dd1b14564f809800faead49</t>
        </is>
      </c>
      <c r="P144" t="inlineStr">
        <is>
          <t>library/009_amilla-fushi/calendar/2023_Pause-Retreat.pdf</t>
        </is>
      </c>
      <c r="R144" t="inlineStr">
        <is>
          <t>outdated</t>
        </is>
      </c>
      <c r="S144" t="inlineStr">
        <is>
          <t>N</t>
        </is>
      </c>
      <c r="T144" t="inlineStr">
        <is>
          <t>matched</t>
        </is>
      </c>
      <c r="U144" t="inlineStr">
        <is>
          <t>2026-10-04</t>
        </is>
      </c>
      <c r="V144" t="inlineStr"/>
    </row>
    <row r="145">
      <c r="A145" t="n">
        <v>9</v>
      </c>
      <c r="B145" t="inlineStr">
        <is>
          <t>Amilla Fushi</t>
        </is>
      </c>
      <c r="C145" t="inlineStr">
        <is>
          <t>brochure</t>
        </is>
      </c>
      <c r="D145" t="inlineStr">
        <is>
          <t>2026_International-Coffee-Day-2026-Final.pdf</t>
        </is>
      </c>
      <c r="E145" t="n">
        <v>2026</v>
      </c>
      <c r="H145" t="n">
        <v>1</v>
      </c>
      <c r="I145" t="n">
        <v>363</v>
      </c>
      <c r="J145" t="inlineStr">
        <is>
          <t>Y</t>
        </is>
      </c>
      <c r="K145" t="inlineStr">
        <is>
          <t>amilla.com</t>
        </is>
      </c>
      <c r="L145" t="inlineStr">
        <is>
          <t>official</t>
        </is>
      </c>
      <c r="M145" t="inlineStr">
        <is>
          <t>https://amilla.com/wp-content/uploads/International-Coffee-Day-2026-Final.pdf</t>
        </is>
      </c>
      <c r="N145" t="inlineStr">
        <is>
          <t>https://amilla.com/wp-content/uploads/International-Coffee-Day-2026-Final.pdf</t>
        </is>
      </c>
      <c r="O145" t="inlineStr">
        <is>
          <t>46f4836c5ac9084b8181ecf757149d837919af4624709411a92354f98bf87021</t>
        </is>
      </c>
      <c r="P145" t="inlineStr">
        <is>
          <t>library/009_amilla-fushi/brochure/2026_International-Coffee-Day-2026-Final.pdf</t>
        </is>
      </c>
      <c r="R145" t="inlineStr">
        <is>
          <t>current</t>
        </is>
      </c>
      <c r="S145" t="inlineStr">
        <is>
          <t>Y</t>
        </is>
      </c>
      <c r="T145" t="inlineStr">
        <is>
          <t>matched</t>
        </is>
      </c>
      <c r="U145" t="inlineStr">
        <is>
          <t>2026-10-04</t>
        </is>
      </c>
      <c r="V145" t="inlineStr"/>
    </row>
    <row r="146">
      <c r="A146" t="n">
        <v>9</v>
      </c>
      <c r="B146" t="inlineStr">
        <is>
          <t>Amilla Fushi</t>
        </is>
      </c>
      <c r="C146" t="inlineStr">
        <is>
          <t>brochure</t>
        </is>
      </c>
      <c r="D146" t="inlineStr">
        <is>
          <t>2026_Flyer-_-Dr.-Lim.pdf</t>
        </is>
      </c>
      <c r="E146" t="n">
        <v>2026</v>
      </c>
      <c r="H146" t="n">
        <v>1</v>
      </c>
      <c r="I146" t="n">
        <v>463</v>
      </c>
      <c r="J146" t="inlineStr">
        <is>
          <t>Y</t>
        </is>
      </c>
      <c r="K146" t="inlineStr">
        <is>
          <t>amilla.com</t>
        </is>
      </c>
      <c r="L146" t="inlineStr">
        <is>
          <t>official</t>
        </is>
      </c>
      <c r="M146" t="inlineStr">
        <is>
          <t>https://amilla.com/wp-content/uploads/Flyer-_-Dr.-Lim.pdf</t>
        </is>
      </c>
      <c r="N146" t="inlineStr">
        <is>
          <t>https://amilla.com/wp-content/uploads/Flyer-_-Dr.-Lim.pdf</t>
        </is>
      </c>
      <c r="O146" t="inlineStr">
        <is>
          <t>f921eadad747927457903c403e220b18d75d2363d090bc17d37e9add1656c7ec</t>
        </is>
      </c>
      <c r="P146" t="inlineStr">
        <is>
          <t>library/009_amilla-fushi/brochure/2026_Flyer-_-Dr.-Lim.pdf</t>
        </is>
      </c>
      <c r="R146" t="inlineStr">
        <is>
          <t>current</t>
        </is>
      </c>
      <c r="S146" t="inlineStr">
        <is>
          <t>N</t>
        </is>
      </c>
      <c r="T146" t="inlineStr">
        <is>
          <t>matched</t>
        </is>
      </c>
      <c r="U146" t="inlineStr">
        <is>
          <t>2026-10-04</t>
        </is>
      </c>
      <c r="V146" t="inlineStr"/>
    </row>
    <row r="147">
      <c r="A147" t="n">
        <v>9</v>
      </c>
      <c r="B147" t="inlineStr">
        <is>
          <t>Amilla Fushi</t>
        </is>
      </c>
      <c r="C147" t="inlineStr">
        <is>
          <t>brochure</t>
        </is>
      </c>
      <c r="D147" t="inlineStr">
        <is>
          <t>2026_Flyer-_-Dr.-Tridendra-1.pdf</t>
        </is>
      </c>
      <c r="E147" t="n">
        <v>2026</v>
      </c>
      <c r="H147" t="n">
        <v>1</v>
      </c>
      <c r="I147" t="n">
        <v>543</v>
      </c>
      <c r="J147" t="inlineStr">
        <is>
          <t>Y</t>
        </is>
      </c>
      <c r="K147" t="inlineStr">
        <is>
          <t>amilla.com</t>
        </is>
      </c>
      <c r="L147" t="inlineStr">
        <is>
          <t>official</t>
        </is>
      </c>
      <c r="M147" t="inlineStr">
        <is>
          <t>https://amilla.com/wp-content/uploads/Flyer-_-Dr.-Tridendra-1.pdf</t>
        </is>
      </c>
      <c r="N147" t="inlineStr">
        <is>
          <t>https://amilla.com/wp-content/uploads/Flyer-_-Dr.-Tridendra-1.pdf</t>
        </is>
      </c>
      <c r="O147" t="inlineStr">
        <is>
          <t>72f2759948a93c78f812a92a77452265161f4cfd70ee5245763632ae7c914583</t>
        </is>
      </c>
      <c r="P147" t="inlineStr">
        <is>
          <t>library/009_amilla-fushi/brochure/2026_Flyer-_-Dr.-Tridendra-1.pdf</t>
        </is>
      </c>
      <c r="R147" t="inlineStr">
        <is>
          <t>current</t>
        </is>
      </c>
      <c r="S147" t="inlineStr">
        <is>
          <t>N</t>
        </is>
      </c>
      <c r="T147" t="inlineStr">
        <is>
          <t>matched</t>
        </is>
      </c>
      <c r="U147" t="inlineStr">
        <is>
          <t>2026-10-04</t>
        </is>
      </c>
      <c r="V147" t="inlineStr"/>
    </row>
    <row r="148">
      <c r="A148" t="n">
        <v>9</v>
      </c>
      <c r="B148" t="inlineStr">
        <is>
          <t>Amilla Fushi</t>
        </is>
      </c>
      <c r="C148" t="inlineStr">
        <is>
          <t>brochure</t>
        </is>
      </c>
      <c r="D148" t="inlineStr">
        <is>
          <t>2026_Flyer-_-Dr.-Lim-2.pdf</t>
        </is>
      </c>
      <c r="E148" t="n">
        <v>2026</v>
      </c>
      <c r="H148" t="n">
        <v>1</v>
      </c>
      <c r="I148" t="n">
        <v>463</v>
      </c>
      <c r="J148" t="inlineStr">
        <is>
          <t>Y</t>
        </is>
      </c>
      <c r="K148" t="inlineStr">
        <is>
          <t>amilla.com</t>
        </is>
      </c>
      <c r="L148" t="inlineStr">
        <is>
          <t>official</t>
        </is>
      </c>
      <c r="M148" t="inlineStr">
        <is>
          <t>https://amilla.com/wp-content/uploads/Flyer-_-Dr.-Lim-2.pdf</t>
        </is>
      </c>
      <c r="N148" t="inlineStr">
        <is>
          <t>https://amilla.com/wp-content/uploads/Flyer-_-Dr.-Lim-2.pdf</t>
        </is>
      </c>
      <c r="O148" t="inlineStr">
        <is>
          <t>0d5927179e4e0e2830a080aec724e24f5954353cd5431bafb2e3734634c27b98</t>
        </is>
      </c>
      <c r="P148" t="inlineStr">
        <is>
          <t>library/009_amilla-fushi/brochure/2026_Flyer-_-Dr.-Lim-2.pdf</t>
        </is>
      </c>
      <c r="R148" t="inlineStr">
        <is>
          <t>current</t>
        </is>
      </c>
      <c r="S148" t="inlineStr">
        <is>
          <t>N</t>
        </is>
      </c>
      <c r="T148" t="inlineStr">
        <is>
          <t>matched</t>
        </is>
      </c>
      <c r="U148" t="inlineStr">
        <is>
          <t>2026-10-04</t>
        </is>
      </c>
      <c r="V148" t="inlineStr"/>
    </row>
    <row r="149">
      <c r="A149" t="n">
        <v>9</v>
      </c>
      <c r="B149" t="inlineStr">
        <is>
          <t>Amilla Fushi</t>
        </is>
      </c>
      <c r="C149" t="inlineStr">
        <is>
          <t>brochure</t>
        </is>
      </c>
      <c r="D149" t="inlineStr">
        <is>
          <t>2026_VP-Flyer_Nikki-new-2.pdf</t>
        </is>
      </c>
      <c r="E149" t="n">
        <v>2026</v>
      </c>
      <c r="H149" t="n">
        <v>1</v>
      </c>
      <c r="I149" t="n">
        <v>1877</v>
      </c>
      <c r="J149" t="inlineStr">
        <is>
          <t>Y</t>
        </is>
      </c>
      <c r="K149" t="inlineStr">
        <is>
          <t>amilla.com</t>
        </is>
      </c>
      <c r="L149" t="inlineStr">
        <is>
          <t>official</t>
        </is>
      </c>
      <c r="M149" t="inlineStr">
        <is>
          <t>https://amilla.com/wp-content/uploads/VP-Flyer_Nikki-new-2.pdf</t>
        </is>
      </c>
      <c r="N149" t="inlineStr">
        <is>
          <t>https://amilla.com/wp-content/uploads/VP-Flyer_Nikki-new-2.pdf</t>
        </is>
      </c>
      <c r="O149" t="inlineStr">
        <is>
          <t>ad6807b06105cd5ac420c693f40c613a33e3db6c65ecc347ee137fb345c4dcd3</t>
        </is>
      </c>
      <c r="P149" t="inlineStr">
        <is>
          <t>library/009_amilla-fushi/brochure/2026_VP-Flyer_Nikki-new-2.pdf</t>
        </is>
      </c>
      <c r="R149" t="inlineStr">
        <is>
          <t>current</t>
        </is>
      </c>
      <c r="S149" t="inlineStr">
        <is>
          <t>N</t>
        </is>
      </c>
      <c r="T149" t="inlineStr">
        <is>
          <t>matched</t>
        </is>
      </c>
      <c r="U149" t="inlineStr">
        <is>
          <t>2026-10-04</t>
        </is>
      </c>
      <c r="V149" t="inlineStr"/>
    </row>
    <row r="150">
      <c r="A150" t="n">
        <v>9</v>
      </c>
      <c r="B150" t="inlineStr">
        <is>
          <t>Amilla Fushi</t>
        </is>
      </c>
      <c r="C150" t="inlineStr">
        <is>
          <t>brochure</t>
        </is>
      </c>
      <c r="D150" t="inlineStr">
        <is>
          <t>2024_Football-Academy_Flyer.pdf</t>
        </is>
      </c>
      <c r="E150" t="n">
        <v>2024</v>
      </c>
      <c r="H150" t="n">
        <v>2</v>
      </c>
      <c r="I150" t="n">
        <v>444</v>
      </c>
      <c r="J150" t="inlineStr">
        <is>
          <t>Y</t>
        </is>
      </c>
      <c r="K150" t="inlineStr">
        <is>
          <t>amilla.com</t>
        </is>
      </c>
      <c r="L150" t="inlineStr">
        <is>
          <t>official</t>
        </is>
      </c>
      <c r="M150" t="inlineStr">
        <is>
          <t>https://amilla.com/wp-content/uploads/Football-Academy_Flyer.pdf</t>
        </is>
      </c>
      <c r="N150" t="inlineStr">
        <is>
          <t>https://amilla.com/wp-content/uploads/Football-Academy_Flyer.pdf</t>
        </is>
      </c>
      <c r="O150" t="inlineStr">
        <is>
          <t>9815ac7b889bfd62a3a31f896446bfe629b9b3c91a4424606f14288abe6e1c9a</t>
        </is>
      </c>
      <c r="P150" t="inlineStr">
        <is>
          <t>library/009_amilla-fushi/brochure/2024_Football-Academy_Flyer.pdf</t>
        </is>
      </c>
      <c r="R150" t="inlineStr">
        <is>
          <t>outdated</t>
        </is>
      </c>
      <c r="S150" t="inlineStr">
        <is>
          <t>N</t>
        </is>
      </c>
      <c r="T150" t="inlineStr">
        <is>
          <t>matched</t>
        </is>
      </c>
      <c r="U150" t="inlineStr">
        <is>
          <t>2026-10-04</t>
        </is>
      </c>
      <c r="V150" t="inlineStr"/>
    </row>
    <row r="151">
      <c r="A151" t="n">
        <v>9</v>
      </c>
      <c r="B151" t="inlineStr">
        <is>
          <t>Amilla Fushi</t>
        </is>
      </c>
      <c r="C151" t="inlineStr">
        <is>
          <t>brochure</t>
        </is>
      </c>
      <c r="D151" t="inlineStr">
        <is>
          <t>2024_Halloween-Flyer-Revised_LR.pdf</t>
        </is>
      </c>
      <c r="E151" t="n">
        <v>2024</v>
      </c>
      <c r="H151" t="n">
        <v>5</v>
      </c>
      <c r="I151" t="n">
        <v>1956</v>
      </c>
      <c r="J151" t="inlineStr">
        <is>
          <t>N</t>
        </is>
      </c>
      <c r="K151" t="inlineStr">
        <is>
          <t>amilla.com</t>
        </is>
      </c>
      <c r="L151" t="inlineStr">
        <is>
          <t>official</t>
        </is>
      </c>
      <c r="M151" t="inlineStr">
        <is>
          <t>https://amilla.com/wp-content/uploads/Halloween-Flyer-Revised_LR.pdf</t>
        </is>
      </c>
      <c r="N151" t="inlineStr">
        <is>
          <t>https://amilla.com/wp-content/uploads/Halloween-Flyer-Revised_LR.pdf</t>
        </is>
      </c>
      <c r="O151" t="inlineStr">
        <is>
          <t>2b1e3071adc6c11b62d094feebfb368efaa83f9797bb9d937095fcb372b53f1c</t>
        </is>
      </c>
      <c r="P151" t="inlineStr">
        <is>
          <t>library/009_amilla-fushi/brochure/2024_Halloween-Flyer-Revised_LR.pdf</t>
        </is>
      </c>
      <c r="R151" t="inlineStr">
        <is>
          <t>outdated</t>
        </is>
      </c>
      <c r="S151" t="inlineStr">
        <is>
          <t>N</t>
        </is>
      </c>
      <c r="T151" t="inlineStr">
        <is>
          <t>matched</t>
        </is>
      </c>
      <c r="U151" t="inlineStr">
        <is>
          <t>2026-10-04</t>
        </is>
      </c>
      <c r="V151" t="inlineStr"/>
    </row>
    <row r="152">
      <c r="A152" t="n">
        <v>9</v>
      </c>
      <c r="B152" t="inlineStr">
        <is>
          <t>Amilla Fushi</t>
        </is>
      </c>
      <c r="C152" t="inlineStr">
        <is>
          <t>other</t>
        </is>
      </c>
      <c r="D152" t="inlineStr">
        <is>
          <t>2025_The-Amilla-Estate.pdf</t>
        </is>
      </c>
      <c r="E152" t="n">
        <v>2025</v>
      </c>
      <c r="H152" t="n">
        <v>2</v>
      </c>
      <c r="I152" t="n">
        <v>6080</v>
      </c>
      <c r="J152" t="inlineStr">
        <is>
          <t>N</t>
        </is>
      </c>
      <c r="K152" t="inlineStr">
        <is>
          <t>amilla.com</t>
        </is>
      </c>
      <c r="L152" t="inlineStr">
        <is>
          <t>official</t>
        </is>
      </c>
      <c r="M152" t="inlineStr">
        <is>
          <t>https://amilla.com/wp-content/uploads/The-Amilla-Estate.pdf</t>
        </is>
      </c>
      <c r="N152" t="inlineStr">
        <is>
          <t>https://amilla.com/wp-content/uploads/The-Amilla-Estate.pdf</t>
        </is>
      </c>
      <c r="O152" t="inlineStr">
        <is>
          <t>91b912bbe0aff0ac5f7dcd3c1f24860bab0a10b04386d5f32d75bd55bae9d504</t>
        </is>
      </c>
      <c r="P152" t="inlineStr">
        <is>
          <t>library/009_amilla-fushi/other/2025_The-Amilla-Estate.pdf</t>
        </is>
      </c>
      <c r="R152" t="inlineStr">
        <is>
          <t>current</t>
        </is>
      </c>
      <c r="S152" t="inlineStr">
        <is>
          <t>Y</t>
        </is>
      </c>
      <c r="T152" t="inlineStr">
        <is>
          <t>matched</t>
        </is>
      </c>
      <c r="U152" t="inlineStr">
        <is>
          <t>2026-10-04</t>
        </is>
      </c>
      <c r="V152" t="inlineStr"/>
    </row>
    <row r="153">
      <c r="A153" t="n">
        <v>10</v>
      </c>
      <c r="B153" t="inlineStr">
        <is>
          <t>Dreamland - The Unique Sea &amp; Lake Resort/Spa</t>
        </is>
      </c>
      <c r="C153" t="inlineStr">
        <is>
          <t>factsheet</t>
        </is>
      </c>
      <c r="D153" t="inlineStr">
        <is>
          <t>2023_DreamLand-FactSheet-English-2023.pdf</t>
        </is>
      </c>
      <c r="E153" t="n">
        <v>2023</v>
      </c>
      <c r="H153" t="n">
        <v>2</v>
      </c>
      <c r="I153" t="n">
        <v>190</v>
      </c>
      <c r="J153" t="inlineStr">
        <is>
          <t>Y</t>
        </is>
      </c>
      <c r="K153" t="inlineStr">
        <is>
          <t>dreamland.com.mv</t>
        </is>
      </c>
      <c r="L153" t="inlineStr">
        <is>
          <t>official</t>
        </is>
      </c>
      <c r="M153" t="inlineStr">
        <is>
          <t>https://dreamland.com.mv/wp-content/uploads/2024/08/DreamLand-FactSheet-English-2023.pdf</t>
        </is>
      </c>
      <c r="N153" t="inlineStr">
        <is>
          <t>https://dreamland.com.mv/wp-content/uploads/2024/08/DreamLand-FactSheet-English-2023.pdf</t>
        </is>
      </c>
      <c r="O153" t="inlineStr">
        <is>
          <t>b7c9cceae616a3daae6c96f5aca1a3f83ec70b9667d828d8abecca0303a9db2b</t>
        </is>
      </c>
      <c r="P153" t="inlineStr">
        <is>
          <t>library/010_dreamland-the-unique-sea-lake-resort-spa/factsheet/2023_DreamLand-FactSheet-English-2023.pdf</t>
        </is>
      </c>
      <c r="R153" t="inlineStr">
        <is>
          <t>outdated</t>
        </is>
      </c>
      <c r="S153" t="inlineStr">
        <is>
          <t>N</t>
        </is>
      </c>
      <c r="T153" t="inlineStr">
        <is>
          <t>matched</t>
        </is>
      </c>
      <c r="U153" t="inlineStr">
        <is>
          <t>2026-10-04</t>
        </is>
      </c>
      <c r="V153" t="inlineStr"/>
    </row>
    <row r="154">
      <c r="A154" t="n">
        <v>10</v>
      </c>
      <c r="B154" t="inlineStr">
        <is>
          <t>Dreamland - The Unique Sea &amp; Lake Resort/Spa</t>
        </is>
      </c>
      <c r="C154" t="inlineStr">
        <is>
          <t>factsheet</t>
        </is>
      </c>
      <c r="D154" t="inlineStr">
        <is>
          <t>2023_DREAMLAND-GENERAL-INFORMATION-GERMAN-2023.pdf</t>
        </is>
      </c>
      <c r="E154" t="n">
        <v>2023</v>
      </c>
      <c r="H154" t="n">
        <v>4</v>
      </c>
      <c r="I154" t="n">
        <v>181</v>
      </c>
      <c r="J154" t="inlineStr">
        <is>
          <t>Y</t>
        </is>
      </c>
      <c r="K154" t="inlineStr">
        <is>
          <t>dreamland.com.mv</t>
        </is>
      </c>
      <c r="L154" t="inlineStr">
        <is>
          <t>official</t>
        </is>
      </c>
      <c r="M154" t="inlineStr">
        <is>
          <t>https://dreamland.com.mv/wp-content/uploads/2024/08/DREAMLAND-GENERAL-INFORMATION-GERMAN-2023.pdf</t>
        </is>
      </c>
      <c r="N154" t="inlineStr">
        <is>
          <t>https://dreamland.com.mv/wp-content/uploads/2024/08/DREAMLAND-GENERAL-INFORMATION-GERMAN-2023.pdf</t>
        </is>
      </c>
      <c r="O154" t="inlineStr">
        <is>
          <t>7fba6015395f655e20df36bbb24e9ef54f57467f7cbb5dddbe126494f3c28ea0</t>
        </is>
      </c>
      <c r="P154" t="inlineStr">
        <is>
          <t>library/010_dreamland-the-unique-sea-lake-resort-spa/factsheet/2023_DREAMLAND-GENERAL-INFORMATION-GERMAN-2023.pdf</t>
        </is>
      </c>
      <c r="R154" t="inlineStr">
        <is>
          <t>outdated</t>
        </is>
      </c>
      <c r="S154" t="inlineStr">
        <is>
          <t>Y</t>
        </is>
      </c>
      <c r="T154" t="inlineStr">
        <is>
          <t>matched</t>
        </is>
      </c>
      <c r="U154" t="inlineStr">
        <is>
          <t>2026-10-04</t>
        </is>
      </c>
      <c r="V154" t="inlineStr"/>
    </row>
    <row r="155">
      <c r="A155" t="n">
        <v>10</v>
      </c>
      <c r="B155" t="inlineStr">
        <is>
          <t>Dreamland - The Unique Sea &amp; Lake Resort/Spa</t>
        </is>
      </c>
      <c r="C155" t="inlineStr">
        <is>
          <t>factsheet</t>
        </is>
      </c>
      <c r="D155" t="inlineStr">
        <is>
          <t>2023_DREAMLAND-GENERAL-INFORMATION-ENGLISH-2023.pdf</t>
        </is>
      </c>
      <c r="E155" t="n">
        <v>2023</v>
      </c>
      <c r="H155" t="n">
        <v>3</v>
      </c>
      <c r="I155" t="n">
        <v>137</v>
      </c>
      <c r="J155" t="inlineStr">
        <is>
          <t>Y</t>
        </is>
      </c>
      <c r="K155" t="inlineStr">
        <is>
          <t>dreamland.com.mv</t>
        </is>
      </c>
      <c r="L155" t="inlineStr">
        <is>
          <t>official</t>
        </is>
      </c>
      <c r="M155" t="inlineStr">
        <is>
          <t>https://dreamland.com.mv/wp-content/uploads/2024/08/DREAMLAND-GENERAL-INFORMATION-ENGLISH-2023.pdf</t>
        </is>
      </c>
      <c r="N155" t="inlineStr">
        <is>
          <t>https://dreamland.com.mv/wp-content/uploads/2024/08/DREAMLAND-GENERAL-INFORMATION-ENGLISH-2023.pdf</t>
        </is>
      </c>
      <c r="O155" t="inlineStr">
        <is>
          <t>78a09624937797f1367e781352ee24c4c19b2844eccfc2b3023dcf292d4427c9</t>
        </is>
      </c>
      <c r="P155" t="inlineStr">
        <is>
          <t>library/010_dreamland-the-unique-sea-lake-resort-spa/factsheet/2023_DREAMLAND-GENERAL-INFORMATION-ENGLISH-2023.pdf</t>
        </is>
      </c>
      <c r="R155" t="inlineStr">
        <is>
          <t>outdated</t>
        </is>
      </c>
      <c r="S155" t="inlineStr">
        <is>
          <t>N</t>
        </is>
      </c>
      <c r="T155" t="inlineStr">
        <is>
          <t>matched</t>
        </is>
      </c>
      <c r="U155" t="inlineStr">
        <is>
          <t>2026-10-04</t>
        </is>
      </c>
      <c r="V155" t="inlineStr"/>
    </row>
    <row r="156">
      <c r="A156" t="n">
        <v>10</v>
      </c>
      <c r="B156" t="inlineStr">
        <is>
          <t>Dreamland - The Unique Sea &amp; Lake Resort/Spa</t>
        </is>
      </c>
      <c r="C156" t="inlineStr">
        <is>
          <t>factsheet</t>
        </is>
      </c>
      <c r="D156" t="inlineStr">
        <is>
          <t>2023_DREAMLAND-GENERAL-INFORMATION-CHINESE-2023.pdf</t>
        </is>
      </c>
      <c r="E156" t="n">
        <v>2023</v>
      </c>
      <c r="H156" t="n">
        <v>2</v>
      </c>
      <c r="I156" t="n">
        <v>225</v>
      </c>
      <c r="J156" t="inlineStr">
        <is>
          <t>Y</t>
        </is>
      </c>
      <c r="K156" t="inlineStr">
        <is>
          <t>dreamland.com.mv</t>
        </is>
      </c>
      <c r="L156" t="inlineStr">
        <is>
          <t>official</t>
        </is>
      </c>
      <c r="M156" t="inlineStr">
        <is>
          <t>https://dreamland.com.mv/wp-content/uploads/2024/08/DREAMLAND-GENERAL-INFORMATION-CHINESE-2023.pdf</t>
        </is>
      </c>
      <c r="N156" t="inlineStr">
        <is>
          <t>https://dreamland.com.mv/wp-content/uploads/2024/08/DREAMLAND-GENERAL-INFORMATION-CHINESE-2023.pdf</t>
        </is>
      </c>
      <c r="O156" t="inlineStr">
        <is>
          <t>7ed40fce906e7874cac568a12aaf8e1fb2ddf19f256621ecd4f784647b0bf313</t>
        </is>
      </c>
      <c r="P156" t="inlineStr">
        <is>
          <t>library/010_dreamland-the-unique-sea-lake-resort-spa/factsheet/2023_DREAMLAND-GENERAL-INFORMATION-CHINESE-2023.pdf</t>
        </is>
      </c>
      <c r="R156" t="inlineStr">
        <is>
          <t>outdated</t>
        </is>
      </c>
      <c r="S156" t="inlineStr">
        <is>
          <t>N</t>
        </is>
      </c>
      <c r="T156" t="inlineStr">
        <is>
          <t>matched</t>
        </is>
      </c>
      <c r="U156" t="inlineStr">
        <is>
          <t>2026-10-04</t>
        </is>
      </c>
      <c r="V156" t="inlineStr"/>
    </row>
    <row r="157">
      <c r="A157" t="n">
        <v>10</v>
      </c>
      <c r="B157" t="inlineStr">
        <is>
          <t>Dreamland - The Unique Sea &amp; Lake Resort/Spa</t>
        </is>
      </c>
      <c r="C157" t="inlineStr">
        <is>
          <t>wedding</t>
        </is>
      </c>
      <c r="D157" t="inlineStr">
        <is>
          <t>2023_DREAMLAND-VOW-CEREMONY-2023.pdf</t>
        </is>
      </c>
      <c r="E157" t="n">
        <v>2023</v>
      </c>
      <c r="H157" t="n">
        <v>2</v>
      </c>
      <c r="I157" t="n">
        <v>88</v>
      </c>
      <c r="J157" t="inlineStr">
        <is>
          <t>Y</t>
        </is>
      </c>
      <c r="K157" t="inlineStr">
        <is>
          <t>dreamland.com.mv</t>
        </is>
      </c>
      <c r="L157" t="inlineStr">
        <is>
          <t>official</t>
        </is>
      </c>
      <c r="M157" t="inlineStr">
        <is>
          <t>https://dreamland.com.mv/wp-content/uploads/2024/08/DREAMLAND-VOW-CEREMONY-2023.pdf</t>
        </is>
      </c>
      <c r="N157" t="inlineStr">
        <is>
          <t>https://dreamland.com.mv/wp-content/uploads/2024/08/DREAMLAND-VOW-CEREMONY-2023.pdf</t>
        </is>
      </c>
      <c r="O157" t="inlineStr">
        <is>
          <t>a8b3ce7d22fab85dd2fc10f01a11672809951ff9fc97f03c657b744e4e7e3783</t>
        </is>
      </c>
      <c r="P157" t="inlineStr">
        <is>
          <t>library/010_dreamland-the-unique-sea-lake-resort-spa/wedding/2023_DREAMLAND-VOW-CEREMONY-2023.pdf</t>
        </is>
      </c>
      <c r="R157" t="inlineStr">
        <is>
          <t>outdated</t>
        </is>
      </c>
      <c r="S157" t="inlineStr">
        <is>
          <t>Y</t>
        </is>
      </c>
      <c r="T157" t="inlineStr">
        <is>
          <t>matched</t>
        </is>
      </c>
      <c r="U157" t="inlineStr">
        <is>
          <t>2026-10-04</t>
        </is>
      </c>
      <c r="V157" t="inlineStr"/>
    </row>
    <row r="158">
      <c r="A158" t="n">
        <v>10</v>
      </c>
      <c r="B158" t="inlineStr">
        <is>
          <t>Dreamland - The Unique Sea &amp; Lake Resort/Spa</t>
        </is>
      </c>
      <c r="C158" t="inlineStr">
        <is>
          <t>map</t>
        </is>
      </c>
      <c r="D158" t="inlineStr">
        <is>
          <t>2023_DreamLand-Meal-Plan-Upgrade-2023.pdf</t>
        </is>
      </c>
      <c r="E158" t="n">
        <v>2023</v>
      </c>
      <c r="H158" t="n">
        <v>1</v>
      </c>
      <c r="I158" t="n">
        <v>105</v>
      </c>
      <c r="J158" t="inlineStr">
        <is>
          <t>Y</t>
        </is>
      </c>
      <c r="K158" t="inlineStr">
        <is>
          <t>dreamland.com.mv</t>
        </is>
      </c>
      <c r="L158" t="inlineStr">
        <is>
          <t>official</t>
        </is>
      </c>
      <c r="M158" t="inlineStr">
        <is>
          <t>https://dreamland.com.mv/wp-content/uploads/2024/08/DreamLand-Meal-Plan-Upgrade-2023.pdf</t>
        </is>
      </c>
      <c r="N158" t="inlineStr">
        <is>
          <t>https://dreamland.com.mv/wp-content/uploads/2024/08/DreamLand-Meal-Plan-Upgrade-2023.pdf</t>
        </is>
      </c>
      <c r="O158" t="inlineStr">
        <is>
          <t>3c861980a6a6351e9ab546400cee400d4af103d23296c04262a6f3fdd3cb9bbd</t>
        </is>
      </c>
      <c r="P158" t="inlineStr">
        <is>
          <t>library/010_dreamland-the-unique-sea-lake-resort-spa/map/2023_DreamLand-Meal-Plan-Upgrade-2023.pdf</t>
        </is>
      </c>
      <c r="R158" t="inlineStr">
        <is>
          <t>outdated</t>
        </is>
      </c>
      <c r="S158" t="inlineStr">
        <is>
          <t>Y</t>
        </is>
      </c>
      <c r="T158" t="inlineStr">
        <is>
          <t>matched</t>
        </is>
      </c>
      <c r="U158" t="inlineStr">
        <is>
          <t>2026-10-04</t>
        </is>
      </c>
      <c r="V158" t="inlineStr"/>
    </row>
    <row r="159">
      <c r="A159" t="n">
        <v>10</v>
      </c>
      <c r="B159" t="inlineStr">
        <is>
          <t>Dreamland - The Unique Sea &amp; Lake Resort/Spa</t>
        </is>
      </c>
      <c r="C159" t="inlineStr">
        <is>
          <t>map</t>
        </is>
      </c>
      <c r="D159" t="inlineStr">
        <is>
          <t>2018_SPLENDID_DREAMLAND_RESORT-MAP_EDITED.pdf</t>
        </is>
      </c>
      <c r="E159" t="n">
        <v>2018</v>
      </c>
      <c r="H159" t="n">
        <v>1</v>
      </c>
      <c r="I159" t="n">
        <v>22398</v>
      </c>
      <c r="J159" t="inlineStr">
        <is>
          <t>Y</t>
        </is>
      </c>
      <c r="K159" t="inlineStr">
        <is>
          <t>dreamland.com.mv</t>
        </is>
      </c>
      <c r="L159" t="inlineStr">
        <is>
          <t>official</t>
        </is>
      </c>
      <c r="M159" t="inlineStr">
        <is>
          <t>https://dreamland.com.mv/wp-content/uploads/2024/08/SPLENDID_DREAMLAND_RESORT-MAP_EDITED.pdf</t>
        </is>
      </c>
      <c r="N159" t="inlineStr">
        <is>
          <t>https://dreamland.com.mv/wp-content/uploads/2024/08/SPLENDID_DREAMLAND_RESORT-MAP_EDITED.pdf</t>
        </is>
      </c>
      <c r="O159" t="inlineStr">
        <is>
          <t>fcad8c12d2ff65684e7531a0ec997d120a8cf173f9c33778c9e4285537b78e1c</t>
        </is>
      </c>
      <c r="P159" t="inlineStr">
        <is>
          <t>library/010_dreamland-the-unique-sea-lake-resort-spa/map/2018_SPLENDID_DREAMLAND_RESORT-MAP_EDITED.pdf</t>
        </is>
      </c>
      <c r="R159" t="inlineStr">
        <is>
          <t>outdated</t>
        </is>
      </c>
      <c r="S159" t="inlineStr">
        <is>
          <t>N</t>
        </is>
      </c>
      <c r="T159" t="inlineStr">
        <is>
          <t>matched</t>
        </is>
      </c>
      <c r="U159" t="inlineStr">
        <is>
          <t>2026-10-04</t>
        </is>
      </c>
      <c r="V159" t="inlineStr"/>
    </row>
    <row r="160">
      <c r="A160" t="n">
        <v>10</v>
      </c>
      <c r="B160" t="inlineStr">
        <is>
          <t>Dreamland - The Unique Sea &amp; Lake Resort/Spa</t>
        </is>
      </c>
      <c r="C160" t="inlineStr">
        <is>
          <t>spa_menu</t>
        </is>
      </c>
      <c r="D160" t="inlineStr">
        <is>
          <t>2023_Duny-Spa-menu-chineese-2023.pdf</t>
        </is>
      </c>
      <c r="E160" t="n">
        <v>2023</v>
      </c>
      <c r="H160" t="n">
        <v>12</v>
      </c>
      <c r="I160" t="n">
        <v>586</v>
      </c>
      <c r="J160" t="inlineStr">
        <is>
          <t>Y</t>
        </is>
      </c>
      <c r="K160" t="inlineStr">
        <is>
          <t>dreamland.com.mv</t>
        </is>
      </c>
      <c r="L160" t="inlineStr">
        <is>
          <t>official</t>
        </is>
      </c>
      <c r="M160" t="inlineStr">
        <is>
          <t>https://dreamland.com.mv/wp-content/uploads/2024/08/Duny-Spa-menu-chineese-2023.pdf</t>
        </is>
      </c>
      <c r="N160" t="inlineStr">
        <is>
          <t>https://dreamland.com.mv/wp-content/uploads/2024/08/Duny-Spa-menu-chineese-2023.pdf | https://dreamland.com.mv/wp-content/uploads/2024/07/Duny-Spa-menu-chineese-2023.pdf</t>
        </is>
      </c>
      <c r="O160" t="inlineStr">
        <is>
          <t>8738c0005ca175eeb5b45338c291ae69d1d0e8967aef3654a5c50e453e6ebe21</t>
        </is>
      </c>
      <c r="P160" t="inlineStr">
        <is>
          <t>library/010_dreamland-the-unique-sea-lake-resort-spa/spa_menu/2023_Duny-Spa-menu-chineese-2023.pdf</t>
        </is>
      </c>
      <c r="R160" t="inlineStr">
        <is>
          <t>outdated</t>
        </is>
      </c>
      <c r="S160" t="inlineStr">
        <is>
          <t>Y</t>
        </is>
      </c>
      <c r="T160" t="inlineStr">
        <is>
          <t>matched</t>
        </is>
      </c>
      <c r="U160" t="inlineStr">
        <is>
          <t>2026-10-04</t>
        </is>
      </c>
      <c r="V160" t="inlineStr"/>
    </row>
    <row r="161">
      <c r="A161" t="n">
        <v>10</v>
      </c>
      <c r="B161" t="inlineStr">
        <is>
          <t>Dreamland - The Unique Sea &amp; Lake Resort/Spa</t>
        </is>
      </c>
      <c r="C161" t="inlineStr">
        <is>
          <t>dining_menu</t>
        </is>
      </c>
      <c r="D161" t="inlineStr">
        <is>
          <t>2023_DreamLand-Private-Lobster-Dinner-Menu-2023.pdf</t>
        </is>
      </c>
      <c r="E161" t="n">
        <v>2023</v>
      </c>
      <c r="H161" t="n">
        <v>1</v>
      </c>
      <c r="I161" t="n">
        <v>688</v>
      </c>
      <c r="J161" t="inlineStr">
        <is>
          <t>Y</t>
        </is>
      </c>
      <c r="K161" t="inlineStr">
        <is>
          <t>dreamland.com.mv</t>
        </is>
      </c>
      <c r="L161" t="inlineStr">
        <is>
          <t>official</t>
        </is>
      </c>
      <c r="M161" t="inlineStr">
        <is>
          <t>https://dreamland.com.mv/wp-content/uploads/2024/08/DreamLand-Private-Lobster-Dinner-Menu-2023.pdf</t>
        </is>
      </c>
      <c r="N161" t="inlineStr">
        <is>
          <t>https://dreamland.com.mv/wp-content/uploads/2024/08/DreamLand-Private-Lobster-Dinner-Menu-2023.pdf</t>
        </is>
      </c>
      <c r="O161" t="inlineStr">
        <is>
          <t>ec15d5c1b393fbc4982e86b46b714a7782992af227e58da44c01a6edac42631c</t>
        </is>
      </c>
      <c r="P161" t="inlineStr">
        <is>
          <t>library/010_dreamland-the-unique-sea-lake-resort-spa/dining_menu/2023_DreamLand-Private-Lobster-Dinner-Menu-2023.pdf</t>
        </is>
      </c>
      <c r="R161" t="inlineStr">
        <is>
          <t>outdated</t>
        </is>
      </c>
      <c r="S161" t="inlineStr">
        <is>
          <t>N</t>
        </is>
      </c>
      <c r="T161" t="inlineStr">
        <is>
          <t>matched</t>
        </is>
      </c>
      <c r="U161" t="inlineStr">
        <is>
          <t>2026-10-04</t>
        </is>
      </c>
      <c r="V161" t="inlineStr"/>
    </row>
    <row r="162">
      <c r="A162" t="n">
        <v>10</v>
      </c>
      <c r="B162" t="inlineStr">
        <is>
          <t>Dreamland - The Unique Sea &amp; Lake Resort/Spa</t>
        </is>
      </c>
      <c r="C162" t="inlineStr">
        <is>
          <t>dining_menu</t>
        </is>
      </c>
      <c r="D162" t="inlineStr">
        <is>
          <t>2023_DreamLand-Private-BBQ-Seafood-Menu-2023.pdf</t>
        </is>
      </c>
      <c r="E162" t="n">
        <v>2023</v>
      </c>
      <c r="H162" t="n">
        <v>1</v>
      </c>
      <c r="I162" t="n">
        <v>689</v>
      </c>
      <c r="J162" t="inlineStr">
        <is>
          <t>Y</t>
        </is>
      </c>
      <c r="K162" t="inlineStr">
        <is>
          <t>dreamland.com.mv</t>
        </is>
      </c>
      <c r="L162" t="inlineStr">
        <is>
          <t>official</t>
        </is>
      </c>
      <c r="M162" t="inlineStr">
        <is>
          <t>https://dreamland.com.mv/wp-content/uploads/2024/08/DreamLand-Private-BBQ-Seafood-Menu-2023.pdf</t>
        </is>
      </c>
      <c r="N162" t="inlineStr">
        <is>
          <t>https://dreamland.com.mv/wp-content/uploads/2024/08/DreamLand-Private-BBQ-Seafood-Menu-2023.pdf</t>
        </is>
      </c>
      <c r="O162" t="inlineStr">
        <is>
          <t>45870abcd0157d4b207e0e901f78c3a92c2b5f9ab721b81a836f994454950d1f</t>
        </is>
      </c>
      <c r="P162" t="inlineStr">
        <is>
          <t>library/010_dreamland-the-unique-sea-lake-resort-spa/dining_menu/2023_DreamLand-Private-BBQ-Seafood-Menu-2023.pdf</t>
        </is>
      </c>
      <c r="R162" t="inlineStr">
        <is>
          <t>outdated</t>
        </is>
      </c>
      <c r="S162" t="inlineStr">
        <is>
          <t>N</t>
        </is>
      </c>
      <c r="T162" t="inlineStr">
        <is>
          <t>matched</t>
        </is>
      </c>
      <c r="U162" t="inlineStr">
        <is>
          <t>2026-10-04</t>
        </is>
      </c>
      <c r="V162" t="inlineStr"/>
    </row>
    <row r="163">
      <c r="A163" t="n">
        <v>10</v>
      </c>
      <c r="B163" t="inlineStr">
        <is>
          <t>Dreamland - The Unique Sea &amp; Lake Resort/Spa</t>
        </is>
      </c>
      <c r="C163" t="inlineStr">
        <is>
          <t>dining_menu</t>
        </is>
      </c>
      <c r="D163" t="inlineStr">
        <is>
          <t>2023_DreamLand-Private-BBQ-Meat-Menu-2023.pdf</t>
        </is>
      </c>
      <c r="E163" t="n">
        <v>2023</v>
      </c>
      <c r="H163" t="n">
        <v>1</v>
      </c>
      <c r="I163" t="n">
        <v>594</v>
      </c>
      <c r="J163" t="inlineStr">
        <is>
          <t>Y</t>
        </is>
      </c>
      <c r="K163" t="inlineStr">
        <is>
          <t>dreamland.com.mv</t>
        </is>
      </c>
      <c r="L163" t="inlineStr">
        <is>
          <t>official</t>
        </is>
      </c>
      <c r="M163" t="inlineStr">
        <is>
          <t>https://dreamland.com.mv/wp-content/uploads/2024/08/DreamLand-Private-BBQ-Meat-Menu-2023.pdf</t>
        </is>
      </c>
      <c r="N163" t="inlineStr">
        <is>
          <t>https://dreamland.com.mv/wp-content/uploads/2024/08/DreamLand-Private-BBQ-Meat-Menu-2023.pdf</t>
        </is>
      </c>
      <c r="O163" t="inlineStr">
        <is>
          <t>7a11afee2a1dee4fa82ef4cb9d7a0f9190a925d4d8ee082fe4566817c8ac7662</t>
        </is>
      </c>
      <c r="P163" t="inlineStr">
        <is>
          <t>library/010_dreamland-the-unique-sea-lake-resort-spa/dining_menu/2023_DreamLand-Private-BBQ-Meat-Menu-2023.pdf</t>
        </is>
      </c>
      <c r="R163" t="inlineStr">
        <is>
          <t>outdated</t>
        </is>
      </c>
      <c r="S163" t="inlineStr">
        <is>
          <t>N</t>
        </is>
      </c>
      <c r="T163" t="inlineStr">
        <is>
          <t>matched</t>
        </is>
      </c>
      <c r="U163" t="inlineStr">
        <is>
          <t>2026-10-04</t>
        </is>
      </c>
      <c r="V163" t="inlineStr"/>
    </row>
    <row r="164">
      <c r="A164" t="n">
        <v>10</v>
      </c>
      <c r="B164" t="inlineStr">
        <is>
          <t>Dreamland - The Unique Sea &amp; Lake Resort/Spa</t>
        </is>
      </c>
      <c r="C164" t="inlineStr">
        <is>
          <t>dining_menu</t>
        </is>
      </c>
      <c r="D164" t="inlineStr">
        <is>
          <t>2023_DreamLand-HoneyMoon-Dinner-with-Fish-Starter-1-2023.pdf</t>
        </is>
      </c>
      <c r="E164" t="n">
        <v>2023</v>
      </c>
      <c r="H164" t="n">
        <v>1</v>
      </c>
      <c r="I164" t="n">
        <v>171</v>
      </c>
      <c r="J164" t="inlineStr">
        <is>
          <t>Y</t>
        </is>
      </c>
      <c r="K164" t="inlineStr">
        <is>
          <t>dreamland.com.mv</t>
        </is>
      </c>
      <c r="L164" t="inlineStr">
        <is>
          <t>official</t>
        </is>
      </c>
      <c r="M164" t="inlineStr">
        <is>
          <t>https://dreamland.com.mv/wp-content/uploads/2024/08/DreamLand-HoneyMoon-Dinner-with-Fish-Starter-1-2023.pdf</t>
        </is>
      </c>
      <c r="N164" t="inlineStr">
        <is>
          <t>https://dreamland.com.mv/wp-content/uploads/2024/08/DreamLand-HoneyMoon-Dinner-with-Fish-Starter-1-2023.pdf</t>
        </is>
      </c>
      <c r="O164" t="inlineStr">
        <is>
          <t>1df23c1bf8fb998fb579a1e865397d7d75952cbbbed475129666104e9c2f3c44</t>
        </is>
      </c>
      <c r="P164" t="inlineStr">
        <is>
          <t>library/010_dreamland-the-unique-sea-lake-resort-spa/dining_menu/2023_DreamLand-HoneyMoon-Dinner-with-Fish-Starter-1-2023.pdf</t>
        </is>
      </c>
      <c r="R164" t="inlineStr">
        <is>
          <t>outdated</t>
        </is>
      </c>
      <c r="S164" t="inlineStr">
        <is>
          <t>N</t>
        </is>
      </c>
      <c r="T164" t="inlineStr">
        <is>
          <t>matched</t>
        </is>
      </c>
      <c r="U164" t="inlineStr">
        <is>
          <t>2026-10-04</t>
        </is>
      </c>
      <c r="V164" t="inlineStr"/>
    </row>
    <row r="165">
      <c r="A165" t="n">
        <v>10</v>
      </c>
      <c r="B165" t="inlineStr">
        <is>
          <t>Dreamland - The Unique Sea &amp; Lake Resort/Spa</t>
        </is>
      </c>
      <c r="C165" t="inlineStr">
        <is>
          <t>dining_menu</t>
        </is>
      </c>
      <c r="D165" t="inlineStr">
        <is>
          <t>2023_DreamLand-Eat-Enjoy-Menu-2023.pdf</t>
        </is>
      </c>
      <c r="E165" t="n">
        <v>2023</v>
      </c>
      <c r="H165" t="n">
        <v>13</v>
      </c>
      <c r="I165" t="n">
        <v>1722</v>
      </c>
      <c r="J165" t="inlineStr">
        <is>
          <t>Y</t>
        </is>
      </c>
      <c r="K165" t="inlineStr">
        <is>
          <t>dreamland.com.mv</t>
        </is>
      </c>
      <c r="L165" t="inlineStr">
        <is>
          <t>official</t>
        </is>
      </c>
      <c r="M165" t="inlineStr">
        <is>
          <t>https://dreamland.com.mv/wp-content/uploads/2024/08/DreamLand-Eat-Enjoy-Menu-2023.pdf</t>
        </is>
      </c>
      <c r="N165" t="inlineStr">
        <is>
          <t>https://dreamland.com.mv/wp-content/uploads/2024/08/DreamLand-Eat-Enjoy-Menu-2023.pdf | https://dreamland.com.mv/wp-content/uploads/2023/08/DreamLand-Eat-Enjoy-Menu-2023.pdf</t>
        </is>
      </c>
      <c r="O165" t="inlineStr">
        <is>
          <t>cedf8383c8b19e49c17219565aee7a24d2f9d87dc51a879f3720cf328fc6e4fe</t>
        </is>
      </c>
      <c r="P165" t="inlineStr">
        <is>
          <t>library/010_dreamland-the-unique-sea-lake-resort-spa/dining_menu/2023_DreamLand-Eat-Enjoy-Menu-2023.pdf</t>
        </is>
      </c>
      <c r="R165" t="inlineStr">
        <is>
          <t>outdated</t>
        </is>
      </c>
      <c r="S165" t="inlineStr">
        <is>
          <t>N</t>
        </is>
      </c>
      <c r="T165" t="inlineStr">
        <is>
          <t>matched</t>
        </is>
      </c>
      <c r="U165" t="inlineStr">
        <is>
          <t>2026-10-04</t>
        </is>
      </c>
      <c r="V165" t="inlineStr"/>
    </row>
    <row r="166">
      <c r="A166" t="n">
        <v>10</v>
      </c>
      <c r="B166" t="inlineStr">
        <is>
          <t>Dreamland - The Unique Sea &amp; Lake Resort/Spa</t>
        </is>
      </c>
      <c r="C166" t="inlineStr">
        <is>
          <t>dining_menu</t>
        </is>
      </c>
      <c r="D166" t="inlineStr">
        <is>
          <t>2023_DreamLand-Beverage-Menu-2023.pdf</t>
        </is>
      </c>
      <c r="E166" t="n">
        <v>2023</v>
      </c>
      <c r="H166" t="n">
        <v>14</v>
      </c>
      <c r="I166" t="n">
        <v>2021</v>
      </c>
      <c r="J166" t="inlineStr">
        <is>
          <t>Y</t>
        </is>
      </c>
      <c r="K166" t="inlineStr">
        <is>
          <t>dreamland.com.mv</t>
        </is>
      </c>
      <c r="L166" t="inlineStr">
        <is>
          <t>official</t>
        </is>
      </c>
      <c r="M166" t="inlineStr">
        <is>
          <t>https://dreamland.com.mv/wp-content/uploads/2024/08/DreamLand-Beverage-Menu-2023.pdf</t>
        </is>
      </c>
      <c r="N166" t="inlineStr">
        <is>
          <t>https://dreamland.com.mv/wp-content/uploads/2024/08/DreamLand-Beverage-Menu-2023.pdf | https://dreamland.com.mv/wp-content/uploads/2023/08/DreamLand-Beverage-Menu-2023.pdf</t>
        </is>
      </c>
      <c r="O166" t="inlineStr">
        <is>
          <t>447c8384ed85cb6e25d0892e225d4ea265dd4c6f81592c66e73fad99c40db39e</t>
        </is>
      </c>
      <c r="P166" t="inlineStr">
        <is>
          <t>library/010_dreamland-the-unique-sea-lake-resort-spa/dining_menu/2023_DreamLand-Beverage-Menu-2023.pdf</t>
        </is>
      </c>
      <c r="R166" t="inlineStr">
        <is>
          <t>outdated</t>
        </is>
      </c>
      <c r="S166" t="inlineStr">
        <is>
          <t>Y</t>
        </is>
      </c>
      <c r="T166" t="inlineStr">
        <is>
          <t>matched</t>
        </is>
      </c>
      <c r="U166" t="inlineStr">
        <is>
          <t>2026-10-04</t>
        </is>
      </c>
      <c r="V166" t="inlineStr"/>
    </row>
    <row r="167">
      <c r="A167" t="n">
        <v>10</v>
      </c>
      <c r="B167" t="inlineStr">
        <is>
          <t>Dreamland - The Unique Sea &amp; Lake Resort/Spa</t>
        </is>
      </c>
      <c r="C167" t="inlineStr">
        <is>
          <t>dining_menu</t>
        </is>
      </c>
      <c r="D167" t="inlineStr">
        <is>
          <t>2023_DreamLand-WINE-MENU-2023.pdf</t>
        </is>
      </c>
      <c r="E167" t="n">
        <v>2023</v>
      </c>
      <c r="H167" t="n">
        <v>9</v>
      </c>
      <c r="I167" t="n">
        <v>3318</v>
      </c>
      <c r="J167" t="inlineStr">
        <is>
          <t>N</t>
        </is>
      </c>
      <c r="K167" t="inlineStr">
        <is>
          <t>dreamland.com.mv</t>
        </is>
      </c>
      <c r="L167" t="inlineStr">
        <is>
          <t>official</t>
        </is>
      </c>
      <c r="M167" t="inlineStr">
        <is>
          <t>https://dreamland.com.mv/wp-content/uploads/2024/08/DreamLand-WINE-MENU-2023.pdf</t>
        </is>
      </c>
      <c r="N167" t="inlineStr">
        <is>
          <t>https://dreamland.com.mv/wp-content/uploads/2024/08/DreamLand-WINE-MENU-2023.pdf | https://dreamland.com.mv/wp-content/uploads/2023/08/DreamLand-WINE-MENU-2023.pdf</t>
        </is>
      </c>
      <c r="O167" t="inlineStr">
        <is>
          <t>59b6dc17932894ce2c5681b46ba5adf59623982a4155360f530b11f12d1e3f8c</t>
        </is>
      </c>
      <c r="P167" t="inlineStr">
        <is>
          <t>library/010_dreamland-the-unique-sea-lake-resort-spa/dining_menu/2023_DreamLand-WINE-MENU-2023.pdf</t>
        </is>
      </c>
      <c r="R167" t="inlineStr">
        <is>
          <t>outdated</t>
        </is>
      </c>
      <c r="S167" t="inlineStr">
        <is>
          <t>N</t>
        </is>
      </c>
      <c r="T167" t="inlineStr">
        <is>
          <t>matched</t>
        </is>
      </c>
      <c r="U167" t="inlineStr">
        <is>
          <t>2026-10-04</t>
        </is>
      </c>
      <c r="V167" t="inlineStr"/>
    </row>
    <row r="168">
      <c r="A168" t="n">
        <v>10</v>
      </c>
      <c r="B168" t="inlineStr">
        <is>
          <t>Dreamland - The Unique Sea &amp; Lake Resort/Spa</t>
        </is>
      </c>
      <c r="C168" t="inlineStr">
        <is>
          <t>dining_menu</t>
        </is>
      </c>
      <c r="D168" t="inlineStr">
        <is>
          <t>2023_DreamLand-AI-MENU-2023.pdf</t>
        </is>
      </c>
      <c r="E168" t="n">
        <v>2023</v>
      </c>
      <c r="H168" t="n">
        <v>6</v>
      </c>
      <c r="I168" t="n">
        <v>1128</v>
      </c>
      <c r="J168" t="inlineStr">
        <is>
          <t>Y</t>
        </is>
      </c>
      <c r="K168" t="inlineStr">
        <is>
          <t>dreamland.com.mv</t>
        </is>
      </c>
      <c r="L168" t="inlineStr">
        <is>
          <t>official</t>
        </is>
      </c>
      <c r="M168" t="inlineStr">
        <is>
          <t>https://dreamland.com.mv/wp-content/uploads/2024/08/DreamLand-AI-MENU-2023.pdf</t>
        </is>
      </c>
      <c r="N168" t="inlineStr">
        <is>
          <t>https://dreamland.com.mv/wp-content/uploads/2024/08/DreamLand-AI-MENU-2023.pdf | https://dreamland.com.mv/wp-content/uploads/2023/08/DreamLand-AI-MENU-2023.pdf</t>
        </is>
      </c>
      <c r="O168" t="inlineStr">
        <is>
          <t>1d667c60be4113afe2eaeaca1d8eba7518e2fcc24af5616452eeb4d4b51c2e86</t>
        </is>
      </c>
      <c r="P168" t="inlineStr">
        <is>
          <t>library/010_dreamland-the-unique-sea-lake-resort-spa/dining_menu/2023_DreamLand-AI-MENU-2023.pdf</t>
        </is>
      </c>
      <c r="R168" t="inlineStr">
        <is>
          <t>outdated</t>
        </is>
      </c>
      <c r="S168" t="inlineStr">
        <is>
          <t>N</t>
        </is>
      </c>
      <c r="T168" t="inlineStr">
        <is>
          <t>matched</t>
        </is>
      </c>
      <c r="U168" t="inlineStr">
        <is>
          <t>2026-10-04</t>
        </is>
      </c>
      <c r="V168" t="inlineStr"/>
    </row>
    <row r="169">
      <c r="A169" t="n">
        <v>10</v>
      </c>
      <c r="B169" t="inlineStr">
        <is>
          <t>Dreamland - The Unique Sea &amp; Lake Resort/Spa</t>
        </is>
      </c>
      <c r="C169" t="inlineStr">
        <is>
          <t>dive_prices</t>
        </is>
      </c>
      <c r="D169" t="inlineStr">
        <is>
          <t>2023_DC-Pricelist-2023-Dreamland.pdf</t>
        </is>
      </c>
      <c r="E169" t="n">
        <v>2023</v>
      </c>
      <c r="H169" t="n">
        <v>2</v>
      </c>
      <c r="I169" t="n">
        <v>53</v>
      </c>
      <c r="J169" t="inlineStr">
        <is>
          <t>Y</t>
        </is>
      </c>
      <c r="K169" t="inlineStr">
        <is>
          <t>dreamland.com.mv</t>
        </is>
      </c>
      <c r="L169" t="inlineStr">
        <is>
          <t>official</t>
        </is>
      </c>
      <c r="M169" t="inlineStr">
        <is>
          <t>https://dreamland.com.mv/wp-content/uploads/2023/08/DC-Pricelist-2023-Dreamland.pdf</t>
        </is>
      </c>
      <c r="N169" t="inlineStr">
        <is>
          <t>https://dreamland.com.mv/wp-content/uploads/2023/08/DC-Pricelist-2023-Dreamland.pdf</t>
        </is>
      </c>
      <c r="O169" t="inlineStr">
        <is>
          <t>e7eb5d68862a66750eadcd2e58dac934ec3d942f5de2894fbe1a96ff0d2eea0d</t>
        </is>
      </c>
      <c r="P169" t="inlineStr">
        <is>
          <t>library/010_dreamland-the-unique-sea-lake-resort-spa/dive_prices/2023_DC-Pricelist-2023-Dreamland.pdf</t>
        </is>
      </c>
      <c r="R169" t="inlineStr">
        <is>
          <t>outdated</t>
        </is>
      </c>
      <c r="S169" t="inlineStr">
        <is>
          <t>Y</t>
        </is>
      </c>
      <c r="T169" t="inlineStr">
        <is>
          <t>matched</t>
        </is>
      </c>
      <c r="U169" t="inlineStr">
        <is>
          <t>2026-10-04</t>
        </is>
      </c>
      <c r="V169" t="inlineStr"/>
    </row>
    <row r="170">
      <c r="A170" t="n">
        <v>10</v>
      </c>
      <c r="B170" t="inlineStr">
        <is>
          <t>Dreamland - The Unique Sea &amp; Lake Resort/Spa</t>
        </is>
      </c>
      <c r="C170" t="inlineStr">
        <is>
          <t>excursions</t>
        </is>
      </c>
      <c r="D170" t="inlineStr">
        <is>
          <t>2023_DREAMLAND-Private-Excursion-Trips-2023.pdf</t>
        </is>
      </c>
      <c r="E170" t="n">
        <v>2023</v>
      </c>
      <c r="H170" t="n">
        <v>1</v>
      </c>
      <c r="I170" t="n">
        <v>143</v>
      </c>
      <c r="J170" t="inlineStr">
        <is>
          <t>Y</t>
        </is>
      </c>
      <c r="K170" t="inlineStr">
        <is>
          <t>dreamland.com.mv</t>
        </is>
      </c>
      <c r="L170" t="inlineStr">
        <is>
          <t>official</t>
        </is>
      </c>
      <c r="M170" t="inlineStr">
        <is>
          <t>https://dreamland.com.mv/wp-content/uploads/2024/08/DREAMLAND-Private-Excursion-Trips-2023.pdf</t>
        </is>
      </c>
      <c r="N170" t="inlineStr">
        <is>
          <t>https://dreamland.com.mv/wp-content/uploads/2024/08/DREAMLAND-Private-Excursion-Trips-2023.pdf | https://dreamland.com.mv/wp-content/uploads/2024/07/DREAMLAND-Private-Excursion-Trips-2023.pdf</t>
        </is>
      </c>
      <c r="O170" t="inlineStr">
        <is>
          <t>603c856fa3f372af025b4a7220d343deeaf2466d2ab1529f3201ff4f3f97c63e</t>
        </is>
      </c>
      <c r="P170" t="inlineStr">
        <is>
          <t>library/010_dreamland-the-unique-sea-lake-resort-spa/excursions/2023_DREAMLAND-Private-Excursion-Trips-2023.pdf</t>
        </is>
      </c>
      <c r="R170" t="inlineStr">
        <is>
          <t>outdated</t>
        </is>
      </c>
      <c r="S170" t="inlineStr">
        <is>
          <t>N</t>
        </is>
      </c>
      <c r="T170" t="inlineStr">
        <is>
          <t>matched</t>
        </is>
      </c>
      <c r="U170" t="inlineStr">
        <is>
          <t>2026-10-04</t>
        </is>
      </c>
      <c r="V170" t="inlineStr"/>
    </row>
    <row r="171">
      <c r="A171" t="n">
        <v>10</v>
      </c>
      <c r="B171" t="inlineStr">
        <is>
          <t>Dreamland - The Unique Sea &amp; Lake Resort/Spa</t>
        </is>
      </c>
      <c r="C171" t="inlineStr">
        <is>
          <t>excursions</t>
        </is>
      </c>
      <c r="D171" t="inlineStr">
        <is>
          <t>2023_DREAMLAND-Excursion-updated-2023.pdf</t>
        </is>
      </c>
      <c r="E171" t="n">
        <v>2023</v>
      </c>
      <c r="H171" t="n">
        <v>3</v>
      </c>
      <c r="I171" t="n">
        <v>202</v>
      </c>
      <c r="J171" t="inlineStr">
        <is>
          <t>Y</t>
        </is>
      </c>
      <c r="K171" t="inlineStr">
        <is>
          <t>dreamland.com.mv</t>
        </is>
      </c>
      <c r="L171" t="inlineStr">
        <is>
          <t>official</t>
        </is>
      </c>
      <c r="M171" t="inlineStr">
        <is>
          <t>https://dreamland.com.mv/wp-content/uploads/2024/08/DREAMLAND-Excursion-updated-2023.pdf</t>
        </is>
      </c>
      <c r="N171" t="inlineStr">
        <is>
          <t>https://dreamland.com.mv/wp-content/uploads/2024/08/DREAMLAND-Excursion-updated-2023.pdf | https://dreamland.com.mv/wp-content/uploads/2024/07/DREAMLAND-Excursion-updated-2023.pdf</t>
        </is>
      </c>
      <c r="O171" t="inlineStr">
        <is>
          <t>869ff951cedb0725aa60443b8d74377bb6a9424365b262018a5946c2bc15f6bc</t>
        </is>
      </c>
      <c r="P171" t="inlineStr">
        <is>
          <t>library/010_dreamland-the-unique-sea-lake-resort-spa/excursions/2023_DREAMLAND-Excursion-updated-2023.pdf</t>
        </is>
      </c>
      <c r="R171" t="inlineStr">
        <is>
          <t>outdated</t>
        </is>
      </c>
      <c r="S171" t="inlineStr">
        <is>
          <t>Y</t>
        </is>
      </c>
      <c r="T171" t="inlineStr">
        <is>
          <t>matched</t>
        </is>
      </c>
      <c r="U171" t="inlineStr">
        <is>
          <t>2026-10-04</t>
        </is>
      </c>
      <c r="V171" t="inlineStr"/>
    </row>
    <row r="172">
      <c r="A172" t="n">
        <v>10</v>
      </c>
      <c r="B172" t="inlineStr">
        <is>
          <t>Dreamland - The Unique Sea &amp; Lake Resort/Spa</t>
        </is>
      </c>
      <c r="C172" t="inlineStr">
        <is>
          <t>all_inclusive</t>
        </is>
      </c>
      <c r="D172" t="inlineStr">
        <is>
          <t>2023_DreamLand-All-Inclusive-Package-German-2023.pdf</t>
        </is>
      </c>
      <c r="E172" t="n">
        <v>2023</v>
      </c>
      <c r="H172" t="n">
        <v>1</v>
      </c>
      <c r="I172" t="n">
        <v>126</v>
      </c>
      <c r="J172" t="inlineStr">
        <is>
          <t>Y</t>
        </is>
      </c>
      <c r="K172" t="inlineStr">
        <is>
          <t>dreamland.com.mv</t>
        </is>
      </c>
      <c r="L172" t="inlineStr">
        <is>
          <t>official</t>
        </is>
      </c>
      <c r="M172" t="inlineStr">
        <is>
          <t>https://dreamland.com.mv/wp-content/uploads/2024/08/DreamLand-All-Inclusive-Package-German-2023.pdf</t>
        </is>
      </c>
      <c r="N172" t="inlineStr">
        <is>
          <t>https://dreamland.com.mv/wp-content/uploads/2024/08/DreamLand-All-Inclusive-Package-German-2023.pdf | https://dreamland.com.mv/wp-content/uploads/2023/08/DreamLand-All-Inclusive-Package-German-2023.pdf</t>
        </is>
      </c>
      <c r="O172" t="inlineStr">
        <is>
          <t>81db9cd4e76b49d00182a3e11b20c77a0b5315bf1ac1407f550c3ebe1af36e27</t>
        </is>
      </c>
      <c r="P172" t="inlineStr">
        <is>
          <t>library/010_dreamland-the-unique-sea-lake-resort-spa/all_inclusive/2023_DreamLand-All-Inclusive-Package-German-2023.pdf</t>
        </is>
      </c>
      <c r="R172" t="inlineStr">
        <is>
          <t>outdated</t>
        </is>
      </c>
      <c r="S172" t="inlineStr">
        <is>
          <t>Y</t>
        </is>
      </c>
      <c r="T172" t="inlineStr">
        <is>
          <t>matched</t>
        </is>
      </c>
      <c r="U172" t="inlineStr">
        <is>
          <t>2026-10-04</t>
        </is>
      </c>
      <c r="V172" t="inlineStr"/>
    </row>
    <row r="173">
      <c r="A173" t="n">
        <v>10</v>
      </c>
      <c r="B173" t="inlineStr">
        <is>
          <t>Dreamland - The Unique Sea &amp; Lake Resort/Spa</t>
        </is>
      </c>
      <c r="C173" t="inlineStr">
        <is>
          <t>all_inclusive</t>
        </is>
      </c>
      <c r="D173" t="inlineStr">
        <is>
          <t>2023_DreamLand-All-Inclusive-Package-English-2023.pdf</t>
        </is>
      </c>
      <c r="E173" t="n">
        <v>2023</v>
      </c>
      <c r="H173" t="n">
        <v>1</v>
      </c>
      <c r="I173" t="n">
        <v>120</v>
      </c>
      <c r="J173" t="inlineStr">
        <is>
          <t>Y</t>
        </is>
      </c>
      <c r="K173" t="inlineStr">
        <is>
          <t>dreamland.com.mv</t>
        </is>
      </c>
      <c r="L173" t="inlineStr">
        <is>
          <t>official</t>
        </is>
      </c>
      <c r="M173" t="inlineStr">
        <is>
          <t>https://dreamland.com.mv/wp-content/uploads/2024/08/DreamLand-All-Inclusive-Package-English-2023.pdf</t>
        </is>
      </c>
      <c r="N173" t="inlineStr">
        <is>
          <t>https://dreamland.com.mv/wp-content/uploads/2024/08/DreamLand-All-Inclusive-Package-English-2023.pdf | https://dreamland.com.mv/wp-content/uploads/2023/08/DreamLand-All-Inclusive-Package-English-2023.pdf</t>
        </is>
      </c>
      <c r="O173" t="inlineStr">
        <is>
          <t>5caa5e503d79fb1bb37e54c7064dfa6a8cb5d4ec1ec223338f773a292c357d3f</t>
        </is>
      </c>
      <c r="P173" t="inlineStr">
        <is>
          <t>library/010_dreamland-the-unique-sea-lake-resort-spa/all_inclusive/2023_DreamLand-All-Inclusive-Package-English-2023.pdf</t>
        </is>
      </c>
      <c r="R173" t="inlineStr">
        <is>
          <t>outdated</t>
        </is>
      </c>
      <c r="S173" t="inlineStr">
        <is>
          <t>N</t>
        </is>
      </c>
      <c r="T173" t="inlineStr">
        <is>
          <t>matched</t>
        </is>
      </c>
      <c r="U173" t="inlineStr">
        <is>
          <t>2026-10-04</t>
        </is>
      </c>
      <c r="V173" t="inlineStr"/>
    </row>
    <row r="174">
      <c r="A174" t="n">
        <v>11</v>
      </c>
      <c r="B174" t="inlineStr">
        <is>
          <t>Angaga Island Resort and Spa</t>
        </is>
      </c>
      <c r="C174" t="inlineStr">
        <is>
          <t>factsheet</t>
        </is>
      </c>
      <c r="D174" t="inlineStr">
        <is>
          <t>2018_GENERAL-INFORMATION.pdf</t>
        </is>
      </c>
      <c r="E174" t="n">
        <v>2018</v>
      </c>
      <c r="H174" t="n">
        <v>2</v>
      </c>
      <c r="I174" t="n">
        <v>65</v>
      </c>
      <c r="J174" t="inlineStr">
        <is>
          <t>Y</t>
        </is>
      </c>
      <c r="K174" t="inlineStr">
        <is>
          <t>angaga.com.mv</t>
        </is>
      </c>
      <c r="L174" t="inlineStr">
        <is>
          <t>official</t>
        </is>
      </c>
      <c r="M174" t="inlineStr">
        <is>
          <t>https://www.angaga.com.mv/wp-content/uploads/2018/12/GENERAL-INFORMATION.pdf</t>
        </is>
      </c>
      <c r="N174" t="inlineStr">
        <is>
          <t>https://www.angaga.com.mv/wp-content/uploads/2018/12/GENERAL-INFORMATION.pdf | https://angaga.com.mv/wp-content/uploads/2018/12/GENERAL-INFORMATION.pdf</t>
        </is>
      </c>
      <c r="O174" t="inlineStr">
        <is>
          <t>d7feaeeccc36beb073fbec5383c3d669d15b6ea5b22e52e6b72b1818d4c71beb</t>
        </is>
      </c>
      <c r="P174" t="inlineStr">
        <is>
          <t>library/011_angaga-island-resort-and-spa/factsheet/2018_GENERAL-INFORMATION.pdf</t>
        </is>
      </c>
      <c r="R174" t="inlineStr">
        <is>
          <t>outdated</t>
        </is>
      </c>
      <c r="S174" t="inlineStr">
        <is>
          <t>Y</t>
        </is>
      </c>
      <c r="T174" t="inlineStr">
        <is>
          <t>matched</t>
        </is>
      </c>
      <c r="U174" t="inlineStr">
        <is>
          <t>2026-10-04</t>
        </is>
      </c>
      <c r="V174" t="inlineStr"/>
    </row>
    <row r="175">
      <c r="A175" t="n">
        <v>11</v>
      </c>
      <c r="B175" t="inlineStr">
        <is>
          <t>Angaga Island Resort and Spa</t>
        </is>
      </c>
      <c r="C175" t="inlineStr">
        <is>
          <t>wedding</t>
        </is>
      </c>
      <c r="D175" t="inlineStr">
        <is>
          <t>2018_Angaga-Wedding-Package.pdf</t>
        </is>
      </c>
      <c r="E175" t="n">
        <v>2018</v>
      </c>
      <c r="H175" t="n">
        <v>2</v>
      </c>
      <c r="I175" t="n">
        <v>114</v>
      </c>
      <c r="J175" t="inlineStr">
        <is>
          <t>Y</t>
        </is>
      </c>
      <c r="K175" t="inlineStr">
        <is>
          <t>angaga.com.mv</t>
        </is>
      </c>
      <c r="L175" t="inlineStr">
        <is>
          <t>official</t>
        </is>
      </c>
      <c r="M175" t="inlineStr">
        <is>
          <t>https://www.angaga.com.mv/wp-content/uploads/2018/12/Angaga-Wedding-Package.pdf</t>
        </is>
      </c>
      <c r="N175" t="inlineStr">
        <is>
          <t>https://www.angaga.com.mv/wp-content/uploads/2018/12/Angaga-Wedding-Package.pdf | https://angaga.com.mv/wp-content/uploads/2018/12/Angaga-Wedding-Package.pdf</t>
        </is>
      </c>
      <c r="O175" t="inlineStr">
        <is>
          <t>46e0903144b38aeccfb3031e88a2a2426610a66bf0236a8998f07f1203d74c44</t>
        </is>
      </c>
      <c r="P175" t="inlineStr">
        <is>
          <t>library/011_angaga-island-resort-and-spa/wedding/2018_Angaga-Wedding-Package.pdf</t>
        </is>
      </c>
      <c r="R175" t="inlineStr">
        <is>
          <t>outdated</t>
        </is>
      </c>
      <c r="S175" t="inlineStr">
        <is>
          <t>Y</t>
        </is>
      </c>
      <c r="T175" t="inlineStr">
        <is>
          <t>matched</t>
        </is>
      </c>
      <c r="U175" t="inlineStr">
        <is>
          <t>2026-10-04</t>
        </is>
      </c>
      <c r="V175" t="inlineStr"/>
    </row>
    <row r="176">
      <c r="A176" t="n">
        <v>11</v>
      </c>
      <c r="B176" t="inlineStr">
        <is>
          <t>Angaga Island Resort and Spa</t>
        </is>
      </c>
      <c r="C176" t="inlineStr">
        <is>
          <t>wedding</t>
        </is>
      </c>
      <c r="D176" t="inlineStr">
        <is>
          <t>2018_wedding-package.pdf</t>
        </is>
      </c>
      <c r="E176" t="n">
        <v>2018</v>
      </c>
      <c r="H176" t="n">
        <v>2</v>
      </c>
      <c r="I176" t="n">
        <v>336</v>
      </c>
      <c r="J176" t="inlineStr">
        <is>
          <t>Y</t>
        </is>
      </c>
      <c r="K176" t="inlineStr">
        <is>
          <t>angaga.com.mv</t>
        </is>
      </c>
      <c r="L176" t="inlineStr">
        <is>
          <t>official</t>
        </is>
      </c>
      <c r="M176" t="inlineStr">
        <is>
          <t>https://www.angaga.com.mv/wp-content/themes/angaga/assets/pdf/wedding-package.pdf</t>
        </is>
      </c>
      <c r="N176" t="inlineStr">
        <is>
          <t>https://www.angaga.com.mv/wp-content/themes/angaga/assets/pdf/wedding-package.pdf | https://www.thulhagiri.com.mv/wp-content/themes/thulhagiri/assets/pdf/wedding-package.pdf | https://thulhagiri.com.mv/wp-content/themes/thulhagiri/assets/pdf/wedding-package.pdf | https://angaga.com.mv/wp-content/themes/angaga/assets/pdf/wedding-package.pdf</t>
        </is>
      </c>
      <c r="O176" t="inlineStr">
        <is>
          <t>65ff2d5bf107ab4d2d7e53a5320c8c312c4b9af487647b6c32153c39a4866bca</t>
        </is>
      </c>
      <c r="P176" t="inlineStr">
        <is>
          <t>library/011_angaga-island-resort-and-spa/wedding/2018_wedding-package.pdf</t>
        </is>
      </c>
      <c r="R176" t="inlineStr">
        <is>
          <t>outdated</t>
        </is>
      </c>
      <c r="S176" t="inlineStr">
        <is>
          <t>N</t>
        </is>
      </c>
      <c r="T176" t="inlineStr">
        <is>
          <t>matched</t>
        </is>
      </c>
      <c r="U176" t="inlineStr">
        <is>
          <t>2026-10-04</t>
        </is>
      </c>
      <c r="V176" t="inlineStr"/>
    </row>
    <row r="177">
      <c r="A177" t="n">
        <v>11</v>
      </c>
      <c r="B177" t="inlineStr">
        <is>
          <t>Angaga Island Resort and Spa</t>
        </is>
      </c>
      <c r="C177" t="inlineStr">
        <is>
          <t>dive_map</t>
        </is>
      </c>
      <c r="D177" t="inlineStr">
        <is>
          <t>2018_Angaga-Dive-Sites.pdf</t>
        </is>
      </c>
      <c r="E177" t="n">
        <v>2018</v>
      </c>
      <c r="H177" t="n">
        <v>9</v>
      </c>
      <c r="I177" t="n">
        <v>1035</v>
      </c>
      <c r="J177" t="inlineStr">
        <is>
          <t>Y</t>
        </is>
      </c>
      <c r="K177" t="inlineStr">
        <is>
          <t>angaga.com.mv</t>
        </is>
      </c>
      <c r="L177" t="inlineStr">
        <is>
          <t>official</t>
        </is>
      </c>
      <c r="M177" t="inlineStr">
        <is>
          <t>https://www.angaga.com.mv/wp-content/uploads/2018/12/Angaga-Dive-Sites.pdf</t>
        </is>
      </c>
      <c r="N177" t="inlineStr">
        <is>
          <t>https://www.angaga.com.mv/wp-content/uploads/2018/12/Angaga-Dive-Sites.pdf | https://angaga.com.mv/wp-content/uploads/2018/12/Angaga-Dive-Sites.pdf</t>
        </is>
      </c>
      <c r="O177" t="inlineStr">
        <is>
          <t>900fd5a520c126831a4588d3456321b78d28d23f5b77b198ba1fb0a9700967dd</t>
        </is>
      </c>
      <c r="P177" t="inlineStr">
        <is>
          <t>library/011_angaga-island-resort-and-spa/dive_map/2018_Angaga-Dive-Sites.pdf</t>
        </is>
      </c>
      <c r="R177" t="inlineStr">
        <is>
          <t>outdated</t>
        </is>
      </c>
      <c r="S177" t="inlineStr">
        <is>
          <t>Y</t>
        </is>
      </c>
      <c r="T177" t="inlineStr">
        <is>
          <t>matched</t>
        </is>
      </c>
      <c r="U177" t="inlineStr">
        <is>
          <t>2026-10-04</t>
        </is>
      </c>
      <c r="V177" t="inlineStr"/>
    </row>
    <row r="178">
      <c r="A178" t="n">
        <v>11</v>
      </c>
      <c r="B178" t="inlineStr">
        <is>
          <t>Angaga Island Resort and Spa</t>
        </is>
      </c>
      <c r="C178" t="inlineStr">
        <is>
          <t>spa_menu</t>
        </is>
      </c>
      <c r="D178" t="inlineStr">
        <is>
          <t>2018_Duny-Spa-menu-chineese-1.pdf</t>
        </is>
      </c>
      <c r="E178" t="n">
        <v>2018</v>
      </c>
      <c r="H178" t="n">
        <v>14</v>
      </c>
      <c r="I178" t="n">
        <v>664</v>
      </c>
      <c r="J178" t="inlineStr">
        <is>
          <t>Y</t>
        </is>
      </c>
      <c r="K178" t="inlineStr">
        <is>
          <t>angaga.com.mv</t>
        </is>
      </c>
      <c r="L178" t="inlineStr">
        <is>
          <t>official</t>
        </is>
      </c>
      <c r="M178" t="inlineStr">
        <is>
          <t>https://www.angaga.com.mv/wp-content/uploads/2018/12/Duny-Spa-menu-chineese-1.pdf</t>
        </is>
      </c>
      <c r="N178" t="inlineStr">
        <is>
          <t>https://www.angaga.com.mv/wp-content/uploads/2018/12/Duny-Spa-menu-chineese-1.pdf | https://www.angaga.com.mv/wp-content/uploads/2018/12/Duny-Spa-menu-chineese.pdf | https://angaga.com.mv/wp-content/uploads/2018/12/Duny-Spa-menu-chineese.pdf</t>
        </is>
      </c>
      <c r="O178" t="inlineStr">
        <is>
          <t>9ca4a9973d7f5e725d1e1a97aa4b7f08da2614f2219d5d9c505f0444e9ee67ac</t>
        </is>
      </c>
      <c r="P178" t="inlineStr">
        <is>
          <t>library/011_angaga-island-resort-and-spa/spa_menu/2018_Duny-Spa-menu-chineese-1.pdf</t>
        </is>
      </c>
      <c r="R178" t="inlineStr">
        <is>
          <t>outdated</t>
        </is>
      </c>
      <c r="S178" t="inlineStr">
        <is>
          <t>Y</t>
        </is>
      </c>
      <c r="T178" t="inlineStr">
        <is>
          <t>matched</t>
        </is>
      </c>
      <c r="U178" t="inlineStr">
        <is>
          <t>2026-10-04</t>
        </is>
      </c>
      <c r="V178" t="inlineStr"/>
    </row>
    <row r="179">
      <c r="A179" t="n">
        <v>11</v>
      </c>
      <c r="B179" t="inlineStr">
        <is>
          <t>Angaga Island Resort and Spa</t>
        </is>
      </c>
      <c r="C179" t="inlineStr">
        <is>
          <t>spa_menu</t>
        </is>
      </c>
      <c r="D179" t="inlineStr">
        <is>
          <t>2018_Duny-Spa-menu-german-1.pdf</t>
        </is>
      </c>
      <c r="E179" t="n">
        <v>2018</v>
      </c>
      <c r="H179" t="n">
        <v>14</v>
      </c>
      <c r="I179" t="n">
        <v>560</v>
      </c>
      <c r="J179" t="inlineStr">
        <is>
          <t>Y</t>
        </is>
      </c>
      <c r="K179" t="inlineStr">
        <is>
          <t>angaga.com.mv</t>
        </is>
      </c>
      <c r="L179" t="inlineStr">
        <is>
          <t>official</t>
        </is>
      </c>
      <c r="M179" t="inlineStr">
        <is>
          <t>https://www.angaga.com.mv/wp-content/uploads/2018/12/Duny-Spa-menu-german-1.pdf</t>
        </is>
      </c>
      <c r="N179" t="inlineStr">
        <is>
          <t>https://www.angaga.com.mv/wp-content/uploads/2018/12/Duny-Spa-menu-german-1.pdf | https://www.angaga.com.mv/wp-content/uploads/2018/12/Duny-Spa-menu-german.pdf | https://angaga.com.mv/wp-content/uploads/2018/12/Duny-Spa-menu-german.pdf</t>
        </is>
      </c>
      <c r="O179" t="inlineStr">
        <is>
          <t>173b010542ab5a444debc4229644161d51adf41cfff1959a3e2c86a4c3e280f2</t>
        </is>
      </c>
      <c r="P179" t="inlineStr">
        <is>
          <t>library/011_angaga-island-resort-and-spa/spa_menu/2018_Duny-Spa-menu-german-1.pdf</t>
        </is>
      </c>
      <c r="R179" t="inlineStr">
        <is>
          <t>outdated</t>
        </is>
      </c>
      <c r="S179" t="inlineStr">
        <is>
          <t>N</t>
        </is>
      </c>
      <c r="T179" t="inlineStr">
        <is>
          <t>matched</t>
        </is>
      </c>
      <c r="U179" t="inlineStr">
        <is>
          <t>2026-10-04</t>
        </is>
      </c>
      <c r="V179" t="inlineStr"/>
    </row>
    <row r="180">
      <c r="A180" t="n">
        <v>11</v>
      </c>
      <c r="B180" t="inlineStr">
        <is>
          <t>Angaga Island Resort and Spa</t>
        </is>
      </c>
      <c r="C180" t="inlineStr">
        <is>
          <t>dining_menu</t>
        </is>
      </c>
      <c r="D180" t="inlineStr">
        <is>
          <t>2025_COFFEE_SHOP_EAT_MENU_2025.pdf</t>
        </is>
      </c>
      <c r="E180" t="n">
        <v>2025</v>
      </c>
      <c r="H180" t="n">
        <v>6</v>
      </c>
      <c r="I180" t="n">
        <v>10541</v>
      </c>
      <c r="J180" t="inlineStr">
        <is>
          <t>Y</t>
        </is>
      </c>
      <c r="K180" t="inlineStr">
        <is>
          <t>angaga.com.mv</t>
        </is>
      </c>
      <c r="L180" t="inlineStr">
        <is>
          <t>official</t>
        </is>
      </c>
      <c r="M180" t="inlineStr">
        <is>
          <t>https://www.angaga.com.mv/wp-content/uploads/2025/05/COFFEE_SHOP_EAT_MENU_2025.pdf</t>
        </is>
      </c>
      <c r="N180" t="inlineStr">
        <is>
          <t>https://www.angaga.com.mv/wp-content/uploads/2025/05/COFFEE_SHOP_EAT_MENU_2025.pdf | https://angaga.com.mv/wp-content/uploads/2025/05/COFFEE_SHOP_EAT_MENU_2025.pdf</t>
        </is>
      </c>
      <c r="O180" t="inlineStr">
        <is>
          <t>00c2621d700bb23f4d7262ace94053f425b54fdd2a88ea85a529c342c3f4bdc2</t>
        </is>
      </c>
      <c r="P180" t="inlineStr">
        <is>
          <t>library/011_angaga-island-resort-and-spa/dining_menu/2025_COFFEE_SHOP_EAT_MENU_2025.pdf</t>
        </is>
      </c>
      <c r="R180" t="inlineStr">
        <is>
          <t>current</t>
        </is>
      </c>
      <c r="S180" t="inlineStr">
        <is>
          <t>N</t>
        </is>
      </c>
      <c r="T180" t="inlineStr">
        <is>
          <t>matched</t>
        </is>
      </c>
      <c r="U180" t="inlineStr">
        <is>
          <t>2026-10-04</t>
        </is>
      </c>
      <c r="V180" t="inlineStr"/>
    </row>
    <row r="181">
      <c r="A181" t="n">
        <v>11</v>
      </c>
      <c r="B181" t="inlineStr">
        <is>
          <t>Angaga Island Resort and Spa</t>
        </is>
      </c>
      <c r="C181" t="inlineStr">
        <is>
          <t>dining_menu</t>
        </is>
      </c>
      <c r="D181" t="inlineStr">
        <is>
          <t>2025_Angaga_All_inclusive_menu_Sun_Downbar_2025.pdf</t>
        </is>
      </c>
      <c r="E181" t="n">
        <v>2025</v>
      </c>
      <c r="H181" t="n">
        <v>6</v>
      </c>
      <c r="I181" t="n">
        <v>5821</v>
      </c>
      <c r="J181" t="inlineStr">
        <is>
          <t>Y</t>
        </is>
      </c>
      <c r="K181" t="inlineStr">
        <is>
          <t>angaga.com.mv</t>
        </is>
      </c>
      <c r="L181" t="inlineStr">
        <is>
          <t>official</t>
        </is>
      </c>
      <c r="M181" t="inlineStr">
        <is>
          <t>https://www.angaga.com.mv/wp-content/uploads/2025/05/Angaga_All_inclusive_menu_Sun_Downbar_2025.pdf</t>
        </is>
      </c>
      <c r="N181" t="inlineStr">
        <is>
          <t>https://www.angaga.com.mv/wp-content/uploads/2025/05/Angaga_All_inclusive_menu_Sun_Downbar_2025.pdf | https://angaga.com.mv/wp-content/uploads/2025/05/Angaga_All_inclusive_menu_Sun_Downbar_2025.pdf</t>
        </is>
      </c>
      <c r="O181" t="inlineStr">
        <is>
          <t>3582de83cd18afb0147a4eb039b3735c9d8eb912f7101a7a233e3674d7624498</t>
        </is>
      </c>
      <c r="P181" t="inlineStr">
        <is>
          <t>library/011_angaga-island-resort-and-spa/dining_menu/2025_Angaga_All_inclusive_menu_Sun_Downbar_2025.pdf</t>
        </is>
      </c>
      <c r="R181" t="inlineStr">
        <is>
          <t>current</t>
        </is>
      </c>
      <c r="S181" t="inlineStr">
        <is>
          <t>N</t>
        </is>
      </c>
      <c r="T181" t="inlineStr">
        <is>
          <t>matched</t>
        </is>
      </c>
      <c r="U181" t="inlineStr">
        <is>
          <t>2026-10-04</t>
        </is>
      </c>
      <c r="V181" t="inlineStr"/>
    </row>
    <row r="182">
      <c r="A182" t="n">
        <v>11</v>
      </c>
      <c r="B182" t="inlineStr">
        <is>
          <t>Angaga Island Resort and Spa</t>
        </is>
      </c>
      <c r="C182" t="inlineStr">
        <is>
          <t>dining_menu</t>
        </is>
      </c>
      <c r="D182" t="inlineStr">
        <is>
          <t>2025_Angaga_drinks_menu_2025.pdf</t>
        </is>
      </c>
      <c r="E182" t="n">
        <v>2025</v>
      </c>
      <c r="H182" t="n">
        <v>8</v>
      </c>
      <c r="I182" t="n">
        <v>10180</v>
      </c>
      <c r="J182" t="inlineStr">
        <is>
          <t>Y</t>
        </is>
      </c>
      <c r="K182" t="inlineStr">
        <is>
          <t>angaga.com.mv</t>
        </is>
      </c>
      <c r="L182" t="inlineStr">
        <is>
          <t>official</t>
        </is>
      </c>
      <c r="M182" t="inlineStr">
        <is>
          <t>https://www.angaga.com.mv/wp-content/uploads/2025/05/Angaga_drinks_menu_2025.pdf</t>
        </is>
      </c>
      <c r="N182" t="inlineStr">
        <is>
          <t>https://www.angaga.com.mv/wp-content/uploads/2025/05/Angaga_drinks_menu_2025.pdf | https://angaga.com.mv/wp-content/uploads/2025/05/Angaga_drinks_menu_2025.pdf</t>
        </is>
      </c>
      <c r="O182" t="inlineStr">
        <is>
          <t>a28e7d47c57276c96f469811445410ea93d71ed29965fcbdfd297a74718c167a</t>
        </is>
      </c>
      <c r="P182" t="inlineStr">
        <is>
          <t>library/011_angaga-island-resort-and-spa/dining_menu/2025_Angaga_drinks_menu_2025.pdf</t>
        </is>
      </c>
      <c r="R182" t="inlineStr">
        <is>
          <t>current</t>
        </is>
      </c>
      <c r="S182" t="inlineStr">
        <is>
          <t>N</t>
        </is>
      </c>
      <c r="T182" t="inlineStr">
        <is>
          <t>matched</t>
        </is>
      </c>
      <c r="U182" t="inlineStr">
        <is>
          <t>2026-10-04</t>
        </is>
      </c>
      <c r="V182" t="inlineStr"/>
    </row>
    <row r="183">
      <c r="A183" t="n">
        <v>11</v>
      </c>
      <c r="B183" t="inlineStr">
        <is>
          <t>Angaga Island Resort and Spa</t>
        </is>
      </c>
      <c r="C183" t="inlineStr">
        <is>
          <t>dining_menu</t>
        </is>
      </c>
      <c r="D183" t="inlineStr">
        <is>
          <t>2025_Angaga_wine_menu_2025.pdf</t>
        </is>
      </c>
      <c r="E183" t="n">
        <v>2025</v>
      </c>
      <c r="H183" t="n">
        <v>9</v>
      </c>
      <c r="I183" t="n">
        <v>19147</v>
      </c>
      <c r="J183" t="inlineStr">
        <is>
          <t>Y</t>
        </is>
      </c>
      <c r="K183" t="inlineStr">
        <is>
          <t>angaga.com.mv</t>
        </is>
      </c>
      <c r="L183" t="inlineStr">
        <is>
          <t>official</t>
        </is>
      </c>
      <c r="M183" t="inlineStr">
        <is>
          <t>https://www.angaga.com.mv/wp-content/uploads/2025/05/Angaga_wine_menu_2025.pdf</t>
        </is>
      </c>
      <c r="N183" t="inlineStr">
        <is>
          <t>https://www.angaga.com.mv/wp-content/uploads/2025/05/Angaga_wine_menu_2025.pdf | https://angaga.com.mv/wp-content/uploads/2025/05/Angaga_wine_menu_2025.pdf</t>
        </is>
      </c>
      <c r="O183" t="inlineStr">
        <is>
          <t>ee2f11eab31032d7a047d481f4ec6b8479b7b7293965554a3da9fb534bb97549</t>
        </is>
      </c>
      <c r="P183" t="inlineStr">
        <is>
          <t>library/011_angaga-island-resort-and-spa/dining_menu/2025_Angaga_wine_menu_2025.pdf</t>
        </is>
      </c>
      <c r="R183" t="inlineStr">
        <is>
          <t>current</t>
        </is>
      </c>
      <c r="S183" t="inlineStr">
        <is>
          <t>Y</t>
        </is>
      </c>
      <c r="T183" t="inlineStr">
        <is>
          <t>matched</t>
        </is>
      </c>
      <c r="U183" t="inlineStr">
        <is>
          <t>2026-10-04</t>
        </is>
      </c>
      <c r="V183" t="inlineStr"/>
    </row>
    <row r="184">
      <c r="A184" t="n">
        <v>11</v>
      </c>
      <c r="B184" t="inlineStr">
        <is>
          <t>Angaga Island Resort and Spa</t>
        </is>
      </c>
      <c r="C184" t="inlineStr">
        <is>
          <t>dining_menu</t>
        </is>
      </c>
      <c r="D184" t="inlineStr">
        <is>
          <t>2018_COFFEE-SHOP-MENU.pdf</t>
        </is>
      </c>
      <c r="E184" t="n">
        <v>2018</v>
      </c>
      <c r="H184" t="n">
        <v>12</v>
      </c>
      <c r="I184" t="n">
        <v>2622</v>
      </c>
      <c r="J184" t="inlineStr">
        <is>
          <t>Y</t>
        </is>
      </c>
      <c r="K184" t="inlineStr">
        <is>
          <t>angaga.com.mv</t>
        </is>
      </c>
      <c r="L184" t="inlineStr">
        <is>
          <t>official</t>
        </is>
      </c>
      <c r="M184" t="inlineStr">
        <is>
          <t>https://www.angaga.com.mv/wp-content/uploads/2018/12/COFFEE-SHOP-MENU.pdf</t>
        </is>
      </c>
      <c r="N184" t="inlineStr">
        <is>
          <t>https://www.angaga.com.mv/wp-content/uploads/2018/12/COFFEE-SHOP-MENU.pdf | https://www.angaga.com.mv/wp-content/uploads/2018/12/COFFEE-SHOP-MENU-2.pdf</t>
        </is>
      </c>
      <c r="O184" t="inlineStr">
        <is>
          <t>2da1860567b798180d158d5f371eb940bde20d9c0372cd2aa4f09d118e1f0e89</t>
        </is>
      </c>
      <c r="P184" t="inlineStr">
        <is>
          <t>library/011_angaga-island-resort-and-spa/dining_menu/2018_COFFEE-SHOP-MENU.pdf</t>
        </is>
      </c>
      <c r="R184" t="inlineStr">
        <is>
          <t>outdated</t>
        </is>
      </c>
      <c r="S184" t="inlineStr">
        <is>
          <t>N</t>
        </is>
      </c>
      <c r="T184" t="inlineStr">
        <is>
          <t>matched</t>
        </is>
      </c>
      <c r="U184" t="inlineStr">
        <is>
          <t>2026-10-04</t>
        </is>
      </c>
      <c r="V184" t="inlineStr"/>
    </row>
    <row r="185">
      <c r="A185" t="n">
        <v>11</v>
      </c>
      <c r="B185" t="inlineStr">
        <is>
          <t>Angaga Island Resort and Spa</t>
        </is>
      </c>
      <c r="C185" t="inlineStr">
        <is>
          <t>dining_menu</t>
        </is>
      </c>
      <c r="D185" t="inlineStr">
        <is>
          <t>2018_wine-menu-3.pdf</t>
        </is>
      </c>
      <c r="E185" t="n">
        <v>2018</v>
      </c>
      <c r="H185" t="n">
        <v>8</v>
      </c>
      <c r="I185" t="n">
        <v>4285</v>
      </c>
      <c r="J185" t="inlineStr">
        <is>
          <t>Y</t>
        </is>
      </c>
      <c r="K185" t="inlineStr">
        <is>
          <t>angaga.com.mv</t>
        </is>
      </c>
      <c r="L185" t="inlineStr">
        <is>
          <t>official</t>
        </is>
      </c>
      <c r="M185" t="inlineStr">
        <is>
          <t>https://www.angaga.com.mv/wp-content/uploads/2018/12/wine-menu-3.pdf</t>
        </is>
      </c>
      <c r="N185" t="inlineStr">
        <is>
          <t>https://www.angaga.com.mv/wp-content/uploads/2018/12/wine-menu-3.pdf | https://www.angaga.com.mv/wp-content/uploads/2018/12/wine-menu-2.pdf | https://www.angaga.com.mv/wp-content/uploads/2018/12/wine-menu-1.pdf</t>
        </is>
      </c>
      <c r="O185" t="inlineStr">
        <is>
          <t>b97276e8420c28fdd0f2f503fbfb071bf4284495afcad489aa607ac06b7ecb84</t>
        </is>
      </c>
      <c r="P185" t="inlineStr">
        <is>
          <t>library/011_angaga-island-resort-and-spa/dining_menu/2018_wine-menu-3.pdf</t>
        </is>
      </c>
      <c r="R185" t="inlineStr">
        <is>
          <t>outdated</t>
        </is>
      </c>
      <c r="S185" t="inlineStr">
        <is>
          <t>N</t>
        </is>
      </c>
      <c r="T185" t="inlineStr">
        <is>
          <t>matched</t>
        </is>
      </c>
      <c r="U185" t="inlineStr">
        <is>
          <t>2026-10-04</t>
        </is>
      </c>
      <c r="V185" t="inlineStr"/>
    </row>
    <row r="186">
      <c r="A186" t="n">
        <v>11</v>
      </c>
      <c r="B186" t="inlineStr">
        <is>
          <t>Angaga Island Resort and Spa</t>
        </is>
      </c>
      <c r="C186" t="inlineStr">
        <is>
          <t>dining_menu</t>
        </is>
      </c>
      <c r="D186" t="inlineStr">
        <is>
          <t>2018_All-Inclusive-menu-1-2.pdf</t>
        </is>
      </c>
      <c r="E186" t="n">
        <v>2018</v>
      </c>
      <c r="H186" t="n">
        <v>8</v>
      </c>
      <c r="I186" t="n">
        <v>3484</v>
      </c>
      <c r="J186" t="inlineStr">
        <is>
          <t>Y</t>
        </is>
      </c>
      <c r="K186" t="inlineStr">
        <is>
          <t>angaga.com.mv</t>
        </is>
      </c>
      <c r="L186" t="inlineStr">
        <is>
          <t>official</t>
        </is>
      </c>
      <c r="M186" t="inlineStr">
        <is>
          <t>https://www.angaga.com.mv/wp-content/uploads/2018/12/All-Inclusive-menu-1-2.pdf</t>
        </is>
      </c>
      <c r="N186" t="inlineStr">
        <is>
          <t>https://www.angaga.com.mv/wp-content/uploads/2018/12/All-Inclusive-menu-1-2.pdf | https://www.angaga.com.mv/wp-content/uploads/2018/12/All-Inclusive-menu-1-3.pdf | https://www.angaga.com.mv/wp-content/uploads/2018/12/All-Inclusive-menu-1-1.pdf | https://www.angaga.com.mv/wp-content/uploads/2018/11/All-Inclusive-menu-1.pdf</t>
        </is>
      </c>
      <c r="O186" t="inlineStr">
        <is>
          <t>dc087fce5614a692331f10911cdbfab7067044eb180cf30a0f5cc97fad87682c</t>
        </is>
      </c>
      <c r="P186" t="inlineStr">
        <is>
          <t>library/011_angaga-island-resort-and-spa/dining_menu/2018_All-Inclusive-menu-1-2.pdf</t>
        </is>
      </c>
      <c r="R186" t="inlineStr">
        <is>
          <t>outdated</t>
        </is>
      </c>
      <c r="S186" t="inlineStr">
        <is>
          <t>N</t>
        </is>
      </c>
      <c r="T186" t="inlineStr">
        <is>
          <t>matched</t>
        </is>
      </c>
      <c r="U186" t="inlineStr">
        <is>
          <t>2026-10-04</t>
        </is>
      </c>
      <c r="V186" t="inlineStr"/>
    </row>
    <row r="187">
      <c r="A187" t="n">
        <v>11</v>
      </c>
      <c r="B187" t="inlineStr">
        <is>
          <t>Angaga Island Resort and Spa</t>
        </is>
      </c>
      <c r="C187" t="inlineStr">
        <is>
          <t>dining_menu</t>
        </is>
      </c>
      <c r="D187" t="inlineStr">
        <is>
          <t>2012_Angaga-Wine-Menu-New-2.pdf</t>
        </is>
      </c>
      <c r="E187" t="n">
        <v>2012</v>
      </c>
      <c r="H187" t="n">
        <v>6</v>
      </c>
      <c r="I187" t="n">
        <v>449</v>
      </c>
      <c r="J187" t="inlineStr">
        <is>
          <t>Y</t>
        </is>
      </c>
      <c r="K187" t="inlineStr">
        <is>
          <t>angaga.com.mv</t>
        </is>
      </c>
      <c r="L187" t="inlineStr">
        <is>
          <t>official</t>
        </is>
      </c>
      <c r="M187" t="inlineStr">
        <is>
          <t>https://www.angaga.com.mv/wp-content/uploads/2018/12/Angaga-Wine-Menu-New-2.pdf</t>
        </is>
      </c>
      <c r="N187" t="inlineStr">
        <is>
          <t>https://www.angaga.com.mv/wp-content/uploads/2018/12/Angaga-Wine-Menu-New-2.pdf | https://www.angaga.com.mv/wp-content/uploads/2018/12/Angaga-Wine-Menu-New.pdf | https://www.angaga.com.mv/wp-content/uploads/2018/12/Angaga-Wine-Menu-New-1.pdf | https://www.angaga.com.mv/wp-content/uploads/2018/11/Angaga-Wine-Menu-New-1.pdf</t>
        </is>
      </c>
      <c r="O187" t="inlineStr">
        <is>
          <t>01bf8d0df208c55c0a9ddf2064709a10fbae873053a3e2619aa15228b8e395f1</t>
        </is>
      </c>
      <c r="P187" t="inlineStr">
        <is>
          <t>library/011_angaga-island-resort-and-spa/dining_menu/2012_Angaga-Wine-Menu-New-2.pdf</t>
        </is>
      </c>
      <c r="R187" t="inlineStr">
        <is>
          <t>outdated</t>
        </is>
      </c>
      <c r="S187" t="inlineStr">
        <is>
          <t>N</t>
        </is>
      </c>
      <c r="T187" t="inlineStr">
        <is>
          <t>matched</t>
        </is>
      </c>
      <c r="U187" t="inlineStr">
        <is>
          <t>2026-10-04</t>
        </is>
      </c>
      <c r="V187" t="inlineStr"/>
    </row>
    <row r="188">
      <c r="A188" t="n">
        <v>11</v>
      </c>
      <c r="B188" t="inlineStr">
        <is>
          <t>Angaga Island Resort and Spa</t>
        </is>
      </c>
      <c r="C188" t="inlineStr">
        <is>
          <t>dive_prices</t>
        </is>
      </c>
      <c r="D188" t="inlineStr">
        <is>
          <t>2018_Introduction-to-Snorkeling-and-Diving-Angaga.pdf</t>
        </is>
      </c>
      <c r="E188" t="n">
        <v>2018</v>
      </c>
      <c r="H188" t="n">
        <v>6</v>
      </c>
      <c r="I188" t="n">
        <v>5503</v>
      </c>
      <c r="J188" t="inlineStr">
        <is>
          <t>Y</t>
        </is>
      </c>
      <c r="K188" t="inlineStr">
        <is>
          <t>angaga.com.mv</t>
        </is>
      </c>
      <c r="L188" t="inlineStr">
        <is>
          <t>official</t>
        </is>
      </c>
      <c r="M188" t="inlineStr">
        <is>
          <t>https://www.angaga.com.mv/wp-content/uploads/2018/12/Introduction-to-Snorkeling-and-Diving-Angaga.pdf</t>
        </is>
      </c>
      <c r="N188" t="inlineStr">
        <is>
          <t>https://www.angaga.com.mv/wp-content/uploads/2018/12/Introduction-to-Snorkeling-and-Diving-Angaga.pdf | https://www.angaga.com.mv/wp-content/uploads/2018/11/Introduction-to-Snorkeling-and-Diving-Angaga-1.pdf | https://www.angaga.com.mv/wp-content/uploads/2018/11/Introduction-to-Snorkeling-and-Diving-Angaga.pdf | https://angaga.com.mv/wp-content/uploads/2018/11/Introduction-to-Snorkeling-and-Diving-Angaga-1.pdf</t>
        </is>
      </c>
      <c r="O188" t="inlineStr">
        <is>
          <t>d2eb4d753756a187664479b4f0ded56671d79c1b7f662155cb0e0a7b5c491e71</t>
        </is>
      </c>
      <c r="P188" t="inlineStr">
        <is>
          <t>library/011_angaga-island-resort-and-spa/dive_prices/2018_Introduction-to-Snorkeling-and-Diving-Angaga.pdf</t>
        </is>
      </c>
      <c r="R188" t="inlineStr">
        <is>
          <t>outdated</t>
        </is>
      </c>
      <c r="S188" t="inlineStr">
        <is>
          <t>N</t>
        </is>
      </c>
      <c r="T188" t="inlineStr">
        <is>
          <t>matched</t>
        </is>
      </c>
      <c r="U188" t="inlineStr">
        <is>
          <t>2026-10-04</t>
        </is>
      </c>
      <c r="V188" t="inlineStr"/>
    </row>
    <row r="189">
      <c r="A189" t="n">
        <v>11</v>
      </c>
      <c r="B189" t="inlineStr">
        <is>
          <t>Angaga Island Resort and Spa</t>
        </is>
      </c>
      <c r="C189" t="inlineStr">
        <is>
          <t>dive_prices</t>
        </is>
      </c>
      <c r="D189" t="inlineStr">
        <is>
          <t>2018_Angaga-Water-Sports-Activities-Information.pdf</t>
        </is>
      </c>
      <c r="E189" t="n">
        <v>2018</v>
      </c>
      <c r="H189" t="n">
        <v>7</v>
      </c>
      <c r="I189" t="n">
        <v>4193</v>
      </c>
      <c r="J189" t="inlineStr">
        <is>
          <t>Y</t>
        </is>
      </c>
      <c r="K189" t="inlineStr">
        <is>
          <t>angaga.com.mv</t>
        </is>
      </c>
      <c r="L189" t="inlineStr">
        <is>
          <t>official</t>
        </is>
      </c>
      <c r="M189" t="inlineStr">
        <is>
          <t>https://www.angaga.com.mv/wp-content/uploads/2018/12/Angaga-Water-Sports-Activities-Information.pdf</t>
        </is>
      </c>
      <c r="N189" t="inlineStr">
        <is>
          <t>https://www.angaga.com.mv/wp-content/uploads/2018/12/Angaga-Water-Sports-Activities-Information.pdf | https://www.angaga.com.mv/wp-content/uploads/2018/11/Angaga-Water-Sports-Activities-Information.pdf | https://angaga.com.mv/wp-content/uploads/2018/11/Angaga-Water-Sports-Activities-Information.pdf</t>
        </is>
      </c>
      <c r="O189" t="inlineStr">
        <is>
          <t>d95f9c8e6440f963c13c748d106eb4793befdf336049c8298fc8cc987199b959</t>
        </is>
      </c>
      <c r="P189" t="inlineStr">
        <is>
          <t>library/011_angaga-island-resort-and-spa/dive_prices/2018_Angaga-Water-Sports-Activities-Information.pdf</t>
        </is>
      </c>
      <c r="R189" t="inlineStr">
        <is>
          <t>outdated</t>
        </is>
      </c>
      <c r="S189" t="inlineStr">
        <is>
          <t>Y</t>
        </is>
      </c>
      <c r="T189" t="inlineStr">
        <is>
          <t>matched</t>
        </is>
      </c>
      <c r="U189" t="inlineStr">
        <is>
          <t>2026-10-04</t>
        </is>
      </c>
      <c r="V189" t="inlineStr"/>
    </row>
    <row r="190">
      <c r="A190" t="n">
        <v>11</v>
      </c>
      <c r="B190" t="inlineStr">
        <is>
          <t>Angaga Island Resort and Spa</t>
        </is>
      </c>
      <c r="C190" t="inlineStr">
        <is>
          <t>dive_prices</t>
        </is>
      </c>
      <c r="D190" t="inlineStr">
        <is>
          <t>2018_Angaga-Dive-Center-Information.pdf</t>
        </is>
      </c>
      <c r="E190" t="n">
        <v>2018</v>
      </c>
      <c r="H190" t="n">
        <v>2</v>
      </c>
      <c r="I190" t="n">
        <v>746</v>
      </c>
      <c r="J190" t="inlineStr">
        <is>
          <t>Y</t>
        </is>
      </c>
      <c r="K190" t="inlineStr">
        <is>
          <t>angaga.com.mv</t>
        </is>
      </c>
      <c r="L190" t="inlineStr">
        <is>
          <t>official</t>
        </is>
      </c>
      <c r="M190" t="inlineStr">
        <is>
          <t>https://www.angaga.com.mv/wp-content/uploads/2018/12/Angaga-Dive-Center-Information.pdf</t>
        </is>
      </c>
      <c r="N190" t="inlineStr">
        <is>
          <t>https://www.angaga.com.mv/wp-content/uploads/2018/12/Angaga-Dive-Center-Information.pdf | https://angaga.com.mv/wp-content/uploads/2018/12/Angaga-Dive-Center-Information.pdf</t>
        </is>
      </c>
      <c r="O190" t="inlineStr">
        <is>
          <t>76efd2f972aa837a74b63ea7210de3cb3025a5ac1eba675a142faa8b4ce27f66</t>
        </is>
      </c>
      <c r="P190" t="inlineStr">
        <is>
          <t>library/011_angaga-island-resort-and-spa/dive_prices/2018_Angaga-Dive-Center-Information.pdf</t>
        </is>
      </c>
      <c r="R190" t="inlineStr">
        <is>
          <t>outdated</t>
        </is>
      </c>
      <c r="S190" t="inlineStr">
        <is>
          <t>N</t>
        </is>
      </c>
      <c r="T190" t="inlineStr">
        <is>
          <t>matched</t>
        </is>
      </c>
      <c r="U190" t="inlineStr">
        <is>
          <t>2026-10-04</t>
        </is>
      </c>
      <c r="V190" t="inlineStr"/>
    </row>
    <row r="191">
      <c r="A191" t="n">
        <v>11</v>
      </c>
      <c r="B191" t="inlineStr">
        <is>
          <t>Angaga Island Resort and Spa</t>
        </is>
      </c>
      <c r="C191" t="inlineStr">
        <is>
          <t>dive_prices</t>
        </is>
      </c>
      <c r="D191" t="inlineStr">
        <is>
          <t>2015_FAQ-SUB-AQUA-DiveCenter.pdf</t>
        </is>
      </c>
      <c r="E191" t="n">
        <v>2015</v>
      </c>
      <c r="H191" t="n">
        <v>3</v>
      </c>
      <c r="I191" t="n">
        <v>1882</v>
      </c>
      <c r="J191" t="inlineStr">
        <is>
          <t>Y</t>
        </is>
      </c>
      <c r="K191" t="inlineStr">
        <is>
          <t>angaga.com.mv</t>
        </is>
      </c>
      <c r="L191" t="inlineStr">
        <is>
          <t>official</t>
        </is>
      </c>
      <c r="M191" t="inlineStr">
        <is>
          <t>https://www.angaga.com.mv/wp-content/uploads/2018/12/FAQ-SUB-AQUA-DiveCenter.pdf</t>
        </is>
      </c>
      <c r="N191" t="inlineStr">
        <is>
          <t>https://www.angaga.com.mv/wp-content/uploads/2018/12/FAQ-SUB-AQUA-DiveCenter.pdf | https://www.angaga.com.mv/wp-content/uploads/2018/11/FAQ-SUB-AQUA-DiveCenter.pdf | https://angaga.com.mv/wp-content/uploads/2018/11/FAQ-SUB-AQUA-DiveCenter.pdf</t>
        </is>
      </c>
      <c r="O191" t="inlineStr">
        <is>
          <t>9fb96e8b0726a6c777bb6a0d98181389a7d2943f5514478913c3f6a6ad8b7d37</t>
        </is>
      </c>
      <c r="P191" t="inlineStr">
        <is>
          <t>library/011_angaga-island-resort-and-spa/dive_prices/2015_FAQ-SUB-AQUA-DiveCenter.pdf</t>
        </is>
      </c>
      <c r="R191" t="inlineStr">
        <is>
          <t>outdated</t>
        </is>
      </c>
      <c r="S191" t="inlineStr">
        <is>
          <t>N</t>
        </is>
      </c>
      <c r="T191" t="inlineStr">
        <is>
          <t>matched</t>
        </is>
      </c>
      <c r="U191" t="inlineStr">
        <is>
          <t>2026-10-04</t>
        </is>
      </c>
      <c r="V191" t="inlineStr"/>
    </row>
    <row r="192">
      <c r="A192" t="n">
        <v>11</v>
      </c>
      <c r="B192" t="inlineStr">
        <is>
          <t>Angaga Island Resort and Spa</t>
        </is>
      </c>
      <c r="C192" t="inlineStr">
        <is>
          <t>dive_prices</t>
        </is>
      </c>
      <c r="D192" t="inlineStr">
        <is>
          <t>2014_docpdf_pricelistwatersports-angaga.pdf</t>
        </is>
      </c>
      <c r="E192" t="n">
        <v>2014</v>
      </c>
      <c r="H192" t="n">
        <v>1</v>
      </c>
      <c r="I192" t="n">
        <v>86</v>
      </c>
      <c r="J192" t="inlineStr">
        <is>
          <t>Y</t>
        </is>
      </c>
      <c r="K192" t="inlineStr">
        <is>
          <t>angaga.com.mv</t>
        </is>
      </c>
      <c r="L192" t="inlineStr">
        <is>
          <t>official</t>
        </is>
      </c>
      <c r="M192" t="inlineStr">
        <is>
          <t>https://www.angaga.com.mv/wp-content/uploads/2018/11/docpdf_pricelistwatersports-angaga.pdf</t>
        </is>
      </c>
      <c r="N192" t="inlineStr">
        <is>
          <t>https://www.angaga.com.mv/wp-content/uploads/2018/11/docpdf_pricelistwatersports-angaga.pdf | https://angaga.com.mv/wp-content/uploads/2018/11/docpdf_pricelistwatersports-angaga.pdf</t>
        </is>
      </c>
      <c r="O192" t="inlineStr">
        <is>
          <t>d346caf425ab8336fcc782002cfcf6183f0aeb410cfef18ef2a0365f9eec980f</t>
        </is>
      </c>
      <c r="P192" t="inlineStr">
        <is>
          <t>library/011_angaga-island-resort-and-spa/dive_prices/2014_docpdf_pricelistwatersports-angaga.pdf</t>
        </is>
      </c>
      <c r="R192" t="inlineStr">
        <is>
          <t>outdated</t>
        </is>
      </c>
      <c r="S192" t="inlineStr">
        <is>
          <t>N</t>
        </is>
      </c>
      <c r="T192" t="inlineStr">
        <is>
          <t>matched</t>
        </is>
      </c>
      <c r="U192" t="inlineStr">
        <is>
          <t>2026-10-04</t>
        </is>
      </c>
      <c r="V192" t="inlineStr"/>
    </row>
    <row r="193">
      <c r="A193" t="n">
        <v>11</v>
      </c>
      <c r="B193" t="inlineStr">
        <is>
          <t>Angaga Island Resort and Spa</t>
        </is>
      </c>
      <c r="C193" t="inlineStr">
        <is>
          <t>excursions</t>
        </is>
      </c>
      <c r="D193" t="inlineStr">
        <is>
          <t>2018_EXCURSIONS.pdf</t>
        </is>
      </c>
      <c r="E193" t="n">
        <v>2018</v>
      </c>
      <c r="H193" t="n">
        <v>2</v>
      </c>
      <c r="I193" t="n">
        <v>768</v>
      </c>
      <c r="J193" t="inlineStr">
        <is>
          <t>Y</t>
        </is>
      </c>
      <c r="K193" t="inlineStr">
        <is>
          <t>angaga.com.mv</t>
        </is>
      </c>
      <c r="L193" t="inlineStr">
        <is>
          <t>official</t>
        </is>
      </c>
      <c r="M193" t="inlineStr">
        <is>
          <t>https://www.angaga.com.mv/wp-content/uploads/2018/12/EXCURSIONS.pdf</t>
        </is>
      </c>
      <c r="N193" t="inlineStr">
        <is>
          <t>https://www.angaga.com.mv/wp-content/uploads/2018/12/EXCURSIONS.pdf | https://angaga.com.mv/wp-content/uploads/2018/12/EXCURSIONS.pdf</t>
        </is>
      </c>
      <c r="O193" t="inlineStr">
        <is>
          <t>b44c2ac1b76ce1ad52e0713323ce2d64570e67b31b9d57b70b7d449bf6e2e614</t>
        </is>
      </c>
      <c r="P193" t="inlineStr">
        <is>
          <t>library/011_angaga-island-resort-and-spa/excursions/2018_EXCURSIONS.pdf</t>
        </is>
      </c>
      <c r="R193" t="inlineStr">
        <is>
          <t>outdated</t>
        </is>
      </c>
      <c r="S193" t="inlineStr">
        <is>
          <t>Y</t>
        </is>
      </c>
      <c r="T193" t="inlineStr">
        <is>
          <t>matched</t>
        </is>
      </c>
      <c r="U193" t="inlineStr">
        <is>
          <t>2026-10-04</t>
        </is>
      </c>
      <c r="V193" t="inlineStr"/>
    </row>
    <row r="194">
      <c r="A194" t="n">
        <v>11</v>
      </c>
      <c r="B194" t="inlineStr">
        <is>
          <t>Angaga Island Resort and Spa</t>
        </is>
      </c>
      <c r="C194" t="inlineStr">
        <is>
          <t>all_inclusive</t>
        </is>
      </c>
      <c r="D194" t="inlineStr">
        <is>
          <t>2018_All-Inclusive-Package-3.pdf</t>
        </is>
      </c>
      <c r="E194" t="n">
        <v>2018</v>
      </c>
      <c r="H194" t="n">
        <v>1</v>
      </c>
      <c r="I194" t="n">
        <v>145</v>
      </c>
      <c r="J194" t="inlineStr">
        <is>
          <t>Y</t>
        </is>
      </c>
      <c r="K194" t="inlineStr">
        <is>
          <t>angaga.com.mv</t>
        </is>
      </c>
      <c r="L194" t="inlineStr">
        <is>
          <t>official</t>
        </is>
      </c>
      <c r="M194" t="inlineStr">
        <is>
          <t>https://www.angaga.com.mv/wp-content/uploads/2018/12/All-Inclusive-Package-3.pdf</t>
        </is>
      </c>
      <c r="N194" t="inlineStr">
        <is>
          <t>https://www.angaga.com.mv/wp-content/uploads/2018/12/All-Inclusive-Package-3.pdf | https://www.angaga.com.mv/wp-content/uploads/2018/12/All-Inclusive-Package-2.pdf | https://www.angaga.com.mv/wp-content/uploads/2018/12/All-Inclusive-Package-1.pdf</t>
        </is>
      </c>
      <c r="O194" t="inlineStr">
        <is>
          <t>4aab507ea9b0f194f900450c5ce73c88f082728136b8912e91fa2e09728f089b</t>
        </is>
      </c>
      <c r="P194" t="inlineStr">
        <is>
          <t>library/011_angaga-island-resort-and-spa/all_inclusive/2018_All-Inclusive-Package-3.pdf</t>
        </is>
      </c>
      <c r="R194" t="inlineStr">
        <is>
          <t>outdated</t>
        </is>
      </c>
      <c r="S194" t="inlineStr">
        <is>
          <t>Y</t>
        </is>
      </c>
      <c r="T194" t="inlineStr">
        <is>
          <t>matched</t>
        </is>
      </c>
      <c r="U194" t="inlineStr">
        <is>
          <t>2026-10-04</t>
        </is>
      </c>
      <c r="V194" t="inlineStr"/>
    </row>
    <row r="195">
      <c r="A195" t="n">
        <v>11</v>
      </c>
      <c r="B195" t="inlineStr">
        <is>
          <t>Angaga Island Resort and Spa</t>
        </is>
      </c>
      <c r="C195" t="inlineStr">
        <is>
          <t>other</t>
        </is>
      </c>
      <c r="D195" t="inlineStr">
        <is>
          <t>2025_Prices-are-subject-to-change-without-any-prior-notice.pdf</t>
        </is>
      </c>
      <c r="E195" t="n">
        <v>2025</v>
      </c>
      <c r="H195" t="n">
        <v>1</v>
      </c>
      <c r="I195" t="n">
        <v>18</v>
      </c>
      <c r="J195" t="inlineStr">
        <is>
          <t>Y</t>
        </is>
      </c>
      <c r="K195" t="inlineStr">
        <is>
          <t>angaga.com.mv</t>
        </is>
      </c>
      <c r="L195" t="inlineStr">
        <is>
          <t>official</t>
        </is>
      </c>
      <c r="M195" t="inlineStr">
        <is>
          <t>https://www.angaga.com.mv/wp-content/uploads/2025/04/Prices-are-subject-to-change-without-any-prior-notice.pdf</t>
        </is>
      </c>
      <c r="N195" t="inlineStr">
        <is>
          <t>https://www.angaga.com.mv/wp-content/uploads/2025/04/Prices-are-subject-to-change-without-any-prior-notice.pdf | https://www.thulhagiri.com.mv/wp-content/uploads/2025/04/Prices-are-subject-to-change-without-any-prior-notice.pdf | https://thulhagiri.com.mv/wp-content/uploads/2025/04/Prices-are-subject-to-change-without-any-prior-notice.pdf | https://angaga.com.mv/wp-content/uploads/2025/04/Prices-are-subject-to-change-without-any-prior-notice.pdf</t>
        </is>
      </c>
      <c r="O195" t="inlineStr">
        <is>
          <t>696b0992c0b01af21b10706d3bc3d444994c09b2f43ced66348dfc19455d0ed0</t>
        </is>
      </c>
      <c r="P195" t="inlineStr">
        <is>
          <t>library/011_angaga-island-resort-and-spa/other/2025_Prices-are-subject-to-change-without-any-prior-notice.pdf</t>
        </is>
      </c>
      <c r="R195" t="inlineStr">
        <is>
          <t>current</t>
        </is>
      </c>
      <c r="S195" t="inlineStr">
        <is>
          <t>Y</t>
        </is>
      </c>
      <c r="T195" t="inlineStr">
        <is>
          <t>matched</t>
        </is>
      </c>
      <c r="U195" t="inlineStr">
        <is>
          <t>2026-10-04</t>
        </is>
      </c>
      <c r="V195" t="inlineStr"/>
    </row>
    <row r="196">
      <c r="A196" t="n">
        <v>11</v>
      </c>
      <c r="B196" t="inlineStr">
        <is>
          <t>Angaga Island Resort and Spa</t>
        </is>
      </c>
      <c r="C196" t="inlineStr">
        <is>
          <t>other</t>
        </is>
      </c>
      <c r="D196" t="inlineStr">
        <is>
          <t>2018_HolidayCheck-2018.pdf</t>
        </is>
      </c>
      <c r="E196" t="n">
        <v>2018</v>
      </c>
      <c r="H196" t="n">
        <v>1</v>
      </c>
      <c r="I196" t="n">
        <v>907</v>
      </c>
      <c r="J196" t="inlineStr">
        <is>
          <t>Y</t>
        </is>
      </c>
      <c r="K196" t="inlineStr">
        <is>
          <t>angaga.com.mv</t>
        </is>
      </c>
      <c r="L196" t="inlineStr">
        <is>
          <t>official</t>
        </is>
      </c>
      <c r="M196" t="inlineStr">
        <is>
          <t>https://www.angaga.com.mv/wp-content/uploads/2018/12/HolidayCheck-2018.pdf</t>
        </is>
      </c>
      <c r="N196" t="inlineStr">
        <is>
          <t>https://www.angaga.com.mv/wp-content/uploads/2018/12/HolidayCheck-2018.pdf</t>
        </is>
      </c>
      <c r="O196" t="inlineStr">
        <is>
          <t>facab8e96c3497a080e471116abf63d5bb7d5df3a4336479c07a37865fc48ada</t>
        </is>
      </c>
      <c r="P196" t="inlineStr">
        <is>
          <t>library/011_angaga-island-resort-and-spa/other/2018_HolidayCheck-2018.pdf</t>
        </is>
      </c>
      <c r="R196" t="inlineStr">
        <is>
          <t>outdated</t>
        </is>
      </c>
      <c r="S196" t="inlineStr">
        <is>
          <t>N</t>
        </is>
      </c>
      <c r="T196" t="inlineStr">
        <is>
          <t>matched</t>
        </is>
      </c>
      <c r="U196" t="inlineStr">
        <is>
          <t>2026-10-04</t>
        </is>
      </c>
      <c r="V196" t="inlineStr"/>
    </row>
    <row r="197">
      <c r="A197" t="n">
        <v>11</v>
      </c>
      <c r="B197" t="inlineStr">
        <is>
          <t>Angaga Island Resort and Spa</t>
        </is>
      </c>
      <c r="C197" t="inlineStr">
        <is>
          <t>other</t>
        </is>
      </c>
      <c r="D197" t="inlineStr">
        <is>
          <t>2015_HolidayCheck-2015.pdf</t>
        </is>
      </c>
      <c r="E197" t="n">
        <v>2015</v>
      </c>
      <c r="H197" t="n">
        <v>1</v>
      </c>
      <c r="I197" t="n">
        <v>916</v>
      </c>
      <c r="J197" t="inlineStr">
        <is>
          <t>N</t>
        </is>
      </c>
      <c r="K197" t="inlineStr">
        <is>
          <t>angaga.com.mv</t>
        </is>
      </c>
      <c r="L197" t="inlineStr">
        <is>
          <t>official</t>
        </is>
      </c>
      <c r="M197" t="inlineStr">
        <is>
          <t>https://www.angaga.com.mv/wp-content/uploads/2018/12/HolidayCheck-2015.pdf</t>
        </is>
      </c>
      <c r="N197" t="inlineStr">
        <is>
          <t>https://www.angaga.com.mv/wp-content/uploads/2018/12/HolidayCheck-2015.pdf</t>
        </is>
      </c>
      <c r="O197" t="inlineStr">
        <is>
          <t>48e3c3ab3b0c636b1fc9407d4e76d50cbc45556865a9a0b201b009e39927c621</t>
        </is>
      </c>
      <c r="P197" t="inlineStr">
        <is>
          <t>library/011_angaga-island-resort-and-spa/other/2015_HolidayCheck-2015.pdf</t>
        </is>
      </c>
      <c r="R197" t="inlineStr">
        <is>
          <t>outdated</t>
        </is>
      </c>
      <c r="S197" t="inlineStr">
        <is>
          <t>N</t>
        </is>
      </c>
      <c r="T197" t="inlineStr">
        <is>
          <t>matched</t>
        </is>
      </c>
      <c r="U197" t="inlineStr">
        <is>
          <t>2026-10-04</t>
        </is>
      </c>
      <c r="V197" t="inlineStr"/>
    </row>
    <row r="198">
      <c r="A198" t="n">
        <v>11</v>
      </c>
      <c r="B198" t="inlineStr">
        <is>
          <t>Angaga Island Resort and Spa</t>
        </is>
      </c>
      <c r="C198" t="inlineStr">
        <is>
          <t>other</t>
        </is>
      </c>
      <c r="D198" t="inlineStr">
        <is>
          <t>2014_HolidayCheck-2014.pdf</t>
        </is>
      </c>
      <c r="E198" t="n">
        <v>2014</v>
      </c>
      <c r="H198" t="n">
        <v>1</v>
      </c>
      <c r="I198" t="n">
        <v>771</v>
      </c>
      <c r="J198" t="inlineStr">
        <is>
          <t>N</t>
        </is>
      </c>
      <c r="K198" t="inlineStr">
        <is>
          <t>angaga.com.mv</t>
        </is>
      </c>
      <c r="L198" t="inlineStr">
        <is>
          <t>official</t>
        </is>
      </c>
      <c r="M198" t="inlineStr">
        <is>
          <t>https://www.angaga.com.mv/wp-content/uploads/2018/12/HolidayCheck-2014.pdf</t>
        </is>
      </c>
      <c r="N198" t="inlineStr">
        <is>
          <t>https://www.angaga.com.mv/wp-content/uploads/2018/12/HolidayCheck-2014.pdf</t>
        </is>
      </c>
      <c r="O198" t="inlineStr">
        <is>
          <t>0387644970ffe748323a04d6f38667f10c64c9cb2b70fce20c5641aa0847c0cf</t>
        </is>
      </c>
      <c r="P198" t="inlineStr">
        <is>
          <t>library/011_angaga-island-resort-and-spa/other/2014_HolidayCheck-2014.pdf</t>
        </is>
      </c>
      <c r="R198" t="inlineStr">
        <is>
          <t>outdated</t>
        </is>
      </c>
      <c r="S198" t="inlineStr">
        <is>
          <t>N</t>
        </is>
      </c>
      <c r="T198" t="inlineStr">
        <is>
          <t>matched</t>
        </is>
      </c>
      <c r="U198" t="inlineStr">
        <is>
          <t>2026-10-04</t>
        </is>
      </c>
      <c r="V198" t="inlineStr"/>
    </row>
    <row r="199">
      <c r="A199" t="n">
        <v>11</v>
      </c>
      <c r="B199" t="inlineStr">
        <is>
          <t>Angaga Island Resort and Spa</t>
        </is>
      </c>
      <c r="C199" t="inlineStr">
        <is>
          <t>other</t>
        </is>
      </c>
      <c r="D199" t="inlineStr">
        <is>
          <t>2014_HolidayCheck-2014-Winner.pdf</t>
        </is>
      </c>
      <c r="E199" t="n">
        <v>2014</v>
      </c>
      <c r="H199" t="n">
        <v>1</v>
      </c>
      <c r="I199" t="n">
        <v>614</v>
      </c>
      <c r="J199" t="inlineStr">
        <is>
          <t>Y</t>
        </is>
      </c>
      <c r="K199" t="inlineStr">
        <is>
          <t>angaga.com.mv</t>
        </is>
      </c>
      <c r="L199" t="inlineStr">
        <is>
          <t>official</t>
        </is>
      </c>
      <c r="M199" t="inlineStr">
        <is>
          <t>https://www.angaga.com.mv/wp-content/uploads/2018/12/HolidayCheck-2014-Winner.pdf</t>
        </is>
      </c>
      <c r="N199" t="inlineStr">
        <is>
          <t>https://www.angaga.com.mv/wp-content/uploads/2018/12/HolidayCheck-2014-Winner.pdf</t>
        </is>
      </c>
      <c r="O199" t="inlineStr">
        <is>
          <t>ad1345ba1801a73ac2fd052ae55d7b691176c3bbdb77993956930fe0fee102e6</t>
        </is>
      </c>
      <c r="P199" t="inlineStr">
        <is>
          <t>library/011_angaga-island-resort-and-spa/other/2014_HolidayCheck-2014-Winner.pdf</t>
        </is>
      </c>
      <c r="R199" t="inlineStr">
        <is>
          <t>outdated</t>
        </is>
      </c>
      <c r="S199" t="inlineStr">
        <is>
          <t>N</t>
        </is>
      </c>
      <c r="T199" t="inlineStr">
        <is>
          <t>matched</t>
        </is>
      </c>
      <c r="U199" t="inlineStr">
        <is>
          <t>2026-10-04</t>
        </is>
      </c>
      <c r="V199" t="inlineStr"/>
    </row>
    <row r="200">
      <c r="A200" t="n">
        <v>11</v>
      </c>
      <c r="B200" t="inlineStr">
        <is>
          <t>Angaga Island Resort and Spa</t>
        </is>
      </c>
      <c r="C200" t="inlineStr">
        <is>
          <t>other</t>
        </is>
      </c>
      <c r="D200" t="inlineStr">
        <is>
          <t>2013_HolidayCheck-2013.pdf</t>
        </is>
      </c>
      <c r="E200" t="n">
        <v>2013</v>
      </c>
      <c r="H200" t="n">
        <v>1</v>
      </c>
      <c r="I200" t="n">
        <v>911</v>
      </c>
      <c r="J200" t="inlineStr">
        <is>
          <t>Y</t>
        </is>
      </c>
      <c r="K200" t="inlineStr">
        <is>
          <t>angaga.com.mv</t>
        </is>
      </c>
      <c r="L200" t="inlineStr">
        <is>
          <t>official</t>
        </is>
      </c>
      <c r="M200" t="inlineStr">
        <is>
          <t>https://www.angaga.com.mv/wp-content/uploads/2018/12/HolidayCheck-2013.pdf</t>
        </is>
      </c>
      <c r="N200" t="inlineStr">
        <is>
          <t>https://www.angaga.com.mv/wp-content/uploads/2018/12/HolidayCheck-2013.pdf</t>
        </is>
      </c>
      <c r="O200" t="inlineStr">
        <is>
          <t>aa65f9e0b277f93dcc9d60e8ce12fb5d7d49e088e30eb19c1e205ec4ac1ff30c</t>
        </is>
      </c>
      <c r="P200" t="inlineStr">
        <is>
          <t>library/011_angaga-island-resort-and-spa/other/2013_HolidayCheck-2013.pdf</t>
        </is>
      </c>
      <c r="R200" t="inlineStr">
        <is>
          <t>outdated</t>
        </is>
      </c>
      <c r="S200" t="inlineStr">
        <is>
          <t>N</t>
        </is>
      </c>
      <c r="T200" t="inlineStr">
        <is>
          <t>matched</t>
        </is>
      </c>
      <c r="U200" t="inlineStr">
        <is>
          <t>2026-10-04</t>
        </is>
      </c>
      <c r="V200" t="inlineStr"/>
    </row>
    <row r="201">
      <c r="A201" t="n">
        <v>12</v>
      </c>
      <c r="B201" t="inlineStr">
        <is>
          <t>Thulhagiri Island Resort &amp; Spa</t>
        </is>
      </c>
      <c r="C201" t="inlineStr">
        <is>
          <t>wedding</t>
        </is>
      </c>
      <c r="D201" t="inlineStr">
        <is>
          <t>2025_Romantic-Beach-Dinner.pdf</t>
        </is>
      </c>
      <c r="E201" t="n">
        <v>2025</v>
      </c>
      <c r="H201" t="n">
        <v>1</v>
      </c>
      <c r="I201" t="n">
        <v>2210</v>
      </c>
      <c r="J201" t="inlineStr">
        <is>
          <t>Y</t>
        </is>
      </c>
      <c r="K201" t="inlineStr">
        <is>
          <t>thulhagiri.com.mv</t>
        </is>
      </c>
      <c r="L201" t="inlineStr">
        <is>
          <t>official</t>
        </is>
      </c>
      <c r="M201" t="inlineStr">
        <is>
          <t>https://www.thulhagiri.com.mv/wp-content/uploads/2025/10/Romantic-Beach-Dinner.pdf</t>
        </is>
      </c>
      <c r="N201" t="inlineStr">
        <is>
          <t>https://www.thulhagiri.com.mv/wp-content/uploads/2025/10/Romantic-Beach-Dinner.pdf | https://thulhagiri.com.mv/wp-content/uploads/2025/10/Romantic-Beach-Dinner.pdf</t>
        </is>
      </c>
      <c r="O201" t="inlineStr">
        <is>
          <t>11141f037254bb73964ef676d7a75e970a58394b72fd9d3a8b7babbca7bcc1b4</t>
        </is>
      </c>
      <c r="P201" t="inlineStr">
        <is>
          <t>library/012_thulhagiri-island-resort-spa/wedding/2025_Romantic-Beach-Dinner.pdf</t>
        </is>
      </c>
      <c r="R201" t="inlineStr">
        <is>
          <t>current</t>
        </is>
      </c>
      <c r="S201" t="inlineStr">
        <is>
          <t>Y</t>
        </is>
      </c>
      <c r="T201" t="inlineStr">
        <is>
          <t>matched</t>
        </is>
      </c>
      <c r="U201" t="inlineStr">
        <is>
          <t>2026-10-04</t>
        </is>
      </c>
      <c r="V201" t="inlineStr"/>
    </row>
    <row r="202">
      <c r="A202" t="n">
        <v>12</v>
      </c>
      <c r="B202" t="inlineStr">
        <is>
          <t>Thulhagiri Island Resort &amp; Spa</t>
        </is>
      </c>
      <c r="C202" t="inlineStr">
        <is>
          <t>map</t>
        </is>
      </c>
      <c r="D202" t="inlineStr">
        <is>
          <t>2025_Thulhagiri-Map-Updated-2025.pdf</t>
        </is>
      </c>
      <c r="E202" t="n">
        <v>2025</v>
      </c>
      <c r="H202" t="n">
        <v>1</v>
      </c>
      <c r="I202" t="n">
        <v>14524</v>
      </c>
      <c r="J202" t="inlineStr">
        <is>
          <t>Y</t>
        </is>
      </c>
      <c r="K202" t="inlineStr">
        <is>
          <t>thulhagiri.com.mv</t>
        </is>
      </c>
      <c r="L202" t="inlineStr">
        <is>
          <t>official</t>
        </is>
      </c>
      <c r="M202" t="inlineStr">
        <is>
          <t>https://www.thulhagiri.com.mv/wp-content/uploads/2025/10/Thulhagiri-Map-Updated-2025.pdf</t>
        </is>
      </c>
      <c r="N202" t="inlineStr">
        <is>
          <t>https://www.thulhagiri.com.mv/wp-content/uploads/2025/10/Thulhagiri-Map-Updated-2025.pdf | https://thulhagiri.com.mv/wp-content/uploads/2025/10/Thulhagiri-Map-Updated-2025.pdf</t>
        </is>
      </c>
      <c r="O202" t="inlineStr">
        <is>
          <t>551d567da17658063362b09e0b6cfc0e490bbec9d63f2a774a9f8bb668f85d33</t>
        </is>
      </c>
      <c r="P202" t="inlineStr">
        <is>
          <t>library/012_thulhagiri-island-resort-spa/map/2025_Thulhagiri-Map-Updated-2025.pdf</t>
        </is>
      </c>
      <c r="R202" t="inlineStr">
        <is>
          <t>current</t>
        </is>
      </c>
      <c r="S202" t="inlineStr">
        <is>
          <t>Y</t>
        </is>
      </c>
      <c r="T202" t="inlineStr">
        <is>
          <t>matched</t>
        </is>
      </c>
      <c r="U202" t="inlineStr">
        <is>
          <t>2026-10-04</t>
        </is>
      </c>
      <c r="V202" t="inlineStr"/>
    </row>
    <row r="203">
      <c r="A203" t="n">
        <v>12</v>
      </c>
      <c r="B203" t="inlineStr">
        <is>
          <t>Thulhagiri Island Resort &amp; Spa</t>
        </is>
      </c>
      <c r="C203" t="inlineStr">
        <is>
          <t>dive_map</t>
        </is>
      </c>
      <c r="D203" t="inlineStr">
        <is>
          <t>2022_Thulhagiri-Dive-Site-information-2022.pdf</t>
        </is>
      </c>
      <c r="E203" t="n">
        <v>2022</v>
      </c>
      <c r="H203" t="n">
        <v>6</v>
      </c>
      <c r="I203" t="n">
        <v>597</v>
      </c>
      <c r="J203" t="inlineStr">
        <is>
          <t>Y</t>
        </is>
      </c>
      <c r="K203" t="inlineStr">
        <is>
          <t>thulhagiri.com.mv</t>
        </is>
      </c>
      <c r="L203" t="inlineStr">
        <is>
          <t>official</t>
        </is>
      </c>
      <c r="M203" t="inlineStr">
        <is>
          <t>https://www.thulhagiri.com.mv/wp-content/uploads/2022/12/Thulhagiri-Dive-Site-information-2022.pdf</t>
        </is>
      </c>
      <c r="N203" t="inlineStr">
        <is>
          <t>https://www.thulhagiri.com.mv/wp-content/uploads/2022/12/Thulhagiri-Dive-Site-information-2022.pdf</t>
        </is>
      </c>
      <c r="O203" t="inlineStr">
        <is>
          <t>2f823065271fa42561b1eaa497bc02b4592b7e3536b64258a70a87ca440f476d</t>
        </is>
      </c>
      <c r="P203" t="inlineStr">
        <is>
          <t>library/012_thulhagiri-island-resort-spa/dive_map/2022_Thulhagiri-Dive-Site-information-2022.pdf</t>
        </is>
      </c>
      <c r="R203" t="inlineStr">
        <is>
          <t>outdated</t>
        </is>
      </c>
      <c r="S203" t="inlineStr">
        <is>
          <t>Y</t>
        </is>
      </c>
      <c r="T203" t="inlineStr">
        <is>
          <t>matched</t>
        </is>
      </c>
      <c r="U203" t="inlineStr">
        <is>
          <t>2026-10-04</t>
        </is>
      </c>
      <c r="V203" t="inlineStr"/>
    </row>
    <row r="204">
      <c r="A204" t="n">
        <v>12</v>
      </c>
      <c r="B204" t="inlineStr">
        <is>
          <t>Thulhagiri Island Resort &amp; Spa</t>
        </is>
      </c>
      <c r="C204" t="inlineStr">
        <is>
          <t>spa_menu</t>
        </is>
      </c>
      <c r="D204" t="inlineStr">
        <is>
          <t>2024_Duny-Thai-Spa-Menu-2024-Thulhagiri.pdf</t>
        </is>
      </c>
      <c r="E204" t="n">
        <v>2024</v>
      </c>
      <c r="H204" t="n">
        <v>9</v>
      </c>
      <c r="I204" t="n">
        <v>11682</v>
      </c>
      <c r="J204" t="inlineStr">
        <is>
          <t>Y</t>
        </is>
      </c>
      <c r="K204" t="inlineStr">
        <is>
          <t>thulhagiri.com.mv</t>
        </is>
      </c>
      <c r="L204" t="inlineStr">
        <is>
          <t>official</t>
        </is>
      </c>
      <c r="M204" t="inlineStr">
        <is>
          <t>https://www.thulhagiri.com.mv/wp-content/uploads/2024/01/Duny-Thai-Spa-Menu-2024-Thulhagiri.pdf</t>
        </is>
      </c>
      <c r="N204" t="inlineStr">
        <is>
          <t>https://www.thulhagiri.com.mv/wp-content/uploads/2024/01/Duny-Thai-Spa-Menu-2024-Thulhagiri.pdf | https://thulhagiri.com.mv/wp-content/uploads/2024/01/Duny-Thai-Spa-Menu-2024-Thulhagiri.pdf</t>
        </is>
      </c>
      <c r="O204" t="inlineStr">
        <is>
          <t>f2e295f2079cef977529b0c94e1389dfdb21a653c4140bcda101f3c6d3a2e8f0</t>
        </is>
      </c>
      <c r="P204" t="inlineStr">
        <is>
          <t>library/012_thulhagiri-island-resort-spa/spa_menu/2024_Duny-Thai-Spa-Menu-2024-Thulhagiri.pdf</t>
        </is>
      </c>
      <c r="R204" t="inlineStr">
        <is>
          <t>outdated</t>
        </is>
      </c>
      <c r="S204" t="inlineStr">
        <is>
          <t>Y</t>
        </is>
      </c>
      <c r="T204" t="inlineStr">
        <is>
          <t>matched</t>
        </is>
      </c>
      <c r="U204" t="inlineStr">
        <is>
          <t>2026-10-04</t>
        </is>
      </c>
      <c r="V204" t="inlineStr"/>
    </row>
    <row r="205">
      <c r="A205" t="n">
        <v>12</v>
      </c>
      <c r="B205" t="inlineStr">
        <is>
          <t>Thulhagiri Island Resort &amp; Spa</t>
        </is>
      </c>
      <c r="C205" t="inlineStr">
        <is>
          <t>dining_menu</t>
        </is>
      </c>
      <c r="D205" t="inlineStr">
        <is>
          <t>2025_Coffee-Shop-Menu-2025.pdf</t>
        </is>
      </c>
      <c r="E205" t="n">
        <v>2025</v>
      </c>
      <c r="H205" t="n">
        <v>4</v>
      </c>
      <c r="I205" t="n">
        <v>8265</v>
      </c>
      <c r="J205" t="inlineStr">
        <is>
          <t>Y</t>
        </is>
      </c>
      <c r="K205" t="inlineStr">
        <is>
          <t>thulhagiri.com.mv</t>
        </is>
      </c>
      <c r="L205" t="inlineStr">
        <is>
          <t>official</t>
        </is>
      </c>
      <c r="M205" t="inlineStr">
        <is>
          <t>https://www.thulhagiri.com.mv/wp-content/uploads/2025/10/Coffee-Shop-Menu-2025.pdf</t>
        </is>
      </c>
      <c r="N205" t="inlineStr">
        <is>
          <t>https://www.thulhagiri.com.mv/wp-content/uploads/2025/10/Coffee-Shop-Menu-2025.pdf | https://thulhagiri.com.mv/wp-content/uploads/2025/10/Coffee-Shop-Menu-2025.pdf</t>
        </is>
      </c>
      <c r="O205" t="inlineStr">
        <is>
          <t>6e6861a2cf16531795bbbf759866edc59f1abd4fd2d20ef0fb7ff555b7a2f39a</t>
        </is>
      </c>
      <c r="P205" t="inlineStr">
        <is>
          <t>library/012_thulhagiri-island-resort-spa/dining_menu/2025_Coffee-Shop-Menu-2025.pdf</t>
        </is>
      </c>
      <c r="R205" t="inlineStr">
        <is>
          <t>current</t>
        </is>
      </c>
      <c r="S205" t="inlineStr">
        <is>
          <t>N</t>
        </is>
      </c>
      <c r="T205" t="inlineStr">
        <is>
          <t>matched</t>
        </is>
      </c>
      <c r="U205" t="inlineStr">
        <is>
          <t>2026-10-04</t>
        </is>
      </c>
      <c r="V205" t="inlineStr"/>
    </row>
    <row r="206">
      <c r="A206" t="n">
        <v>12</v>
      </c>
      <c r="B206" t="inlineStr">
        <is>
          <t>Thulhagiri Island Resort &amp; Spa</t>
        </is>
      </c>
      <c r="C206" t="inlineStr">
        <is>
          <t>dining_menu</t>
        </is>
      </c>
      <c r="D206" t="inlineStr">
        <is>
          <t>2025_Drinks-Menu-2025.pdf</t>
        </is>
      </c>
      <c r="E206" t="n">
        <v>2025</v>
      </c>
      <c r="H206" t="n">
        <v>4</v>
      </c>
      <c r="I206" t="n">
        <v>5419</v>
      </c>
      <c r="J206" t="inlineStr">
        <is>
          <t>Y</t>
        </is>
      </c>
      <c r="K206" t="inlineStr">
        <is>
          <t>thulhagiri.com.mv</t>
        </is>
      </c>
      <c r="L206" t="inlineStr">
        <is>
          <t>official</t>
        </is>
      </c>
      <c r="M206" t="inlineStr">
        <is>
          <t>https://www.thulhagiri.com.mv/wp-content/uploads/2025/10/Drinks-Menu-2025.pdf</t>
        </is>
      </c>
      <c r="N206" t="inlineStr">
        <is>
          <t>https://www.thulhagiri.com.mv/wp-content/uploads/2025/10/Drinks-Menu-2025.pdf | https://thulhagiri.com.mv/wp-content/uploads/2025/10/Drinks-Menu-2025.pdf</t>
        </is>
      </c>
      <c r="O206" t="inlineStr">
        <is>
          <t>0bc2fa24dc2093fa0aab1ba74f0fe11986c37ba77c679bba060c8a330f52d0d4</t>
        </is>
      </c>
      <c r="P206" t="inlineStr">
        <is>
          <t>library/012_thulhagiri-island-resort-spa/dining_menu/2025_Drinks-Menu-2025.pdf</t>
        </is>
      </c>
      <c r="R206" t="inlineStr">
        <is>
          <t>current</t>
        </is>
      </c>
      <c r="S206" t="inlineStr">
        <is>
          <t>N</t>
        </is>
      </c>
      <c r="T206" t="inlineStr">
        <is>
          <t>matched</t>
        </is>
      </c>
      <c r="U206" t="inlineStr">
        <is>
          <t>2026-10-04</t>
        </is>
      </c>
      <c r="V206" t="inlineStr"/>
    </row>
    <row r="207">
      <c r="A207" t="n">
        <v>12</v>
      </c>
      <c r="B207" t="inlineStr">
        <is>
          <t>Thulhagiri Island Resort &amp; Spa</t>
        </is>
      </c>
      <c r="C207" t="inlineStr">
        <is>
          <t>dining_menu</t>
        </is>
      </c>
      <c r="D207" t="inlineStr">
        <is>
          <t>2025_Wine-menu-2025.pdf</t>
        </is>
      </c>
      <c r="E207" t="n">
        <v>2025</v>
      </c>
      <c r="H207" t="n">
        <v>6</v>
      </c>
      <c r="I207" t="n">
        <v>6919</v>
      </c>
      <c r="J207" t="inlineStr">
        <is>
          <t>Y</t>
        </is>
      </c>
      <c r="K207" t="inlineStr">
        <is>
          <t>thulhagiri.com.mv</t>
        </is>
      </c>
      <c r="L207" t="inlineStr">
        <is>
          <t>official</t>
        </is>
      </c>
      <c r="M207" t="inlineStr">
        <is>
          <t>https://www.thulhagiri.com.mv/wp-content/uploads/2025/10/Wine-menu-2025.pdf</t>
        </is>
      </c>
      <c r="N207" t="inlineStr">
        <is>
          <t>https://www.thulhagiri.com.mv/wp-content/uploads/2025/10/Wine-menu-2025.pdf | https://thulhagiri.com.mv/wp-content/uploads/2025/10/Wine-menu-2025.pdf</t>
        </is>
      </c>
      <c r="O207" t="inlineStr">
        <is>
          <t>92a62bcab76c64621e66960da1661c92bcb263da9e9c93f914bd91d13af3576a</t>
        </is>
      </c>
      <c r="P207" t="inlineStr">
        <is>
          <t>library/012_thulhagiri-island-resort-spa/dining_menu/2025_Wine-menu-2025.pdf</t>
        </is>
      </c>
      <c r="R207" t="inlineStr">
        <is>
          <t>current</t>
        </is>
      </c>
      <c r="S207" t="inlineStr">
        <is>
          <t>N</t>
        </is>
      </c>
      <c r="T207" t="inlineStr">
        <is>
          <t>matched</t>
        </is>
      </c>
      <c r="U207" t="inlineStr">
        <is>
          <t>2026-10-04</t>
        </is>
      </c>
      <c r="V207" t="inlineStr"/>
    </row>
    <row r="208">
      <c r="A208" t="n">
        <v>12</v>
      </c>
      <c r="B208" t="inlineStr">
        <is>
          <t>Thulhagiri Island Resort &amp; Spa</t>
        </is>
      </c>
      <c r="C208" t="inlineStr">
        <is>
          <t>dining_menu</t>
        </is>
      </c>
      <c r="D208" t="inlineStr">
        <is>
          <t>2025_All-Inclusive-Drinks-Menu-2025-1.pdf</t>
        </is>
      </c>
      <c r="E208" t="n">
        <v>2025</v>
      </c>
      <c r="H208" t="n">
        <v>7</v>
      </c>
      <c r="I208" t="n">
        <v>11994</v>
      </c>
      <c r="J208" t="inlineStr">
        <is>
          <t>Y</t>
        </is>
      </c>
      <c r="K208" t="inlineStr">
        <is>
          <t>thulhagiri.com.mv</t>
        </is>
      </c>
      <c r="L208" t="inlineStr">
        <is>
          <t>official</t>
        </is>
      </c>
      <c r="M208" t="inlineStr">
        <is>
          <t>https://www.thulhagiri.com.mv/wp-content/uploads/2025/10/All-Inclusive-Drinks-Menu-2025-1.pdf</t>
        </is>
      </c>
      <c r="N208" t="inlineStr">
        <is>
          <t>https://www.thulhagiri.com.mv/wp-content/uploads/2025/10/All-Inclusive-Drinks-Menu-2025-1.pdf | https://www.thulhagiri.com.mv/wp-content/uploads/2025/10/All-Inclusive-Drinks-Menu-2025.pdf | https://thulhagiri.com.mv/wp-content/uploads/2025/10/All-Inclusive-Drinks-Menu-2025.pdf | https://thulhagiri.com.mv/wp-content/uploads/2025/10/All-Inclusive-Drinks-Menu-2025-1.pdf</t>
        </is>
      </c>
      <c r="O208" t="inlineStr">
        <is>
          <t>be3673f3e292a7cf50f87142ae8249abfe8298f48b2f6ee1d535f4d303177dfe</t>
        </is>
      </c>
      <c r="P208" t="inlineStr">
        <is>
          <t>library/012_thulhagiri-island-resort-spa/dining_menu/2025_All-Inclusive-Drinks-Menu-2025-1.pdf</t>
        </is>
      </c>
      <c r="R208" t="inlineStr">
        <is>
          <t>current</t>
        </is>
      </c>
      <c r="S208" t="inlineStr">
        <is>
          <t>Y</t>
        </is>
      </c>
      <c r="T208" t="inlineStr">
        <is>
          <t>matched</t>
        </is>
      </c>
      <c r="U208" t="inlineStr">
        <is>
          <t>2026-10-04</t>
        </is>
      </c>
      <c r="V208" t="inlineStr"/>
    </row>
    <row r="209">
      <c r="A209" t="n">
        <v>12</v>
      </c>
      <c r="B209" t="inlineStr">
        <is>
          <t>Thulhagiri Island Resort &amp; Spa</t>
        </is>
      </c>
      <c r="C209" t="inlineStr">
        <is>
          <t>dining_menu</t>
        </is>
      </c>
      <c r="D209" t="inlineStr">
        <is>
          <t>2023_WELCOME-THULHAGIRI-ENGLISH-GERMAN-VERSION-2023.pdf</t>
        </is>
      </c>
      <c r="E209" t="n">
        <v>2023</v>
      </c>
      <c r="H209" t="n">
        <v>5</v>
      </c>
      <c r="I209" t="n">
        <v>331</v>
      </c>
      <c r="J209" t="inlineStr">
        <is>
          <t>Y</t>
        </is>
      </c>
      <c r="K209" t="inlineStr">
        <is>
          <t>thulhagiri.com.mv</t>
        </is>
      </c>
      <c r="L209" t="inlineStr">
        <is>
          <t>official</t>
        </is>
      </c>
      <c r="M209" t="inlineStr">
        <is>
          <t>https://www.thulhagiri.com.mv/wp-content/uploads/2023/01/WELCOME-THULHAGIRI-ENGLISH-GERMAN-VERSION-2023.pdf</t>
        </is>
      </c>
      <c r="N209" t="inlineStr">
        <is>
          <t>https://www.thulhagiri.com.mv/wp-content/uploads/2023/01/WELCOME-THULHAGIRI-ENGLISH-GERMAN-VERSION-2023.pdf</t>
        </is>
      </c>
      <c r="O209" t="inlineStr">
        <is>
          <t>821d27f54823eb87f00e4349c324a255fbf5cb9428636c3e33490a6412b224b8</t>
        </is>
      </c>
      <c r="P209" t="inlineStr">
        <is>
          <t>library/012_thulhagiri-island-resort-spa/dining_menu/2023_WELCOME-THULHAGIRI-ENGLISH-GERMAN-VERSION-2023.pdf</t>
        </is>
      </c>
      <c r="R209" t="inlineStr">
        <is>
          <t>outdated</t>
        </is>
      </c>
      <c r="S209" t="inlineStr">
        <is>
          <t>N</t>
        </is>
      </c>
      <c r="T209" t="inlineStr">
        <is>
          <t>matched</t>
        </is>
      </c>
      <c r="U209" t="inlineStr">
        <is>
          <t>2026-10-04</t>
        </is>
      </c>
      <c r="V209" t="inlineStr"/>
    </row>
    <row r="210">
      <c r="A210" t="n">
        <v>12</v>
      </c>
      <c r="B210" t="inlineStr">
        <is>
          <t>Thulhagiri Island Resort &amp; Spa</t>
        </is>
      </c>
      <c r="C210" t="inlineStr">
        <is>
          <t>dining_menu</t>
        </is>
      </c>
      <c r="D210" t="inlineStr">
        <is>
          <t>2023_Cocktails-List-2023.pdf</t>
        </is>
      </c>
      <c r="E210" t="n">
        <v>2023</v>
      </c>
      <c r="H210" t="n">
        <v>10</v>
      </c>
      <c r="I210" t="n">
        <v>5733</v>
      </c>
      <c r="J210" t="inlineStr">
        <is>
          <t>Y</t>
        </is>
      </c>
      <c r="K210" t="inlineStr">
        <is>
          <t>thulhagiri.com.mv</t>
        </is>
      </c>
      <c r="L210" t="inlineStr">
        <is>
          <t>official</t>
        </is>
      </c>
      <c r="M210" t="inlineStr">
        <is>
          <t>https://www.thulhagiri.com.mv/wp-content/uploads/2023/01/Cocktails-List-2023.pdf</t>
        </is>
      </c>
      <c r="N210" t="inlineStr">
        <is>
          <t>https://www.thulhagiri.com.mv/wp-content/uploads/2023/01/Cocktails-List-2023.pdf | https://thulhagiri.com.mv/wp-content/uploads/2023/01/Cocktails-List-2023.pdf</t>
        </is>
      </c>
      <c r="O210" t="inlineStr">
        <is>
          <t>36884b780117d562be925ff56868f414202e361dcbf6d6e7be2e57ede0e3b1f8</t>
        </is>
      </c>
      <c r="P210" t="inlineStr">
        <is>
          <t>library/012_thulhagiri-island-resort-spa/dining_menu/2023_Cocktails-List-2023.pdf</t>
        </is>
      </c>
      <c r="R210" t="inlineStr">
        <is>
          <t>outdated</t>
        </is>
      </c>
      <c r="S210" t="inlineStr">
        <is>
          <t>N</t>
        </is>
      </c>
      <c r="T210" t="inlineStr">
        <is>
          <t>matched</t>
        </is>
      </c>
      <c r="U210" t="inlineStr">
        <is>
          <t>2026-10-04</t>
        </is>
      </c>
      <c r="V210" t="inlineStr"/>
    </row>
    <row r="211">
      <c r="A211" t="n">
        <v>12</v>
      </c>
      <c r="B211" t="inlineStr">
        <is>
          <t>Thulhagiri Island Resort &amp; Spa</t>
        </is>
      </c>
      <c r="C211" t="inlineStr">
        <is>
          <t>dining_menu</t>
        </is>
      </c>
      <c r="D211" t="inlineStr">
        <is>
          <t>2018_Thulhagiri18.pdf</t>
        </is>
      </c>
      <c r="E211" t="n">
        <v>2018</v>
      </c>
      <c r="H211" t="n">
        <v>1</v>
      </c>
      <c r="I211" t="n">
        <v>127</v>
      </c>
      <c r="J211" t="inlineStr">
        <is>
          <t>Y</t>
        </is>
      </c>
      <c r="K211" t="inlineStr">
        <is>
          <t>thulhagiri.com.mv</t>
        </is>
      </c>
      <c r="L211" t="inlineStr">
        <is>
          <t>official</t>
        </is>
      </c>
      <c r="M211" t="inlineStr">
        <is>
          <t>https://www.thulhagiri.com.mv/wp-content/uploads/2018/12/Thulhagiri18.pdf</t>
        </is>
      </c>
      <c r="N211" t="inlineStr">
        <is>
          <t>https://www.thulhagiri.com.mv/wp-content/uploads/2018/12/Thulhagiri18.pdf | https://thulhagiri.com.mv/wp-content/uploads/2018/12/Thulhagiri18.pdf</t>
        </is>
      </c>
      <c r="O211" t="inlineStr">
        <is>
          <t>e9a2962c0ac91f86b9ef51079ac505b393653896dc716a45ba27d1aee525f267</t>
        </is>
      </c>
      <c r="P211" t="inlineStr">
        <is>
          <t>library/012_thulhagiri-island-resort-spa/dining_menu/2018_Thulhagiri18.pdf</t>
        </is>
      </c>
      <c r="R211" t="inlineStr">
        <is>
          <t>outdated</t>
        </is>
      </c>
      <c r="S211" t="inlineStr">
        <is>
          <t>N</t>
        </is>
      </c>
      <c r="T211" t="inlineStr">
        <is>
          <t>matched</t>
        </is>
      </c>
      <c r="U211" t="inlineStr">
        <is>
          <t>2026-10-04</t>
        </is>
      </c>
      <c r="V211" t="inlineStr"/>
    </row>
    <row r="212">
      <c r="A212" t="n">
        <v>12</v>
      </c>
      <c r="B212" t="inlineStr">
        <is>
          <t>Thulhagiri Island Resort &amp; Spa</t>
        </is>
      </c>
      <c r="C212" t="inlineStr">
        <is>
          <t>dive_prices</t>
        </is>
      </c>
      <c r="D212" t="inlineStr">
        <is>
          <t>2025_Dive-Center-Pricelist-2025.pdf</t>
        </is>
      </c>
      <c r="E212" t="n">
        <v>2025</v>
      </c>
      <c r="H212" t="n">
        <v>2</v>
      </c>
      <c r="I212" t="n">
        <v>133</v>
      </c>
      <c r="J212" t="inlineStr">
        <is>
          <t>Y</t>
        </is>
      </c>
      <c r="K212" t="inlineStr">
        <is>
          <t>thulhagiri.com.mv</t>
        </is>
      </c>
      <c r="L212" t="inlineStr">
        <is>
          <t>official</t>
        </is>
      </c>
      <c r="M212" t="inlineStr">
        <is>
          <t>https://www.thulhagiri.com.mv/wp-content/uploads/2025/10/Dive-Center-Pricelist-2025.pdf</t>
        </is>
      </c>
      <c r="N212" t="inlineStr">
        <is>
          <t>https://www.thulhagiri.com.mv/wp-content/uploads/2025/10/Dive-Center-Pricelist-2025.pdf | https://thulhagiri.com.mv/wp-content/uploads/2025/10/Dive-Center-Pricelist-2025.pdf</t>
        </is>
      </c>
      <c r="O212" t="inlineStr">
        <is>
          <t>c3250c908e2bd6da575688a188424a676edc681047c53cdf7280ad70175fe3ef</t>
        </is>
      </c>
      <c r="P212" t="inlineStr">
        <is>
          <t>library/012_thulhagiri-island-resort-spa/dive_prices/2025_Dive-Center-Pricelist-2025.pdf</t>
        </is>
      </c>
      <c r="R212" t="inlineStr">
        <is>
          <t>current</t>
        </is>
      </c>
      <c r="S212" t="inlineStr">
        <is>
          <t>Y</t>
        </is>
      </c>
      <c r="T212" t="inlineStr">
        <is>
          <t>matched</t>
        </is>
      </c>
      <c r="U212" t="inlineStr">
        <is>
          <t>2026-10-04</t>
        </is>
      </c>
      <c r="V212" t="inlineStr"/>
    </row>
    <row r="213">
      <c r="A213" t="n">
        <v>12</v>
      </c>
      <c r="B213" t="inlineStr">
        <is>
          <t>Thulhagiri Island Resort &amp; Spa</t>
        </is>
      </c>
      <c r="C213" t="inlineStr">
        <is>
          <t>dive_prices</t>
        </is>
      </c>
      <c r="D213" t="inlineStr">
        <is>
          <t>2024_Water-Sports-Info-2024.pdf</t>
        </is>
      </c>
      <c r="E213" t="n">
        <v>2024</v>
      </c>
      <c r="H213" t="n">
        <v>1</v>
      </c>
      <c r="I213" t="n">
        <v>1308</v>
      </c>
      <c r="J213" t="inlineStr">
        <is>
          <t>Y</t>
        </is>
      </c>
      <c r="K213" t="inlineStr">
        <is>
          <t>thulhagiri.com.mv</t>
        </is>
      </c>
      <c r="L213" t="inlineStr">
        <is>
          <t>official</t>
        </is>
      </c>
      <c r="M213" t="inlineStr">
        <is>
          <t>https://www.thulhagiri.com.mv/wp-content/uploads/2025/10/Water-Sports-Info-2024.pdf</t>
        </is>
      </c>
      <c r="N213" t="inlineStr">
        <is>
          <t>https://www.thulhagiri.com.mv/wp-content/uploads/2025/10/Water-Sports-Info-2024.pdf | https://thulhagiri.com.mv/wp-content/uploads/2025/10/Water-Sports-Info-2024.pdf</t>
        </is>
      </c>
      <c r="O213" t="inlineStr">
        <is>
          <t>75329ca21e60cba9866fc15bd8a4ebf5d4fbdf45f7f1d377b4037b19314c94a0</t>
        </is>
      </c>
      <c r="P213" t="inlineStr">
        <is>
          <t>library/012_thulhagiri-island-resort-spa/dive_prices/2024_Water-Sports-Info-2024.pdf</t>
        </is>
      </c>
      <c r="R213" t="inlineStr">
        <is>
          <t>outdated</t>
        </is>
      </c>
      <c r="S213" t="inlineStr">
        <is>
          <t>N</t>
        </is>
      </c>
      <c r="T213" t="inlineStr">
        <is>
          <t>matched</t>
        </is>
      </c>
      <c r="U213" t="inlineStr">
        <is>
          <t>2026-10-04</t>
        </is>
      </c>
      <c r="V213" t="inlineStr"/>
    </row>
    <row r="214">
      <c r="A214" t="n">
        <v>12</v>
      </c>
      <c r="B214" t="inlineStr">
        <is>
          <t>Thulhagiri Island Resort &amp; Spa</t>
        </is>
      </c>
      <c r="C214" t="inlineStr">
        <is>
          <t>dive_prices</t>
        </is>
      </c>
      <c r="D214" t="inlineStr">
        <is>
          <t>2018_While-snorkelingchinese.pdf</t>
        </is>
      </c>
      <c r="E214" t="n">
        <v>2018</v>
      </c>
      <c r="H214" t="n">
        <v>9</v>
      </c>
      <c r="I214" t="n">
        <v>590</v>
      </c>
      <c r="J214" t="inlineStr">
        <is>
          <t>Y</t>
        </is>
      </c>
      <c r="K214" t="inlineStr">
        <is>
          <t>thulhagiri.com.mv</t>
        </is>
      </c>
      <c r="L214" t="inlineStr">
        <is>
          <t>official</t>
        </is>
      </c>
      <c r="M214" t="inlineStr">
        <is>
          <t>https://www.thulhagiri.com.mv/wp-content/uploads/2018/12/While-snorkelingchinese.pdf</t>
        </is>
      </c>
      <c r="N214" t="inlineStr">
        <is>
          <t>https://www.thulhagiri.com.mv/wp-content/uploads/2018/12/While-snorkelingchinese.pdf | https://thulhagiri.com.mv/wp-content/uploads/2018/12/While-snorkelingchinese.pdf</t>
        </is>
      </c>
      <c r="O214" t="inlineStr">
        <is>
          <t>7e821b9ddeaf5f64bb57b35b5de396286d319e7476fc49c9436ebb1966d528c1</t>
        </is>
      </c>
      <c r="P214" t="inlineStr">
        <is>
          <t>library/012_thulhagiri-island-resort-spa/dive_prices/2018_While-snorkelingchinese.pdf</t>
        </is>
      </c>
      <c r="R214" t="inlineStr">
        <is>
          <t>outdated</t>
        </is>
      </c>
      <c r="S214" t="inlineStr">
        <is>
          <t>N</t>
        </is>
      </c>
      <c r="T214" t="inlineStr">
        <is>
          <t>matched</t>
        </is>
      </c>
      <c r="U214" t="inlineStr">
        <is>
          <t>2026-10-04</t>
        </is>
      </c>
      <c r="V214" t="inlineStr"/>
    </row>
    <row r="215">
      <c r="A215" t="n">
        <v>12</v>
      </c>
      <c r="B215" t="inlineStr">
        <is>
          <t>Thulhagiri Island Resort &amp; Spa</t>
        </is>
      </c>
      <c r="C215" t="inlineStr">
        <is>
          <t>villa_plans</t>
        </is>
      </c>
      <c r="D215" t="inlineStr">
        <is>
          <t>2018_Welcome-to-Thulhagiri.pdf</t>
        </is>
      </c>
      <c r="E215" t="n">
        <v>2018</v>
      </c>
      <c r="H215" t="n">
        <v>24</v>
      </c>
      <c r="I215" t="n">
        <v>442</v>
      </c>
      <c r="J215" t="inlineStr">
        <is>
          <t>Y</t>
        </is>
      </c>
      <c r="K215" t="inlineStr">
        <is>
          <t>thulhagiri.com.mv</t>
        </is>
      </c>
      <c r="L215" t="inlineStr">
        <is>
          <t>official</t>
        </is>
      </c>
      <c r="M215" t="inlineStr">
        <is>
          <t>https://www.thulhagiri.com.mv/wp-content/uploads/2018/12/Welcome-to-Thulhagiri.pdf</t>
        </is>
      </c>
      <c r="N215" t="inlineStr">
        <is>
          <t>https://www.thulhagiri.com.mv/wp-content/uploads/2018/12/Welcome-to-Thulhagiri.pdf | https://thulhagiri.com.mv/wp-content/uploads/2018/12/Welcome-to-Thulhagiri.pdf</t>
        </is>
      </c>
      <c r="O215" t="inlineStr">
        <is>
          <t>70ffba2315079082c13f7efe448b3550fdb0b8257cd1be2f53815f152d039c5f</t>
        </is>
      </c>
      <c r="P215" t="inlineStr">
        <is>
          <t>library/012_thulhagiri-island-resort-spa/villa_plans/2018_Welcome-to-Thulhagiri.pdf</t>
        </is>
      </c>
      <c r="R215" t="inlineStr">
        <is>
          <t>outdated</t>
        </is>
      </c>
      <c r="S215" t="inlineStr">
        <is>
          <t>Y</t>
        </is>
      </c>
      <c r="T215" t="inlineStr">
        <is>
          <t>matched</t>
        </is>
      </c>
      <c r="U215" t="inlineStr">
        <is>
          <t>2026-10-04</t>
        </is>
      </c>
      <c r="V215" t="inlineStr"/>
    </row>
    <row r="216">
      <c r="A216" t="n">
        <v>12</v>
      </c>
      <c r="B216" t="inlineStr">
        <is>
          <t>Thulhagiri Island Resort &amp; Spa</t>
        </is>
      </c>
      <c r="C216" t="inlineStr">
        <is>
          <t>all_inclusive</t>
        </is>
      </c>
      <c r="D216" t="inlineStr">
        <is>
          <t>2024_All-inclusive-HBP_Package-Details-.pdf</t>
        </is>
      </c>
      <c r="E216" t="n">
        <v>2024</v>
      </c>
      <c r="H216" t="n">
        <v>1</v>
      </c>
      <c r="I216" t="n">
        <v>2176</v>
      </c>
      <c r="J216" t="inlineStr">
        <is>
          <t>Y</t>
        </is>
      </c>
      <c r="K216" t="inlineStr">
        <is>
          <t>thulhagiri.com.mv</t>
        </is>
      </c>
      <c r="L216" t="inlineStr">
        <is>
          <t>official</t>
        </is>
      </c>
      <c r="M216" t="inlineStr">
        <is>
          <t>https://www.thulhagiri.com.mv/wp-content/uploads/2025/10/All-inclusive-HBP_Package-Details-.pdf</t>
        </is>
      </c>
      <c r="N216" t="inlineStr">
        <is>
          <t>https://www.thulhagiri.com.mv/wp-content/uploads/2025/10/All-inclusive-HBP_Package-Details-.pdf | https://thulhagiri.com.mv/wp-content/uploads/2025/10/All-inclusive-HBP_Package-Details-.pdf</t>
        </is>
      </c>
      <c r="O216" t="inlineStr">
        <is>
          <t>1405fe8e7f002ff8f079db3e7dd4e22f0d3b5babc4c8307ad94ec5a4abc962bb</t>
        </is>
      </c>
      <c r="P216" t="inlineStr">
        <is>
          <t>library/012_thulhagiri-island-resort-spa/all_inclusive/2024_All-inclusive-HBP_Package-Details-.pdf</t>
        </is>
      </c>
      <c r="R216" t="inlineStr">
        <is>
          <t>outdated</t>
        </is>
      </c>
      <c r="S216" t="inlineStr">
        <is>
          <t>Y</t>
        </is>
      </c>
      <c r="T216" t="inlineStr">
        <is>
          <t>matched</t>
        </is>
      </c>
      <c r="U216" t="inlineStr">
        <is>
          <t>2026-10-04</t>
        </is>
      </c>
      <c r="V216" t="inlineStr"/>
    </row>
    <row r="217">
      <c r="A217" t="n">
        <v>12</v>
      </c>
      <c r="B217" t="inlineStr">
        <is>
          <t>Thulhagiri Island Resort &amp; Spa</t>
        </is>
      </c>
      <c r="C217" t="inlineStr">
        <is>
          <t>sustainability</t>
        </is>
      </c>
      <c r="D217" t="inlineStr">
        <is>
          <t>2025_EXCUSION-TOURS-2025.pdf</t>
        </is>
      </c>
      <c r="E217" t="n">
        <v>2025</v>
      </c>
      <c r="H217" t="n">
        <v>1</v>
      </c>
      <c r="I217" t="n">
        <v>1851</v>
      </c>
      <c r="J217" t="inlineStr">
        <is>
          <t>Y</t>
        </is>
      </c>
      <c r="K217" t="inlineStr">
        <is>
          <t>thulhagiri.com.mv</t>
        </is>
      </c>
      <c r="L217" t="inlineStr">
        <is>
          <t>official</t>
        </is>
      </c>
      <c r="M217" t="inlineStr">
        <is>
          <t>https://www.thulhagiri.com.mv/wp-content/uploads/2025/10/EXCUSION-TOURS-2025.pdf</t>
        </is>
      </c>
      <c r="N217" t="inlineStr">
        <is>
          <t>https://www.thulhagiri.com.mv/wp-content/uploads/2025/10/EXCUSION-TOURS-2025.pdf | https://thulhagiri.com.mv/wp-content/uploads/2025/10/EXCUSION-TOURS-2025.pdf</t>
        </is>
      </c>
      <c r="O217" t="inlineStr">
        <is>
          <t>b3f2850b969c5744082347fa8e0a5fa45534c77a33a93f92a27f7904a50746f4</t>
        </is>
      </c>
      <c r="P217" t="inlineStr">
        <is>
          <t>library/012_thulhagiri-island-resort-spa/sustainability/2025_EXCUSION-TOURS-2025.pdf</t>
        </is>
      </c>
      <c r="R217" t="inlineStr">
        <is>
          <t>current</t>
        </is>
      </c>
      <c r="S217" t="inlineStr">
        <is>
          <t>Y</t>
        </is>
      </c>
      <c r="T217" t="inlineStr">
        <is>
          <t>matched</t>
        </is>
      </c>
      <c r="U217" t="inlineStr">
        <is>
          <t>2026-10-04</t>
        </is>
      </c>
      <c r="V217" t="inlineStr"/>
    </row>
    <row r="218">
      <c r="A218" t="n">
        <v>12</v>
      </c>
      <c r="B218" t="inlineStr">
        <is>
          <t>Thulhagiri Island Resort &amp; Spa</t>
        </is>
      </c>
      <c r="C218" t="inlineStr">
        <is>
          <t>press_kit</t>
        </is>
      </c>
      <c r="D218" t="inlineStr">
        <is>
          <t>2025_Photography-2025.pdf</t>
        </is>
      </c>
      <c r="E218" t="n">
        <v>2025</v>
      </c>
      <c r="H218" t="n">
        <v>1</v>
      </c>
      <c r="I218" t="n">
        <v>4920</v>
      </c>
      <c r="J218" t="inlineStr">
        <is>
          <t>N</t>
        </is>
      </c>
      <c r="K218" t="inlineStr">
        <is>
          <t>thulhagiri.com.mv</t>
        </is>
      </c>
      <c r="L218" t="inlineStr">
        <is>
          <t>official</t>
        </is>
      </c>
      <c r="M218" t="inlineStr">
        <is>
          <t>https://www.thulhagiri.com.mv/wp-content/uploads/2025/10/Photography-2025.pdf</t>
        </is>
      </c>
      <c r="N218" t="inlineStr">
        <is>
          <t>https://www.thulhagiri.com.mv/wp-content/uploads/2025/10/Photography-2025.pdf | https://thulhagiri.com.mv/wp-content/uploads/2025/10/Photography-2025.pdf</t>
        </is>
      </c>
      <c r="O218" t="inlineStr">
        <is>
          <t>dd38b78e4152a70013fa5f126e25319b1655e21b42bd65e3b976f2b12ffae3d7</t>
        </is>
      </c>
      <c r="P218" t="inlineStr">
        <is>
          <t>library/012_thulhagiri-island-resort-spa/press_kit/2025_Photography-2025.pdf</t>
        </is>
      </c>
      <c r="R218" t="inlineStr">
        <is>
          <t>current</t>
        </is>
      </c>
      <c r="S218" t="inlineStr">
        <is>
          <t>Y</t>
        </is>
      </c>
      <c r="T218" t="inlineStr">
        <is>
          <t>matched</t>
        </is>
      </c>
      <c r="U218" t="inlineStr">
        <is>
          <t>2026-10-04</t>
        </is>
      </c>
      <c r="V218" t="inlineStr"/>
    </row>
    <row r="219">
      <c r="A219" t="n">
        <v>12</v>
      </c>
      <c r="B219" t="inlineStr">
        <is>
          <t>Thulhagiri Island Resort &amp; Spa</t>
        </is>
      </c>
      <c r="C219" t="inlineStr">
        <is>
          <t>other</t>
        </is>
      </c>
      <c r="D219" t="inlineStr">
        <is>
          <t>2018_thulhagirimap.pdf</t>
        </is>
      </c>
      <c r="E219" t="n">
        <v>2018</v>
      </c>
      <c r="H219" t="n">
        <v>1</v>
      </c>
      <c r="I219" t="n">
        <v>290</v>
      </c>
      <c r="J219" t="inlineStr">
        <is>
          <t>N</t>
        </is>
      </c>
      <c r="K219" t="inlineStr">
        <is>
          <t>thulhagiri.com.mv</t>
        </is>
      </c>
      <c r="L219" t="inlineStr">
        <is>
          <t>official</t>
        </is>
      </c>
      <c r="M219" t="inlineStr">
        <is>
          <t>https://www.thulhagiri.com.mv/wp-content/uploads/2018/12/thulhagirimap.pdf</t>
        </is>
      </c>
      <c r="N219" t="inlineStr">
        <is>
          <t>https://www.thulhagiri.com.mv/wp-content/uploads/2018/12/thulhagirimap.pdf</t>
        </is>
      </c>
      <c r="O219" t="inlineStr">
        <is>
          <t>4c5a19a21ac0b3480af4da3cb3441761529721fc3a3d6c1e1ff56d39d9505f7f</t>
        </is>
      </c>
      <c r="P219" t="inlineStr">
        <is>
          <t>library/012_thulhagiri-island-resort-spa/other/2018_thulhagirimap.pdf</t>
        </is>
      </c>
      <c r="R219" t="inlineStr">
        <is>
          <t>outdated</t>
        </is>
      </c>
      <c r="S219" t="inlineStr">
        <is>
          <t>Y</t>
        </is>
      </c>
      <c r="T219" t="inlineStr">
        <is>
          <t>matched</t>
        </is>
      </c>
      <c r="U219" t="inlineStr">
        <is>
          <t>2026-10-04</t>
        </is>
      </c>
      <c r="V219" t="inlineStr"/>
    </row>
    <row r="220">
      <c r="A220" t="n">
        <v>13</v>
      </c>
      <c r="B220" t="inlineStr">
        <is>
          <t>Sandies Bathala</t>
        </is>
      </c>
      <c r="C220" t="inlineStr">
        <is>
          <t>events</t>
        </is>
      </c>
      <c r="D220" t="inlineStr">
        <is>
          <t>2026_DIAMONDS-Malindi-MICE-Booklet-2026.pdf</t>
        </is>
      </c>
      <c r="E220" t="n">
        <v>2026</v>
      </c>
      <c r="H220" t="n">
        <v>15</v>
      </c>
      <c r="I220" t="n">
        <v>1339</v>
      </c>
      <c r="J220" t="inlineStr">
        <is>
          <t>Y</t>
        </is>
      </c>
      <c r="K220" t="inlineStr">
        <is>
          <t>planhotel.com</t>
        </is>
      </c>
      <c r="L220" t="inlineStr">
        <is>
          <t>official</t>
        </is>
      </c>
      <c r="M220" t="inlineStr">
        <is>
          <t>https://d1vp8nomjxwyf1.cloudfront.net/wp-content/uploads/sites/212/2017/07/03081145/DIAMONDS-Malindi-MICE-Booklet-2026.pdf</t>
        </is>
      </c>
      <c r="N220" t="inlineStr">
        <is>
          <t>https://d1vp8nomjxwyf1.cloudfront.net/wp-content/uploads/sites/212/2017/07/03081145/DIAMONDS-Malindi-MICE-Booklet-2026.pdf</t>
        </is>
      </c>
      <c r="O220" t="inlineStr">
        <is>
          <t>992ede7b019bdfb3b02fdabcb009989e1f157bf5d9403dcbb5f836e619b6004d</t>
        </is>
      </c>
      <c r="P220" t="inlineStr">
        <is>
          <t>library/013_sandies-bathala/events/2026_DIAMONDS-Malindi-MICE-Booklet-2026.pdf</t>
        </is>
      </c>
      <c r="R220" t="inlineStr">
        <is>
          <t>current</t>
        </is>
      </c>
      <c r="S220" t="inlineStr">
        <is>
          <t>Y</t>
        </is>
      </c>
      <c r="T220" t="inlineStr">
        <is>
          <t>needs-review</t>
        </is>
      </c>
      <c r="U220" t="inlineStr">
        <is>
          <t>2026-10-04</t>
        </is>
      </c>
      <c r="V220" t="inlineStr">
        <is>
          <t>ambiguous match [13]</t>
        </is>
      </c>
    </row>
    <row r="221">
      <c r="A221" t="n">
        <v>13</v>
      </c>
      <c r="B221" t="inlineStr">
        <is>
          <t>Sandies Bathala</t>
        </is>
      </c>
      <c r="C221" t="inlineStr">
        <is>
          <t>events</t>
        </is>
      </c>
      <c r="D221" t="inlineStr">
        <is>
          <t>2025_Conference-Packages.pdf</t>
        </is>
      </c>
      <c r="E221" t="n">
        <v>2025</v>
      </c>
      <c r="H221" t="n">
        <v>10</v>
      </c>
      <c r="I221" t="n">
        <v>7191</v>
      </c>
      <c r="J221" t="inlineStr">
        <is>
          <t>Y</t>
        </is>
      </c>
      <c r="K221" t="inlineStr">
        <is>
          <t>planhotel.com</t>
        </is>
      </c>
      <c r="L221" t="inlineStr">
        <is>
          <t>official</t>
        </is>
      </c>
      <c r="M221" t="inlineStr">
        <is>
          <t>https://d1vp8nomjxwyf1.cloudfront.net/wp-content/uploads/sites/212/2026/03/26095245/Conference-Packages.pdf</t>
        </is>
      </c>
      <c r="N221" t="inlineStr">
        <is>
          <t>https://d1vp8nomjxwyf1.cloudfront.net/wp-content/uploads/sites/212/2026/03/26095245/Conference-Packages.pdf</t>
        </is>
      </c>
      <c r="O221" t="inlineStr">
        <is>
          <t>172d643e1bf40fb567e602b5e8d6fcde63fd94addf79a018dd5ea834892976ca</t>
        </is>
      </c>
      <c r="P221" t="inlineStr">
        <is>
          <t>library/013_sandies-bathala/events/2025_Conference-Packages.pdf</t>
        </is>
      </c>
      <c r="R221" t="inlineStr">
        <is>
          <t>current</t>
        </is>
      </c>
      <c r="S221" t="inlineStr">
        <is>
          <t>N</t>
        </is>
      </c>
      <c r="T221" t="inlineStr">
        <is>
          <t>needs-review</t>
        </is>
      </c>
      <c r="U221" t="inlineStr">
        <is>
          <t>2026-10-04</t>
        </is>
      </c>
      <c r="V221" t="inlineStr">
        <is>
          <t>ambiguous match [13]</t>
        </is>
      </c>
    </row>
    <row r="222">
      <c r="A222" t="n">
        <v>13</v>
      </c>
      <c r="B222" t="inlineStr">
        <is>
          <t>Sandies Bathala</t>
        </is>
      </c>
      <c r="C222" t="inlineStr">
        <is>
          <t>events</t>
        </is>
      </c>
      <c r="D222" t="inlineStr">
        <is>
          <t>2024_Planhotel-Corporate-Sustainability-Report-2024.pdf</t>
        </is>
      </c>
      <c r="E222" t="n">
        <v>2024</v>
      </c>
      <c r="H222" t="n">
        <v>45</v>
      </c>
      <c r="I222" t="n">
        <v>8966</v>
      </c>
      <c r="J222" t="inlineStr">
        <is>
          <t>Y</t>
        </is>
      </c>
      <c r="K222" t="inlineStr">
        <is>
          <t>planhotel.com</t>
        </is>
      </c>
      <c r="L222" t="inlineStr">
        <is>
          <t>official</t>
        </is>
      </c>
      <c r="M222" t="inlineStr">
        <is>
          <t>https://d1vp8nomjxwyf1.cloudfront.net/wp-content/uploads/sites/212/2017/07/05112313/Planhotel-Corporate-Sustainability-Report-2024.pdf</t>
        </is>
      </c>
      <c r="N222" t="inlineStr">
        <is>
          <t>https://d1vp8nomjxwyf1.cloudfront.net/wp-content/uploads/sites/212/2017/07/05112313/Planhotel-Corporate-Sustainability-Report-2024.pdf</t>
        </is>
      </c>
      <c r="O222" t="inlineStr">
        <is>
          <t>1482fe72178696d84e181484f035786366ee5734922d2a38cfc7f20d370ed9ee</t>
        </is>
      </c>
      <c r="P222" t="inlineStr">
        <is>
          <t>library/013_sandies-bathala/events/2024_Planhotel-Corporate-Sustainability-Report-2024.pdf</t>
        </is>
      </c>
      <c r="R222" t="inlineStr">
        <is>
          <t>outdated</t>
        </is>
      </c>
      <c r="S222" t="inlineStr">
        <is>
          <t>N</t>
        </is>
      </c>
      <c r="T222" t="inlineStr">
        <is>
          <t>needs-review</t>
        </is>
      </c>
      <c r="U222" t="inlineStr">
        <is>
          <t>2026-10-04</t>
        </is>
      </c>
      <c r="V222" t="inlineStr">
        <is>
          <t>ambiguous match [13]</t>
        </is>
      </c>
    </row>
    <row r="223">
      <c r="A223" t="n">
        <v>13</v>
      </c>
      <c r="B223" t="inlineStr">
        <is>
          <t>Sandies Bathala</t>
        </is>
      </c>
      <c r="C223" t="inlineStr">
        <is>
          <t>spa_menu</t>
        </is>
      </c>
      <c r="D223" t="inlineStr">
        <is>
          <t>2021_Planhotel-Hospitality-Group-Company-Profile_dsp.pdf</t>
        </is>
      </c>
      <c r="E223" t="n">
        <v>2021</v>
      </c>
      <c r="H223" t="n">
        <v>18</v>
      </c>
      <c r="I223" t="n">
        <v>6884</v>
      </c>
      <c r="J223" t="inlineStr">
        <is>
          <t>Y</t>
        </is>
      </c>
      <c r="K223" t="inlineStr">
        <is>
          <t>planhotel.com</t>
        </is>
      </c>
      <c r="L223" t="inlineStr">
        <is>
          <t>official</t>
        </is>
      </c>
      <c r="M223" t="inlineStr">
        <is>
          <t>https://d1vp8nomjxwyf1.cloudfront.net/wp-content/uploads/sites/212/2017/07/02141435/Planhotel-Hospitality-Group-Company-Profile_dsp.pdf</t>
        </is>
      </c>
      <c r="N223" t="inlineStr">
        <is>
          <t>https://d1vp8nomjxwyf1.cloudfront.net/wp-content/uploads/sites/212/2017/07/02141435/Planhotel-Hospitality-Group-Company-Profile_dsp.pdf</t>
        </is>
      </c>
      <c r="O223" t="inlineStr">
        <is>
          <t>03a73855393e799e7065e89b8a9a839e96aace6928bea1531c3e7633e733e924</t>
        </is>
      </c>
      <c r="P223" t="inlineStr">
        <is>
          <t>library/013_sandies-bathala/spa_menu/2021_Planhotel-Hospitality-Group-Company-Profile_dsp.pdf</t>
        </is>
      </c>
      <c r="R223" t="inlineStr">
        <is>
          <t>outdated</t>
        </is>
      </c>
      <c r="S223" t="inlineStr">
        <is>
          <t>Y</t>
        </is>
      </c>
      <c r="T223" t="inlineStr">
        <is>
          <t>matched</t>
        </is>
      </c>
      <c r="U223" t="inlineStr">
        <is>
          <t>2026-10-04</t>
        </is>
      </c>
      <c r="V223" t="inlineStr"/>
    </row>
    <row r="224">
      <c r="A224" t="n">
        <v>13</v>
      </c>
      <c r="B224" t="inlineStr">
        <is>
          <t>Sandies Bathala</t>
        </is>
      </c>
      <c r="C224" t="inlineStr">
        <is>
          <t>spa_menu</t>
        </is>
      </c>
      <c r="D224" t="inlineStr">
        <is>
          <t>2018_Planhotel-Company-Profile.pdf</t>
        </is>
      </c>
      <c r="E224" t="n">
        <v>2018</v>
      </c>
      <c r="H224" t="n">
        <v>13</v>
      </c>
      <c r="I224" t="n">
        <v>6647</v>
      </c>
      <c r="J224" t="inlineStr">
        <is>
          <t>Y</t>
        </is>
      </c>
      <c r="K224" t="inlineStr">
        <is>
          <t>planhotel.com</t>
        </is>
      </c>
      <c r="L224" t="inlineStr">
        <is>
          <t>official</t>
        </is>
      </c>
      <c r="M224" t="inlineStr">
        <is>
          <t>https://d1vp8nomjxwyf1.cloudfront.net/wp-content/uploads/sites/212/2017/07/14094821/Planhotel-Company-Profile.pdf</t>
        </is>
      </c>
      <c r="N224" t="inlineStr">
        <is>
          <t>https://d1vp8nomjxwyf1.cloudfront.net/wp-content/uploads/sites/212/2017/07/14094821/Planhotel-Company-Profile.pdf</t>
        </is>
      </c>
      <c r="O224" t="inlineStr">
        <is>
          <t>05ae3606018276b9a0c39b8baf7af7a9a72b655ce1f7b9883758d11a2ac3793c</t>
        </is>
      </c>
      <c r="P224" t="inlineStr">
        <is>
          <t>library/013_sandies-bathala/spa_menu/2018_Planhotel-Company-Profile.pdf</t>
        </is>
      </c>
      <c r="R224" t="inlineStr">
        <is>
          <t>outdated</t>
        </is>
      </c>
      <c r="S224" t="inlineStr">
        <is>
          <t>N</t>
        </is>
      </c>
      <c r="T224" t="inlineStr">
        <is>
          <t>matched</t>
        </is>
      </c>
      <c r="U224" t="inlineStr">
        <is>
          <t>2026-10-04</t>
        </is>
      </c>
      <c r="V224" t="inlineStr"/>
    </row>
    <row r="225">
      <c r="A225" t="n">
        <v>13</v>
      </c>
      <c r="B225" t="inlineStr">
        <is>
          <t>Sandies Bathala</t>
        </is>
      </c>
      <c r="C225" t="inlineStr">
        <is>
          <t>spa_menu</t>
        </is>
      </c>
      <c r="D225" t="inlineStr">
        <is>
          <t>2017_Diamonds-Dream-of-Africa_2017_Groups-Manual.pdf</t>
        </is>
      </c>
      <c r="E225" t="n">
        <v>2017</v>
      </c>
      <c r="H225" t="n">
        <v>17</v>
      </c>
      <c r="I225" t="n">
        <v>3747</v>
      </c>
      <c r="J225" t="inlineStr">
        <is>
          <t>Y</t>
        </is>
      </c>
      <c r="K225" t="inlineStr">
        <is>
          <t>planhotel.com</t>
        </is>
      </c>
      <c r="L225" t="inlineStr">
        <is>
          <t>official</t>
        </is>
      </c>
      <c r="M225" t="inlineStr">
        <is>
          <t>https://d1vp8nomjxwyf1.cloudfront.net/wp-content/uploads/sites/212/2017/07/02075547/Diamonds-Dream-of-Africa_2017_Groups-Manual.pdf</t>
        </is>
      </c>
      <c r="N225" t="inlineStr">
        <is>
          <t>https://d1vp8nomjxwyf1.cloudfront.net/wp-content/uploads/sites/212/2017/07/02075547/Diamonds-Dream-of-Africa_2017_Groups-Manual.pdf</t>
        </is>
      </c>
      <c r="O225" t="inlineStr">
        <is>
          <t>a8e7c4f8f9a688c281a9b17cd93349a4add66004af8fb2e6bc12aeb213a06b1d</t>
        </is>
      </c>
      <c r="P225" t="inlineStr">
        <is>
          <t>library/013_sandies-bathala/spa_menu/2017_Diamonds-Dream-of-Africa_2017_Groups-Manual.pdf</t>
        </is>
      </c>
      <c r="R225" t="inlineStr">
        <is>
          <t>outdated</t>
        </is>
      </c>
      <c r="S225" t="inlineStr">
        <is>
          <t>N</t>
        </is>
      </c>
      <c r="T225" t="inlineStr">
        <is>
          <t>needs-review</t>
        </is>
      </c>
      <c r="U225" t="inlineStr">
        <is>
          <t>2026-10-04</t>
        </is>
      </c>
      <c r="V225" t="inlineStr">
        <is>
          <t>ambiguous match [13]</t>
        </is>
      </c>
    </row>
    <row r="226">
      <c r="A226" t="n">
        <v>13</v>
      </c>
      <c r="B226" t="inlineStr">
        <is>
          <t>Sandies Bathala</t>
        </is>
      </c>
      <c r="C226" t="inlineStr">
        <is>
          <t>dining_menu</t>
        </is>
      </c>
      <c r="D226" t="inlineStr">
        <is>
          <t>2018_Italia-a-Tavola_Nov-2018.pdf</t>
        </is>
      </c>
      <c r="E226" t="n">
        <v>2018</v>
      </c>
      <c r="H226" t="n">
        <v>3</v>
      </c>
      <c r="I226" t="n">
        <v>1419</v>
      </c>
      <c r="J226" t="inlineStr">
        <is>
          <t>Y</t>
        </is>
      </c>
      <c r="K226" t="inlineStr">
        <is>
          <t>planhotel.com</t>
        </is>
      </c>
      <c r="L226" t="inlineStr">
        <is>
          <t>official</t>
        </is>
      </c>
      <c r="M226" t="inlineStr">
        <is>
          <t>https://d1vp8nomjxwyf1.cloudfront.net/wp-content/uploads/sites/212/2017/07/10144441/Italia-a-Tavola_Nov-2018.pdf</t>
        </is>
      </c>
      <c r="N226" t="inlineStr">
        <is>
          <t>https://d1vp8nomjxwyf1.cloudfront.net/wp-content/uploads/sites/212/2017/07/10144441/Italia-a-Tavola_Nov-2018.pdf</t>
        </is>
      </c>
      <c r="O226" t="inlineStr">
        <is>
          <t>377177c145083f417d1bc3f975f61554b45eb75f154dea81df14a8b2b65e048c</t>
        </is>
      </c>
      <c r="P226" t="inlineStr">
        <is>
          <t>library/013_sandies-bathala/dining_menu/2018_Italia-a-Tavola_Nov-2018.pdf</t>
        </is>
      </c>
      <c r="R226" t="inlineStr">
        <is>
          <t>outdated</t>
        </is>
      </c>
      <c r="S226" t="inlineStr">
        <is>
          <t>Y</t>
        </is>
      </c>
      <c r="T226" t="inlineStr">
        <is>
          <t>needs-review</t>
        </is>
      </c>
      <c r="U226" t="inlineStr">
        <is>
          <t>2026-10-04</t>
        </is>
      </c>
      <c r="V226" t="inlineStr">
        <is>
          <t>ambiguous match [13]</t>
        </is>
      </c>
    </row>
    <row r="227">
      <c r="A227" t="n">
        <v>13</v>
      </c>
      <c r="B227" t="inlineStr">
        <is>
          <t>Sandies Bathala</t>
        </is>
      </c>
      <c r="C227" t="inlineStr">
        <is>
          <t>dining_menu</t>
        </is>
      </c>
      <c r="D227" t="inlineStr">
        <is>
          <t>2017_DiamondsMaldives_Traveller_Winter-2017.pdf</t>
        </is>
      </c>
      <c r="E227" t="n">
        <v>2017</v>
      </c>
      <c r="H227" t="n">
        <v>3</v>
      </c>
      <c r="I227" t="n">
        <v>254</v>
      </c>
      <c r="J227" t="inlineStr">
        <is>
          <t>Y</t>
        </is>
      </c>
      <c r="K227" t="inlineStr">
        <is>
          <t>planhotel.com</t>
        </is>
      </c>
      <c r="L227" t="inlineStr">
        <is>
          <t>official</t>
        </is>
      </c>
      <c r="M227" t="inlineStr">
        <is>
          <t>https://d1vp8nomjxwyf1.cloudfront.net/wp-content/uploads/sites/110/2017/03/04145242/DiamondsMaldives_Traveller_Winter-2017.pdf</t>
        </is>
      </c>
      <c r="N227" t="inlineStr">
        <is>
          <t>https://d1vp8nomjxwyf1.cloudfront.net/wp-content/uploads/sites/110/2017/03/04145242/DiamondsMaldives_Traveller_Winter-2017.pdf | https://d1vp8nomjxwyf1.cloudfront.net/wp-content/uploads/sites/109/2017/03/04144817/DiamondsMaldives_Traveller_Winter-2017.pdf</t>
        </is>
      </c>
      <c r="O227" t="inlineStr">
        <is>
          <t>a23b2cb4b6f09390b21fc6fe5a25c16eb6bc008bf80892dbb13be1e5e32945bd</t>
        </is>
      </c>
      <c r="P227" t="inlineStr">
        <is>
          <t>library/013_sandies-bathala/dining_menu/2017_DiamondsMaldives_Traveller_Winter-2017.pdf</t>
        </is>
      </c>
      <c r="R227" t="inlineStr">
        <is>
          <t>outdated</t>
        </is>
      </c>
      <c r="S227" t="inlineStr">
        <is>
          <t>N</t>
        </is>
      </c>
      <c r="T227" t="inlineStr">
        <is>
          <t>needs-review</t>
        </is>
      </c>
      <c r="U227" t="inlineStr">
        <is>
          <t>2026-10-04</t>
        </is>
      </c>
      <c r="V227" t="inlineStr">
        <is>
          <t>ambiguous match [13]</t>
        </is>
      </c>
    </row>
    <row r="228">
      <c r="A228" t="n">
        <v>13</v>
      </c>
      <c r="B228" t="inlineStr">
        <is>
          <t>Sandies Bathala</t>
        </is>
      </c>
      <c r="C228" t="inlineStr">
        <is>
          <t>villa_plans</t>
        </is>
      </c>
      <c r="D228" t="inlineStr">
        <is>
          <t>2020_Sandies-Tropical-Village.pdf</t>
        </is>
      </c>
      <c r="E228" t="n">
        <v>2020</v>
      </c>
      <c r="H228" t="n">
        <v>13</v>
      </c>
      <c r="I228" t="n">
        <v>6949</v>
      </c>
      <c r="J228" t="inlineStr">
        <is>
          <t>Y</t>
        </is>
      </c>
      <c r="K228" t="inlineStr">
        <is>
          <t>planhotel.com</t>
        </is>
      </c>
      <c r="L228" t="inlineStr">
        <is>
          <t>official</t>
        </is>
      </c>
      <c r="M228" t="inlineStr">
        <is>
          <t>https://d1vp8nomjxwyf1.cloudfront.net/wp-content/uploads/sites/212/2023/03/17095202/Sandies-Tropical-Village.pdf</t>
        </is>
      </c>
      <c r="N228" t="inlineStr">
        <is>
          <t>https://d1vp8nomjxwyf1.cloudfront.net/wp-content/uploads/sites/212/2023/03/17095202/Sandies-Tropical-Village.pdf</t>
        </is>
      </c>
      <c r="O228" t="inlineStr">
        <is>
          <t>595f2c4b11d7d8ba6ab4884f37bb20b330181776805dd70e3767066ba16244d0</t>
        </is>
      </c>
      <c r="P228" t="inlineStr">
        <is>
          <t>library/013_sandies-bathala/villa_plans/2020_Sandies-Tropical-Village.pdf</t>
        </is>
      </c>
      <c r="R228" t="inlineStr">
        <is>
          <t>outdated</t>
        </is>
      </c>
      <c r="S228" t="inlineStr">
        <is>
          <t>Y</t>
        </is>
      </c>
      <c r="T228" t="inlineStr">
        <is>
          <t>needs-review</t>
        </is>
      </c>
      <c r="U228" t="inlineStr">
        <is>
          <t>2026-10-04</t>
        </is>
      </c>
      <c r="V228" t="inlineStr">
        <is>
          <t>ambiguous match [13]</t>
        </is>
      </c>
    </row>
    <row r="229">
      <c r="A229" t="n">
        <v>13</v>
      </c>
      <c r="B229" t="inlineStr">
        <is>
          <t>Sandies Bathala</t>
        </is>
      </c>
      <c r="C229" t="inlineStr">
        <is>
          <t>villa_plans</t>
        </is>
      </c>
      <c r="D229" t="inlineStr">
        <is>
          <t>2015_Travel-Professionals-PT-PT.pdf</t>
        </is>
      </c>
      <c r="E229" t="n">
        <v>2015</v>
      </c>
      <c r="H229" t="n">
        <v>2</v>
      </c>
      <c r="I229" t="n">
        <v>1004</v>
      </c>
      <c r="J229" t="inlineStr">
        <is>
          <t>Y</t>
        </is>
      </c>
      <c r="K229" t="inlineStr">
        <is>
          <t>planhotel.com</t>
        </is>
      </c>
      <c r="L229" t="inlineStr">
        <is>
          <t>official</t>
        </is>
      </c>
      <c r="M229" t="inlineStr">
        <is>
          <t>https://d1vp8nomjxwyf1.cloudfront.net/wp-content/uploads/sites/212/2017/08/08084335/Travel-Professionals-PT-PT.pdf</t>
        </is>
      </c>
      <c r="N229" t="inlineStr">
        <is>
          <t>https://d1vp8nomjxwyf1.cloudfront.net/wp-content/uploads/sites/212/2017/08/08084335/Travel-Professionals-PT-PT.pdf | https://d1vp8nomjxwyf1.cloudfront.net/wp-content/uploads/sites/212/2017/08/08084214/Travel-Professionals-DE.pdf | https://d1vp8nomjxwyf1.cloudfront.net/wp-content/uploads/sites/212/2017/07/08082934/Travel-Professionals.pdf</t>
        </is>
      </c>
      <c r="O229" t="inlineStr">
        <is>
          <t>1a652880bce52d553f28c71b719456a8d1cecb9bea38eeb2c58949c090e26ea0</t>
        </is>
      </c>
      <c r="P229" t="inlineStr">
        <is>
          <t>library/013_sandies-bathala/villa_plans/2015_Travel-Professionals-PT-PT.pdf</t>
        </is>
      </c>
      <c r="R229" t="inlineStr">
        <is>
          <t>outdated</t>
        </is>
      </c>
      <c r="S229" t="inlineStr">
        <is>
          <t>N</t>
        </is>
      </c>
      <c r="T229" t="inlineStr">
        <is>
          <t>needs-review</t>
        </is>
      </c>
      <c r="U229" t="inlineStr">
        <is>
          <t>2026-10-04</t>
        </is>
      </c>
      <c r="V229" t="inlineStr">
        <is>
          <t>ambiguous match [13]</t>
        </is>
      </c>
    </row>
    <row r="230">
      <c r="A230" t="n">
        <v>13</v>
      </c>
      <c r="B230" t="inlineStr">
        <is>
          <t>Sandies Bathala</t>
        </is>
      </c>
      <c r="C230" t="inlineStr">
        <is>
          <t>sustainability</t>
        </is>
      </c>
      <c r="D230" t="inlineStr">
        <is>
          <t>2019_DIAMONDSRESORTS_GENTLEMANGREENpdf.pdf</t>
        </is>
      </c>
      <c r="E230" t="n">
        <v>2019</v>
      </c>
      <c r="H230" t="n">
        <v>5</v>
      </c>
      <c r="I230" t="n">
        <v>2175</v>
      </c>
      <c r="J230" t="inlineStr">
        <is>
          <t>N</t>
        </is>
      </c>
      <c r="K230" t="inlineStr">
        <is>
          <t>planhotel.com</t>
        </is>
      </c>
      <c r="L230" t="inlineStr">
        <is>
          <t>official</t>
        </is>
      </c>
      <c r="M230" t="inlineStr">
        <is>
          <t>https://d1vp8nomjxwyf1.cloudfront.net/wp-content/uploads/sites/109/2017/03/09142114/DIAMONDSRESORTS_GENTLEMANGREENpdf.pdf</t>
        </is>
      </c>
      <c r="N230" t="inlineStr">
        <is>
          <t>https://d1vp8nomjxwyf1.cloudfront.net/wp-content/uploads/sites/109/2017/03/09142114/DIAMONDSRESORTS_GENTLEMANGREENpdf.pdf</t>
        </is>
      </c>
      <c r="O230" t="inlineStr">
        <is>
          <t>21fd076c8b88f297b9147ffea2923e097598684a3e1ed50007ab0f4b25fdf039</t>
        </is>
      </c>
      <c r="P230" t="inlineStr">
        <is>
          <t>library/013_sandies-bathala/sustainability/2019_DIAMONDSRESORTS_GENTLEMANGREENpdf.pdf</t>
        </is>
      </c>
      <c r="R230" t="inlineStr">
        <is>
          <t>outdated</t>
        </is>
      </c>
      <c r="S230" t="inlineStr">
        <is>
          <t>Y</t>
        </is>
      </c>
      <c r="T230" t="inlineStr">
        <is>
          <t>needs-review</t>
        </is>
      </c>
      <c r="U230" t="inlineStr">
        <is>
          <t>2026-10-04</t>
        </is>
      </c>
      <c r="V230" t="inlineStr">
        <is>
          <t>ambiguous match [13]</t>
        </is>
      </c>
    </row>
    <row r="231">
      <c r="A231" t="n">
        <v>13</v>
      </c>
      <c r="B231" t="inlineStr">
        <is>
          <t>Sandies Bathala</t>
        </is>
      </c>
      <c r="C231" t="inlineStr">
        <is>
          <t>other</t>
        </is>
      </c>
      <c r="D231" t="inlineStr">
        <is>
          <t>2021_Diamonds-Thudufushhi_Harpers-Bazaar_Summer-2021.pdf</t>
        </is>
      </c>
      <c r="E231" t="n">
        <v>2021</v>
      </c>
      <c r="H231" t="n">
        <v>3</v>
      </c>
      <c r="I231" t="n">
        <v>657</v>
      </c>
      <c r="J231" t="inlineStr">
        <is>
          <t>N</t>
        </is>
      </c>
      <c r="K231" t="inlineStr">
        <is>
          <t>planhotel.com</t>
        </is>
      </c>
      <c r="L231" t="inlineStr">
        <is>
          <t>official</t>
        </is>
      </c>
      <c r="M231" t="inlineStr">
        <is>
          <t>https://d1vp8nomjxwyf1.cloudfront.net/wp-content/uploads/sites/110/2017/03/18094049/Diamonds-Thudufushhi_Harpers-Bazaar_Summer-2021.pdf</t>
        </is>
      </c>
      <c r="N231" t="inlineStr">
        <is>
          <t>https://d1vp8nomjxwyf1.cloudfront.net/wp-content/uploads/sites/110/2017/03/18094049/Diamonds-Thudufushhi_Harpers-Bazaar_Summer-2021.pdf</t>
        </is>
      </c>
      <c r="O231" t="inlineStr">
        <is>
          <t>5496ea0e6e84f0877c73d0c9ca8b4493c107f88d9dde5b78c0ad92ba3155e0b1</t>
        </is>
      </c>
      <c r="P231" t="inlineStr">
        <is>
          <t>library/013_sandies-bathala/other/2021_Diamonds-Thudufushhi_Harpers-Bazaar_Summer-2021.pdf</t>
        </is>
      </c>
      <c r="R231" t="inlineStr">
        <is>
          <t>outdated</t>
        </is>
      </c>
      <c r="S231" t="inlineStr">
        <is>
          <t>Y</t>
        </is>
      </c>
      <c r="T231" t="inlineStr">
        <is>
          <t>needs-review</t>
        </is>
      </c>
      <c r="U231" t="inlineStr">
        <is>
          <t>2026-10-04</t>
        </is>
      </c>
      <c r="V231" t="inlineStr">
        <is>
          <t>ambiguous match [13]</t>
        </is>
      </c>
    </row>
    <row r="232">
      <c r="A232" t="n">
        <v>13</v>
      </c>
      <c r="B232" t="inlineStr">
        <is>
          <t>Sandies Bathala</t>
        </is>
      </c>
      <c r="C232" t="inlineStr">
        <is>
          <t>other</t>
        </is>
      </c>
      <c r="D232" t="inlineStr">
        <is>
          <t>2020_Sandies-Malindi-Dream-Garden.pdf</t>
        </is>
      </c>
      <c r="E232" t="n">
        <v>2020</v>
      </c>
      <c r="H232" t="n">
        <v>13</v>
      </c>
      <c r="I232" t="n">
        <v>6447</v>
      </c>
      <c r="J232" t="inlineStr">
        <is>
          <t>Y</t>
        </is>
      </c>
      <c r="K232" t="inlineStr">
        <is>
          <t>planhotel.com</t>
        </is>
      </c>
      <c r="L232" t="inlineStr">
        <is>
          <t>official</t>
        </is>
      </c>
      <c r="M232" t="inlineStr">
        <is>
          <t>https://d1vp8nomjxwyf1.cloudfront.net/wp-content/uploads/sites/212/2023/03/17095141/Sandies-Malindi-Dream-Garden.pdf</t>
        </is>
      </c>
      <c r="N232" t="inlineStr">
        <is>
          <t>https://d1vp8nomjxwyf1.cloudfront.net/wp-content/uploads/sites/212/2023/03/17095141/Sandies-Malindi-Dream-Garden.pdf</t>
        </is>
      </c>
      <c r="O232" t="inlineStr">
        <is>
          <t>5ff2383effdbc1768ab378986fa87c1c8ff92c216a08fb13cb16e464482a4794</t>
        </is>
      </c>
      <c r="P232" t="inlineStr">
        <is>
          <t>library/013_sandies-bathala/other/2020_Sandies-Malindi-Dream-Garden.pdf</t>
        </is>
      </c>
      <c r="R232" t="inlineStr">
        <is>
          <t>outdated</t>
        </is>
      </c>
      <c r="S232" t="inlineStr">
        <is>
          <t>N</t>
        </is>
      </c>
      <c r="T232" t="inlineStr">
        <is>
          <t>needs-review</t>
        </is>
      </c>
      <c r="U232" t="inlineStr">
        <is>
          <t>2026-10-04</t>
        </is>
      </c>
      <c r="V232" t="inlineStr">
        <is>
          <t>ambiguous match [13]</t>
        </is>
      </c>
    </row>
    <row r="233">
      <c r="A233" t="n">
        <v>13</v>
      </c>
      <c r="B233" t="inlineStr">
        <is>
          <t>Sandies Bathala</t>
        </is>
      </c>
      <c r="C233" t="inlineStr">
        <is>
          <t>other</t>
        </is>
      </c>
      <c r="D233" t="inlineStr">
        <is>
          <t>2020_Diamonds-Dream-of-Africa.pdf</t>
        </is>
      </c>
      <c r="E233" t="n">
        <v>2020</v>
      </c>
      <c r="H233" t="n">
        <v>13</v>
      </c>
      <c r="I233" t="n">
        <v>7126</v>
      </c>
      <c r="J233" t="inlineStr">
        <is>
          <t>Y</t>
        </is>
      </c>
      <c r="K233" t="inlineStr">
        <is>
          <t>planhotel.com</t>
        </is>
      </c>
      <c r="L233" t="inlineStr">
        <is>
          <t>official</t>
        </is>
      </c>
      <c r="M233" t="inlineStr">
        <is>
          <t>https://d1vp8nomjxwyf1.cloudfront.net/wp-content/uploads/sites/212/2023/03/17094954/Diamonds-Dream-of-Africa.pdf</t>
        </is>
      </c>
      <c r="N233" t="inlineStr">
        <is>
          <t>https://d1vp8nomjxwyf1.cloudfront.net/wp-content/uploads/sites/212/2023/03/17094954/Diamonds-Dream-of-Africa.pdf</t>
        </is>
      </c>
      <c r="O233" t="inlineStr">
        <is>
          <t>75241f92cc79217e55208919c764df5475e879c6d8e19278bdb94532349f2988</t>
        </is>
      </c>
      <c r="P233" t="inlineStr">
        <is>
          <t>library/013_sandies-bathala/other/2020_Diamonds-Dream-of-Africa.pdf</t>
        </is>
      </c>
      <c r="R233" t="inlineStr">
        <is>
          <t>outdated</t>
        </is>
      </c>
      <c r="S233" t="inlineStr">
        <is>
          <t>N</t>
        </is>
      </c>
      <c r="T233" t="inlineStr">
        <is>
          <t>needs-review</t>
        </is>
      </c>
      <c r="U233" t="inlineStr">
        <is>
          <t>2026-10-04</t>
        </is>
      </c>
      <c r="V233" t="inlineStr">
        <is>
          <t>ambiguous match [13]</t>
        </is>
      </c>
    </row>
    <row r="234">
      <c r="A234" t="n">
        <v>13</v>
      </c>
      <c r="B234" t="inlineStr">
        <is>
          <t>Sandies Bathala</t>
        </is>
      </c>
      <c r="C234" t="inlineStr">
        <is>
          <t>other</t>
        </is>
      </c>
      <c r="D234" t="inlineStr">
        <is>
          <t>2019_Sandies-Bathala.pdf</t>
        </is>
      </c>
      <c r="E234" t="n">
        <v>2019</v>
      </c>
      <c r="H234" t="n">
        <v>13</v>
      </c>
      <c r="I234" t="n">
        <v>6137</v>
      </c>
      <c r="J234" t="inlineStr">
        <is>
          <t>Y</t>
        </is>
      </c>
      <c r="K234" t="inlineStr">
        <is>
          <t>planhotel.com</t>
        </is>
      </c>
      <c r="L234" t="inlineStr">
        <is>
          <t>official</t>
        </is>
      </c>
      <c r="M234" t="inlineStr">
        <is>
          <t>https://d1vp8nomjxwyf1.cloudfront.net/wp-content/uploads/sites/212/2023/03/17095120/Sandies-Bathala.pdf</t>
        </is>
      </c>
      <c r="N234" t="inlineStr">
        <is>
          <t>https://d1vp8nomjxwyf1.cloudfront.net/wp-content/uploads/sites/212/2023/03/17095120/Sandies-Bathala.pdf</t>
        </is>
      </c>
      <c r="O234" t="inlineStr">
        <is>
          <t>f78b90a55f8f8b3d979872a1576ae24ac15a0a462109d40c386cda2e1df2d4b7</t>
        </is>
      </c>
      <c r="P234" t="inlineStr">
        <is>
          <t>library/013_sandies-bathala/other/2019_Sandies-Bathala.pdf</t>
        </is>
      </c>
      <c r="R234" t="inlineStr">
        <is>
          <t>outdated</t>
        </is>
      </c>
      <c r="S234" t="inlineStr">
        <is>
          <t>N</t>
        </is>
      </c>
      <c r="T234" t="inlineStr">
        <is>
          <t>matched</t>
        </is>
      </c>
      <c r="U234" t="inlineStr">
        <is>
          <t>2026-10-04</t>
        </is>
      </c>
      <c r="V234" t="inlineStr"/>
    </row>
    <row r="235">
      <c r="A235" t="n">
        <v>13</v>
      </c>
      <c r="B235" t="inlineStr">
        <is>
          <t>Sandies Bathala</t>
        </is>
      </c>
      <c r="C235" t="inlineStr">
        <is>
          <t>other</t>
        </is>
      </c>
      <c r="D235" t="inlineStr">
        <is>
          <t>2019_Hotel-Italia_Italia-a-Tavola_DecJan-2019.pdf</t>
        </is>
      </c>
      <c r="E235" t="n">
        <v>2019</v>
      </c>
      <c r="H235" t="n">
        <v>2</v>
      </c>
      <c r="I235" t="n">
        <v>1744</v>
      </c>
      <c r="J235" t="inlineStr">
        <is>
          <t>Y</t>
        </is>
      </c>
      <c r="K235" t="inlineStr">
        <is>
          <t>planhotel.com</t>
        </is>
      </c>
      <c r="L235" t="inlineStr">
        <is>
          <t>official</t>
        </is>
      </c>
      <c r="M235" t="inlineStr">
        <is>
          <t>https://d1vp8nomjxwyf1.cloudfront.net/wp-content/uploads/sites/212/2017/07/18151813/Hotel-Italia_Italia-a-Tavola_DecJan-2019.pdf</t>
        </is>
      </c>
      <c r="N235" t="inlineStr">
        <is>
          <t>https://d1vp8nomjxwyf1.cloudfront.net/wp-content/uploads/sites/212/2017/07/18151813/Hotel-Italia_Italia-a-Tavola_DecJan-2019.pdf</t>
        </is>
      </c>
      <c r="O235" t="inlineStr">
        <is>
          <t>4e949fbceb885e746d7f7393b3488b8cd68fd6b48f534aac7e538a762fb0fc47</t>
        </is>
      </c>
      <c r="P235" t="inlineStr">
        <is>
          <t>library/013_sandies-bathala/other/2019_Hotel-Italia_Italia-a-Tavola_DecJan-2019.pdf</t>
        </is>
      </c>
      <c r="R235" t="inlineStr">
        <is>
          <t>outdated</t>
        </is>
      </c>
      <c r="S235" t="inlineStr">
        <is>
          <t>N</t>
        </is>
      </c>
      <c r="T235" t="inlineStr">
        <is>
          <t>needs-review</t>
        </is>
      </c>
      <c r="U235" t="inlineStr">
        <is>
          <t>2026-10-04</t>
        </is>
      </c>
      <c r="V235" t="inlineStr">
        <is>
          <t>ambiguous match [13]</t>
        </is>
      </c>
    </row>
    <row r="236">
      <c r="A236" t="n">
        <v>13</v>
      </c>
      <c r="B236" t="inlineStr">
        <is>
          <t>Sandies Bathala</t>
        </is>
      </c>
      <c r="C236" t="inlineStr">
        <is>
          <t>other</t>
        </is>
      </c>
      <c r="D236" t="inlineStr">
        <is>
          <t>2019_38-Oggi1.pdf</t>
        </is>
      </c>
      <c r="E236" t="n">
        <v>2019</v>
      </c>
      <c r="H236" t="n">
        <v>3</v>
      </c>
      <c r="I236" t="n">
        <v>2545</v>
      </c>
      <c r="J236" t="inlineStr">
        <is>
          <t>Y</t>
        </is>
      </c>
      <c r="K236" t="inlineStr">
        <is>
          <t>planhotel.com</t>
        </is>
      </c>
      <c r="L236" t="inlineStr">
        <is>
          <t>official</t>
        </is>
      </c>
      <c r="M236" t="inlineStr">
        <is>
          <t>https://d1vp8nomjxwyf1.cloudfront.net/wp-content/uploads/sites/109/2017/03/09142254/38-Oggi1.pdf</t>
        </is>
      </c>
      <c r="N236" t="inlineStr">
        <is>
          <t>https://d1vp8nomjxwyf1.cloudfront.net/wp-content/uploads/sites/109/2017/03/09142254/38-Oggi1.pdf</t>
        </is>
      </c>
      <c r="O236" t="inlineStr">
        <is>
          <t>f672c6bee9fe0c922c9b2e063e8b866e0392404da24019d897d05e7e6dae0876</t>
        </is>
      </c>
      <c r="P236" t="inlineStr">
        <is>
          <t>library/013_sandies-bathala/other/2019_38-Oggi1.pdf</t>
        </is>
      </c>
      <c r="R236" t="inlineStr">
        <is>
          <t>outdated</t>
        </is>
      </c>
      <c r="S236" t="inlineStr">
        <is>
          <t>N</t>
        </is>
      </c>
      <c r="T236" t="inlineStr">
        <is>
          <t>needs-review</t>
        </is>
      </c>
      <c r="U236" t="inlineStr">
        <is>
          <t>2026-10-04</t>
        </is>
      </c>
      <c r="V236" t="inlineStr">
        <is>
          <t>ambiguous match [13]</t>
        </is>
      </c>
    </row>
    <row r="237">
      <c r="A237" t="n">
        <v>13</v>
      </c>
      <c r="B237" t="inlineStr">
        <is>
          <t>Sandies Bathala</t>
        </is>
      </c>
      <c r="C237" t="inlineStr">
        <is>
          <t>other</t>
        </is>
      </c>
      <c r="D237" t="inlineStr">
        <is>
          <t>2018_2018-10-conde-nast-johansen-b.pdf</t>
        </is>
      </c>
      <c r="E237" t="n">
        <v>2018</v>
      </c>
      <c r="H237" t="n">
        <v>1</v>
      </c>
      <c r="I237" t="n">
        <v>579</v>
      </c>
      <c r="J237" t="inlineStr">
        <is>
          <t>N</t>
        </is>
      </c>
      <c r="K237" t="inlineStr">
        <is>
          <t>planhotel.com</t>
        </is>
      </c>
      <c r="L237" t="inlineStr">
        <is>
          <t>official</t>
        </is>
      </c>
      <c r="M237" t="inlineStr">
        <is>
          <t>https://d1vp8nomjxwyf1.cloudfront.net/wp-content/uploads/sites/212/2017/07/25151513/2018-10-conde-nast-johansen-b.pdf</t>
        </is>
      </c>
      <c r="N237" t="inlineStr">
        <is>
          <t>https://d1vp8nomjxwyf1.cloudfront.net/wp-content/uploads/sites/212/2017/07/25151513/2018-10-conde-nast-johansen-b.pdf</t>
        </is>
      </c>
      <c r="O237" t="inlineStr">
        <is>
          <t>2b5650fcb61fe5b107f4ddadd033d1403c8ba1cf0a9722c4a06c948b1286add0</t>
        </is>
      </c>
      <c r="P237" t="inlineStr">
        <is>
          <t>library/013_sandies-bathala/other/2018_2018-10-conde-nast-johansen-b.pdf</t>
        </is>
      </c>
      <c r="R237" t="inlineStr">
        <is>
          <t>outdated</t>
        </is>
      </c>
      <c r="S237" t="inlineStr">
        <is>
          <t>N</t>
        </is>
      </c>
      <c r="T237" t="inlineStr">
        <is>
          <t>needs-review</t>
        </is>
      </c>
      <c r="U237" t="inlineStr">
        <is>
          <t>2026-10-04</t>
        </is>
      </c>
      <c r="V237" t="inlineStr">
        <is>
          <t>ambiguous match [13]</t>
        </is>
      </c>
    </row>
    <row r="238">
      <c r="A238" t="n">
        <v>13</v>
      </c>
      <c r="B238" t="inlineStr">
        <is>
          <t>Sandies Bathala</t>
        </is>
      </c>
      <c r="C238" t="inlineStr">
        <is>
          <t>other</t>
        </is>
      </c>
      <c r="D238" t="inlineStr">
        <is>
          <t>2018_2018_10_23_LACUCINAITALIANA_THEVIEW1.pdf</t>
        </is>
      </c>
      <c r="E238" t="n">
        <v>2018</v>
      </c>
      <c r="H238" t="n">
        <v>2</v>
      </c>
      <c r="I238" t="n">
        <v>4211</v>
      </c>
      <c r="J238" t="inlineStr">
        <is>
          <t>N</t>
        </is>
      </c>
      <c r="K238" t="inlineStr">
        <is>
          <t>planhotel.com</t>
        </is>
      </c>
      <c r="L238" t="inlineStr">
        <is>
          <t>official</t>
        </is>
      </c>
      <c r="M238" t="inlineStr">
        <is>
          <t>https://d1vp8nomjxwyf1.cloudfront.net/wp-content/uploads/sites/212/2017/07/23084602/2018_10_23_LACUCINAITALIANA_THEVIEW1.pdf</t>
        </is>
      </c>
      <c r="N238" t="inlineStr">
        <is>
          <t>https://d1vp8nomjxwyf1.cloudfront.net/wp-content/uploads/sites/212/2017/07/23084602/2018_10_23_LACUCINAITALIANA_THEVIEW1.pdf | https://d1vp8nomjxwyf1.cloudfront.net/wp-content/uploads/sites/212/2017/07/23083937/2018_10_23_LACUCINAITALIANA_THEVIEW.pdf</t>
        </is>
      </c>
      <c r="O238" t="inlineStr">
        <is>
          <t>05a85ad1eb1a60830eb5e811385f85cf5dde9ffe9c82e15cca8a8763ae401876</t>
        </is>
      </c>
      <c r="P238" t="inlineStr">
        <is>
          <t>library/013_sandies-bathala/other/2018_2018_10_23_LACUCINAITALIANA_THEVIEW1.pdf</t>
        </is>
      </c>
      <c r="R238" t="inlineStr">
        <is>
          <t>outdated</t>
        </is>
      </c>
      <c r="S238" t="inlineStr">
        <is>
          <t>N</t>
        </is>
      </c>
      <c r="T238" t="inlineStr">
        <is>
          <t>needs-review</t>
        </is>
      </c>
      <c r="U238" t="inlineStr">
        <is>
          <t>2026-10-04</t>
        </is>
      </c>
      <c r="V238" t="inlineStr">
        <is>
          <t>ambiguous match [13]</t>
        </is>
      </c>
    </row>
    <row r="239">
      <c r="A239" t="n">
        <v>13</v>
      </c>
      <c r="B239" t="inlineStr">
        <is>
          <t>Sandies Bathala</t>
        </is>
      </c>
      <c r="C239" t="inlineStr">
        <is>
          <t>other</t>
        </is>
      </c>
      <c r="D239" t="inlineStr">
        <is>
          <t>2018_Passion_JRE-magazine.pdf</t>
        </is>
      </c>
      <c r="E239" t="n">
        <v>2018</v>
      </c>
      <c r="H239" t="n">
        <v>3</v>
      </c>
      <c r="I239" t="n">
        <v>3471</v>
      </c>
      <c r="J239" t="inlineStr">
        <is>
          <t>N</t>
        </is>
      </c>
      <c r="K239" t="inlineStr">
        <is>
          <t>planhotel.com</t>
        </is>
      </c>
      <c r="L239" t="inlineStr">
        <is>
          <t>official</t>
        </is>
      </c>
      <c r="M239" t="inlineStr">
        <is>
          <t>https://d1vp8nomjxwyf1.cloudfront.net/wp-content/uploads/sites/110/2017/03/14085950/Passion_JRE-magazine.pdf</t>
        </is>
      </c>
      <c r="N239" t="inlineStr">
        <is>
          <t>https://d1vp8nomjxwyf1.cloudfront.net/wp-content/uploads/sites/110/2017/03/14085950/Passion_JRE-magazine.pdf | https://d1vp8nomjxwyf1.cloudfront.net/wp-content/uploads/sites/109/2017/03/14085754/Passion_JRE-magazine.pdf</t>
        </is>
      </c>
      <c r="O239" t="inlineStr">
        <is>
          <t>31a8ed25f14bb3adbdbbd1ed6630c84e11f224eee3cb96d514fb3c219a8d1289</t>
        </is>
      </c>
      <c r="P239" t="inlineStr">
        <is>
          <t>library/013_sandies-bathala/other/2018_Passion_JRE-magazine.pdf</t>
        </is>
      </c>
      <c r="R239" t="inlineStr">
        <is>
          <t>outdated</t>
        </is>
      </c>
      <c r="S239" t="inlineStr">
        <is>
          <t>N</t>
        </is>
      </c>
      <c r="T239" t="inlineStr">
        <is>
          <t>needs-review</t>
        </is>
      </c>
      <c r="U239" t="inlineStr">
        <is>
          <t>2026-10-04</t>
        </is>
      </c>
      <c r="V239" t="inlineStr">
        <is>
          <t>ambiguous match [13]</t>
        </is>
      </c>
    </row>
    <row r="240">
      <c r="A240" t="n">
        <v>13</v>
      </c>
      <c r="B240" t="inlineStr">
        <is>
          <t>Sandies Bathala</t>
        </is>
      </c>
      <c r="C240" t="inlineStr">
        <is>
          <t>other</t>
        </is>
      </c>
      <c r="D240" t="inlineStr">
        <is>
          <t>2017_DiamondsMapenziBeach_Explore-Tanzania_2017-18.pdf</t>
        </is>
      </c>
      <c r="E240" t="n">
        <v>2017</v>
      </c>
      <c r="H240" t="n">
        <v>2</v>
      </c>
      <c r="I240" t="n">
        <v>878</v>
      </c>
      <c r="J240" t="inlineStr">
        <is>
          <t>N</t>
        </is>
      </c>
      <c r="K240" t="inlineStr">
        <is>
          <t>planhotel.com</t>
        </is>
      </c>
      <c r="L240" t="inlineStr">
        <is>
          <t>official</t>
        </is>
      </c>
      <c r="M240" t="inlineStr">
        <is>
          <t>https://d1vp8nomjxwyf1.cloudfront.net/wp-content/uploads/sites/113/2017/04/08083304/DiamondsMapenziBeach_Explore-Tanzania_2017-18.pdf</t>
        </is>
      </c>
      <c r="N240" t="inlineStr">
        <is>
          <t>https://d1vp8nomjxwyf1.cloudfront.net/wp-content/uploads/sites/113/2017/04/08083304/DiamondsMapenziBeach_Explore-Tanzania_2017-18.pdf</t>
        </is>
      </c>
      <c r="O240" t="inlineStr">
        <is>
          <t>57f4c283ad382d77ba671eaae4ca610cb5c1f76de96febebeaefc94f91ffab84</t>
        </is>
      </c>
      <c r="P240" t="inlineStr">
        <is>
          <t>library/013_sandies-bathala/other/2017_DiamondsMapenziBeach_Explore-Tanzania_2017-18.pdf</t>
        </is>
      </c>
      <c r="R240" t="inlineStr">
        <is>
          <t>outdated</t>
        </is>
      </c>
      <c r="S240" t="inlineStr">
        <is>
          <t>N</t>
        </is>
      </c>
      <c r="T240" t="inlineStr">
        <is>
          <t>needs-review</t>
        </is>
      </c>
      <c r="U240" t="inlineStr">
        <is>
          <t>2026-10-04</t>
        </is>
      </c>
      <c r="V240" t="inlineStr">
        <is>
          <t>ambiguous match [13]</t>
        </is>
      </c>
    </row>
    <row r="241">
      <c r="A241" t="n">
        <v>13</v>
      </c>
      <c r="B241" t="inlineStr">
        <is>
          <t>Sandies Bathala</t>
        </is>
      </c>
      <c r="C241" t="inlineStr">
        <is>
          <t>other</t>
        </is>
      </c>
      <c r="D241" t="inlineStr">
        <is>
          <t>2017_Planhotel_Posh_2-2017.pdf</t>
        </is>
      </c>
      <c r="E241" t="n">
        <v>2017</v>
      </c>
      <c r="H241" t="n">
        <v>4</v>
      </c>
      <c r="I241" t="n">
        <v>5939</v>
      </c>
      <c r="J241" t="inlineStr">
        <is>
          <t>N</t>
        </is>
      </c>
      <c r="K241" t="inlineStr">
        <is>
          <t>planhotel.com</t>
        </is>
      </c>
      <c r="L241" t="inlineStr">
        <is>
          <t>official</t>
        </is>
      </c>
      <c r="M241" t="inlineStr">
        <is>
          <t>https://d1vp8nomjxwyf1.cloudfront.net/wp-content/uploads/sites/113/2017/04/08101825/Planhotel_Posh_2-2017.pdf</t>
        </is>
      </c>
      <c r="N241" t="inlineStr">
        <is>
          <t>https://d1vp8nomjxwyf1.cloudfront.net/wp-content/uploads/sites/113/2017/04/08101825/Planhotel_Posh_2-2017.pdf</t>
        </is>
      </c>
      <c r="O241" t="inlineStr">
        <is>
          <t>d51824231160df06ad6ac7b8f7a21ef64a0c4598e90b5e65f18a6bec02c598a5</t>
        </is>
      </c>
      <c r="P241" t="inlineStr">
        <is>
          <t>library/013_sandies-bathala/other/2017_Planhotel_Posh_2-2017.pdf</t>
        </is>
      </c>
      <c r="R241" t="inlineStr">
        <is>
          <t>outdated</t>
        </is>
      </c>
      <c r="S241" t="inlineStr">
        <is>
          <t>N</t>
        </is>
      </c>
      <c r="T241" t="inlineStr">
        <is>
          <t>needs-review</t>
        </is>
      </c>
      <c r="U241" t="inlineStr">
        <is>
          <t>2026-10-04</t>
        </is>
      </c>
      <c r="V241" t="inlineStr">
        <is>
          <t>ambiguous match [13]</t>
        </is>
      </c>
    </row>
    <row r="242">
      <c r="A242" t="n">
        <v>13</v>
      </c>
      <c r="B242" t="inlineStr">
        <is>
          <t>Sandies Bathala</t>
        </is>
      </c>
      <c r="C242" t="inlineStr">
        <is>
          <t>other</t>
        </is>
      </c>
      <c r="D242" t="inlineStr">
        <is>
          <t>2017_Planhotel_Luxury_Spring-2017.pdf</t>
        </is>
      </c>
      <c r="E242" t="n">
        <v>2017</v>
      </c>
      <c r="H242" t="n">
        <v>4</v>
      </c>
      <c r="I242" t="n">
        <v>2266</v>
      </c>
      <c r="J242" t="inlineStr">
        <is>
          <t>N</t>
        </is>
      </c>
      <c r="K242" t="inlineStr">
        <is>
          <t>planhotel.com</t>
        </is>
      </c>
      <c r="L242" t="inlineStr">
        <is>
          <t>official</t>
        </is>
      </c>
      <c r="M242" t="inlineStr">
        <is>
          <t>https://d1vp8nomjxwyf1.cloudfront.net/wp-content/uploads/sites/113/2017/04/10151621/Planhotel_Luxury_Spring-2017.pdf</t>
        </is>
      </c>
      <c r="N242" t="inlineStr">
        <is>
          <t>https://d1vp8nomjxwyf1.cloudfront.net/wp-content/uploads/sites/113/2017/04/10151621/Planhotel_Luxury_Spring-2017.pdf</t>
        </is>
      </c>
      <c r="O242" t="inlineStr">
        <is>
          <t>b67500325946544eeef0668ac30ec07296b9e9471ec1f53a4fe1c42b727674b1</t>
        </is>
      </c>
      <c r="P242" t="inlineStr">
        <is>
          <t>library/013_sandies-bathala/other/2017_Planhotel_Luxury_Spring-2017.pdf</t>
        </is>
      </c>
      <c r="R242" t="inlineStr">
        <is>
          <t>outdated</t>
        </is>
      </c>
      <c r="S242" t="inlineStr">
        <is>
          <t>N</t>
        </is>
      </c>
      <c r="T242" t="inlineStr">
        <is>
          <t>needs-review</t>
        </is>
      </c>
      <c r="U242" t="inlineStr">
        <is>
          <t>2026-10-04</t>
        </is>
      </c>
      <c r="V242" t="inlineStr">
        <is>
          <t>ambiguous match [13]</t>
        </is>
      </c>
    </row>
    <row r="243">
      <c r="A243" t="n">
        <v>13</v>
      </c>
      <c r="B243" t="inlineStr">
        <is>
          <t>Sandies Bathala</t>
        </is>
      </c>
      <c r="C243" t="inlineStr">
        <is>
          <t>other</t>
        </is>
      </c>
      <c r="D243" t="inlineStr">
        <is>
          <t>2017_Diamonds_Wonder-World_Winter-2017.pdf</t>
        </is>
      </c>
      <c r="E243" t="n">
        <v>2017</v>
      </c>
      <c r="H243" t="n">
        <v>4</v>
      </c>
      <c r="I243" t="n">
        <v>6413</v>
      </c>
      <c r="J243" t="inlineStr">
        <is>
          <t>N</t>
        </is>
      </c>
      <c r="K243" t="inlineStr">
        <is>
          <t>planhotel.com</t>
        </is>
      </c>
      <c r="L243" t="inlineStr">
        <is>
          <t>official</t>
        </is>
      </c>
      <c r="M243" t="inlineStr">
        <is>
          <t>https://d1vp8nomjxwyf1.cloudfront.net/wp-content/uploads/sites/113/2017/04/08092335/Diamonds_Wonder-World_Winter-2017.pdf</t>
        </is>
      </c>
      <c r="N243" t="inlineStr">
        <is>
          <t>https://d1vp8nomjxwyf1.cloudfront.net/wp-content/uploads/sites/113/2017/04/08092335/Diamonds_Wonder-World_Winter-2017.pdf</t>
        </is>
      </c>
      <c r="O243" t="inlineStr">
        <is>
          <t>eb65e48f180012185e451b44781d16e3aff2b1645fe77fa136c5b5bc47bd4d1d</t>
        </is>
      </c>
      <c r="P243" t="inlineStr">
        <is>
          <t>library/013_sandies-bathala/other/2017_Diamonds_Wonder-World_Winter-2017.pdf</t>
        </is>
      </c>
      <c r="R243" t="inlineStr">
        <is>
          <t>outdated</t>
        </is>
      </c>
      <c r="S243" t="inlineStr">
        <is>
          <t>N</t>
        </is>
      </c>
      <c r="T243" t="inlineStr">
        <is>
          <t>needs-review</t>
        </is>
      </c>
      <c r="U243" t="inlineStr">
        <is>
          <t>2026-10-04</t>
        </is>
      </c>
      <c r="V243" t="inlineStr">
        <is>
          <t>ambiguous match [13]</t>
        </is>
      </c>
    </row>
    <row r="244">
      <c r="A244" t="n">
        <v>13</v>
      </c>
      <c r="B244" t="inlineStr">
        <is>
          <t>Sandies Bathala</t>
        </is>
      </c>
      <c r="C244" t="inlineStr">
        <is>
          <t>other</t>
        </is>
      </c>
      <c r="D244" t="inlineStr">
        <is>
          <t>2016_DiamondsMaldives_beSpoke_Winter-2016.pdf</t>
        </is>
      </c>
      <c r="E244" t="n">
        <v>2016</v>
      </c>
      <c r="H244" t="n">
        <v>4</v>
      </c>
      <c r="I244" t="n">
        <v>3447</v>
      </c>
      <c r="J244" t="inlineStr">
        <is>
          <t>N</t>
        </is>
      </c>
      <c r="K244" t="inlineStr">
        <is>
          <t>planhotel.com</t>
        </is>
      </c>
      <c r="L244" t="inlineStr">
        <is>
          <t>official</t>
        </is>
      </c>
      <c r="M244" t="inlineStr">
        <is>
          <t>https://d1vp8nomjxwyf1.cloudfront.net/wp-content/uploads/sites/110/2017/03/10144745/DiamondsMaldives_beSpoke_Winter-2016.pdf</t>
        </is>
      </c>
      <c r="N244" t="inlineStr">
        <is>
          <t>https://d1vp8nomjxwyf1.cloudfront.net/wp-content/uploads/sites/110/2017/03/10144745/DiamondsMaldives_beSpoke_Winter-2016.pdf | https://d1vp8nomjxwyf1.cloudfront.net/wp-content/uploads/sites/109/2017/03/10144640/DiamondsMaldives_beSpoke_Winter-2016.pdf</t>
        </is>
      </c>
      <c r="O244" t="inlineStr">
        <is>
          <t>1d602c8fc431e64ecc11b64a4eee89b27a0fa1176c08419fad63b09f77c09bed</t>
        </is>
      </c>
      <c r="P244" t="inlineStr">
        <is>
          <t>library/013_sandies-bathala/other/2016_DiamondsMaldives_beSpoke_Winter-2016.pdf</t>
        </is>
      </c>
      <c r="R244" t="inlineStr">
        <is>
          <t>outdated</t>
        </is>
      </c>
      <c r="S244" t="inlineStr">
        <is>
          <t>N</t>
        </is>
      </c>
      <c r="T244" t="inlineStr">
        <is>
          <t>needs-review</t>
        </is>
      </c>
      <c r="U244" t="inlineStr">
        <is>
          <t>2026-10-04</t>
        </is>
      </c>
      <c r="V244" t="inlineStr">
        <is>
          <t>ambiguous match [13]</t>
        </is>
      </c>
    </row>
    <row r="245">
      <c r="A245" t="n">
        <v>13</v>
      </c>
      <c r="B245" t="inlineStr">
        <is>
          <t>Sandies Bathala</t>
        </is>
      </c>
      <c r="C245" t="inlineStr">
        <is>
          <t>other</t>
        </is>
      </c>
      <c r="D245" t="inlineStr">
        <is>
          <t>2016_DiamondsMaldives_Wonder-World_Fall-2016.pdf</t>
        </is>
      </c>
      <c r="E245" t="n">
        <v>2016</v>
      </c>
      <c r="H245" t="n">
        <v>4</v>
      </c>
      <c r="I245" t="n">
        <v>1602</v>
      </c>
      <c r="J245" t="inlineStr">
        <is>
          <t>N</t>
        </is>
      </c>
      <c r="K245" t="inlineStr">
        <is>
          <t>planhotel.com</t>
        </is>
      </c>
      <c r="L245" t="inlineStr">
        <is>
          <t>official</t>
        </is>
      </c>
      <c r="M245" t="inlineStr">
        <is>
          <t>https://d1vp8nomjxwyf1.cloudfront.net/wp-content/uploads/sites/110/2017/03/08100159/DiamondsMaldives_Wonder-World_Fall-2016.pdf</t>
        </is>
      </c>
      <c r="N245" t="inlineStr">
        <is>
          <t>https://d1vp8nomjxwyf1.cloudfront.net/wp-content/uploads/sites/110/2017/03/08100159/DiamondsMaldives_Wonder-World_Fall-2016.pdf | https://d1vp8nomjxwyf1.cloudfront.net/wp-content/uploads/sites/109/2017/03/08100025/DiamondsMaldives_Wonder-World_Fall-2016.pdf</t>
        </is>
      </c>
      <c r="O245" t="inlineStr">
        <is>
          <t>24e4bc277b48797c800c416112eef661c5052e233abae329d9f492f30b09052c</t>
        </is>
      </c>
      <c r="P245" t="inlineStr">
        <is>
          <t>library/013_sandies-bathala/other/2016_DiamondsMaldives_Wonder-World_Fall-2016.pdf</t>
        </is>
      </c>
      <c r="R245" t="inlineStr">
        <is>
          <t>outdated</t>
        </is>
      </c>
      <c r="S245" t="inlineStr">
        <is>
          <t>N</t>
        </is>
      </c>
      <c r="T245" t="inlineStr">
        <is>
          <t>needs-review</t>
        </is>
      </c>
      <c r="U245" t="inlineStr">
        <is>
          <t>2026-10-04</t>
        </is>
      </c>
      <c r="V245" t="inlineStr">
        <is>
          <t>ambiguous match [13]</t>
        </is>
      </c>
    </row>
    <row r="246">
      <c r="A246" t="n">
        <v>13</v>
      </c>
      <c r="B246" t="inlineStr">
        <is>
          <t>Sandies Bathala</t>
        </is>
      </c>
      <c r="C246" t="inlineStr">
        <is>
          <t>other</t>
        </is>
      </c>
      <c r="D246" t="inlineStr">
        <is>
          <t>2016_DiamondsMaldives_TMA-Inflight_02_2016.pdf</t>
        </is>
      </c>
      <c r="E246" t="n">
        <v>2016</v>
      </c>
      <c r="H246" t="n">
        <v>2</v>
      </c>
      <c r="I246" t="n">
        <v>1002</v>
      </c>
      <c r="J246" t="inlineStr">
        <is>
          <t>Y</t>
        </is>
      </c>
      <c r="K246" t="inlineStr">
        <is>
          <t>planhotel.com</t>
        </is>
      </c>
      <c r="L246" t="inlineStr">
        <is>
          <t>official</t>
        </is>
      </c>
      <c r="M246" t="inlineStr">
        <is>
          <t>https://d1vp8nomjxwyf1.cloudfront.net/wp-content/uploads/sites/110/2017/03/10145702/DiamondsMaldives_TMA-Inflight_02_2016.pdf</t>
        </is>
      </c>
      <c r="N246" t="inlineStr">
        <is>
          <t>https://d1vp8nomjxwyf1.cloudfront.net/wp-content/uploads/sites/110/2017/03/10145702/DiamondsMaldives_TMA-Inflight_02_2016.pdf | https://d1vp8nomjxwyf1.cloudfront.net/wp-content/uploads/sites/109/2017/03/10145310/DiamondsMaldives_TMA-Inflight_02_2016.pdf</t>
        </is>
      </c>
      <c r="O246" t="inlineStr">
        <is>
          <t>4b911b11b0340feee78c4fdb8122d510c1f699a5365d3bdd992efd9a3998e09c</t>
        </is>
      </c>
      <c r="P246" t="inlineStr">
        <is>
          <t>library/013_sandies-bathala/other/2016_DiamondsMaldives_TMA-Inflight_02_2016.pdf</t>
        </is>
      </c>
      <c r="R246" t="inlineStr">
        <is>
          <t>outdated</t>
        </is>
      </c>
      <c r="S246" t="inlineStr">
        <is>
          <t>N</t>
        </is>
      </c>
      <c r="T246" t="inlineStr">
        <is>
          <t>needs-review</t>
        </is>
      </c>
      <c r="U246" t="inlineStr">
        <is>
          <t>2026-10-04</t>
        </is>
      </c>
      <c r="V246" t="inlineStr">
        <is>
          <t>ambiguous match [13]</t>
        </is>
      </c>
    </row>
    <row r="247">
      <c r="A247" t="n">
        <v>13</v>
      </c>
      <c r="B247" t="inlineStr">
        <is>
          <t>Sandies Bathala</t>
        </is>
      </c>
      <c r="C247" t="inlineStr">
        <is>
          <t>other</t>
        </is>
      </c>
      <c r="D247" t="inlineStr">
        <is>
          <t>2016_Planhotel_ASTA_Fall-2016.pdf</t>
        </is>
      </c>
      <c r="E247" t="n">
        <v>2016</v>
      </c>
      <c r="H247" t="n">
        <v>2</v>
      </c>
      <c r="I247" t="n">
        <v>3449</v>
      </c>
      <c r="J247" t="inlineStr">
        <is>
          <t>N</t>
        </is>
      </c>
      <c r="K247" t="inlineStr">
        <is>
          <t>planhotel.com</t>
        </is>
      </c>
      <c r="L247" t="inlineStr">
        <is>
          <t>official</t>
        </is>
      </c>
      <c r="M247" t="inlineStr">
        <is>
          <t>https://d1vp8nomjxwyf1.cloudfront.net/wp-content/uploads/sites/113/2017/04/10151529/Planhotel_ASTA_Fall-2016.pdf</t>
        </is>
      </c>
      <c r="N247" t="inlineStr">
        <is>
          <t>https://d1vp8nomjxwyf1.cloudfront.net/wp-content/uploads/sites/113/2017/04/10151529/Planhotel_ASTA_Fall-2016.pdf</t>
        </is>
      </c>
      <c r="O247" t="inlineStr">
        <is>
          <t>4da8541f468be180841f48bb5b2b41f26a956e99823ac0ce617491b05aa9ec7e</t>
        </is>
      </c>
      <c r="P247" t="inlineStr">
        <is>
          <t>library/013_sandies-bathala/other/2016_Planhotel_ASTA_Fall-2016.pdf</t>
        </is>
      </c>
      <c r="R247" t="inlineStr">
        <is>
          <t>outdated</t>
        </is>
      </c>
      <c r="S247" t="inlineStr">
        <is>
          <t>N</t>
        </is>
      </c>
      <c r="T247" t="inlineStr">
        <is>
          <t>needs-review</t>
        </is>
      </c>
      <c r="U247" t="inlineStr">
        <is>
          <t>2026-10-04</t>
        </is>
      </c>
      <c r="V247" t="inlineStr">
        <is>
          <t>ambiguous match [13]</t>
        </is>
      </c>
    </row>
    <row r="248">
      <c r="A248" t="n">
        <v>13</v>
      </c>
      <c r="B248" t="inlineStr">
        <is>
          <t>Sandies Bathala</t>
        </is>
      </c>
      <c r="C248" t="inlineStr">
        <is>
          <t>other</t>
        </is>
      </c>
      <c r="D248" t="inlineStr">
        <is>
          <t>2016_Diamonds_Posh_Winter-2016.pdf</t>
        </is>
      </c>
      <c r="E248" t="n">
        <v>2016</v>
      </c>
      <c r="H248" t="n">
        <v>6</v>
      </c>
      <c r="I248" t="n">
        <v>1873</v>
      </c>
      <c r="J248" t="inlineStr">
        <is>
          <t>N</t>
        </is>
      </c>
      <c r="K248" t="inlineStr">
        <is>
          <t>planhotel.com</t>
        </is>
      </c>
      <c r="L248" t="inlineStr">
        <is>
          <t>official</t>
        </is>
      </c>
      <c r="M248" t="inlineStr">
        <is>
          <t>https://d1vp8nomjxwyf1.cloudfront.net/wp-content/uploads/sites/110/2017/03/10143823/Diamonds_Posh_Winter-2016.pdf</t>
        </is>
      </c>
      <c r="N248" t="inlineStr">
        <is>
          <t>https://d1vp8nomjxwyf1.cloudfront.net/wp-content/uploads/sites/110/2017/03/10143823/Diamonds_Posh_Winter-2016.pdf | https://d1vp8nomjxwyf1.cloudfront.net/wp-content/uploads/sites/109/2017/03/10143642/Diamonds_Posh_Winter-2016.pdf</t>
        </is>
      </c>
      <c r="O248" t="inlineStr">
        <is>
          <t>74a137285d1e5a9f9b6c50fdcfe3fcfb9c64d91246411cedc8ebc445f523fe16</t>
        </is>
      </c>
      <c r="P248" t="inlineStr">
        <is>
          <t>library/013_sandies-bathala/other/2016_Diamonds_Posh_Winter-2016.pdf</t>
        </is>
      </c>
      <c r="R248" t="inlineStr">
        <is>
          <t>outdated</t>
        </is>
      </c>
      <c r="S248" t="inlineStr">
        <is>
          <t>N</t>
        </is>
      </c>
      <c r="T248" t="inlineStr">
        <is>
          <t>needs-review</t>
        </is>
      </c>
      <c r="U248" t="inlineStr">
        <is>
          <t>2026-10-04</t>
        </is>
      </c>
      <c r="V248" t="inlineStr">
        <is>
          <t>ambiguous match [13]</t>
        </is>
      </c>
    </row>
    <row r="249">
      <c r="A249" t="n">
        <v>13</v>
      </c>
      <c r="B249" t="inlineStr">
        <is>
          <t>Sandies Bathala</t>
        </is>
      </c>
      <c r="C249" t="inlineStr">
        <is>
          <t>other</t>
        </is>
      </c>
      <c r="D249" t="inlineStr">
        <is>
          <t>2015_Procedura-di-prenotazione.pdf</t>
        </is>
      </c>
      <c r="E249" t="n">
        <v>2015</v>
      </c>
      <c r="H249" t="n">
        <v>2</v>
      </c>
      <c r="I249" t="n">
        <v>678</v>
      </c>
      <c r="J249" t="inlineStr">
        <is>
          <t>Y</t>
        </is>
      </c>
      <c r="K249" t="inlineStr">
        <is>
          <t>planhotel.com</t>
        </is>
      </c>
      <c r="L249" t="inlineStr">
        <is>
          <t>official</t>
        </is>
      </c>
      <c r="M249" t="inlineStr">
        <is>
          <t>https://d1vp8nomjxwyf1.cloudfront.net/wp-content/uploads/sites/212/2017/07/08084043/Procedura-di-prenotazione.pdf</t>
        </is>
      </c>
      <c r="N249" t="inlineStr">
        <is>
          <t>https://d1vp8nomjxwyf1.cloudfront.net/wp-content/uploads/sites/212/2017/07/08084043/Procedura-di-prenotazione.pdf</t>
        </is>
      </c>
      <c r="O249" t="inlineStr">
        <is>
          <t>ac4064e052ed6ec5aedcf5c58431f76a36283e10e28e5cfc0ca161a1904ae3ee</t>
        </is>
      </c>
      <c r="P249" t="inlineStr">
        <is>
          <t>library/013_sandies-bathala/other/2015_Procedura-di-prenotazione.pdf</t>
        </is>
      </c>
      <c r="R249" t="inlineStr">
        <is>
          <t>outdated</t>
        </is>
      </c>
      <c r="S249" t="inlineStr">
        <is>
          <t>N</t>
        </is>
      </c>
      <c r="T249" t="inlineStr">
        <is>
          <t>needs-review</t>
        </is>
      </c>
      <c r="U249" t="inlineStr">
        <is>
          <t>2026-10-04</t>
        </is>
      </c>
      <c r="V249" t="inlineStr">
        <is>
          <t>ambiguous match [13]</t>
        </is>
      </c>
    </row>
    <row r="250">
      <c r="A250" t="n">
        <v>13</v>
      </c>
      <c r="B250" t="inlineStr">
        <is>
          <t>Sandies Bathala</t>
        </is>
      </c>
      <c r="C250" t="inlineStr">
        <is>
          <t>other</t>
        </is>
      </c>
      <c r="D250" t="inlineStr">
        <is>
          <t>2015_Planhotel_Company-Profile_2015.pdf</t>
        </is>
      </c>
      <c r="E250" t="n">
        <v>2015</v>
      </c>
      <c r="H250" t="n">
        <v>13</v>
      </c>
      <c r="I250" t="n">
        <v>1869</v>
      </c>
      <c r="J250" t="inlineStr">
        <is>
          <t>Y</t>
        </is>
      </c>
      <c r="K250" t="inlineStr">
        <is>
          <t>planhotel.com</t>
        </is>
      </c>
      <c r="L250" t="inlineStr">
        <is>
          <t>official</t>
        </is>
      </c>
      <c r="M250" t="inlineStr">
        <is>
          <t>https://d1vp8nomjxwyf1.cloudfront.net/wp-content/uploads/sites/212/2017/08/04153912/Planhotel_Company-Profile_2015.pdf</t>
        </is>
      </c>
      <c r="N250" t="inlineStr">
        <is>
          <t>https://d1vp8nomjxwyf1.cloudfront.net/wp-content/uploads/sites/212/2017/08/04153912/Planhotel_Company-Profile_2015.pdf | https://d1vp8nomjxwyf1.cloudfront.net/wp-content/uploads/sites/212/2017/07/28075833/Planhotel_Company-Profile_2015.pdf</t>
        </is>
      </c>
      <c r="O250" t="inlineStr">
        <is>
          <t>685118a2bdb4aab20f7306dea0982e4147f650bf4fb4636454274fa789454a08</t>
        </is>
      </c>
      <c r="P250" t="inlineStr">
        <is>
          <t>library/013_sandies-bathala/other/2015_Planhotel_Company-Profile_2015.pdf</t>
        </is>
      </c>
      <c r="R250" t="inlineStr">
        <is>
          <t>outdated</t>
        </is>
      </c>
      <c r="S250" t="inlineStr">
        <is>
          <t>N</t>
        </is>
      </c>
      <c r="T250" t="inlineStr">
        <is>
          <t>needs-review</t>
        </is>
      </c>
      <c r="U250" t="inlineStr">
        <is>
          <t>2026-10-04</t>
        </is>
      </c>
      <c r="V250" t="inlineStr">
        <is>
          <t>ambiguous match [13]</t>
        </is>
      </c>
    </row>
    <row r="251">
      <c r="A251" t="n">
        <v>13</v>
      </c>
      <c r="B251" t="inlineStr">
        <is>
          <t>Sandies Bathala</t>
        </is>
      </c>
      <c r="C251" t="inlineStr">
        <is>
          <t>other</t>
        </is>
      </c>
      <c r="D251" t="inlineStr">
        <is>
          <t>2014_DiamondsDreamofAfrica_Nat-Geo-Luxury-Collection_2014.pdf</t>
        </is>
      </c>
      <c r="E251" t="n">
        <v>2014</v>
      </c>
      <c r="H251" t="n">
        <v>3</v>
      </c>
      <c r="I251" t="n">
        <v>2124</v>
      </c>
      <c r="J251" t="inlineStr">
        <is>
          <t>Y</t>
        </is>
      </c>
      <c r="K251" t="inlineStr">
        <is>
          <t>planhotel.com</t>
        </is>
      </c>
      <c r="L251" t="inlineStr">
        <is>
          <t>official</t>
        </is>
      </c>
      <c r="M251" t="inlineStr">
        <is>
          <t>https://d1vp8nomjxwyf1.cloudfront.net/wp-content/uploads/sites/114/2017/04/08075432/DiamondsDreamofAfrica_Nat-Geo-Luxury-Collection_2014.pdf</t>
        </is>
      </c>
      <c r="N251" t="inlineStr">
        <is>
          <t>https://d1vp8nomjxwyf1.cloudfront.net/wp-content/uploads/sites/114/2017/04/08075432/DiamondsDreamofAfrica_Nat-Geo-Luxury-Collection_2014.pdf</t>
        </is>
      </c>
      <c r="O251" t="inlineStr">
        <is>
          <t>6b572f9ea3a5190d260b8ab6e48f6b4e498f13d55583a5f846f3289d3ee1f7be</t>
        </is>
      </c>
      <c r="P251" t="inlineStr">
        <is>
          <t>library/013_sandies-bathala/other/2014_DiamondsDreamofAfrica_Nat-Geo-Luxury-Collection_2014.pdf</t>
        </is>
      </c>
      <c r="R251" t="inlineStr">
        <is>
          <t>outdated</t>
        </is>
      </c>
      <c r="S251" t="inlineStr">
        <is>
          <t>N</t>
        </is>
      </c>
      <c r="T251" t="inlineStr">
        <is>
          <t>needs-review</t>
        </is>
      </c>
      <c r="U251" t="inlineStr">
        <is>
          <t>2026-10-04</t>
        </is>
      </c>
      <c r="V251" t="inlineStr">
        <is>
          <t>ambiguous match [13]</t>
        </is>
      </c>
    </row>
    <row r="252">
      <c r="A252" t="n">
        <v>13</v>
      </c>
      <c r="B252" t="inlineStr">
        <is>
          <t>Sandies Bathala</t>
        </is>
      </c>
      <c r="C252" t="inlineStr">
        <is>
          <t>other</t>
        </is>
      </c>
      <c r="D252" t="inlineStr">
        <is>
          <t>2014_DiamondsMaldive_Traveller_Winter-2014.pdf</t>
        </is>
      </c>
      <c r="E252" t="n">
        <v>2014</v>
      </c>
      <c r="H252" t="n">
        <v>2</v>
      </c>
      <c r="I252" t="n">
        <v>1314</v>
      </c>
      <c r="J252" t="inlineStr">
        <is>
          <t>N</t>
        </is>
      </c>
      <c r="K252" t="inlineStr">
        <is>
          <t>planhotel.com</t>
        </is>
      </c>
      <c r="L252" t="inlineStr">
        <is>
          <t>official</t>
        </is>
      </c>
      <c r="M252" t="inlineStr">
        <is>
          <t>https://d1vp8nomjxwyf1.cloudfront.net/wp-content/uploads/sites/110/2017/03/08080920/DiamondsMaldive_Traveller_Winter-2014.pdf</t>
        </is>
      </c>
      <c r="N252" t="inlineStr">
        <is>
          <t>https://d1vp8nomjxwyf1.cloudfront.net/wp-content/uploads/sites/110/2017/03/08080920/DiamondsMaldive_Traveller_Winter-2014.pdf</t>
        </is>
      </c>
      <c r="O252" t="inlineStr">
        <is>
          <t>f51ae0c035c46d21e3be5ca6874fddd8cb74670940126f22a1827229337fba28</t>
        </is>
      </c>
      <c r="P252" t="inlineStr">
        <is>
          <t>library/013_sandies-bathala/other/2014_DiamondsMaldive_Traveller_Winter-2014.pdf</t>
        </is>
      </c>
      <c r="R252" t="inlineStr">
        <is>
          <t>outdated</t>
        </is>
      </c>
      <c r="S252" t="inlineStr">
        <is>
          <t>N</t>
        </is>
      </c>
      <c r="T252" t="inlineStr">
        <is>
          <t>needs-review</t>
        </is>
      </c>
      <c r="U252" t="inlineStr">
        <is>
          <t>2026-10-04</t>
        </is>
      </c>
      <c r="V252" t="inlineStr">
        <is>
          <t>ambiguous match [13]</t>
        </is>
      </c>
    </row>
    <row r="253">
      <c r="A253" t="n">
        <v>15</v>
      </c>
      <c r="B253" t="inlineStr">
        <is>
          <t>Alila Kothaifaru Maldives</t>
        </is>
      </c>
      <c r="C253" t="inlineStr">
        <is>
          <t>factsheet</t>
        </is>
      </c>
      <c r="D253" t="inlineStr">
        <is>
          <t>2022_Alila-Kothaifaru-Maldives-Factsheet-2022.pdf</t>
        </is>
      </c>
      <c r="E253" t="n">
        <v>2022</v>
      </c>
      <c r="H253" t="n">
        <v>3</v>
      </c>
      <c r="I253" t="n">
        <v>310</v>
      </c>
      <c r="J253" t="inlineStr">
        <is>
          <t>Y</t>
        </is>
      </c>
      <c r="K253" t="inlineStr">
        <is>
          <t>neoscapesmaldives.com</t>
        </is>
      </c>
      <c r="L253" t="inlineStr">
        <is>
          <t>dmc-agency</t>
        </is>
      </c>
      <c r="M253" t="inlineStr">
        <is>
          <t>https://www.neoscapesmaldives.com/wp-content/uploads/Alila-Kothaifaru-Maldives-Factsheet-2022.pdf</t>
        </is>
      </c>
      <c r="N253" t="inlineStr">
        <is>
          <t>https://www.neoscapesmaldives.com/wp-content/uploads/Alila-Kothaifaru-Maldives-Factsheet-2022.pdf</t>
        </is>
      </c>
      <c r="O253" t="inlineStr">
        <is>
          <t>1781e5a11b7377f8e8bb7455f3c2dea1a4db8754f5845b6083e8867125ec64ef</t>
        </is>
      </c>
      <c r="P253" t="inlineStr">
        <is>
          <t>library/015_alila-kothaifaru-maldives/factsheet/2022_Alila-Kothaifaru-Maldives-Factsheet-2022.pdf</t>
        </is>
      </c>
      <c r="R253" t="inlineStr">
        <is>
          <t>outdated</t>
        </is>
      </c>
      <c r="S253" t="inlineStr">
        <is>
          <t>Y</t>
        </is>
      </c>
      <c r="T253" t="inlineStr">
        <is>
          <t>matched</t>
        </is>
      </c>
      <c r="U253" t="inlineStr">
        <is>
          <t>2026-10-04</t>
        </is>
      </c>
      <c r="V253" t="inlineStr"/>
    </row>
    <row r="254">
      <c r="A254" t="n">
        <v>15</v>
      </c>
      <c r="B254" t="inlineStr">
        <is>
          <t>Alila Kothaifaru Maldives</t>
        </is>
      </c>
      <c r="C254" t="inlineStr">
        <is>
          <t>map</t>
        </is>
      </c>
      <c r="D254" t="inlineStr">
        <is>
          <t>2022_Alila-Kothaifaru-Maldives-Resort-Map.pdf</t>
        </is>
      </c>
      <c r="E254" t="n">
        <v>2022</v>
      </c>
      <c r="H254" t="n">
        <v>1</v>
      </c>
      <c r="I254" t="n">
        <v>1704</v>
      </c>
      <c r="J254" t="inlineStr">
        <is>
          <t>N</t>
        </is>
      </c>
      <c r="K254" t="inlineStr">
        <is>
          <t>neoscapesmaldives.com</t>
        </is>
      </c>
      <c r="L254" t="inlineStr">
        <is>
          <t>dmc-agency</t>
        </is>
      </c>
      <c r="M254" t="inlineStr">
        <is>
          <t>https://www.neoscapesmaldives.com/wp-content/uploads/Alila-Kothaifaru-Maldives-Resort-Map.pdf</t>
        </is>
      </c>
      <c r="N254" t="inlineStr">
        <is>
          <t>https://www.neoscapesmaldives.com/wp-content/uploads/Alila-Kothaifaru-Maldives-Resort-Map.pdf</t>
        </is>
      </c>
      <c r="O254" t="inlineStr">
        <is>
          <t>611db5de80ebdf1b3a74646ea797e5a76a3f2857fd1ab178d55cbb52351b71fc</t>
        </is>
      </c>
      <c r="P254" t="inlineStr">
        <is>
          <t>library/015_alila-kothaifaru-maldives/map/2022_Alila-Kothaifaru-Maldives-Resort-Map.pdf</t>
        </is>
      </c>
      <c r="R254" t="inlineStr">
        <is>
          <t>outdated</t>
        </is>
      </c>
      <c r="S254" t="inlineStr">
        <is>
          <t>Y</t>
        </is>
      </c>
      <c r="T254" t="inlineStr">
        <is>
          <t>matched</t>
        </is>
      </c>
      <c r="U254" t="inlineStr">
        <is>
          <t>2026-10-04</t>
        </is>
      </c>
      <c r="V254" t="inlineStr"/>
    </row>
    <row r="255">
      <c r="A255" t="n">
        <v>16</v>
      </c>
      <c r="B255" t="inlineStr">
        <is>
          <t>JW Marriott Kaafu Atoll Island Resort</t>
        </is>
      </c>
      <c r="C255" t="inlineStr">
        <is>
          <t>map</t>
        </is>
      </c>
      <c r="D255" t="inlineStr">
        <is>
          <t>2024_RESORT-MAP_Original.pdf</t>
        </is>
      </c>
      <c r="E255" t="n">
        <v>2024</v>
      </c>
      <c r="H255" t="n">
        <v>1</v>
      </c>
      <c r="I255" t="n">
        <v>2776</v>
      </c>
      <c r="J255" t="inlineStr">
        <is>
          <t>Y</t>
        </is>
      </c>
      <c r="K255" t="inlineStr">
        <is>
          <t>neoscapesmaldives.com</t>
        </is>
      </c>
      <c r="L255" t="inlineStr">
        <is>
          <t>dmc-agency</t>
        </is>
      </c>
      <c r="M255" t="inlineStr">
        <is>
          <t>https://www.neoscapesmaldives.com/wp-content/uploads/RESORT-MAP_Original.pdf</t>
        </is>
      </c>
      <c r="N255" t="inlineStr">
        <is>
          <t>https://www.neoscapesmaldives.com/wp-content/uploads/RESORT-MAP_Original.pdf</t>
        </is>
      </c>
      <c r="O255" t="inlineStr">
        <is>
          <t>21ef3a43a5957ff0b4c061243a1f2a6485549f6aaa2beb055df51eb5806bc864</t>
        </is>
      </c>
      <c r="P255" t="inlineStr">
        <is>
          <t>library/016_jw-marriott-kaafu-atoll-island-resort/map/2024_RESORT-MAP_Original.pdf</t>
        </is>
      </c>
      <c r="R255" t="inlineStr">
        <is>
          <t>outdated</t>
        </is>
      </c>
      <c r="S255" t="inlineStr">
        <is>
          <t>Y</t>
        </is>
      </c>
      <c r="T255" t="inlineStr">
        <is>
          <t>needs-review</t>
        </is>
      </c>
      <c r="U255" t="inlineStr">
        <is>
          <t>2026-10-04</t>
        </is>
      </c>
      <c r="V255" t="inlineStr">
        <is>
          <t>ambiguous match [16]</t>
        </is>
      </c>
    </row>
    <row r="256">
      <c r="A256" t="n">
        <v>16</v>
      </c>
      <c r="B256" t="inlineStr">
        <is>
          <t>JW Marriott Kaafu Atoll Island Resort</t>
        </is>
      </c>
      <c r="C256" t="inlineStr">
        <is>
          <t>brochure</t>
        </is>
      </c>
      <c r="D256" t="inlineStr">
        <is>
          <t>2024_JW-Marriott-Kaafu-Atoll-Island-Resort_Presentation.pdf</t>
        </is>
      </c>
      <c r="E256" t="n">
        <v>2024</v>
      </c>
      <c r="H256" t="n">
        <v>20</v>
      </c>
      <c r="I256" t="n">
        <v>5095</v>
      </c>
      <c r="J256" t="inlineStr">
        <is>
          <t>Y</t>
        </is>
      </c>
      <c r="K256" t="inlineStr">
        <is>
          <t>neoscapesmaldives.com</t>
        </is>
      </c>
      <c r="L256" t="inlineStr">
        <is>
          <t>dmc-agency</t>
        </is>
      </c>
      <c r="M256" t="inlineStr">
        <is>
          <t>https://www.neoscapesmaldives.com/wp-content/uploads/JW-Marriott-Kaafu-Atoll-Island-Resort_Presentation.pdf</t>
        </is>
      </c>
      <c r="N256" t="inlineStr">
        <is>
          <t>https://www.neoscapesmaldives.com/wp-content/uploads/JW-Marriott-Kaafu-Atoll-Island-Resort_Presentation.pdf</t>
        </is>
      </c>
      <c r="O256" t="inlineStr">
        <is>
          <t>e0a930d25c89df6027b432ba497c402492e4d889a722bfce0fa7a1b37fc040c1</t>
        </is>
      </c>
      <c r="P256" t="inlineStr">
        <is>
          <t>library/016_jw-marriott-kaafu-atoll-island-resort/brochure/2024_JW-Marriott-Kaafu-Atoll-Island-Resort_Presentation.pdf</t>
        </is>
      </c>
      <c r="R256" t="inlineStr">
        <is>
          <t>outdated</t>
        </is>
      </c>
      <c r="S256" t="inlineStr">
        <is>
          <t>Y</t>
        </is>
      </c>
      <c r="T256" t="inlineStr">
        <is>
          <t>matched</t>
        </is>
      </c>
      <c r="U256" t="inlineStr">
        <is>
          <t>2026-10-04</t>
        </is>
      </c>
      <c r="V256" t="inlineStr"/>
    </row>
    <row r="257">
      <c r="A257" t="n">
        <v>18</v>
      </c>
      <c r="B257" t="inlineStr">
        <is>
          <t>JW Marriott Maldives Resort &amp; Spa</t>
        </is>
      </c>
      <c r="C257" t="inlineStr">
        <is>
          <t>factsheet</t>
        </is>
      </c>
      <c r="D257" t="inlineStr">
        <is>
          <t>2023_JW-Marriott-Maldives-Resort-Spa-Factsheet-2023.pdf</t>
        </is>
      </c>
      <c r="E257" t="n">
        <v>2023</v>
      </c>
      <c r="H257" t="n">
        <v>9</v>
      </c>
      <c r="I257" t="n">
        <v>2920</v>
      </c>
      <c r="J257" t="inlineStr">
        <is>
          <t>Y</t>
        </is>
      </c>
      <c r="K257" t="inlineStr">
        <is>
          <t>neoscapesmaldives.com</t>
        </is>
      </c>
      <c r="L257" t="inlineStr">
        <is>
          <t>dmc-agency</t>
        </is>
      </c>
      <c r="M257" t="inlineStr">
        <is>
          <t>https://www.neoscapesmaldives.com/wp-content/uploads/JW-Marriott-Maldives-Resort-Spa-Factsheet-2023.pdf</t>
        </is>
      </c>
      <c r="N257" t="inlineStr">
        <is>
          <t>https://www.neoscapesmaldives.com/wp-content/uploads/JW-Marriott-Maldives-Resort-Spa-Factsheet-2023.pdf</t>
        </is>
      </c>
      <c r="O257" t="inlineStr">
        <is>
          <t>76c2f6bf6b29e069a69b721c1bddb291fb4cf4409c478ed96f2ec0d8ec83c67c</t>
        </is>
      </c>
      <c r="P257" t="inlineStr">
        <is>
          <t>library/018_jw-marriott-maldives-resort-spa/factsheet/2023_JW-Marriott-Maldives-Resort-Spa-Factsheet-2023.pdf</t>
        </is>
      </c>
      <c r="R257" t="inlineStr">
        <is>
          <t>outdated</t>
        </is>
      </c>
      <c r="S257" t="inlineStr">
        <is>
          <t>Y</t>
        </is>
      </c>
      <c r="T257" t="inlineStr">
        <is>
          <t>matched</t>
        </is>
      </c>
      <c r="U257" t="inlineStr">
        <is>
          <t>2026-10-04</t>
        </is>
      </c>
      <c r="V257" t="inlineStr"/>
    </row>
    <row r="258">
      <c r="A258" t="n">
        <v>18</v>
      </c>
      <c r="B258" t="inlineStr">
        <is>
          <t>JW Marriott Maldives Resort &amp; Spa</t>
        </is>
      </c>
      <c r="C258" t="inlineStr">
        <is>
          <t>map</t>
        </is>
      </c>
      <c r="D258" t="inlineStr">
        <is>
          <t>2025_Resort-Map_JW-Marriott-Maldives.pdf</t>
        </is>
      </c>
      <c r="E258" t="n">
        <v>2025</v>
      </c>
      <c r="H258" t="n">
        <v>1</v>
      </c>
      <c r="I258" t="n">
        <v>456</v>
      </c>
      <c r="J258" t="inlineStr">
        <is>
          <t>N</t>
        </is>
      </c>
      <c r="K258" t="inlineStr">
        <is>
          <t>neoscapesmaldives.com</t>
        </is>
      </c>
      <c r="L258" t="inlineStr">
        <is>
          <t>dmc-agency</t>
        </is>
      </c>
      <c r="M258" t="inlineStr">
        <is>
          <t>https://www.neoscapesmaldives.com/wp-content/uploads/Resort-Map_JW-Marriott-Maldives.pdf</t>
        </is>
      </c>
      <c r="N258" t="inlineStr">
        <is>
          <t>https://www.neoscapesmaldives.com/wp-content/uploads/Resort-Map_JW-Marriott-Maldives.pdf</t>
        </is>
      </c>
      <c r="O258" t="inlineStr">
        <is>
          <t>a4229d5289ec3c66f2a3d20f4ec9582b74c3aa3d2cb90ba90e093cb65b63ba35</t>
        </is>
      </c>
      <c r="P258" t="inlineStr">
        <is>
          <t>library/018_jw-marriott-maldives-resort-spa/map/2025_Resort-Map_JW-Marriott-Maldives.pdf</t>
        </is>
      </c>
      <c r="R258" t="inlineStr">
        <is>
          <t>current</t>
        </is>
      </c>
      <c r="S258" t="inlineStr">
        <is>
          <t>Y</t>
        </is>
      </c>
      <c r="T258" t="inlineStr">
        <is>
          <t>matched</t>
        </is>
      </c>
      <c r="U258" t="inlineStr">
        <is>
          <t>2026-10-04</t>
        </is>
      </c>
      <c r="V258" t="inlineStr"/>
    </row>
    <row r="259">
      <c r="A259" t="n">
        <v>19</v>
      </c>
      <c r="B259" t="inlineStr">
        <is>
          <t>The Residence Maldives</t>
        </is>
      </c>
      <c r="C259" t="inlineStr">
        <is>
          <t>wedding</t>
        </is>
      </c>
      <c r="D259" t="inlineStr">
        <is>
          <t>2026_Maldives_Wedding_Ceremony_Packages-2026.pdf</t>
        </is>
      </c>
      <c r="E259" t="n">
        <v>2026</v>
      </c>
      <c r="H259" t="n">
        <v>4</v>
      </c>
      <c r="I259" t="n">
        <v>14175</v>
      </c>
      <c r="J259" t="inlineStr">
        <is>
          <t>Y</t>
        </is>
      </c>
      <c r="K259" t="inlineStr">
        <is>
          <t>cenizaro.com</t>
        </is>
      </c>
      <c r="L259" t="inlineStr">
        <is>
          <t>official</t>
        </is>
      </c>
      <c r="M259" t="inlineStr">
        <is>
          <t>https://www.cenizaro.com/docs/maldives-fm/Maldives_Wedding_Ceremony_Packages-2026.pdf</t>
        </is>
      </c>
      <c r="N259" t="inlineStr">
        <is>
          <t>https://www.cenizaro.com/docs/maldives-fm/Maldives_Wedding_Ceremony_Packages-2026.pdf</t>
        </is>
      </c>
      <c r="O259" t="inlineStr">
        <is>
          <t>862b8556cb8791f045db0546785db0ac7723cd929e0e0473615f02cc43fc9c09</t>
        </is>
      </c>
      <c r="P259" t="inlineStr">
        <is>
          <t>library/019_the-residence-maldives/wedding/2026_Maldives_Wedding_Ceremony_Packages-2026.pdf</t>
        </is>
      </c>
      <c r="R259" t="inlineStr">
        <is>
          <t>current</t>
        </is>
      </c>
      <c r="S259" t="inlineStr">
        <is>
          <t>Y</t>
        </is>
      </c>
      <c r="T259" t="inlineStr">
        <is>
          <t>needs-review</t>
        </is>
      </c>
      <c r="U259" t="inlineStr">
        <is>
          <t>2026-10-04</t>
        </is>
      </c>
      <c r="V259" t="inlineStr">
        <is>
          <t>ambiguous match [19]</t>
        </is>
      </c>
    </row>
    <row r="260">
      <c r="A260" t="n">
        <v>19</v>
      </c>
      <c r="B260" t="inlineStr">
        <is>
          <t>The Residence Maldives</t>
        </is>
      </c>
      <c r="C260" t="inlineStr">
        <is>
          <t>events</t>
        </is>
      </c>
      <c r="D260" t="inlineStr">
        <is>
          <t>2024_2024_TR_MALDIVES_MICE_FACTSHEET_FA_v3_PAGEBYPAGE.pdf</t>
        </is>
      </c>
      <c r="E260" t="n">
        <v>2024</v>
      </c>
      <c r="H260" t="n">
        <v>6</v>
      </c>
      <c r="I260" t="n">
        <v>6361</v>
      </c>
      <c r="J260" t="inlineStr">
        <is>
          <t>Y</t>
        </is>
      </c>
      <c r="K260" t="inlineStr">
        <is>
          <t>cenizaro.com</t>
        </is>
      </c>
      <c r="L260" t="inlineStr">
        <is>
          <t>official</t>
        </is>
      </c>
      <c r="M260" t="inlineStr">
        <is>
          <t>https://www.cenizaro.com//docs/maldives-fm/2024_TR_MALDIVES_MICE_FACTSHEET_FA_v3_PAGEBYPAGE.pdf</t>
        </is>
      </c>
      <c r="N260" t="inlineStr">
        <is>
          <t>https://www.cenizaro.com//docs/maldives-fm/2024_TR_MALDIVES_MICE_FACTSHEET_FA_v3_PAGEBYPAGE.pdf</t>
        </is>
      </c>
      <c r="O260" t="inlineStr">
        <is>
          <t>b4e3dedbbfb03254f3123ebcc85eeb04a80863c12b25ae5f2217e73d1ca8990f</t>
        </is>
      </c>
      <c r="P260" t="inlineStr">
        <is>
          <t>library/019_the-residence-maldives/events/2024_2024_TR_MALDIVES_MICE_FACTSHEET_FA_v3_PAGEBYPAGE.pdf</t>
        </is>
      </c>
      <c r="R260" t="inlineStr">
        <is>
          <t>outdated</t>
        </is>
      </c>
      <c r="S260" t="inlineStr">
        <is>
          <t>Y</t>
        </is>
      </c>
      <c r="T260" t="inlineStr">
        <is>
          <t>matched</t>
        </is>
      </c>
      <c r="U260" t="inlineStr">
        <is>
          <t>2026-10-04</t>
        </is>
      </c>
      <c r="V260" t="inlineStr"/>
    </row>
    <row r="261">
      <c r="A261" t="n">
        <v>19</v>
      </c>
      <c r="B261" t="inlineStr">
        <is>
          <t>The Residence Maldives</t>
        </is>
      </c>
      <c r="C261" t="inlineStr">
        <is>
          <t>spa_menu</t>
        </is>
      </c>
      <c r="D261" t="inlineStr">
        <is>
          <t>2023_TRML_Spa_by_Clarins_-_Reception_Menu_-_Jan_23.pdf</t>
        </is>
      </c>
      <c r="E261" t="n">
        <v>2023</v>
      </c>
      <c r="H261" t="n">
        <v>21</v>
      </c>
      <c r="I261" t="n">
        <v>2886</v>
      </c>
      <c r="J261" t="inlineStr">
        <is>
          <t>N</t>
        </is>
      </c>
      <c r="K261" t="inlineStr">
        <is>
          <t>cenizaro.com</t>
        </is>
      </c>
      <c r="L261" t="inlineStr">
        <is>
          <t>official</t>
        </is>
      </c>
      <c r="M261" t="inlineStr">
        <is>
          <t>https://cenizaro.com/docs/maldives-fm/TRML_Spa_by_Clarins_-_Reception_Menu_-_Jan_23.pdf</t>
        </is>
      </c>
      <c r="N261" t="inlineStr">
        <is>
          <t>https://cenizaro.com/docs/maldives-fm/TRML_Spa_by_Clarins_-_Reception_Menu_-_Jan_23.pdf</t>
        </is>
      </c>
      <c r="O261" t="inlineStr">
        <is>
          <t>b5c25831b4919e03759390462d29860f47dc84e268f066a09246d0ddcf10152a</t>
        </is>
      </c>
      <c r="P261" t="inlineStr">
        <is>
          <t>library/019_the-residence-maldives/spa_menu/2023_TRML_Spa_by_Clarins_-_Reception_Menu_-_Jan_23.pdf</t>
        </is>
      </c>
      <c r="R261" t="inlineStr">
        <is>
          <t>outdated</t>
        </is>
      </c>
      <c r="S261" t="inlineStr">
        <is>
          <t>Y</t>
        </is>
      </c>
      <c r="T261" t="inlineStr">
        <is>
          <t>needs-review</t>
        </is>
      </c>
      <c r="U261" t="inlineStr">
        <is>
          <t>2026-10-04</t>
        </is>
      </c>
      <c r="V261" t="inlineStr">
        <is>
          <t>ambiguous match [19]</t>
        </is>
      </c>
    </row>
    <row r="262">
      <c r="A262" t="n">
        <v>19</v>
      </c>
      <c r="B262" t="inlineStr">
        <is>
          <t>The Residence Maldives</t>
        </is>
      </c>
      <c r="C262" t="inlineStr">
        <is>
          <t>spa_menu</t>
        </is>
      </c>
      <c r="D262" t="inlineStr">
        <is>
          <t>2022_TRML_Spa_by_Clarins_-_Reception_Menu_-_Dec_22.pdf</t>
        </is>
      </c>
      <c r="E262" t="n">
        <v>2022</v>
      </c>
      <c r="H262" t="n">
        <v>22</v>
      </c>
      <c r="I262" t="n">
        <v>2947</v>
      </c>
      <c r="J262" t="inlineStr">
        <is>
          <t>N</t>
        </is>
      </c>
      <c r="K262" t="inlineStr">
        <is>
          <t>cenizaro.com</t>
        </is>
      </c>
      <c r="L262" t="inlineStr">
        <is>
          <t>official</t>
        </is>
      </c>
      <c r="M262" t="inlineStr">
        <is>
          <t>https://www.cenizaro.com/docs/maldives-fm/TRML_Spa_by_Clarins_-_Reception_Menu_-_Dec_22.pdf</t>
        </is>
      </c>
      <c r="N262" t="inlineStr">
        <is>
          <t>https://www.cenizaro.com/docs/maldives-fm/TRML_Spa_by_Clarins_-_Reception_Menu_-_Dec_22.pdf</t>
        </is>
      </c>
      <c r="O262" t="inlineStr">
        <is>
          <t>95aa5fe3059187b464126389a799c13e108da369d78d4f0d82993a3c443b3801</t>
        </is>
      </c>
      <c r="P262" t="inlineStr">
        <is>
          <t>library/019_the-residence-maldives/spa_menu/2022_TRML_Spa_by_Clarins_-_Reception_Menu_-_Dec_22.pdf</t>
        </is>
      </c>
      <c r="R262" t="inlineStr">
        <is>
          <t>outdated</t>
        </is>
      </c>
      <c r="S262" t="inlineStr">
        <is>
          <t>N</t>
        </is>
      </c>
      <c r="T262" t="inlineStr">
        <is>
          <t>needs-review</t>
        </is>
      </c>
      <c r="U262" t="inlineStr">
        <is>
          <t>2026-10-04</t>
        </is>
      </c>
      <c r="V262" t="inlineStr">
        <is>
          <t>ambiguous match [19]</t>
        </is>
      </c>
    </row>
    <row r="263">
      <c r="A263" t="n">
        <v>19</v>
      </c>
      <c r="B263" t="inlineStr">
        <is>
          <t>The Residence Maldives</t>
        </is>
      </c>
      <c r="C263" t="inlineStr">
        <is>
          <t>dining_menu</t>
        </is>
      </c>
      <c r="D263" t="inlineStr">
        <is>
          <t>2025_TRML_-_The_Beach_Bar_A_la_Carte_Lunch_Menu_-_28.06.25.pdf</t>
        </is>
      </c>
      <c r="E263" t="n">
        <v>2025</v>
      </c>
      <c r="H263" t="n">
        <v>7</v>
      </c>
      <c r="I263" t="n">
        <v>806</v>
      </c>
      <c r="J263" t="inlineStr">
        <is>
          <t>N</t>
        </is>
      </c>
      <c r="K263" t="inlineStr">
        <is>
          <t>cenizaro.com</t>
        </is>
      </c>
      <c r="L263" t="inlineStr">
        <is>
          <t>official</t>
        </is>
      </c>
      <c r="M263" t="inlineStr">
        <is>
          <t>https://www.cenizaro.com/docs/maldives-fm/TRML_-_The_Beach_Bar_A_la_Carte_Lunch_Menu_-_28.06.25.pdf</t>
        </is>
      </c>
      <c r="N263" t="inlineStr">
        <is>
          <t>https://www.cenizaro.com/docs/maldives-fm/TRML_-_The_Beach_Bar_A_la_Carte_Lunch_Menu_-_28.06.25.pdf</t>
        </is>
      </c>
      <c r="O263" t="inlineStr">
        <is>
          <t>7b153e5c8c5775cfd96af5a6e707ea87de2a0b44ef0787023025611277067f8f</t>
        </is>
      </c>
      <c r="P263" t="inlineStr">
        <is>
          <t>library/019_the-residence-maldives/dining_menu/2025_TRML_-_The_Beach_Bar_A_la_Carte_Lunch_Menu_-_28.06.25.pdf</t>
        </is>
      </c>
      <c r="R263" t="inlineStr">
        <is>
          <t>current</t>
        </is>
      </c>
      <c r="S263" t="inlineStr">
        <is>
          <t>N</t>
        </is>
      </c>
      <c r="T263" t="inlineStr">
        <is>
          <t>needs-review</t>
        </is>
      </c>
      <c r="U263" t="inlineStr">
        <is>
          <t>2026-10-04</t>
        </is>
      </c>
      <c r="V263" t="inlineStr">
        <is>
          <t>ambiguous match [19]</t>
        </is>
      </c>
    </row>
    <row r="264">
      <c r="A264" t="n">
        <v>19</v>
      </c>
      <c r="B264" t="inlineStr">
        <is>
          <t>The Residence Maldives</t>
        </is>
      </c>
      <c r="C264" t="inlineStr">
        <is>
          <t>dining_menu</t>
        </is>
      </c>
      <c r="D264" t="inlineStr">
        <is>
          <t>2025_Kids_Menu_-_28.06.25.pdf</t>
        </is>
      </c>
      <c r="E264" t="n">
        <v>2025</v>
      </c>
      <c r="H264" t="n">
        <v>1</v>
      </c>
      <c r="I264" t="n">
        <v>85</v>
      </c>
      <c r="J264" t="inlineStr">
        <is>
          <t>N</t>
        </is>
      </c>
      <c r="K264" t="inlineStr">
        <is>
          <t>cenizaro.com</t>
        </is>
      </c>
      <c r="L264" t="inlineStr">
        <is>
          <t>official</t>
        </is>
      </c>
      <c r="M264" t="inlineStr">
        <is>
          <t>https://www.cenizaro.com/docs/maldives-fm/Kids_Menu_-_28.06.25.pdf</t>
        </is>
      </c>
      <c r="N264" t="inlineStr">
        <is>
          <t>https://www.cenizaro.com/docs/maldives-fm/Kids_Menu_-_28.06.25.pdf</t>
        </is>
      </c>
      <c r="O264" t="inlineStr">
        <is>
          <t>ba83e0c1134393e21eacd824af3fcf7c7debe8151783567f4f84386357e6a221</t>
        </is>
      </c>
      <c r="P264" t="inlineStr">
        <is>
          <t>library/019_the-residence-maldives/dining_menu/2025_Kids_Menu_-_28.06.25.pdf</t>
        </is>
      </c>
      <c r="R264" t="inlineStr">
        <is>
          <t>current</t>
        </is>
      </c>
      <c r="S264" t="inlineStr">
        <is>
          <t>N</t>
        </is>
      </c>
      <c r="T264" t="inlineStr">
        <is>
          <t>needs-review</t>
        </is>
      </c>
      <c r="U264" t="inlineStr">
        <is>
          <t>2026-10-04</t>
        </is>
      </c>
      <c r="V264" t="inlineStr">
        <is>
          <t>ambiguous match [19]</t>
        </is>
      </c>
    </row>
    <row r="265">
      <c r="A265" t="n">
        <v>19</v>
      </c>
      <c r="B265" t="inlineStr">
        <is>
          <t>The Residence Maldives</t>
        </is>
      </c>
      <c r="C265" t="inlineStr">
        <is>
          <t>dining_menu</t>
        </is>
      </c>
      <c r="D265" t="inlineStr">
        <is>
          <t>2025_TRML_The_Beach_Bar_Tapas_-_28.06.25.pdf</t>
        </is>
      </c>
      <c r="E265" t="n">
        <v>2025</v>
      </c>
      <c r="H265" t="n">
        <v>2</v>
      </c>
      <c r="I265" t="n">
        <v>133</v>
      </c>
      <c r="J265" t="inlineStr">
        <is>
          <t>N</t>
        </is>
      </c>
      <c r="K265" t="inlineStr">
        <is>
          <t>cenizaro.com</t>
        </is>
      </c>
      <c r="L265" t="inlineStr">
        <is>
          <t>official</t>
        </is>
      </c>
      <c r="M265" t="inlineStr">
        <is>
          <t>https://www.cenizaro.com/docs/maldives-fm/TRML_The_Beach_Bar_Tapas_-_28.06.25.pdf</t>
        </is>
      </c>
      <c r="N265" t="inlineStr">
        <is>
          <t>https://www.cenizaro.com/docs/maldives-fm/TRML_The_Beach_Bar_Tapas_-_28.06.25.pdf</t>
        </is>
      </c>
      <c r="O265" t="inlineStr">
        <is>
          <t>80ca6be2d1396e466fadfa9dea68b54ed756a88712e6f3297745ba65117aa4ae</t>
        </is>
      </c>
      <c r="P265" t="inlineStr">
        <is>
          <t>library/019_the-residence-maldives/dining_menu/2025_TRML_The_Beach_Bar_Tapas_-_28.06.25.pdf</t>
        </is>
      </c>
      <c r="R265" t="inlineStr">
        <is>
          <t>current</t>
        </is>
      </c>
      <c r="S265" t="inlineStr">
        <is>
          <t>N</t>
        </is>
      </c>
      <c r="T265" t="inlineStr">
        <is>
          <t>needs-review</t>
        </is>
      </c>
      <c r="U265" t="inlineStr">
        <is>
          <t>2026-10-04</t>
        </is>
      </c>
      <c r="V265" t="inlineStr">
        <is>
          <t>ambiguous match [19]</t>
        </is>
      </c>
    </row>
    <row r="266">
      <c r="A266" t="n">
        <v>19</v>
      </c>
      <c r="B266" t="inlineStr">
        <is>
          <t>The Residence Maldives</t>
        </is>
      </c>
      <c r="C266" t="inlineStr">
        <is>
          <t>dining_menu</t>
        </is>
      </c>
      <c r="D266" t="inlineStr">
        <is>
          <t>2025_TRML_-_THE_DINING_ROOM_A_LA_CARTE_DINNER_-_28.06.25.pdf</t>
        </is>
      </c>
      <c r="E266" t="n">
        <v>2025</v>
      </c>
      <c r="H266" t="n">
        <v>6</v>
      </c>
      <c r="I266" t="n">
        <v>610</v>
      </c>
      <c r="J266" t="inlineStr">
        <is>
          <t>N</t>
        </is>
      </c>
      <c r="K266" t="inlineStr">
        <is>
          <t>cenizaro.com</t>
        </is>
      </c>
      <c r="L266" t="inlineStr">
        <is>
          <t>official</t>
        </is>
      </c>
      <c r="M266" t="inlineStr">
        <is>
          <t>https://www.cenizaro.com/docs/maldives-fm/TRML_-_THE_DINING_ROOM_A_LA_CARTE_DINNER_-_28.06.25.pdf</t>
        </is>
      </c>
      <c r="N266" t="inlineStr">
        <is>
          <t>https://www.cenizaro.com/docs/maldives-fm/TRML_-_THE_DINING_ROOM_A_LA_CARTE_DINNER_-_28.06.25.pdf</t>
        </is>
      </c>
      <c r="O266" t="inlineStr">
        <is>
          <t>a074f49a2d915df648e611d6c1f53018d763301fe692c05bfd84115c5a49aacd</t>
        </is>
      </c>
      <c r="P266" t="inlineStr">
        <is>
          <t>library/019_the-residence-maldives/dining_menu/2025_TRML_-_THE_DINING_ROOM_A_LA_CARTE_DINNER_-_28.06.25.pdf</t>
        </is>
      </c>
      <c r="R266" t="inlineStr">
        <is>
          <t>current</t>
        </is>
      </c>
      <c r="S266" t="inlineStr">
        <is>
          <t>N</t>
        </is>
      </c>
      <c r="T266" t="inlineStr">
        <is>
          <t>needs-review</t>
        </is>
      </c>
      <c r="U266" t="inlineStr">
        <is>
          <t>2026-10-04</t>
        </is>
      </c>
      <c r="V266" t="inlineStr">
        <is>
          <t>ambiguous match [19]</t>
        </is>
      </c>
    </row>
    <row r="267">
      <c r="A267" t="n">
        <v>19</v>
      </c>
      <c r="B267" t="inlineStr">
        <is>
          <t>The Residence Maldives</t>
        </is>
      </c>
      <c r="C267" t="inlineStr">
        <is>
          <t>dining_menu</t>
        </is>
      </c>
      <c r="D267" t="inlineStr">
        <is>
          <t>2025_TRML_-The_DINING_ROOM_A_LA_CARTE_LUNCH_-_28.06.25.pdf</t>
        </is>
      </c>
      <c r="E267" t="n">
        <v>2025</v>
      </c>
      <c r="H267" t="n">
        <v>6</v>
      </c>
      <c r="I267" t="n">
        <v>782</v>
      </c>
      <c r="J267" t="inlineStr">
        <is>
          <t>N</t>
        </is>
      </c>
      <c r="K267" t="inlineStr">
        <is>
          <t>cenizaro.com</t>
        </is>
      </c>
      <c r="L267" t="inlineStr">
        <is>
          <t>official</t>
        </is>
      </c>
      <c r="M267" t="inlineStr">
        <is>
          <t>https://www.cenizaro.com/docs/maldives-fm/TRML_-The_DINING_ROOM_A_LA_CARTE_LUNCH_-_28.06.25.pdf</t>
        </is>
      </c>
      <c r="N267" t="inlineStr">
        <is>
          <t>https://www.cenizaro.com/docs/maldives-fm/TRML_-The_DINING_ROOM_A_LA_CARTE_LUNCH_-_28.06.25.pdf</t>
        </is>
      </c>
      <c r="O267" t="inlineStr">
        <is>
          <t>61a0c5a24a6f30493267e3e9202a189c00f524c8875dc5d811e582ae6604f969</t>
        </is>
      </c>
      <c r="P267" t="inlineStr">
        <is>
          <t>library/019_the-residence-maldives/dining_menu/2025_TRML_-The_DINING_ROOM_A_LA_CARTE_LUNCH_-_28.06.25.pdf</t>
        </is>
      </c>
      <c r="R267" t="inlineStr">
        <is>
          <t>current</t>
        </is>
      </c>
      <c r="S267" t="inlineStr">
        <is>
          <t>N</t>
        </is>
      </c>
      <c r="T267" t="inlineStr">
        <is>
          <t>needs-review</t>
        </is>
      </c>
      <c r="U267" t="inlineStr">
        <is>
          <t>2026-10-04</t>
        </is>
      </c>
      <c r="V267" t="inlineStr">
        <is>
          <t>ambiguous match [19]</t>
        </is>
      </c>
    </row>
    <row r="268">
      <c r="A268" t="n">
        <v>19</v>
      </c>
      <c r="B268" t="inlineStr">
        <is>
          <t>The Residence Maldives</t>
        </is>
      </c>
      <c r="C268" t="inlineStr">
        <is>
          <t>dining_menu</t>
        </is>
      </c>
      <c r="D268" t="inlineStr">
        <is>
          <t>2025_Hi-tea_menu_-_28.06.25.pdf</t>
        </is>
      </c>
      <c r="E268" t="n">
        <v>2025</v>
      </c>
      <c r="H268" t="n">
        <v>1</v>
      </c>
      <c r="I268" t="n">
        <v>80</v>
      </c>
      <c r="J268" t="inlineStr">
        <is>
          <t>Y</t>
        </is>
      </c>
      <c r="K268" t="inlineStr">
        <is>
          <t>cenizaro.com</t>
        </is>
      </c>
      <c r="L268" t="inlineStr">
        <is>
          <t>official</t>
        </is>
      </c>
      <c r="M268" t="inlineStr">
        <is>
          <t>https://www.cenizaro.com/docs/maldives-fm/Hi-tea_menu_-_28.06.25.pdf</t>
        </is>
      </c>
      <c r="N268" t="inlineStr">
        <is>
          <t>https://www.cenizaro.com/docs/maldives-fm/Hi-tea_menu_-_28.06.25.pdf</t>
        </is>
      </c>
      <c r="O268" t="inlineStr">
        <is>
          <t>cb3d1a4006e1ed00c3fa7db0faaa8c46ab9b567f0f600300a2ecc32a397887b6</t>
        </is>
      </c>
      <c r="P268" t="inlineStr">
        <is>
          <t>library/019_the-residence-maldives/dining_menu/2025_Hi-tea_menu_-_28.06.25.pdf</t>
        </is>
      </c>
      <c r="R268" t="inlineStr">
        <is>
          <t>current</t>
        </is>
      </c>
      <c r="S268" t="inlineStr">
        <is>
          <t>N</t>
        </is>
      </c>
      <c r="T268" t="inlineStr">
        <is>
          <t>needs-review</t>
        </is>
      </c>
      <c r="U268" t="inlineStr">
        <is>
          <t>2026-10-04</t>
        </is>
      </c>
      <c r="V268" t="inlineStr">
        <is>
          <t>ambiguous match [19]</t>
        </is>
      </c>
    </row>
    <row r="269">
      <c r="A269" t="n">
        <v>19</v>
      </c>
      <c r="B269" t="inlineStr">
        <is>
          <t>The Residence Maldives</t>
        </is>
      </c>
      <c r="C269" t="inlineStr">
        <is>
          <t>dining_menu</t>
        </is>
      </c>
      <c r="D269" t="inlineStr">
        <is>
          <t>2025_Private_Dining_All_Day_Menu_-_28.06.25.pdf</t>
        </is>
      </c>
      <c r="E269" t="n">
        <v>2025</v>
      </c>
      <c r="H269" t="n">
        <v>9</v>
      </c>
      <c r="I269" t="n">
        <v>498</v>
      </c>
      <c r="J269" t="inlineStr">
        <is>
          <t>N</t>
        </is>
      </c>
      <c r="K269" t="inlineStr">
        <is>
          <t>cenizaro.com</t>
        </is>
      </c>
      <c r="L269" t="inlineStr">
        <is>
          <t>official</t>
        </is>
      </c>
      <c r="M269" t="inlineStr">
        <is>
          <t>https://www.cenizaro.com/docs/maldives-fm/Private_Dining_All_Day_Menu_-_28.06.25.pdf</t>
        </is>
      </c>
      <c r="N269" t="inlineStr">
        <is>
          <t>https://www.cenizaro.com/docs/maldives-fm/Private_Dining_All_Day_Menu_-_28.06.25.pdf</t>
        </is>
      </c>
      <c r="O269" t="inlineStr">
        <is>
          <t>e65a3372612ed8c2561f93c4105593100298c0010be0a139003e23562a862809</t>
        </is>
      </c>
      <c r="P269" t="inlineStr">
        <is>
          <t>library/019_the-residence-maldives/dining_menu/2025_Private_Dining_All_Day_Menu_-_28.06.25.pdf</t>
        </is>
      </c>
      <c r="R269" t="inlineStr">
        <is>
          <t>current</t>
        </is>
      </c>
      <c r="S269" t="inlineStr">
        <is>
          <t>Y</t>
        </is>
      </c>
      <c r="T269" t="inlineStr">
        <is>
          <t>needs-review</t>
        </is>
      </c>
      <c r="U269" t="inlineStr">
        <is>
          <t>2026-10-04</t>
        </is>
      </c>
      <c r="V269" t="inlineStr">
        <is>
          <t>ambiguous match [19]</t>
        </is>
      </c>
    </row>
    <row r="270">
      <c r="A270" t="n">
        <v>19</v>
      </c>
      <c r="B270" t="inlineStr">
        <is>
          <t>The Residence Maldives</t>
        </is>
      </c>
      <c r="C270" t="inlineStr">
        <is>
          <t>dining_menu</t>
        </is>
      </c>
      <c r="D270" t="inlineStr">
        <is>
          <t>2025_The_Falhumaa_A_la_Carte_Dinner_Menu_28.06.25_-_EN_.pdf</t>
        </is>
      </c>
      <c r="E270" t="n">
        <v>2025</v>
      </c>
      <c r="H270" t="n">
        <v>4</v>
      </c>
      <c r="I270" t="n">
        <v>384</v>
      </c>
      <c r="J270" t="inlineStr">
        <is>
          <t>N</t>
        </is>
      </c>
      <c r="K270" t="inlineStr">
        <is>
          <t>cenizaro.com</t>
        </is>
      </c>
      <c r="L270" t="inlineStr">
        <is>
          <t>official</t>
        </is>
      </c>
      <c r="M270" t="inlineStr">
        <is>
          <t>https://www.cenizaro.com/docs/maldives-fm/The_Falhumaa_A_la_Carte_Dinner_Menu_28.06.25_-_EN_.pdf</t>
        </is>
      </c>
      <c r="N270" t="inlineStr">
        <is>
          <t>https://www.cenizaro.com/docs/maldives-fm/The_Falhumaa_A_la_Carte_Dinner_Menu_28.06.25_-_EN_.pdf</t>
        </is>
      </c>
      <c r="O270" t="inlineStr">
        <is>
          <t>6abcea7a72906ee161c519b9494b9c7d8b479c737a0e5ed07f57ee6be26d840c</t>
        </is>
      </c>
      <c r="P270" t="inlineStr">
        <is>
          <t>library/019_the-residence-maldives/dining_menu/2025_The_Falhumaa_A_la_Carte_Dinner_Menu_28.06.25_-_EN_.pdf</t>
        </is>
      </c>
      <c r="R270" t="inlineStr">
        <is>
          <t>current</t>
        </is>
      </c>
      <c r="S270" t="inlineStr">
        <is>
          <t>N</t>
        </is>
      </c>
      <c r="T270" t="inlineStr">
        <is>
          <t>needs-review</t>
        </is>
      </c>
      <c r="U270" t="inlineStr">
        <is>
          <t>2026-10-04</t>
        </is>
      </c>
      <c r="V270" t="inlineStr">
        <is>
          <t>ambiguous match [19]</t>
        </is>
      </c>
    </row>
    <row r="271">
      <c r="A271" t="n">
        <v>19</v>
      </c>
      <c r="B271" t="inlineStr">
        <is>
          <t>The Residence Maldives</t>
        </is>
      </c>
      <c r="C271" t="inlineStr">
        <is>
          <t>dive_prices</t>
        </is>
      </c>
      <c r="D271" t="inlineStr">
        <is>
          <t>2026_Dive_Centre_Price_List-March_2026.pdf</t>
        </is>
      </c>
      <c r="E271" t="n">
        <v>2026</v>
      </c>
      <c r="H271" t="n">
        <v>4</v>
      </c>
      <c r="I271" t="n">
        <v>437</v>
      </c>
      <c r="J271" t="inlineStr">
        <is>
          <t>Y</t>
        </is>
      </c>
      <c r="K271" t="inlineStr">
        <is>
          <t>cenizaro.com</t>
        </is>
      </c>
      <c r="L271" t="inlineStr">
        <is>
          <t>official</t>
        </is>
      </c>
      <c r="M271" t="inlineStr">
        <is>
          <t>https://www.cenizaro.com/docs/maldives-dg/Dive_Centre_Price_List-March_2026.pdf</t>
        </is>
      </c>
      <c r="N271" t="inlineStr">
        <is>
          <t>https://www.cenizaro.com/docs/maldives-dg/Dive_Centre_Price_List-March_2026.pdf</t>
        </is>
      </c>
      <c r="O271" t="inlineStr">
        <is>
          <t>3acd27b7032e1b58725836790ae38183e75e6bc63c496a2e86238a57a9bba852</t>
        </is>
      </c>
      <c r="P271" t="inlineStr">
        <is>
          <t>library/019_the-residence-maldives/dive_prices/2026_Dive_Centre_Price_List-March_2026.pdf</t>
        </is>
      </c>
      <c r="R271" t="inlineStr">
        <is>
          <t>current</t>
        </is>
      </c>
      <c r="S271" t="inlineStr">
        <is>
          <t>Y</t>
        </is>
      </c>
      <c r="T271" t="inlineStr">
        <is>
          <t>needs-review</t>
        </is>
      </c>
      <c r="U271" t="inlineStr">
        <is>
          <t>2026-10-04</t>
        </is>
      </c>
      <c r="V271" t="inlineStr">
        <is>
          <t>ambiguous match [19]</t>
        </is>
      </c>
    </row>
    <row r="272">
      <c r="A272" t="n">
        <v>19</v>
      </c>
      <c r="B272" t="inlineStr">
        <is>
          <t>The Residence Maldives</t>
        </is>
      </c>
      <c r="C272" t="inlineStr">
        <is>
          <t>dive_prices</t>
        </is>
      </c>
      <c r="D272" t="inlineStr">
        <is>
          <t>2026_Water_Sports_Price_list-March_2026.pdf</t>
        </is>
      </c>
      <c r="E272" t="n">
        <v>2026</v>
      </c>
      <c r="H272" t="n">
        <v>2</v>
      </c>
      <c r="I272" t="n">
        <v>203</v>
      </c>
      <c r="J272" t="inlineStr">
        <is>
          <t>Y</t>
        </is>
      </c>
      <c r="K272" t="inlineStr">
        <is>
          <t>cenizaro.com</t>
        </is>
      </c>
      <c r="L272" t="inlineStr">
        <is>
          <t>official</t>
        </is>
      </c>
      <c r="M272" t="inlineStr">
        <is>
          <t>https://www.cenizaro.com/docs/maldives-dg/Water_Sports_Price_list-March_2026.pdf</t>
        </is>
      </c>
      <c r="N272" t="inlineStr">
        <is>
          <t>https://www.cenizaro.com/docs/maldives-dg/Water_Sports_Price_list-March_2026.pdf</t>
        </is>
      </c>
      <c r="O272" t="inlineStr">
        <is>
          <t>d0dd30b9477766c79f36cf3b289896fe0c0acade45484bb942bb0553c1781653</t>
        </is>
      </c>
      <c r="P272" t="inlineStr">
        <is>
          <t>library/019_the-residence-maldives/dive_prices/2026_Water_Sports_Price_list-March_2026.pdf</t>
        </is>
      </c>
      <c r="R272" t="inlineStr">
        <is>
          <t>current</t>
        </is>
      </c>
      <c r="S272" t="inlineStr">
        <is>
          <t>N</t>
        </is>
      </c>
      <c r="T272" t="inlineStr">
        <is>
          <t>needs-review</t>
        </is>
      </c>
      <c r="U272" t="inlineStr">
        <is>
          <t>2026-10-04</t>
        </is>
      </c>
      <c r="V272" t="inlineStr">
        <is>
          <t>ambiguous match [19]</t>
        </is>
      </c>
    </row>
    <row r="273">
      <c r="A273" t="n">
        <v>19</v>
      </c>
      <c r="B273" t="inlineStr">
        <is>
          <t>The Residence Maldives</t>
        </is>
      </c>
      <c r="C273" t="inlineStr">
        <is>
          <t>dive_prices</t>
        </is>
      </c>
      <c r="D273" t="inlineStr">
        <is>
          <t>2026_Excursions_Price_List-March_2026.pdf</t>
        </is>
      </c>
      <c r="E273" t="n">
        <v>2026</v>
      </c>
      <c r="H273" t="n">
        <v>3</v>
      </c>
      <c r="I273" t="n">
        <v>363</v>
      </c>
      <c r="J273" t="inlineStr">
        <is>
          <t>Y</t>
        </is>
      </c>
      <c r="K273" t="inlineStr">
        <is>
          <t>cenizaro.com</t>
        </is>
      </c>
      <c r="L273" t="inlineStr">
        <is>
          <t>official</t>
        </is>
      </c>
      <c r="M273" t="inlineStr">
        <is>
          <t>https://www.cenizaro.com/docs/maldives-dg/Excursions_Price_List-March_2026.pdf</t>
        </is>
      </c>
      <c r="N273" t="inlineStr">
        <is>
          <t>https://www.cenizaro.com/docs/maldives-dg/Excursions_Price_List-March_2026.pdf</t>
        </is>
      </c>
      <c r="O273" t="inlineStr">
        <is>
          <t>6c0817fc3974e792c6b5549c4dc5f5b04e44dc70cc67d1cc2a4f395988246c3e</t>
        </is>
      </c>
      <c r="P273" t="inlineStr">
        <is>
          <t>library/019_the-residence-maldives/dive_prices/2026_Excursions_Price_List-March_2026.pdf</t>
        </is>
      </c>
      <c r="R273" t="inlineStr">
        <is>
          <t>current</t>
        </is>
      </c>
      <c r="S273" t="inlineStr">
        <is>
          <t>N</t>
        </is>
      </c>
      <c r="T273" t="inlineStr">
        <is>
          <t>needs-review</t>
        </is>
      </c>
      <c r="U273" t="inlineStr">
        <is>
          <t>2026-10-04</t>
        </is>
      </c>
      <c r="V273" t="inlineStr">
        <is>
          <t>ambiguous match [19]</t>
        </is>
      </c>
    </row>
    <row r="274">
      <c r="A274" t="n">
        <v>19</v>
      </c>
      <c r="B274" t="inlineStr">
        <is>
          <t>The Residence Maldives</t>
        </is>
      </c>
      <c r="C274" t="inlineStr">
        <is>
          <t>excursions</t>
        </is>
      </c>
      <c r="D274" t="inlineStr">
        <is>
          <t>2021_Maldives_Schedule_of_Daily_Activities.pdf</t>
        </is>
      </c>
      <c r="E274" t="n">
        <v>2021</v>
      </c>
      <c r="H274" t="n">
        <v>1</v>
      </c>
      <c r="I274" t="n">
        <v>5080</v>
      </c>
      <c r="J274" t="inlineStr">
        <is>
          <t>Y</t>
        </is>
      </c>
      <c r="K274" t="inlineStr">
        <is>
          <t>cenizaro.com</t>
        </is>
      </c>
      <c r="L274" t="inlineStr">
        <is>
          <t>official</t>
        </is>
      </c>
      <c r="M274" t="inlineStr">
        <is>
          <t>https://www.cenizaro.com/docs/maldives-dg/Maldives_Schedule_of_Daily_Activities.pdf</t>
        </is>
      </c>
      <c r="N274" t="inlineStr">
        <is>
          <t>https://www.cenizaro.com/docs/maldives-dg/Maldives_Schedule_of_Daily_Activities.pdf</t>
        </is>
      </c>
      <c r="O274" t="inlineStr">
        <is>
          <t>dc2e2dc6d329295a522f3667ae1c4d72b12978f5807cb76f5d02fe1d968213f1</t>
        </is>
      </c>
      <c r="P274" t="inlineStr">
        <is>
          <t>library/019_the-residence-maldives/excursions/2021_Maldives_Schedule_of_Daily_Activities.pdf</t>
        </is>
      </c>
      <c r="R274" t="inlineStr">
        <is>
          <t>outdated</t>
        </is>
      </c>
      <c r="S274" t="inlineStr">
        <is>
          <t>Y</t>
        </is>
      </c>
      <c r="T274" t="inlineStr">
        <is>
          <t>matched</t>
        </is>
      </c>
      <c r="U274" t="inlineStr">
        <is>
          <t>2026-10-04</t>
        </is>
      </c>
      <c r="V274" t="inlineStr"/>
    </row>
    <row r="275">
      <c r="A275" t="n">
        <v>19</v>
      </c>
      <c r="B275" t="inlineStr">
        <is>
          <t>The Residence Maldives</t>
        </is>
      </c>
      <c r="C275" t="inlineStr">
        <is>
          <t>kids</t>
        </is>
      </c>
      <c r="D275" t="inlineStr">
        <is>
          <t>2021_The_Residence_Maldives_-_Teens_Program.pdf</t>
        </is>
      </c>
      <c r="E275" t="n">
        <v>2021</v>
      </c>
      <c r="H275" t="n">
        <v>1</v>
      </c>
      <c r="I275" t="n">
        <v>10474</v>
      </c>
      <c r="J275" t="inlineStr">
        <is>
          <t>Y</t>
        </is>
      </c>
      <c r="K275" t="inlineStr">
        <is>
          <t>cenizaro.com</t>
        </is>
      </c>
      <c r="L275" t="inlineStr">
        <is>
          <t>official</t>
        </is>
      </c>
      <c r="M275" t="inlineStr">
        <is>
          <t>https://cenizaro.com/docs/maldives-fm/The_Residence_Maldives_-_Teens_Program.pdf</t>
        </is>
      </c>
      <c r="N275" t="inlineStr">
        <is>
          <t>https://cenizaro.com/docs/maldives-fm/The_Residence_Maldives_-_Teens_Program.pdf</t>
        </is>
      </c>
      <c r="O275" t="inlineStr">
        <is>
          <t>b6507a6af2b2e26313ac9e524948193c55c87e2abd3c04f1daa0010c95c4cf8e</t>
        </is>
      </c>
      <c r="P275" t="inlineStr">
        <is>
          <t>library/019_the-residence-maldives/kids/2021_The_Residence_Maldives_-_Teens_Program.pdf</t>
        </is>
      </c>
      <c r="R275" t="inlineStr">
        <is>
          <t>outdated</t>
        </is>
      </c>
      <c r="S275" t="inlineStr">
        <is>
          <t>Y</t>
        </is>
      </c>
      <c r="T275" t="inlineStr">
        <is>
          <t>matched</t>
        </is>
      </c>
      <c r="U275" t="inlineStr">
        <is>
          <t>2026-10-04</t>
        </is>
      </c>
      <c r="V275" t="inlineStr"/>
    </row>
    <row r="276">
      <c r="A276" t="n">
        <v>19</v>
      </c>
      <c r="B276" t="inlineStr">
        <is>
          <t>The Residence Maldives</t>
        </is>
      </c>
      <c r="C276" t="inlineStr">
        <is>
          <t>villa_plans</t>
        </is>
      </c>
      <c r="D276" t="inlineStr">
        <is>
          <t>2025_Vibes-by-The-Residence-Maldives-2025-July.pdf</t>
        </is>
      </c>
      <c r="E276" t="n">
        <v>2025</v>
      </c>
      <c r="H276" t="n">
        <v>6</v>
      </c>
      <c r="I276" t="n">
        <v>591</v>
      </c>
      <c r="J276" t="inlineStr">
        <is>
          <t>Y</t>
        </is>
      </c>
      <c r="K276" t="inlineStr">
        <is>
          <t>cenizaro.com</t>
        </is>
      </c>
      <c r="L276" t="inlineStr">
        <is>
          <t>official</t>
        </is>
      </c>
      <c r="M276" t="inlineStr">
        <is>
          <t>https://www.cenizaro.com/docs/maldives-fm/Vibes-by-The-Residence-Maldives-2025-July.pdf</t>
        </is>
      </c>
      <c r="N276" t="inlineStr">
        <is>
          <t>https://www.cenizaro.com/docs/maldives-fm/Vibes-by-The-Residence-Maldives-2025-July.pdf</t>
        </is>
      </c>
      <c r="O276" t="inlineStr">
        <is>
          <t>4c2cc7dd99b7dd86a6b854682cb0d5ae1977301ccc9303e8b793bced7055e498</t>
        </is>
      </c>
      <c r="P276" t="inlineStr">
        <is>
          <t>library/019_the-residence-maldives/villa_plans/2025_Vibes-by-The-Residence-Maldives-2025-July.pdf</t>
        </is>
      </c>
      <c r="R276" t="inlineStr">
        <is>
          <t>current</t>
        </is>
      </c>
      <c r="S276" t="inlineStr">
        <is>
          <t>Y</t>
        </is>
      </c>
      <c r="T276" t="inlineStr">
        <is>
          <t>matched</t>
        </is>
      </c>
      <c r="U276" t="inlineStr">
        <is>
          <t>2026-10-04</t>
        </is>
      </c>
      <c r="V276" t="inlineStr"/>
    </row>
    <row r="277">
      <c r="A277" t="n">
        <v>19</v>
      </c>
      <c r="B277" t="inlineStr">
        <is>
          <t>The Residence Maldives</t>
        </is>
      </c>
      <c r="C277" t="inlineStr">
        <is>
          <t>brochure</t>
        </is>
      </c>
      <c r="D277" t="inlineStr">
        <is>
          <t>2020_TRMaldives-Combined_-Brochure-200512.pdf</t>
        </is>
      </c>
      <c r="E277" t="n">
        <v>2020</v>
      </c>
      <c r="H277" t="n">
        <v>17</v>
      </c>
      <c r="I277" t="n">
        <v>11992</v>
      </c>
      <c r="J277" t="inlineStr">
        <is>
          <t>Y</t>
        </is>
      </c>
      <c r="K277" t="inlineStr">
        <is>
          <t>cenizaro.com</t>
        </is>
      </c>
      <c r="L277" t="inlineStr">
        <is>
          <t>official</t>
        </is>
      </c>
      <c r="M277" t="inlineStr">
        <is>
          <t>https://www.cenizaro.com/docs/maldives-fm/TRMaldives-Combined_-Brochure-200512.pdf</t>
        </is>
      </c>
      <c r="N277" t="inlineStr">
        <is>
          <t>https://www.cenizaro.com/docs/maldives-fm/TRMaldives-Combined_-Brochure-200512.pdf</t>
        </is>
      </c>
      <c r="O277" t="inlineStr">
        <is>
          <t>25a01534e182e836bfb5ff51250d5cd542fd607cb700af8e3bc179ec4129ef9a</t>
        </is>
      </c>
      <c r="P277" t="inlineStr">
        <is>
          <t>library/019_the-residence-maldives/brochure/2020_TRMaldives-Combined_-Brochure-200512.pdf</t>
        </is>
      </c>
      <c r="R277" t="inlineStr">
        <is>
          <t>outdated</t>
        </is>
      </c>
      <c r="S277" t="inlineStr">
        <is>
          <t>Y</t>
        </is>
      </c>
      <c r="T277" t="inlineStr">
        <is>
          <t>matched</t>
        </is>
      </c>
      <c r="U277" t="inlineStr">
        <is>
          <t>2026-10-04</t>
        </is>
      </c>
      <c r="V277" t="inlineStr"/>
    </row>
    <row r="278">
      <c r="A278" t="n">
        <v>20</v>
      </c>
      <c r="B278" t="inlineStr">
        <is>
          <t>The Residence Maldives At Dhigurah</t>
        </is>
      </c>
      <c r="C278" t="inlineStr">
        <is>
          <t>wedding</t>
        </is>
      </c>
      <c r="D278" t="inlineStr">
        <is>
          <t>2022_Maldives_Wedding_Ceremony_Packages.pdf</t>
        </is>
      </c>
      <c r="E278" t="n">
        <v>2022</v>
      </c>
      <c r="H278" t="n">
        <v>4</v>
      </c>
      <c r="I278" t="n">
        <v>13999</v>
      </c>
      <c r="J278" t="inlineStr">
        <is>
          <t>Y</t>
        </is>
      </c>
      <c r="K278" t="inlineStr">
        <is>
          <t>cenizaro.com</t>
        </is>
      </c>
      <c r="L278" t="inlineStr">
        <is>
          <t>official</t>
        </is>
      </c>
      <c r="M278" t="inlineStr">
        <is>
          <t>https://www.cenizaro.com/docs/maldives-dg/Maldives_Wedding_Ceremony_Packages.pdf</t>
        </is>
      </c>
      <c r="N278" t="inlineStr">
        <is>
          <t>https://www.cenizaro.com/docs/maldives-dg/Maldives_Wedding_Ceremony_Packages.pdf</t>
        </is>
      </c>
      <c r="O278" t="inlineStr">
        <is>
          <t>ef392a5c939b2c3175a7d1a258c39e83452042731886a2371e6ba3c7d2e95a82</t>
        </is>
      </c>
      <c r="P278" t="inlineStr">
        <is>
          <t>library/020_the-residence-maldives-at-dhigurah/wedding/2022_Maldives_Wedding_Ceremony_Packages.pdf</t>
        </is>
      </c>
      <c r="R278" t="inlineStr">
        <is>
          <t>outdated</t>
        </is>
      </c>
      <c r="S278" t="inlineStr">
        <is>
          <t>Y</t>
        </is>
      </c>
      <c r="T278" t="inlineStr">
        <is>
          <t>needs-review</t>
        </is>
      </c>
      <c r="U278" t="inlineStr">
        <is>
          <t>2026-10-04</t>
        </is>
      </c>
      <c r="V278" t="inlineStr">
        <is>
          <t>ambiguous match [20]</t>
        </is>
      </c>
    </row>
    <row r="279">
      <c r="A279" t="n">
        <v>20</v>
      </c>
      <c r="B279" t="inlineStr">
        <is>
          <t>The Residence Maldives At Dhigurah</t>
        </is>
      </c>
      <c r="C279" t="inlineStr">
        <is>
          <t>spa_menu</t>
        </is>
      </c>
      <c r="D279" t="inlineStr">
        <is>
          <t>2025_Spa_by_Clarins_-_Reception_Menu_-_JULY_25.pdf</t>
        </is>
      </c>
      <c r="E279" t="n">
        <v>2025</v>
      </c>
      <c r="H279" t="n">
        <v>20</v>
      </c>
      <c r="I279" t="n">
        <v>555</v>
      </c>
      <c r="J279" t="inlineStr">
        <is>
          <t>Y</t>
        </is>
      </c>
      <c r="K279" t="inlineStr">
        <is>
          <t>cenizaro.com</t>
        </is>
      </c>
      <c r="L279" t="inlineStr">
        <is>
          <t>official</t>
        </is>
      </c>
      <c r="M279" t="inlineStr">
        <is>
          <t>https://www.cenizaro.com/docs/maldives-dg/Spa_by_Clarins_-_Reception_Menu_-_JULY_25.pdf</t>
        </is>
      </c>
      <c r="N279" t="inlineStr">
        <is>
          <t>https://www.cenizaro.com/docs/maldives-dg/Spa_by_Clarins_-_Reception_Menu_-_JULY_25.pdf</t>
        </is>
      </c>
      <c r="O279" t="inlineStr">
        <is>
          <t>385d447ba276e94b27f3548de732cd01764e46b3e212b7e5ba830a0aa0f136e3</t>
        </is>
      </c>
      <c r="P279" t="inlineStr">
        <is>
          <t>library/020_the-residence-maldives-at-dhigurah/spa_menu/2025_Spa_by_Clarins_-_Reception_Menu_-_JULY_25.pdf</t>
        </is>
      </c>
      <c r="R279" t="inlineStr">
        <is>
          <t>current</t>
        </is>
      </c>
      <c r="S279" t="inlineStr">
        <is>
          <t>Y</t>
        </is>
      </c>
      <c r="T279" t="inlineStr">
        <is>
          <t>matched</t>
        </is>
      </c>
      <c r="U279" t="inlineStr">
        <is>
          <t>2026-10-04</t>
        </is>
      </c>
      <c r="V279" t="inlineStr"/>
    </row>
    <row r="280">
      <c r="A280" t="n">
        <v>20</v>
      </c>
      <c r="B280" t="inlineStr">
        <is>
          <t>The Residence Maldives At Dhigurah</t>
        </is>
      </c>
      <c r="C280" t="inlineStr">
        <is>
          <t>spa_menu</t>
        </is>
      </c>
      <c r="D280" t="inlineStr">
        <is>
          <t>2023_TRMD_-_Spa_by_Clarins_-_Reception_Menu.pdf</t>
        </is>
      </c>
      <c r="E280" t="n">
        <v>2023</v>
      </c>
      <c r="H280" t="n">
        <v>20</v>
      </c>
      <c r="I280" t="n">
        <v>369</v>
      </c>
      <c r="J280" t="inlineStr">
        <is>
          <t>Y</t>
        </is>
      </c>
      <c r="K280" t="inlineStr">
        <is>
          <t>cenizaro.com</t>
        </is>
      </c>
      <c r="L280" t="inlineStr">
        <is>
          <t>official</t>
        </is>
      </c>
      <c r="M280" t="inlineStr">
        <is>
          <t>https://www.cenizaro.com/docs/maldives-dg/TRMD_-_Spa_by_Clarins_-_Reception_Menu.pdf</t>
        </is>
      </c>
      <c r="N280" t="inlineStr">
        <is>
          <t>https://www.cenizaro.com/docs/maldives-dg/TRMD_-_Spa_by_Clarins_-_Reception_Menu.pdf</t>
        </is>
      </c>
      <c r="O280" t="inlineStr">
        <is>
          <t>2222d2503d2ad63698887ca1a44f24b26e4ac3d9b5410f619e96ba4941d2ec4f</t>
        </is>
      </c>
      <c r="P280" t="inlineStr">
        <is>
          <t>library/020_the-residence-maldives-at-dhigurah/spa_menu/2023_TRMD_-_Spa_by_Clarins_-_Reception_Menu.pdf</t>
        </is>
      </c>
      <c r="R280" t="inlineStr">
        <is>
          <t>outdated</t>
        </is>
      </c>
      <c r="S280" t="inlineStr">
        <is>
          <t>N</t>
        </is>
      </c>
      <c r="T280" t="inlineStr">
        <is>
          <t>matched</t>
        </is>
      </c>
      <c r="U280" t="inlineStr">
        <is>
          <t>2026-10-04</t>
        </is>
      </c>
      <c r="V280" t="inlineStr"/>
    </row>
    <row r="281">
      <c r="A281" t="n">
        <v>20</v>
      </c>
      <c r="B281" t="inlineStr">
        <is>
          <t>The Residence Maldives At Dhigurah</t>
        </is>
      </c>
      <c r="C281" t="inlineStr">
        <is>
          <t>spa_menu</t>
        </is>
      </c>
      <c r="D281" t="inlineStr">
        <is>
          <t>2022_TRMD_-_Spa_by_Clarins_-_Reception_Menu_-_Dec_22.pdf</t>
        </is>
      </c>
      <c r="E281" t="n">
        <v>2022</v>
      </c>
      <c r="H281" t="n">
        <v>20</v>
      </c>
      <c r="I281" t="n">
        <v>2959</v>
      </c>
      <c r="J281" t="inlineStr">
        <is>
          <t>N</t>
        </is>
      </c>
      <c r="K281" t="inlineStr">
        <is>
          <t>cenizaro.com</t>
        </is>
      </c>
      <c r="L281" t="inlineStr">
        <is>
          <t>official</t>
        </is>
      </c>
      <c r="M281" t="inlineStr">
        <is>
          <t>https://cenizaro.com/docs/maldives-dg/TRMD_-_Spa_by_Clarins_-_Reception_Menu_-_Dec_22.pdf</t>
        </is>
      </c>
      <c r="N281" t="inlineStr">
        <is>
          <t>https://cenizaro.com/docs/maldives-dg/TRMD_-_Spa_by_Clarins_-_Reception_Menu_-_Dec_22.pdf | https://www.cenizaro.com/docs/maldives-dg/TRMD_-_Spa_by_Clarins_-_Reception_Menu_-_Dec_22.pdf</t>
        </is>
      </c>
      <c r="O281" t="inlineStr">
        <is>
          <t>9baf8821077ab7da15e63df9127a6dd5035eb699553f8a3774cf7aa5a81561f5</t>
        </is>
      </c>
      <c r="P281" t="inlineStr">
        <is>
          <t>library/020_the-residence-maldives-at-dhigurah/spa_menu/2022_TRMD_-_Spa_by_Clarins_-_Reception_Menu_-_Dec_22.pdf</t>
        </is>
      </c>
      <c r="R281" t="inlineStr">
        <is>
          <t>outdated</t>
        </is>
      </c>
      <c r="S281" t="inlineStr">
        <is>
          <t>N</t>
        </is>
      </c>
      <c r="T281" t="inlineStr">
        <is>
          <t>needs-review</t>
        </is>
      </c>
      <c r="U281" t="inlineStr">
        <is>
          <t>2026-10-04</t>
        </is>
      </c>
      <c r="V281" t="inlineStr">
        <is>
          <t>ambiguous match [20]</t>
        </is>
      </c>
    </row>
    <row r="282">
      <c r="A282" t="n">
        <v>20</v>
      </c>
      <c r="B282" t="inlineStr">
        <is>
          <t>The Residence Maldives At Dhigurah</t>
        </is>
      </c>
      <c r="C282" t="inlineStr">
        <is>
          <t>dining_menu</t>
        </is>
      </c>
      <c r="D282" t="inlineStr">
        <is>
          <t>2026_trmd-cafe-del-sol-lunch-2026-03.pdf</t>
        </is>
      </c>
      <c r="E282" t="n">
        <v>2026</v>
      </c>
      <c r="H282" t="n">
        <v>7</v>
      </c>
      <c r="I282" t="n">
        <v>215</v>
      </c>
      <c r="J282" t="inlineStr">
        <is>
          <t>Y</t>
        </is>
      </c>
      <c r="K282" t="inlineStr">
        <is>
          <t>cenizaro.com</t>
        </is>
      </c>
      <c r="L282" t="inlineStr">
        <is>
          <t>official</t>
        </is>
      </c>
      <c r="M282" t="inlineStr">
        <is>
          <t>https://www.cenizaro.com/docs/maldives-dg/trmd-cafe-del-sol-lunch-2026-03.pdf</t>
        </is>
      </c>
      <c r="N282" t="inlineStr">
        <is>
          <t>https://www.cenizaro.com/docs/maldives-dg/trmd-cafe-del-sol-lunch-2026-03.pdf</t>
        </is>
      </c>
      <c r="O282" t="inlineStr">
        <is>
          <t>8866c26fec5a6a0fb40075a9bfef9a0dbd4e2d9a466937aefd36802bbe921cef</t>
        </is>
      </c>
      <c r="P282" t="inlineStr">
        <is>
          <t>library/020_the-residence-maldives-at-dhigurah/dining_menu/2026_trmd-cafe-del-sol-lunch-2026-03.pdf</t>
        </is>
      </c>
      <c r="R282" t="inlineStr">
        <is>
          <t>current</t>
        </is>
      </c>
      <c r="S282" t="inlineStr">
        <is>
          <t>N</t>
        </is>
      </c>
      <c r="T282" t="inlineStr">
        <is>
          <t>needs-review</t>
        </is>
      </c>
      <c r="U282" t="inlineStr">
        <is>
          <t>2026-10-04</t>
        </is>
      </c>
      <c r="V282" t="inlineStr">
        <is>
          <t>ambiguous match [20]</t>
        </is>
      </c>
    </row>
    <row r="283">
      <c r="A283" t="n">
        <v>20</v>
      </c>
      <c r="B283" t="inlineStr">
        <is>
          <t>The Residence Maldives At Dhigurah</t>
        </is>
      </c>
      <c r="C283" t="inlineStr">
        <is>
          <t>dining_menu</t>
        </is>
      </c>
      <c r="D283" t="inlineStr">
        <is>
          <t>2026_trmd-long-island-2026-03.pdf</t>
        </is>
      </c>
      <c r="E283" t="n">
        <v>2026</v>
      </c>
      <c r="H283" t="n">
        <v>8</v>
      </c>
      <c r="I283" t="n">
        <v>1034</v>
      </c>
      <c r="J283" t="inlineStr">
        <is>
          <t>Y</t>
        </is>
      </c>
      <c r="K283" t="inlineStr">
        <is>
          <t>cenizaro.com</t>
        </is>
      </c>
      <c r="L283" t="inlineStr">
        <is>
          <t>official</t>
        </is>
      </c>
      <c r="M283" t="inlineStr">
        <is>
          <t>https://www.cenizaro.com/docs/maldives-dg/trmd-long-island-2026-03.pdf</t>
        </is>
      </c>
      <c r="N283" t="inlineStr">
        <is>
          <t>https://www.cenizaro.com/docs/maldives-dg/trmd-long-island-2026-03.pdf</t>
        </is>
      </c>
      <c r="O283" t="inlineStr">
        <is>
          <t>29530dfe80e4cd218cc74c1aac2eb142507d4a4f3f05340663f90e1866a89a07</t>
        </is>
      </c>
      <c r="P283" t="inlineStr">
        <is>
          <t>library/020_the-residence-maldives-at-dhigurah/dining_menu/2026_trmd-long-island-2026-03.pdf</t>
        </is>
      </c>
      <c r="R283" t="inlineStr">
        <is>
          <t>current</t>
        </is>
      </c>
      <c r="S283" t="inlineStr">
        <is>
          <t>N</t>
        </is>
      </c>
      <c r="T283" t="inlineStr">
        <is>
          <t>needs-review</t>
        </is>
      </c>
      <c r="U283" t="inlineStr">
        <is>
          <t>2026-10-04</t>
        </is>
      </c>
      <c r="V283" t="inlineStr">
        <is>
          <t>ambiguous match [20]</t>
        </is>
      </c>
    </row>
    <row r="284">
      <c r="A284" t="n">
        <v>20</v>
      </c>
      <c r="B284" t="inlineStr">
        <is>
          <t>The Residence Maldives At Dhigurah</t>
        </is>
      </c>
      <c r="C284" t="inlineStr">
        <is>
          <t>dining_menu</t>
        </is>
      </c>
      <c r="D284" t="inlineStr">
        <is>
          <t>2026_trmd-the-dining-room-2026-03.pdf</t>
        </is>
      </c>
      <c r="E284" t="n">
        <v>2026</v>
      </c>
      <c r="H284" t="n">
        <v>10</v>
      </c>
      <c r="I284" t="n">
        <v>253</v>
      </c>
      <c r="J284" t="inlineStr">
        <is>
          <t>Y</t>
        </is>
      </c>
      <c r="K284" t="inlineStr">
        <is>
          <t>cenizaro.com</t>
        </is>
      </c>
      <c r="L284" t="inlineStr">
        <is>
          <t>official</t>
        </is>
      </c>
      <c r="M284" t="inlineStr">
        <is>
          <t>https://www.cenizaro.com/docs/maldives-dg/trmd-the-dining-room-2026-03.pdf</t>
        </is>
      </c>
      <c r="N284" t="inlineStr">
        <is>
          <t>https://www.cenizaro.com/docs/maldives-dg/trmd-the-dining-room-2026-03.pdf</t>
        </is>
      </c>
      <c r="O284" t="inlineStr">
        <is>
          <t>509a4ee0640a67ebf7b1ea9e32920d523b6a34634203b2ed5b0fc6dba5604c83</t>
        </is>
      </c>
      <c r="P284" t="inlineStr">
        <is>
          <t>library/020_the-residence-maldives-at-dhigurah/dining_menu/2026_trmd-the-dining-room-2026-03.pdf</t>
        </is>
      </c>
      <c r="R284" t="inlineStr">
        <is>
          <t>current</t>
        </is>
      </c>
      <c r="S284" t="inlineStr">
        <is>
          <t>Y</t>
        </is>
      </c>
      <c r="T284" t="inlineStr">
        <is>
          <t>matched</t>
        </is>
      </c>
      <c r="U284" t="inlineStr">
        <is>
          <t>2026-10-04</t>
        </is>
      </c>
      <c r="V284" t="inlineStr"/>
    </row>
    <row r="285">
      <c r="A285" t="n">
        <v>20</v>
      </c>
      <c r="B285" t="inlineStr">
        <is>
          <t>The Residence Maldives At Dhigurah</t>
        </is>
      </c>
      <c r="C285" t="inlineStr">
        <is>
          <t>dining_menu</t>
        </is>
      </c>
      <c r="D285" t="inlineStr">
        <is>
          <t>2025_Tapas_Menu_-_Dec_22v2.pdf</t>
        </is>
      </c>
      <c r="E285" t="n">
        <v>2025</v>
      </c>
      <c r="H285" t="n">
        <v>2</v>
      </c>
      <c r="I285" t="n">
        <v>184</v>
      </c>
      <c r="J285" t="inlineStr">
        <is>
          <t>Y</t>
        </is>
      </c>
      <c r="K285" t="inlineStr">
        <is>
          <t>cenizaro.com</t>
        </is>
      </c>
      <c r="L285" t="inlineStr">
        <is>
          <t>official</t>
        </is>
      </c>
      <c r="M285" t="inlineStr">
        <is>
          <t>https://www.cenizaro.com/docs/maldives-dg/Tapas_Menu_-_Dec_22v2.pdf</t>
        </is>
      </c>
      <c r="N285" t="inlineStr">
        <is>
          <t>https://www.cenizaro.com/docs/maldives-dg/Tapas_Menu_-_Dec_22v2.pdf</t>
        </is>
      </c>
      <c r="O285" t="inlineStr">
        <is>
          <t>503600cd28275f42eba096e702f233aa5c8fd7c51dae993b874e981999919042</t>
        </is>
      </c>
      <c r="P285" t="inlineStr">
        <is>
          <t>library/020_the-residence-maldives-at-dhigurah/dining_menu/2025_Tapas_Menu_-_Dec_22v2.pdf</t>
        </is>
      </c>
      <c r="R285" t="inlineStr">
        <is>
          <t>current</t>
        </is>
      </c>
      <c r="S285" t="inlineStr">
        <is>
          <t>N</t>
        </is>
      </c>
      <c r="T285" t="inlineStr">
        <is>
          <t>needs-review</t>
        </is>
      </c>
      <c r="U285" t="inlineStr">
        <is>
          <t>2026-10-04</t>
        </is>
      </c>
      <c r="V285" t="inlineStr">
        <is>
          <t>ambiguous match [20]</t>
        </is>
      </c>
    </row>
    <row r="286">
      <c r="A286" t="n">
        <v>20</v>
      </c>
      <c r="B286" t="inlineStr">
        <is>
          <t>The Residence Maldives At Dhigurah</t>
        </is>
      </c>
      <c r="C286" t="inlineStr">
        <is>
          <t>dining_menu</t>
        </is>
      </c>
      <c r="D286" t="inlineStr">
        <is>
          <t>2021_Earth_Basket_-_Maldivian_Menu.pdf</t>
        </is>
      </c>
      <c r="E286" t="n">
        <v>2021</v>
      </c>
      <c r="H286" t="n">
        <v>3</v>
      </c>
      <c r="I286" t="n">
        <v>2782</v>
      </c>
      <c r="J286" t="inlineStr">
        <is>
          <t>N</t>
        </is>
      </c>
      <c r="K286" t="inlineStr">
        <is>
          <t>cenizaro.com</t>
        </is>
      </c>
      <c r="L286" t="inlineStr">
        <is>
          <t>official</t>
        </is>
      </c>
      <c r="M286" t="inlineStr">
        <is>
          <t>https://www.cenizaro.com/docs/maldives-dg/Earth_Basket_-_Maldivian_Menu.pdf</t>
        </is>
      </c>
      <c r="N286" t="inlineStr">
        <is>
          <t>https://www.cenizaro.com/docs/maldives-dg/Earth_Basket_-_Maldivian_Menu.pdf</t>
        </is>
      </c>
      <c r="O286" t="inlineStr">
        <is>
          <t>3a3495635aef4a4cb54845192e7dd98363d11f4ce79577b7a15d0916dd3aef57</t>
        </is>
      </c>
      <c r="P286" t="inlineStr">
        <is>
          <t>library/020_the-residence-maldives-at-dhigurah/dining_menu/2021_Earth_Basket_-_Maldivian_Menu.pdf</t>
        </is>
      </c>
      <c r="R286" t="inlineStr">
        <is>
          <t>outdated</t>
        </is>
      </c>
      <c r="S286" t="inlineStr">
        <is>
          <t>N</t>
        </is>
      </c>
      <c r="T286" t="inlineStr">
        <is>
          <t>needs-review</t>
        </is>
      </c>
      <c r="U286" t="inlineStr">
        <is>
          <t>2026-10-04</t>
        </is>
      </c>
      <c r="V286" t="inlineStr">
        <is>
          <t>ambiguous match [20]</t>
        </is>
      </c>
    </row>
    <row r="287">
      <c r="A287" t="n">
        <v>20</v>
      </c>
      <c r="B287" t="inlineStr">
        <is>
          <t>The Residence Maldives At Dhigurah</t>
        </is>
      </c>
      <c r="C287" t="inlineStr">
        <is>
          <t>excursions</t>
        </is>
      </c>
      <c r="D287" t="inlineStr">
        <is>
          <t>2025_Group_Excursion_Schedule_June_2025.pdf</t>
        </is>
      </c>
      <c r="E287" t="n">
        <v>2025</v>
      </c>
      <c r="H287" t="n">
        <v>1</v>
      </c>
      <c r="I287" t="n">
        <v>672</v>
      </c>
      <c r="J287" t="inlineStr">
        <is>
          <t>Y</t>
        </is>
      </c>
      <c r="K287" t="inlineStr">
        <is>
          <t>cenizaro.com</t>
        </is>
      </c>
      <c r="L287" t="inlineStr">
        <is>
          <t>official</t>
        </is>
      </c>
      <c r="M287" t="inlineStr">
        <is>
          <t>https://www.cenizaro.com/docs/maldives-dg/Group_Excursion_Schedule_June_2025.pdf</t>
        </is>
      </c>
      <c r="N287" t="inlineStr">
        <is>
          <t>https://www.cenizaro.com/docs/maldives-dg/Group_Excursion_Schedule_June_2025.pdf</t>
        </is>
      </c>
      <c r="O287" t="inlineStr">
        <is>
          <t>6072f5e8daa61ff07cada0e18e65c8b5fbf2787e9ac2ac453753748939570abd</t>
        </is>
      </c>
      <c r="P287" t="inlineStr">
        <is>
          <t>library/020_the-residence-maldives-at-dhigurah/excursions/2025_Group_Excursion_Schedule_June_2025.pdf</t>
        </is>
      </c>
      <c r="R287" t="inlineStr">
        <is>
          <t>current</t>
        </is>
      </c>
      <c r="S287" t="inlineStr">
        <is>
          <t>Y</t>
        </is>
      </c>
      <c r="T287" t="inlineStr">
        <is>
          <t>needs-review</t>
        </is>
      </c>
      <c r="U287" t="inlineStr">
        <is>
          <t>2026-10-04</t>
        </is>
      </c>
      <c r="V287" t="inlineStr">
        <is>
          <t>ambiguous match [20]</t>
        </is>
      </c>
    </row>
    <row r="288">
      <c r="A288" t="n">
        <v>20</v>
      </c>
      <c r="B288" t="inlineStr">
        <is>
          <t>The Residence Maldives At Dhigurah</t>
        </is>
      </c>
      <c r="C288" t="inlineStr">
        <is>
          <t>kids</t>
        </is>
      </c>
      <c r="D288" t="inlineStr">
        <is>
          <t>2026_Kids_Club_2026_sep.pdf</t>
        </is>
      </c>
      <c r="E288" t="n">
        <v>2026</v>
      </c>
      <c r="H288" t="n">
        <v>1</v>
      </c>
      <c r="I288" t="n">
        <v>1969</v>
      </c>
      <c r="J288" t="inlineStr">
        <is>
          <t>Y</t>
        </is>
      </c>
      <c r="K288" t="inlineStr">
        <is>
          <t>cenizaro.com</t>
        </is>
      </c>
      <c r="L288" t="inlineStr">
        <is>
          <t>official</t>
        </is>
      </c>
      <c r="M288" t="inlineStr">
        <is>
          <t>https://www.cenizaro.com/docs/maldives-dg/Kids_Club_2026_sep.pdf</t>
        </is>
      </c>
      <c r="N288" t="inlineStr">
        <is>
          <t>https://www.cenizaro.com/docs/maldives-dg/Kids_Club_2026_sep.pdf</t>
        </is>
      </c>
      <c r="O288" t="inlineStr">
        <is>
          <t>d6838fec45bd6b54703e14c702b13517ec42ae3e7fb65f526976aeb91658cfeb</t>
        </is>
      </c>
      <c r="P288" t="inlineStr">
        <is>
          <t>library/020_the-residence-maldives-at-dhigurah/kids/2026_Kids_Club_2026_sep.pdf</t>
        </is>
      </c>
      <c r="R288" t="inlineStr">
        <is>
          <t>current</t>
        </is>
      </c>
      <c r="S288" t="inlineStr">
        <is>
          <t>Y</t>
        </is>
      </c>
      <c r="T288" t="inlineStr">
        <is>
          <t>matched</t>
        </is>
      </c>
      <c r="U288" t="inlineStr">
        <is>
          <t>2026-10-04</t>
        </is>
      </c>
      <c r="V288" t="inlineStr"/>
    </row>
    <row r="289">
      <c r="A289" t="n">
        <v>20</v>
      </c>
      <c r="B289" t="inlineStr">
        <is>
          <t>The Residence Maldives At Dhigurah</t>
        </is>
      </c>
      <c r="C289" t="inlineStr">
        <is>
          <t>villa_plans</t>
        </is>
      </c>
      <c r="D289" t="inlineStr">
        <is>
          <t>2025_The-Residence-Photography-Packages-2025-07.pdf</t>
        </is>
      </c>
      <c r="E289" t="n">
        <v>2025</v>
      </c>
      <c r="H289" t="n">
        <v>7</v>
      </c>
      <c r="I289" t="n">
        <v>1976</v>
      </c>
      <c r="J289" t="inlineStr">
        <is>
          <t>N</t>
        </is>
      </c>
      <c r="K289" t="inlineStr">
        <is>
          <t>cenizaro.com</t>
        </is>
      </c>
      <c r="L289" t="inlineStr">
        <is>
          <t>official</t>
        </is>
      </c>
      <c r="M289" t="inlineStr">
        <is>
          <t>https://www.cenizaro.com/docs/maldives-dg/The-Residence-Photography-Packages-2025-07.pdf</t>
        </is>
      </c>
      <c r="N289" t="inlineStr">
        <is>
          <t>https://www.cenizaro.com/docs/maldives-dg/The-Residence-Photography-Packages-2025-07.pdf</t>
        </is>
      </c>
      <c r="O289" t="inlineStr">
        <is>
          <t>f83c22561749c3c31f179b08a0f184f4167372fc862b9775f97bcc72dbd16b24</t>
        </is>
      </c>
      <c r="P289" t="inlineStr">
        <is>
          <t>library/020_the-residence-maldives-at-dhigurah/villa_plans/2025_The-Residence-Photography-Packages-2025-07.pdf</t>
        </is>
      </c>
      <c r="R289" t="inlineStr">
        <is>
          <t>current</t>
        </is>
      </c>
      <c r="S289" t="inlineStr">
        <is>
          <t>Y</t>
        </is>
      </c>
      <c r="T289" t="inlineStr">
        <is>
          <t>needs-review</t>
        </is>
      </c>
      <c r="U289" t="inlineStr">
        <is>
          <t>2026-10-04</t>
        </is>
      </c>
      <c r="V289" t="inlineStr">
        <is>
          <t>ambiguous match [20]</t>
        </is>
      </c>
    </row>
    <row r="290">
      <c r="A290" t="n">
        <v>20</v>
      </c>
      <c r="B290" t="inlineStr">
        <is>
          <t>The Residence Maldives At Dhigurah</t>
        </is>
      </c>
      <c r="C290" t="inlineStr">
        <is>
          <t>other</t>
        </is>
      </c>
      <c r="D290" t="inlineStr">
        <is>
          <t>2026_trmd-li-bai-2026-03.pdf</t>
        </is>
      </c>
      <c r="E290" t="n">
        <v>2026</v>
      </c>
      <c r="H290" t="n">
        <v>9</v>
      </c>
      <c r="I290" t="n">
        <v>752</v>
      </c>
      <c r="J290" t="inlineStr">
        <is>
          <t>Y</t>
        </is>
      </c>
      <c r="K290" t="inlineStr">
        <is>
          <t>cenizaro.com</t>
        </is>
      </c>
      <c r="L290" t="inlineStr">
        <is>
          <t>official</t>
        </is>
      </c>
      <c r="M290" t="inlineStr">
        <is>
          <t>https://www.cenizaro.com/docs/maldives-dg/trmd-li-bai-2026-03.pdf</t>
        </is>
      </c>
      <c r="N290" t="inlineStr">
        <is>
          <t>https://www.cenizaro.com/docs/maldives-dg/trmd-li-bai-2026-03.pdf</t>
        </is>
      </c>
      <c r="O290" t="inlineStr">
        <is>
          <t>02d97bfddeff91b5c10c2da695a1aecacd1a956d59b96bf6c7f321ef6f9e4115</t>
        </is>
      </c>
      <c r="P290" t="inlineStr">
        <is>
          <t>library/020_the-residence-maldives-at-dhigurah/other/2026_trmd-li-bai-2026-03.pdf</t>
        </is>
      </c>
      <c r="R290" t="inlineStr">
        <is>
          <t>current</t>
        </is>
      </c>
      <c r="S290" t="inlineStr">
        <is>
          <t>Y</t>
        </is>
      </c>
      <c r="T290" t="inlineStr">
        <is>
          <t>needs-review</t>
        </is>
      </c>
      <c r="U290" t="inlineStr">
        <is>
          <t>2026-10-04</t>
        </is>
      </c>
      <c r="V290" t="inlineStr">
        <is>
          <t>ambiguous match [20]</t>
        </is>
      </c>
    </row>
    <row r="291">
      <c r="A291" t="n">
        <v>21</v>
      </c>
      <c r="B291" t="inlineStr">
        <is>
          <t>Brennia Kottefaru</t>
        </is>
      </c>
      <c r="C291" t="inlineStr">
        <is>
          <t>factsheet</t>
        </is>
      </c>
      <c r="D291" t="inlineStr">
        <is>
          <t>2025_English-Fact-Sheet-Resort-Map.pdf</t>
        </is>
      </c>
      <c r="E291" t="n">
        <v>2025</v>
      </c>
      <c r="H291" t="n">
        <v>12</v>
      </c>
      <c r="I291" t="n">
        <v>14058</v>
      </c>
      <c r="J291" t="inlineStr">
        <is>
          <t>Y</t>
        </is>
      </c>
      <c r="K291" t="inlineStr">
        <is>
          <t>neoscapesmaldives.com</t>
        </is>
      </c>
      <c r="L291" t="inlineStr">
        <is>
          <t>dmc-agency</t>
        </is>
      </c>
      <c r="M291" t="inlineStr">
        <is>
          <t>https://www.neoscapesmaldives.com/wp-content/uploads/English-Fact-Sheet-Resort-Map.pdf</t>
        </is>
      </c>
      <c r="N291" t="inlineStr">
        <is>
          <t>https://www.neoscapesmaldives.com/wp-content/uploads/English-Fact-Sheet-Resort-Map.pdf</t>
        </is>
      </c>
      <c r="O291" t="inlineStr">
        <is>
          <t>d2daf65d7e8affefc06c249344479bda422f44380574404fddfdf03832e38b47</t>
        </is>
      </c>
      <c r="P291" t="inlineStr">
        <is>
          <t>library/021_brennia-kottefaru/factsheet/2025_English-Fact-Sheet-Resort-Map.pdf</t>
        </is>
      </c>
      <c r="R291" t="inlineStr">
        <is>
          <t>current</t>
        </is>
      </c>
      <c r="S291" t="inlineStr">
        <is>
          <t>Y</t>
        </is>
      </c>
      <c r="T291" t="inlineStr">
        <is>
          <t>matched</t>
        </is>
      </c>
      <c r="U291" t="inlineStr">
        <is>
          <t>2026-10-04</t>
        </is>
      </c>
      <c r="V291" t="inlineStr"/>
    </row>
    <row r="292">
      <c r="A292" t="n">
        <v>21</v>
      </c>
      <c r="B292" t="inlineStr">
        <is>
          <t>Brennia Kottefaru</t>
        </is>
      </c>
      <c r="C292" t="inlineStr">
        <is>
          <t>factsheet</t>
        </is>
      </c>
      <c r="D292" t="inlineStr">
        <is>
          <t>2022_BRK_FactsheetRev120121.pdf</t>
        </is>
      </c>
      <c r="E292" t="n">
        <v>2022</v>
      </c>
      <c r="H292" t="n">
        <v>9</v>
      </c>
      <c r="I292" t="n">
        <v>4084</v>
      </c>
      <c r="J292" t="inlineStr">
        <is>
          <t>Y</t>
        </is>
      </c>
      <c r="K292" t="inlineStr">
        <is>
          <t>neoscapesmaldives.com</t>
        </is>
      </c>
      <c r="L292" t="inlineStr">
        <is>
          <t>dmc-agency</t>
        </is>
      </c>
      <c r="M292" t="inlineStr">
        <is>
          <t>https://www.neoscapesmaldives.com/wp-content/uploads/BRK_FactsheetRev120121.pdf</t>
        </is>
      </c>
      <c r="N292" t="inlineStr">
        <is>
          <t>https://www.neoscapesmaldives.com/wp-content/uploads/BRK_FactsheetRev120121.pdf</t>
        </is>
      </c>
      <c r="O292" t="inlineStr">
        <is>
          <t>1aa9d71e90f5a18e7524a9ad92f48eb6aa0e6ddc7384e217259ea36987ee1e76</t>
        </is>
      </c>
      <c r="P292" t="inlineStr">
        <is>
          <t>library/021_brennia-kottefaru/factsheet/2022_BRK_FactsheetRev120121.pdf</t>
        </is>
      </c>
      <c r="R292" t="inlineStr">
        <is>
          <t>outdated</t>
        </is>
      </c>
      <c r="S292" t="inlineStr">
        <is>
          <t>N</t>
        </is>
      </c>
      <c r="T292" t="inlineStr">
        <is>
          <t>matched</t>
        </is>
      </c>
      <c r="U292" t="inlineStr">
        <is>
          <t>2026-10-04</t>
        </is>
      </c>
      <c r="V292" t="inlineStr"/>
    </row>
    <row r="293">
      <c r="A293" t="n">
        <v>22</v>
      </c>
      <c r="B293" t="inlineStr">
        <is>
          <t>Barceló Whale Lagoon Maldives</t>
        </is>
      </c>
      <c r="C293" t="inlineStr">
        <is>
          <t>factsheet</t>
        </is>
      </c>
      <c r="D293" t="inlineStr">
        <is>
          <t>2026_Factsheet_MWLM_March2026_Digital-updated.pdf</t>
        </is>
      </c>
      <c r="E293" t="n">
        <v>2026</v>
      </c>
      <c r="H293" t="n">
        <v>10</v>
      </c>
      <c r="I293" t="n">
        <v>32053</v>
      </c>
      <c r="J293" t="inlineStr">
        <is>
          <t>Y</t>
        </is>
      </c>
      <c r="K293" t="inlineStr">
        <is>
          <t>neoscapesmaldives.com</t>
        </is>
      </c>
      <c r="L293" t="inlineStr">
        <is>
          <t>dmc-agency</t>
        </is>
      </c>
      <c r="M293" t="inlineStr">
        <is>
          <t>https://www.neoscapesmaldives.com/wp-content/uploads/Factsheet_MWLM_March2026_Digital-updated.pdf</t>
        </is>
      </c>
      <c r="N293" t="inlineStr">
        <is>
          <t>https://www.neoscapesmaldives.com/wp-content/uploads/Factsheet_MWLM_March2026_Digital-updated.pdf</t>
        </is>
      </c>
      <c r="O293" t="inlineStr">
        <is>
          <t>1c7772e53cba05937044682d185468c6d99102a2977fbbf7bab3cbb81c46822d</t>
        </is>
      </c>
      <c r="P293" t="inlineStr">
        <is>
          <t>library/022_barcelo-whale-lagoon-maldives/factsheet/2026_Factsheet_MWLM_March2026_Digital-updated.pdf</t>
        </is>
      </c>
      <c r="R293" t="inlineStr">
        <is>
          <t>current</t>
        </is>
      </c>
      <c r="S293" t="inlineStr">
        <is>
          <t>Y</t>
        </is>
      </c>
      <c r="T293" t="inlineStr">
        <is>
          <t>matched</t>
        </is>
      </c>
      <c r="U293" t="inlineStr">
        <is>
          <t>2026-10-04</t>
        </is>
      </c>
      <c r="V293" t="inlineStr"/>
    </row>
    <row r="294">
      <c r="A294" t="n">
        <v>22</v>
      </c>
      <c r="B294" t="inlineStr">
        <is>
          <t>Barceló Whale Lagoon Maldives</t>
        </is>
      </c>
      <c r="C294" t="inlineStr">
        <is>
          <t>press_kit</t>
        </is>
      </c>
      <c r="D294" t="inlineStr">
        <is>
          <t>2025_Mapa-Melia-Whale-Lagoon-Maldives-19-12-25.pdf</t>
        </is>
      </c>
      <c r="E294" t="n">
        <v>2025</v>
      </c>
      <c r="H294" t="n">
        <v>1</v>
      </c>
      <c r="I294" t="n">
        <v>7323</v>
      </c>
      <c r="J294" t="inlineStr">
        <is>
          <t>Y</t>
        </is>
      </c>
      <c r="K294" t="inlineStr">
        <is>
          <t>neoscapesmaldives.com</t>
        </is>
      </c>
      <c r="L294" t="inlineStr">
        <is>
          <t>dmc-agency</t>
        </is>
      </c>
      <c r="M294" t="inlineStr">
        <is>
          <t>https://www.neoscapesmaldives.com/wp-content/uploads/Mapa-Melia-Whale-Lagoon-Maldives-19-12-25.pdf</t>
        </is>
      </c>
      <c r="N294" t="inlineStr">
        <is>
          <t>https://www.neoscapesmaldives.com/wp-content/uploads/Mapa-Melia-Whale-Lagoon-Maldives-19-12-25.pdf</t>
        </is>
      </c>
      <c r="O294" t="inlineStr">
        <is>
          <t>6f90d1b15458069c9d279298c3fb072ed73977499fb24157ff5d6e8337039227</t>
        </is>
      </c>
      <c r="P294" t="inlineStr">
        <is>
          <t>library/022_barcelo-whale-lagoon-maldives/press_kit/2025_Mapa-Melia-Whale-Lagoon-Maldives-19-12-25.pdf</t>
        </is>
      </c>
      <c r="R294" t="inlineStr">
        <is>
          <t>current</t>
        </is>
      </c>
      <c r="S294" t="inlineStr">
        <is>
          <t>Y</t>
        </is>
      </c>
      <c r="T294" t="inlineStr">
        <is>
          <t>matched</t>
        </is>
      </c>
      <c r="U294" t="inlineStr">
        <is>
          <t>2026-10-04</t>
        </is>
      </c>
      <c r="V294" t="inlineStr"/>
    </row>
    <row r="295">
      <c r="A295" t="n">
        <v>23</v>
      </c>
      <c r="B295" t="inlineStr">
        <is>
          <t>Nooe Maldives Kunavashi</t>
        </is>
      </c>
      <c r="C295" t="inlineStr">
        <is>
          <t>factsheet</t>
        </is>
      </c>
      <c r="D295" t="inlineStr">
        <is>
          <t>2024_NOOE-Maldives-Kunaavashi_Fact-Sheet-2024.pdf</t>
        </is>
      </c>
      <c r="E295" t="n">
        <v>2024</v>
      </c>
      <c r="H295" t="n">
        <v>6</v>
      </c>
      <c r="I295" t="n">
        <v>10580</v>
      </c>
      <c r="J295" t="inlineStr">
        <is>
          <t>Y</t>
        </is>
      </c>
      <c r="K295" t="inlineStr">
        <is>
          <t>neoscapesmaldives.com</t>
        </is>
      </c>
      <c r="L295" t="inlineStr">
        <is>
          <t>dmc-agency</t>
        </is>
      </c>
      <c r="M295" t="inlineStr">
        <is>
          <t>https://www.neoscapesmaldives.com/wp-content/uploads/NOOE-Maldives-Kunaavashi_Fact-Sheet-2024.pdf</t>
        </is>
      </c>
      <c r="N295" t="inlineStr">
        <is>
          <t>https://www.neoscapesmaldives.com/wp-content/uploads/NOOE-Maldives-Kunaavashi_Fact-Sheet-2024.pdf</t>
        </is>
      </c>
      <c r="O295" t="inlineStr">
        <is>
          <t>8d2503af5f3a2d0828d3b3f54496b8a5f07da5d72e47e1bf5d20cda34ce97add</t>
        </is>
      </c>
      <c r="P295" t="inlineStr">
        <is>
          <t>library/023_nooe-maldives-kunavashi/factsheet/2024_NOOE-Maldives-Kunaavashi_Fact-Sheet-2024.pdf</t>
        </is>
      </c>
      <c r="R295" t="inlineStr">
        <is>
          <t>outdated</t>
        </is>
      </c>
      <c r="S295" t="inlineStr">
        <is>
          <t>Y</t>
        </is>
      </c>
      <c r="T295" t="inlineStr">
        <is>
          <t>matched</t>
        </is>
      </c>
      <c r="U295" t="inlineStr">
        <is>
          <t>2026-10-04</t>
        </is>
      </c>
      <c r="V295" t="inlineStr"/>
    </row>
    <row r="296">
      <c r="A296" t="n">
        <v>23</v>
      </c>
      <c r="B296" t="inlineStr">
        <is>
          <t>Nooe Maldives Kunavashi</t>
        </is>
      </c>
      <c r="C296" t="inlineStr">
        <is>
          <t>map</t>
        </is>
      </c>
      <c r="D296" t="inlineStr">
        <is>
          <t>2024_NOOE-MAP-Guest-Service.pdf</t>
        </is>
      </c>
      <c r="E296" t="n">
        <v>2024</v>
      </c>
      <c r="H296" t="n">
        <v>1</v>
      </c>
      <c r="I296" t="n">
        <v>630</v>
      </c>
      <c r="J296" t="inlineStr">
        <is>
          <t>N</t>
        </is>
      </c>
      <c r="K296" t="inlineStr">
        <is>
          <t>neoscapesmaldives.com</t>
        </is>
      </c>
      <c r="L296" t="inlineStr">
        <is>
          <t>dmc-agency</t>
        </is>
      </c>
      <c r="M296" t="inlineStr">
        <is>
          <t>https://www.neoscapesmaldives.com/wp-content/uploads/NOOE-MAP-Guest-Service.pdf</t>
        </is>
      </c>
      <c r="N296" t="inlineStr">
        <is>
          <t>https://www.neoscapesmaldives.com/wp-content/uploads/NOOE-MAP-Guest-Service.pdf</t>
        </is>
      </c>
      <c r="O296" t="inlineStr">
        <is>
          <t>0e388bbeea1460175b9518e218b0a20e9f81f1b8e1386ef6072c2a8410645933</t>
        </is>
      </c>
      <c r="P296" t="inlineStr">
        <is>
          <t>library/023_nooe-maldives-kunavashi/map/2024_NOOE-MAP-Guest-Service.pdf</t>
        </is>
      </c>
      <c r="R296" t="inlineStr">
        <is>
          <t>outdated</t>
        </is>
      </c>
      <c r="S296" t="inlineStr">
        <is>
          <t>Y</t>
        </is>
      </c>
      <c r="T296" t="inlineStr">
        <is>
          <t>matched</t>
        </is>
      </c>
      <c r="U296" t="inlineStr">
        <is>
          <t>2026-10-04</t>
        </is>
      </c>
      <c r="V296" t="inlineStr"/>
    </row>
    <row r="297">
      <c r="A297" t="n">
        <v>25</v>
      </c>
      <c r="B297" t="inlineStr">
        <is>
          <t>Raffles Maldives Meradhoo Resort</t>
        </is>
      </c>
      <c r="C297" t="inlineStr">
        <is>
          <t>factsheet</t>
        </is>
      </c>
      <c r="D297" t="inlineStr">
        <is>
          <t>2026_Halcyon-Maldives-Factsheet-2026.pdf</t>
        </is>
      </c>
      <c r="E297" t="n">
        <v>2026</v>
      </c>
      <c r="H297" t="n">
        <v>4</v>
      </c>
      <c r="I297" t="n">
        <v>6363</v>
      </c>
      <c r="J297" t="inlineStr">
        <is>
          <t>Y</t>
        </is>
      </c>
      <c r="K297" t="inlineStr">
        <is>
          <t>neoscapesmaldives.com</t>
        </is>
      </c>
      <c r="L297" t="inlineStr">
        <is>
          <t>dmc-agency</t>
        </is>
      </c>
      <c r="M297" t="inlineStr">
        <is>
          <t>https://www.neoscapesmaldives.com/wp-content/uploads/Halcyon-Maldives-Factsheet-2026.pdf</t>
        </is>
      </c>
      <c r="N297" t="inlineStr">
        <is>
          <t>https://www.neoscapesmaldives.com/wp-content/uploads/Halcyon-Maldives-Factsheet-2026.pdf</t>
        </is>
      </c>
      <c r="O297" t="inlineStr">
        <is>
          <t>144d6b385baacfb6b71330bea8969a2868a7bef0686a64d331f11a76715a1acf</t>
        </is>
      </c>
      <c r="P297" t="inlineStr">
        <is>
          <t>library/025_raffles-maldives-meradhoo-resort/factsheet/2026_Halcyon-Maldives-Factsheet-2026.pdf</t>
        </is>
      </c>
      <c r="R297" t="inlineStr">
        <is>
          <t>current</t>
        </is>
      </c>
      <c r="S297" t="inlineStr">
        <is>
          <t>Y</t>
        </is>
      </c>
      <c r="T297" t="inlineStr">
        <is>
          <t>matched</t>
        </is>
      </c>
      <c r="U297" t="inlineStr">
        <is>
          <t>2026-10-04</t>
        </is>
      </c>
      <c r="V297" t="inlineStr"/>
    </row>
    <row r="298">
      <c r="A298" t="n">
        <v>25</v>
      </c>
      <c r="B298" t="inlineStr">
        <is>
          <t>Raffles Maldives Meradhoo Resort</t>
        </is>
      </c>
      <c r="C298" t="inlineStr">
        <is>
          <t>map</t>
        </is>
      </c>
      <c r="D298" t="inlineStr">
        <is>
          <t>2026_Halcyon-Maldives-Resort-Map-2026.pdf</t>
        </is>
      </c>
      <c r="E298" t="n">
        <v>2026</v>
      </c>
      <c r="H298" t="n">
        <v>1</v>
      </c>
      <c r="I298" t="n">
        <v>2490</v>
      </c>
      <c r="J298" t="inlineStr">
        <is>
          <t>Y</t>
        </is>
      </c>
      <c r="K298" t="inlineStr">
        <is>
          <t>neoscapesmaldives.com</t>
        </is>
      </c>
      <c r="L298" t="inlineStr">
        <is>
          <t>dmc-agency</t>
        </is>
      </c>
      <c r="M298" t="inlineStr">
        <is>
          <t>https://www.neoscapesmaldives.com/wp-content/uploads/Halcyon-Maldives-Resort-Map-2026.pdf</t>
        </is>
      </c>
      <c r="N298" t="inlineStr">
        <is>
          <t>https://www.neoscapesmaldives.com/wp-content/uploads/Halcyon-Maldives-Resort-Map-2026.pdf</t>
        </is>
      </c>
      <c r="O298" t="inlineStr">
        <is>
          <t>ed9bd9c1a2cbc9ec9ada905a717697cdc47623964814e75fdb5f87bb87a16a8c</t>
        </is>
      </c>
      <c r="P298" t="inlineStr">
        <is>
          <t>library/025_raffles-maldives-meradhoo-resort/map/2026_Halcyon-Maldives-Resort-Map-2026.pdf</t>
        </is>
      </c>
      <c r="R298" t="inlineStr">
        <is>
          <t>current</t>
        </is>
      </c>
      <c r="S298" t="inlineStr">
        <is>
          <t>Y</t>
        </is>
      </c>
      <c r="T298" t="inlineStr">
        <is>
          <t>matched</t>
        </is>
      </c>
      <c r="U298" t="inlineStr">
        <is>
          <t>2026-10-04</t>
        </is>
      </c>
      <c r="V298" t="inlineStr"/>
    </row>
    <row r="299">
      <c r="A299" t="n">
        <v>26</v>
      </c>
      <c r="B299" t="inlineStr">
        <is>
          <t>Centara Ras Fushi Resort &amp; Spa</t>
        </is>
      </c>
      <c r="C299" t="inlineStr">
        <is>
          <t>factsheet</t>
        </is>
      </c>
      <c r="D299" t="inlineStr">
        <is>
          <t>2019_crf-factsheet-en.pdf</t>
        </is>
      </c>
      <c r="E299" t="n">
        <v>2019</v>
      </c>
      <c r="H299" t="n">
        <v>2</v>
      </c>
      <c r="I299" t="n">
        <v>2641</v>
      </c>
      <c r="J299" t="inlineStr">
        <is>
          <t>Y</t>
        </is>
      </c>
      <c r="K299" t="inlineStr">
        <is>
          <t>neoscapesmaldives.com</t>
        </is>
      </c>
      <c r="L299" t="inlineStr">
        <is>
          <t>dmc-agency</t>
        </is>
      </c>
      <c r="M299" t="inlineStr">
        <is>
          <t>https://neoscapesmaldives.com/wp-content/uploads/crf-factsheet-en.pdf</t>
        </is>
      </c>
      <c r="N299" t="inlineStr">
        <is>
          <t>https://neoscapesmaldives.com/wp-content/uploads/crf-factsheet-en.pdf</t>
        </is>
      </c>
      <c r="O299" t="inlineStr">
        <is>
          <t>228e5a541ae7155e93dc741f064d0e199d323a388bf60daae863f0c634714189</t>
        </is>
      </c>
      <c r="P299" t="inlineStr">
        <is>
          <t>library/026_centara-ras-fushi-resort-spa/factsheet/2019_crf-factsheet-en.pdf</t>
        </is>
      </c>
      <c r="R299" t="inlineStr">
        <is>
          <t>outdated</t>
        </is>
      </c>
      <c r="S299" t="inlineStr">
        <is>
          <t>Y</t>
        </is>
      </c>
      <c r="T299" t="inlineStr">
        <is>
          <t>matched</t>
        </is>
      </c>
      <c r="U299" t="inlineStr">
        <is>
          <t>2026-10-04</t>
        </is>
      </c>
      <c r="V299" t="inlineStr"/>
    </row>
    <row r="300">
      <c r="A300" t="n">
        <v>26</v>
      </c>
      <c r="B300" t="inlineStr">
        <is>
          <t>Centara Ras Fushi Resort &amp; Spa</t>
        </is>
      </c>
      <c r="C300" t="inlineStr">
        <is>
          <t>map</t>
        </is>
      </c>
      <c r="D300" t="inlineStr">
        <is>
          <t>2020_centara-ras-fushi-Map.pdf</t>
        </is>
      </c>
      <c r="E300" t="n">
        <v>2020</v>
      </c>
      <c r="H300" t="n">
        <v>1</v>
      </c>
      <c r="I300" t="n">
        <v>226</v>
      </c>
      <c r="J300" t="inlineStr">
        <is>
          <t>N</t>
        </is>
      </c>
      <c r="K300" t="inlineStr">
        <is>
          <t>neoscapesmaldives.com</t>
        </is>
      </c>
      <c r="L300" t="inlineStr">
        <is>
          <t>dmc-agency</t>
        </is>
      </c>
      <c r="M300" t="inlineStr">
        <is>
          <t>https://www.neoscapesmaldives.com/wp-content/uploads/centara-ras-fushi-Map.pdf</t>
        </is>
      </c>
      <c r="N300" t="inlineStr">
        <is>
          <t>https://www.neoscapesmaldives.com/wp-content/uploads/centara-ras-fushi-Map.pdf</t>
        </is>
      </c>
      <c r="O300" t="inlineStr">
        <is>
          <t>cc53fae00785200de6c54676849a943e54fa8516dbc5dc2055d6fac8a176fc35</t>
        </is>
      </c>
      <c r="P300" t="inlineStr">
        <is>
          <t>library/026_centara-ras-fushi-resort-spa/map/2020_centara-ras-fushi-Map.pdf</t>
        </is>
      </c>
      <c r="R300" t="inlineStr">
        <is>
          <t>outdated</t>
        </is>
      </c>
      <c r="S300" t="inlineStr">
        <is>
          <t>Y</t>
        </is>
      </c>
      <c r="T300" t="inlineStr">
        <is>
          <t>matched</t>
        </is>
      </c>
      <c r="U300" t="inlineStr">
        <is>
          <t>2026-10-04</t>
        </is>
      </c>
      <c r="V300" t="inlineStr"/>
    </row>
    <row r="301">
      <c r="A301" t="n">
        <v>27</v>
      </c>
      <c r="B301" t="inlineStr">
        <is>
          <t>Grand Park Kodhipparu Maldives</t>
        </is>
      </c>
      <c r="C301" t="inlineStr">
        <is>
          <t>factsheet</t>
        </is>
      </c>
      <c r="D301" t="inlineStr">
        <is>
          <t>2022_GPKD-Resort-Factsheet-2022.pdf</t>
        </is>
      </c>
      <c r="E301" t="n">
        <v>2022</v>
      </c>
      <c r="H301" t="n">
        <v>14</v>
      </c>
      <c r="I301" t="n">
        <v>24146</v>
      </c>
      <c r="J301" t="inlineStr">
        <is>
          <t>N</t>
        </is>
      </c>
      <c r="K301" t="inlineStr">
        <is>
          <t>neoscapesmaldives.com</t>
        </is>
      </c>
      <c r="L301" t="inlineStr">
        <is>
          <t>dmc-agency</t>
        </is>
      </c>
      <c r="M301" t="inlineStr">
        <is>
          <t>https://www.neoscapesmaldives.com/wp-content/uploads/GPKD-Resort-Factsheet-2022.pdf</t>
        </is>
      </c>
      <c r="N301" t="inlineStr">
        <is>
          <t>https://www.neoscapesmaldives.com/wp-content/uploads/GPKD-Resort-Factsheet-2022.pdf</t>
        </is>
      </c>
      <c r="O301" t="inlineStr">
        <is>
          <t>59e2fe5a86a0a993f09ec14f337f0af3433bbfe6cb430feae1a851823e3cc302</t>
        </is>
      </c>
      <c r="P301" t="inlineStr">
        <is>
          <t>library/027_grand-park-kodhipparu-maldives/factsheet/2022_GPKD-Resort-Factsheet-2022.pdf</t>
        </is>
      </c>
      <c r="R301" t="inlineStr">
        <is>
          <t>outdated</t>
        </is>
      </c>
      <c r="S301" t="inlineStr">
        <is>
          <t>Y</t>
        </is>
      </c>
      <c r="T301" t="inlineStr">
        <is>
          <t>needs-review</t>
        </is>
      </c>
      <c r="U301" t="inlineStr">
        <is>
          <t>2026-10-04</t>
        </is>
      </c>
      <c r="V301" t="inlineStr">
        <is>
          <t>ambiguous match [27]</t>
        </is>
      </c>
    </row>
    <row r="302">
      <c r="A302" t="n">
        <v>27</v>
      </c>
      <c r="B302" t="inlineStr">
        <is>
          <t>Grand Park Kodhipparu Maldives</t>
        </is>
      </c>
      <c r="C302" t="inlineStr">
        <is>
          <t>map</t>
        </is>
      </c>
      <c r="D302" t="inlineStr">
        <is>
          <t>2022_Grand-Park-Kodhipparu-Maldives-Resort-Map.pdf</t>
        </is>
      </c>
      <c r="E302" t="n">
        <v>2022</v>
      </c>
      <c r="H302" t="n">
        <v>1</v>
      </c>
      <c r="I302" t="n">
        <v>2743</v>
      </c>
      <c r="J302" t="inlineStr">
        <is>
          <t>Y</t>
        </is>
      </c>
      <c r="K302" t="inlineStr">
        <is>
          <t>neoscapesmaldives.com</t>
        </is>
      </c>
      <c r="L302" t="inlineStr">
        <is>
          <t>dmc-agency</t>
        </is>
      </c>
      <c r="M302" t="inlineStr">
        <is>
          <t>https://www.neoscapesmaldives.com/wp-content/uploads/Grand-Park-Kodhipparu-Maldives-Resort-Map.pdf</t>
        </is>
      </c>
      <c r="N302" t="inlineStr">
        <is>
          <t>https://www.neoscapesmaldives.com/wp-content/uploads/Grand-Park-Kodhipparu-Maldives-Resort-Map.pdf</t>
        </is>
      </c>
      <c r="O302" t="inlineStr">
        <is>
          <t>8acdd05667089bf6143e35a13eddc2789697149128e30b8ef044a9d24f7ea6a5</t>
        </is>
      </c>
      <c r="P302" t="inlineStr">
        <is>
          <t>library/027_grand-park-kodhipparu-maldives/map/2022_Grand-Park-Kodhipparu-Maldives-Resort-Map.pdf</t>
        </is>
      </c>
      <c r="R302" t="inlineStr">
        <is>
          <t>outdated</t>
        </is>
      </c>
      <c r="S302" t="inlineStr">
        <is>
          <t>Y</t>
        </is>
      </c>
      <c r="T302" t="inlineStr">
        <is>
          <t>matched</t>
        </is>
      </c>
      <c r="U302" t="inlineStr">
        <is>
          <t>2026-10-04</t>
        </is>
      </c>
      <c r="V302" t="inlineStr"/>
    </row>
    <row r="303">
      <c r="A303" t="n">
        <v>28</v>
      </c>
      <c r="B303" t="inlineStr">
        <is>
          <t>Kudadoo Maldives Private island</t>
        </is>
      </c>
      <c r="C303" t="inlineStr">
        <is>
          <t>factsheet</t>
        </is>
      </c>
      <c r="D303" t="inlineStr">
        <is>
          <t>2025_KudadooFactsheet110125103126Ver0526255.pdf</t>
        </is>
      </c>
      <c r="E303" t="n">
        <v>2025</v>
      </c>
      <c r="F303" t="inlineStr">
        <is>
          <t>2025-11-01</t>
        </is>
      </c>
      <c r="G303" t="inlineStr">
        <is>
          <t>2026-10-31</t>
        </is>
      </c>
      <c r="H303" t="n">
        <v>7</v>
      </c>
      <c r="I303" t="n">
        <v>1761</v>
      </c>
      <c r="J303" t="inlineStr">
        <is>
          <t>Y</t>
        </is>
      </c>
      <c r="K303" t="inlineStr">
        <is>
          <t>sales.crownandchamparesorts.com</t>
        </is>
      </c>
      <c r="L303" t="inlineStr">
        <is>
          <t>brand-cdn</t>
        </is>
      </c>
      <c r="M303" t="inlineStr">
        <is>
          <t>https://sales.crownandchamparesorts.com/wp-content/uploads/2025/12/KudadooFactsheet110125103126Ver0526255.pdf</t>
        </is>
      </c>
      <c r="N303" t="inlineStr">
        <is>
          <t>https://sales.crownandchamparesorts.com/wp-content/uploads/2025/12/KudadooFactsheet110125103126Ver0526255.pdf</t>
        </is>
      </c>
      <c r="O303" t="inlineStr">
        <is>
          <t>0a2036fc9a737116a58eb1a27b78f621bff0a4ceed7e85fe30bed2a69c653b6d</t>
        </is>
      </c>
      <c r="P303" t="inlineStr">
        <is>
          <t>library/028_kudadoo-maldives-private-island/factsheet/2025_KudadooFactsheet110125103126Ver0526255.pdf</t>
        </is>
      </c>
      <c r="R303" t="inlineStr">
        <is>
          <t>current</t>
        </is>
      </c>
      <c r="S303" t="inlineStr">
        <is>
          <t>Y</t>
        </is>
      </c>
      <c r="T303" t="inlineStr">
        <is>
          <t>matched</t>
        </is>
      </c>
      <c r="U303" t="inlineStr">
        <is>
          <t>2026-10-04</t>
        </is>
      </c>
      <c r="V303" t="inlineStr"/>
    </row>
    <row r="304">
      <c r="A304" t="n">
        <v>28</v>
      </c>
      <c r="B304" t="inlineStr">
        <is>
          <t>Kudadoo Maldives Private island</t>
        </is>
      </c>
      <c r="C304" t="inlineStr">
        <is>
          <t>factsheet</t>
        </is>
      </c>
      <c r="D304" t="inlineStr">
        <is>
          <t>2021_Kudadoo-Factsheet-110121103122Ver110121-Digital_compressed-1.pdf</t>
        </is>
      </c>
      <c r="E304" t="n">
        <v>2021</v>
      </c>
      <c r="F304" t="inlineStr">
        <is>
          <t>2021-11-01</t>
        </is>
      </c>
      <c r="G304" t="inlineStr">
        <is>
          <t>2022-10-31</t>
        </is>
      </c>
      <c r="H304" t="n">
        <v>7</v>
      </c>
      <c r="I304" t="n">
        <v>1180</v>
      </c>
      <c r="J304" t="inlineStr">
        <is>
          <t>Y</t>
        </is>
      </c>
      <c r="K304" t="inlineStr">
        <is>
          <t>sales.crownandchamparesorts.com</t>
        </is>
      </c>
      <c r="L304" t="inlineStr">
        <is>
          <t>brand-cdn</t>
        </is>
      </c>
      <c r="M304" t="inlineStr">
        <is>
          <t>https://sales.crownandchamparesorts.com/wp-content/uploads/2023/08/Kudadoo-Factsheet-110121103122Ver110121-Digital_compressed-1.pdf</t>
        </is>
      </c>
      <c r="N304" t="inlineStr">
        <is>
          <t>https://sales.crownandchamparesorts.com/wp-content/uploads/2023/08/Kudadoo-Factsheet-110121103122Ver110121-Digital_compressed-1.pdf</t>
        </is>
      </c>
      <c r="O304" t="inlineStr">
        <is>
          <t>30a930685c84c84cb21df5cfe02c792f8386e00f92be31090f107d923df8642f</t>
        </is>
      </c>
      <c r="P304" t="inlineStr">
        <is>
          <t>library/028_kudadoo-maldives-private-island/factsheet/2021_Kudadoo-Factsheet-110121103122Ver110121-Digital_compressed-1.pdf</t>
        </is>
      </c>
      <c r="R304" t="inlineStr">
        <is>
          <t>outdated</t>
        </is>
      </c>
      <c r="S304" t="inlineStr">
        <is>
          <t>N</t>
        </is>
      </c>
      <c r="T304" t="inlineStr">
        <is>
          <t>matched</t>
        </is>
      </c>
      <c r="U304" t="inlineStr">
        <is>
          <t>2026-10-04</t>
        </is>
      </c>
      <c r="V304" t="inlineStr"/>
    </row>
    <row r="305">
      <c r="A305" t="n">
        <v>28</v>
      </c>
      <c r="B305" t="inlineStr">
        <is>
          <t>Kudadoo Maldives Private island</t>
        </is>
      </c>
      <c r="C305" t="inlineStr">
        <is>
          <t>factsheet</t>
        </is>
      </c>
      <c r="D305" t="inlineStr">
        <is>
          <t>2019_Kudadoo-Factsheet-110119103120Ver010720.pdf</t>
        </is>
      </c>
      <c r="E305" t="n">
        <v>2019</v>
      </c>
      <c r="F305" t="inlineStr">
        <is>
          <t>2019-11-01</t>
        </is>
      </c>
      <c r="G305" t="inlineStr">
        <is>
          <t>2020-10-31</t>
        </is>
      </c>
      <c r="H305" t="n">
        <v>7</v>
      </c>
      <c r="I305" t="n">
        <v>1744</v>
      </c>
      <c r="J305" t="inlineStr">
        <is>
          <t>Y</t>
        </is>
      </c>
      <c r="K305" t="inlineStr">
        <is>
          <t>sales.crownandchamparesorts.com</t>
        </is>
      </c>
      <c r="L305" t="inlineStr">
        <is>
          <t>brand-cdn</t>
        </is>
      </c>
      <c r="M305" t="inlineStr">
        <is>
          <t>https://sales.crownandchamparesorts.com/wp-content/uploads/2020/01/Kudadoo-Factsheet-110119103120Ver010720.pdf</t>
        </is>
      </c>
      <c r="N305" t="inlineStr">
        <is>
          <t>https://sales.crownandchamparesorts.com/wp-content/uploads/2020/01/Kudadoo-Factsheet-110119103120Ver010720.pdf</t>
        </is>
      </c>
      <c r="O305" t="inlineStr">
        <is>
          <t>4a2efb538365abb18106c76aced6c717cfa712caf2d180ca1248a22b04224ef7</t>
        </is>
      </c>
      <c r="P305" t="inlineStr">
        <is>
          <t>library/028_kudadoo-maldives-private-island/factsheet/2019_Kudadoo-Factsheet-110119103120Ver010720.pdf</t>
        </is>
      </c>
      <c r="R305" t="inlineStr">
        <is>
          <t>outdated</t>
        </is>
      </c>
      <c r="S305" t="inlineStr">
        <is>
          <t>N</t>
        </is>
      </c>
      <c r="T305" t="inlineStr">
        <is>
          <t>matched</t>
        </is>
      </c>
      <c r="U305" t="inlineStr">
        <is>
          <t>2026-10-04</t>
        </is>
      </c>
      <c r="V305" t="inlineStr"/>
    </row>
    <row r="306">
      <c r="A306" t="n">
        <v>28</v>
      </c>
      <c r="B306" t="inlineStr">
        <is>
          <t>Kudadoo Maldives Private island</t>
        </is>
      </c>
      <c r="C306" t="inlineStr">
        <is>
          <t>factsheet</t>
        </is>
      </c>
      <c r="D306" t="inlineStr">
        <is>
          <t>2019_Kudadoo-Factsheet-110119103120Ver072719-Digital-Version.pdf</t>
        </is>
      </c>
      <c r="E306" t="n">
        <v>2019</v>
      </c>
      <c r="F306" t="inlineStr">
        <is>
          <t>2019-11-01</t>
        </is>
      </c>
      <c r="G306" t="inlineStr">
        <is>
          <t>2020-10-31</t>
        </is>
      </c>
      <c r="H306" t="n">
        <v>7</v>
      </c>
      <c r="I306" t="n">
        <v>2793</v>
      </c>
      <c r="J306" t="inlineStr">
        <is>
          <t>Y</t>
        </is>
      </c>
      <c r="K306" t="inlineStr">
        <is>
          <t>sales.crownandchamparesorts.com</t>
        </is>
      </c>
      <c r="L306" t="inlineStr">
        <is>
          <t>brand-cdn</t>
        </is>
      </c>
      <c r="M306" t="inlineStr">
        <is>
          <t>https://sales.crownandchamparesorts.com/wp-content/uploads/2018/03/Kudadoo-Factsheet-110119103120Ver072719-Digital-Version.pdf</t>
        </is>
      </c>
      <c r="N306" t="inlineStr">
        <is>
          <t>https://sales.crownandchamparesorts.com/wp-content/uploads/2018/03/Kudadoo-Factsheet-110119103120Ver072719-Digital-Version.pdf</t>
        </is>
      </c>
      <c r="O306" t="inlineStr">
        <is>
          <t>62b17bbc0d6812cf1b12a3399059d46150ae9aa9bc746a625d5c9d6b962dd07b</t>
        </is>
      </c>
      <c r="P306" t="inlineStr">
        <is>
          <t>library/028_kudadoo-maldives-private-island/factsheet/2019_Kudadoo-Factsheet-110119103120Ver072719-Digital-Version.pdf</t>
        </is>
      </c>
      <c r="R306" t="inlineStr">
        <is>
          <t>outdated</t>
        </is>
      </c>
      <c r="S306" t="inlineStr">
        <is>
          <t>N</t>
        </is>
      </c>
      <c r="T306" t="inlineStr">
        <is>
          <t>matched</t>
        </is>
      </c>
      <c r="U306" t="inlineStr">
        <is>
          <t>2026-10-04</t>
        </is>
      </c>
      <c r="V306" t="inlineStr"/>
    </row>
    <row r="307">
      <c r="A307" t="n">
        <v>28</v>
      </c>
      <c r="B307" t="inlineStr">
        <is>
          <t>Kudadoo Maldives Private island</t>
        </is>
      </c>
      <c r="C307" t="inlineStr">
        <is>
          <t>factsheet</t>
        </is>
      </c>
      <c r="D307" t="inlineStr">
        <is>
          <t>2018_FactsheetKudadoo100118103119Ver051718.pdf</t>
        </is>
      </c>
      <c r="E307" t="n">
        <v>2018</v>
      </c>
      <c r="F307" t="inlineStr">
        <is>
          <t>2018-10-01</t>
        </is>
      </c>
      <c r="G307" t="inlineStr">
        <is>
          <t>2019-10-31</t>
        </is>
      </c>
      <c r="H307" t="n">
        <v>7</v>
      </c>
      <c r="I307" t="n">
        <v>1602</v>
      </c>
      <c r="J307" t="inlineStr">
        <is>
          <t>Y</t>
        </is>
      </c>
      <c r="K307" t="inlineStr">
        <is>
          <t>sales.crownandchamparesorts.com</t>
        </is>
      </c>
      <c r="L307" t="inlineStr">
        <is>
          <t>brand-cdn</t>
        </is>
      </c>
      <c r="M307" t="inlineStr">
        <is>
          <t>https://sales.crownandchamparesorts.com/wp-content/uploads/2018/10/FactsheetKudadoo100118103119Ver051718.pdf</t>
        </is>
      </c>
      <c r="N307" t="inlineStr">
        <is>
          <t>https://sales.crownandchamparesorts.com/wp-content/uploads/2018/10/FactsheetKudadoo100118103119Ver051718.pdf</t>
        </is>
      </c>
      <c r="O307" t="inlineStr">
        <is>
          <t>74c252260a7a8a7d5ef2732b6f7b97e810e2884d7e8e1a0a3cbf8726ad6124bf</t>
        </is>
      </c>
      <c r="P307" t="inlineStr">
        <is>
          <t>library/028_kudadoo-maldives-private-island/factsheet/2018_FactsheetKudadoo100118103119Ver051718.pdf</t>
        </is>
      </c>
      <c r="R307" t="inlineStr">
        <is>
          <t>outdated</t>
        </is>
      </c>
      <c r="S307" t="inlineStr">
        <is>
          <t>N</t>
        </is>
      </c>
      <c r="T307" t="inlineStr">
        <is>
          <t>matched</t>
        </is>
      </c>
      <c r="U307" t="inlineStr">
        <is>
          <t>2026-10-04</t>
        </is>
      </c>
      <c r="V307" t="inlineStr"/>
    </row>
    <row r="308">
      <c r="A308" t="n">
        <v>28</v>
      </c>
      <c r="B308" t="inlineStr">
        <is>
          <t>Kudadoo Maldives Private island</t>
        </is>
      </c>
      <c r="C308" t="inlineStr">
        <is>
          <t>map</t>
        </is>
      </c>
      <c r="D308" t="inlineStr">
        <is>
          <t>2025_KudadooMap110125103126Ver070125.pdf</t>
        </is>
      </c>
      <c r="E308" t="n">
        <v>2025</v>
      </c>
      <c r="F308" t="inlineStr">
        <is>
          <t>2025-11-01</t>
        </is>
      </c>
      <c r="G308" t="inlineStr">
        <is>
          <t>2026-10-31</t>
        </is>
      </c>
      <c r="H308" t="n">
        <v>1</v>
      </c>
      <c r="I308" t="n">
        <v>1945</v>
      </c>
      <c r="J308" t="inlineStr">
        <is>
          <t>N</t>
        </is>
      </c>
      <c r="K308" t="inlineStr">
        <is>
          <t>sales.crownandchamparesorts.com</t>
        </is>
      </c>
      <c r="L308" t="inlineStr">
        <is>
          <t>brand-cdn</t>
        </is>
      </c>
      <c r="M308" t="inlineStr">
        <is>
          <t>https://sales.crownandchamparesorts.com/wp-content/uploads/2025/12/KudadooMap110125103126Ver070125.pdf</t>
        </is>
      </c>
      <c r="N308" t="inlineStr">
        <is>
          <t>https://sales.crownandchamparesorts.com/wp-content/uploads/2025/12/KudadooMap110125103126Ver070125.pdf</t>
        </is>
      </c>
      <c r="O308" t="inlineStr">
        <is>
          <t>1482e84d277b3aa0e5213c09c32601868f5135452861fd2b717d37be52a89c10</t>
        </is>
      </c>
      <c r="P308" t="inlineStr">
        <is>
          <t>library/028_kudadoo-maldives-private-island/map/2025_KudadooMap110125103126Ver070125.pdf</t>
        </is>
      </c>
      <c r="R308" t="inlineStr">
        <is>
          <t>current</t>
        </is>
      </c>
      <c r="S308" t="inlineStr">
        <is>
          <t>Y</t>
        </is>
      </c>
      <c r="T308" t="inlineStr">
        <is>
          <t>matched</t>
        </is>
      </c>
      <c r="U308" t="inlineStr">
        <is>
          <t>2026-10-04</t>
        </is>
      </c>
      <c r="V308" t="inlineStr"/>
    </row>
    <row r="309">
      <c r="A309" t="n">
        <v>28</v>
      </c>
      <c r="B309" t="inlineStr">
        <is>
          <t>Kudadoo Maldives Private island</t>
        </is>
      </c>
      <c r="C309" t="inlineStr">
        <is>
          <t>spa_menu</t>
        </is>
      </c>
      <c r="D309" t="inlineStr">
        <is>
          <t>2025_KudadooSulhaSpaMenu110125103126Ver112023.pdf</t>
        </is>
      </c>
      <c r="E309" t="n">
        <v>2025</v>
      </c>
      <c r="F309" t="inlineStr">
        <is>
          <t>2025-11-01</t>
        </is>
      </c>
      <c r="G309" t="inlineStr">
        <is>
          <t>2026-10-31</t>
        </is>
      </c>
      <c r="H309" t="n">
        <v>11</v>
      </c>
      <c r="I309" t="n">
        <v>1248</v>
      </c>
      <c r="J309" t="inlineStr">
        <is>
          <t>Y</t>
        </is>
      </c>
      <c r="K309" t="inlineStr">
        <is>
          <t>sales.crownandchamparesorts.com</t>
        </is>
      </c>
      <c r="L309" t="inlineStr">
        <is>
          <t>brand-cdn</t>
        </is>
      </c>
      <c r="M309" t="inlineStr">
        <is>
          <t>https://sales.crownandchamparesorts.com/wp-content/uploads/2025/12/KudadooSulhaSpaMenu110125103126Ver112023.pdf</t>
        </is>
      </c>
      <c r="N309" t="inlineStr">
        <is>
          <t>https://sales.crownandchamparesorts.com/wp-content/uploads/2025/12/KudadooSulhaSpaMenu110125103126Ver112023.pdf</t>
        </is>
      </c>
      <c r="O309" t="inlineStr">
        <is>
          <t>33eb8d1d582d6fcf7c2e059c4e343aaae42b2267d2438569e9cc2b599f5e1bd2</t>
        </is>
      </c>
      <c r="P309" t="inlineStr">
        <is>
          <t>library/028_kudadoo-maldives-private-island/spa_menu/2025_KudadooSulhaSpaMenu110125103126Ver112023.pdf</t>
        </is>
      </c>
      <c r="R309" t="inlineStr">
        <is>
          <t>current</t>
        </is>
      </c>
      <c r="S309" t="inlineStr">
        <is>
          <t>Y</t>
        </is>
      </c>
      <c r="T309" t="inlineStr">
        <is>
          <t>matched</t>
        </is>
      </c>
      <c r="U309" t="inlineStr">
        <is>
          <t>2026-10-04</t>
        </is>
      </c>
      <c r="V309" t="inlineStr"/>
    </row>
    <row r="310">
      <c r="A310" t="n">
        <v>28</v>
      </c>
      <c r="B310" t="inlineStr">
        <is>
          <t>Kudadoo Maldives Private island</t>
        </is>
      </c>
      <c r="C310" t="inlineStr">
        <is>
          <t>spa_menu</t>
        </is>
      </c>
      <c r="D310" t="inlineStr">
        <is>
          <t>2019_KUD_AAA1.pdf</t>
        </is>
      </c>
      <c r="E310" t="n">
        <v>2019</v>
      </c>
      <c r="H310" t="n">
        <v>1</v>
      </c>
      <c r="I310" t="n">
        <v>493</v>
      </c>
      <c r="J310" t="inlineStr">
        <is>
          <t>Y</t>
        </is>
      </c>
      <c r="K310" t="inlineStr">
        <is>
          <t>sales.crownandchamparesorts.com</t>
        </is>
      </c>
      <c r="L310" t="inlineStr">
        <is>
          <t>brand-cdn</t>
        </is>
      </c>
      <c r="M310" t="inlineStr">
        <is>
          <t>https://sales.crownandchamparesorts.com/wp-content/uploads/2020/10/KUD_AAA1.pdf</t>
        </is>
      </c>
      <c r="N310" t="inlineStr">
        <is>
          <t>https://sales.crownandchamparesorts.com/wp-content/uploads/2020/10/KUD_AAA1.pdf</t>
        </is>
      </c>
      <c r="O310" t="inlineStr">
        <is>
          <t>523feb84d5f24be5e7f545c4164812204724da66ccce4b96d63cf68c96a07a83</t>
        </is>
      </c>
      <c r="P310" t="inlineStr">
        <is>
          <t>library/028_kudadoo-maldives-private-island/spa_menu/2019_KUD_AAA1.pdf</t>
        </is>
      </c>
      <c r="R310" t="inlineStr">
        <is>
          <t>outdated</t>
        </is>
      </c>
      <c r="S310" t="inlineStr">
        <is>
          <t>N</t>
        </is>
      </c>
      <c r="T310" t="inlineStr">
        <is>
          <t>matched</t>
        </is>
      </c>
      <c r="U310" t="inlineStr">
        <is>
          <t>2026-10-04</t>
        </is>
      </c>
      <c r="V310" t="inlineStr"/>
    </row>
    <row r="311">
      <c r="A311" t="n">
        <v>28</v>
      </c>
      <c r="B311" t="inlineStr">
        <is>
          <t>Kudadoo Maldives Private island</t>
        </is>
      </c>
      <c r="C311" t="inlineStr">
        <is>
          <t>spa_menu</t>
        </is>
      </c>
      <c r="D311" t="inlineStr">
        <is>
          <t>2018_KudadooSulhaSpaMenu120118103119Ver112618.pdf</t>
        </is>
      </c>
      <c r="E311" t="n">
        <v>2018</v>
      </c>
      <c r="F311" t="inlineStr">
        <is>
          <t>2018-12-01</t>
        </is>
      </c>
      <c r="G311" t="inlineStr">
        <is>
          <t>2019-10-31</t>
        </is>
      </c>
      <c r="H311" t="n">
        <v>9</v>
      </c>
      <c r="I311" t="n">
        <v>603</v>
      </c>
      <c r="J311" t="inlineStr">
        <is>
          <t>Y</t>
        </is>
      </c>
      <c r="K311" t="inlineStr">
        <is>
          <t>sales.crownandchamparesorts.com</t>
        </is>
      </c>
      <c r="L311" t="inlineStr">
        <is>
          <t>brand-cdn</t>
        </is>
      </c>
      <c r="M311" t="inlineStr">
        <is>
          <t>https://sales.crownandchamparesorts.com/wp-content/uploads/2020/01/KudadooSulhaSpaMenu120118103119Ver112618.pdf</t>
        </is>
      </c>
      <c r="N311" t="inlineStr">
        <is>
          <t>https://sales.crownandchamparesorts.com/wp-content/uploads/2020/01/KudadooSulhaSpaMenu120118103119Ver112618.pdf</t>
        </is>
      </c>
      <c r="O311" t="inlineStr">
        <is>
          <t>65b53f81cd38420ba1e498772cd7f076f292537e39ffd5cdd96a5b75c1ae5659</t>
        </is>
      </c>
      <c r="P311" t="inlineStr">
        <is>
          <t>library/028_kudadoo-maldives-private-island/spa_menu/2018_KudadooSulhaSpaMenu120118103119Ver112618.pdf</t>
        </is>
      </c>
      <c r="R311" t="inlineStr">
        <is>
          <t>outdated</t>
        </is>
      </c>
      <c r="S311" t="inlineStr">
        <is>
          <t>N</t>
        </is>
      </c>
      <c r="T311" t="inlineStr">
        <is>
          <t>matched</t>
        </is>
      </c>
      <c r="U311" t="inlineStr">
        <is>
          <t>2026-10-04</t>
        </is>
      </c>
      <c r="V311" t="inlineStr"/>
    </row>
    <row r="312">
      <c r="A312" t="n">
        <v>28</v>
      </c>
      <c r="B312" t="inlineStr">
        <is>
          <t>Kudadoo Maldives Private island</t>
        </is>
      </c>
      <c r="C312" t="inlineStr">
        <is>
          <t>excursions</t>
        </is>
      </c>
      <c r="D312" t="inlineStr">
        <is>
          <t>2025_KudadooBrochureEffortlessAdventure110125103126Ver052625.pdf</t>
        </is>
      </c>
      <c r="E312" t="n">
        <v>2025</v>
      </c>
      <c r="F312" t="inlineStr">
        <is>
          <t>2025-11-01</t>
        </is>
      </c>
      <c r="G312" t="inlineStr">
        <is>
          <t>2026-10-31</t>
        </is>
      </c>
      <c r="H312" t="n">
        <v>10</v>
      </c>
      <c r="I312" t="n">
        <v>1102</v>
      </c>
      <c r="J312" t="inlineStr">
        <is>
          <t>Y</t>
        </is>
      </c>
      <c r="K312" t="inlineStr">
        <is>
          <t>sales.crownandchamparesorts.com</t>
        </is>
      </c>
      <c r="L312" t="inlineStr">
        <is>
          <t>brand-cdn</t>
        </is>
      </c>
      <c r="M312" t="inlineStr">
        <is>
          <t>https://sales.crownandchamparesorts.com/wp-content/uploads/2025/12/KudadooBrochureEffortlessAdventure110125103126Ver052625.pdf</t>
        </is>
      </c>
      <c r="N312" t="inlineStr">
        <is>
          <t>https://sales.crownandchamparesorts.com/wp-content/uploads/2025/12/KudadooBrochureEffortlessAdventure110125103126Ver052625.pdf</t>
        </is>
      </c>
      <c r="O312" t="inlineStr">
        <is>
          <t>136444b90c2163804ea4af14c46c7eaf3def153128799c85f56f5880deffbb3d</t>
        </is>
      </c>
      <c r="P312" t="inlineStr">
        <is>
          <t>library/028_kudadoo-maldives-private-island/excursions/2025_KudadooBrochureEffortlessAdventure110125103126Ver052625.pdf</t>
        </is>
      </c>
      <c r="R312" t="inlineStr">
        <is>
          <t>current</t>
        </is>
      </c>
      <c r="S312" t="inlineStr">
        <is>
          <t>Y</t>
        </is>
      </c>
      <c r="T312" t="inlineStr">
        <is>
          <t>matched</t>
        </is>
      </c>
      <c r="U312" t="inlineStr">
        <is>
          <t>2026-10-04</t>
        </is>
      </c>
      <c r="V312" t="inlineStr"/>
    </row>
    <row r="313">
      <c r="A313" t="n">
        <v>28</v>
      </c>
      <c r="B313" t="inlineStr">
        <is>
          <t>Kudadoo Maldives Private island</t>
        </is>
      </c>
      <c r="C313" t="inlineStr">
        <is>
          <t>all_inclusive</t>
        </is>
      </c>
      <c r="D313" t="inlineStr">
        <is>
          <t>2025_KudadooAnythingAnytimeAnywherePackage110125103126Ver052625.pdf</t>
        </is>
      </c>
      <c r="E313" t="n">
        <v>2025</v>
      </c>
      <c r="F313" t="inlineStr">
        <is>
          <t>2025-11-01</t>
        </is>
      </c>
      <c r="G313" t="inlineStr">
        <is>
          <t>2026-10-31</t>
        </is>
      </c>
      <c r="H313" t="n">
        <v>1</v>
      </c>
      <c r="I313" t="n">
        <v>516</v>
      </c>
      <c r="J313" t="inlineStr">
        <is>
          <t>Y</t>
        </is>
      </c>
      <c r="K313" t="inlineStr">
        <is>
          <t>sales.crownandchamparesorts.com</t>
        </is>
      </c>
      <c r="L313" t="inlineStr">
        <is>
          <t>brand-cdn</t>
        </is>
      </c>
      <c r="M313" t="inlineStr">
        <is>
          <t>https://sales.crownandchamparesorts.com/wp-content/uploads/2025/12/KudadooAnythingAnytimeAnywherePackage110125103126Ver052625.pdf</t>
        </is>
      </c>
      <c r="N313" t="inlineStr">
        <is>
          <t>https://sales.crownandchamparesorts.com/wp-content/uploads/2025/12/KudadooAnythingAnytimeAnywherePackage110125103126Ver052625.pdf</t>
        </is>
      </c>
      <c r="O313" t="inlineStr">
        <is>
          <t>16c1d609494c3ec6cdbde4aabc5891cd1cea2624f27009410687fc8edcc735c0</t>
        </is>
      </c>
      <c r="P313" t="inlineStr">
        <is>
          <t>library/028_kudadoo-maldives-private-island/all_inclusive/2025_KudadooAnythingAnytimeAnywherePackage110125103126Ver052625.pdf</t>
        </is>
      </c>
      <c r="R313" t="inlineStr">
        <is>
          <t>current</t>
        </is>
      </c>
      <c r="S313" t="inlineStr">
        <is>
          <t>Y</t>
        </is>
      </c>
      <c r="T313" t="inlineStr">
        <is>
          <t>matched</t>
        </is>
      </c>
      <c r="U313" t="inlineStr">
        <is>
          <t>2026-10-04</t>
        </is>
      </c>
      <c r="V313" t="inlineStr"/>
    </row>
    <row r="314">
      <c r="A314" t="n">
        <v>28</v>
      </c>
      <c r="B314" t="inlineStr">
        <is>
          <t>Kudadoo Maldives Private island</t>
        </is>
      </c>
      <c r="C314" t="inlineStr">
        <is>
          <t>all_inclusive</t>
        </is>
      </c>
      <c r="D314" t="inlineStr">
        <is>
          <t>2018_KudadooAnythingAnytimeAnywherePackageVer072019.pdf</t>
        </is>
      </c>
      <c r="E314" t="n">
        <v>2018</v>
      </c>
      <c r="H314" t="n">
        <v>1</v>
      </c>
      <c r="I314" t="n">
        <v>505</v>
      </c>
      <c r="J314" t="inlineStr">
        <is>
          <t>Y</t>
        </is>
      </c>
      <c r="K314" t="inlineStr">
        <is>
          <t>sales.crownandchamparesorts.com</t>
        </is>
      </c>
      <c r="L314" t="inlineStr">
        <is>
          <t>brand-cdn</t>
        </is>
      </c>
      <c r="M314" t="inlineStr">
        <is>
          <t>https://sales.crownandchamparesorts.com/wp-content/uploads/2019/05/KudadooAnythingAnytimeAnywherePackageVer072019.pdf</t>
        </is>
      </c>
      <c r="N314" t="inlineStr">
        <is>
          <t>https://sales.crownandchamparesorts.com/wp-content/uploads/2019/05/KudadooAnythingAnytimeAnywherePackageVer072019.pdf</t>
        </is>
      </c>
      <c r="O314" t="inlineStr">
        <is>
          <t>71fce0022b6f2fe10bfd9d2f7a949be3427debaf55baa76a2ca56c6b4e28e73e</t>
        </is>
      </c>
      <c r="P314" t="inlineStr">
        <is>
          <t>library/028_kudadoo-maldives-private-island/all_inclusive/2018_KudadooAnythingAnytimeAnywherePackageVer072019.pdf</t>
        </is>
      </c>
      <c r="R314" t="inlineStr">
        <is>
          <t>outdated</t>
        </is>
      </c>
      <c r="S314" t="inlineStr">
        <is>
          <t>N</t>
        </is>
      </c>
      <c r="T314" t="inlineStr">
        <is>
          <t>matched</t>
        </is>
      </c>
      <c r="U314" t="inlineStr">
        <is>
          <t>2026-10-04</t>
        </is>
      </c>
      <c r="V314" t="inlineStr"/>
    </row>
    <row r="315">
      <c r="A315" t="n">
        <v>28</v>
      </c>
      <c r="B315" t="inlineStr">
        <is>
          <t>Kudadoo Maldives Private island</t>
        </is>
      </c>
      <c r="C315" t="inlineStr">
        <is>
          <t>sustainability</t>
        </is>
      </c>
      <c r="D315" t="inlineStr">
        <is>
          <t>2025_KudadooSustainabilityBrochure110125103126Ver042024.pdf</t>
        </is>
      </c>
      <c r="E315" t="n">
        <v>2025</v>
      </c>
      <c r="F315" t="inlineStr">
        <is>
          <t>2025-11-01</t>
        </is>
      </c>
      <c r="G315" t="inlineStr">
        <is>
          <t>2026-10-31</t>
        </is>
      </c>
      <c r="H315" t="n">
        <v>11</v>
      </c>
      <c r="I315" t="n">
        <v>1447</v>
      </c>
      <c r="J315" t="inlineStr">
        <is>
          <t>Y</t>
        </is>
      </c>
      <c r="K315" t="inlineStr">
        <is>
          <t>sales.crownandchamparesorts.com</t>
        </is>
      </c>
      <c r="L315" t="inlineStr">
        <is>
          <t>brand-cdn</t>
        </is>
      </c>
      <c r="M315" t="inlineStr">
        <is>
          <t>https://sales.crownandchamparesorts.com/wp-content/uploads/2025/12/KudadooSustainabilityBrochure110125103126Ver042024.pdf</t>
        </is>
      </c>
      <c r="N315" t="inlineStr">
        <is>
          <t>https://sales.crownandchamparesorts.com/wp-content/uploads/2025/12/KudadooSustainabilityBrochure110125103126Ver042024.pdf</t>
        </is>
      </c>
      <c r="O315" t="inlineStr">
        <is>
          <t>9a3eb8d3acab0ea2fff57c9d55ad2cd60b68f1be124e054555bfb5bca5471df3</t>
        </is>
      </c>
      <c r="P315" t="inlineStr">
        <is>
          <t>library/028_kudadoo-maldives-private-island/sustainability/2025_KudadooSustainabilityBrochure110125103126Ver042024.pdf</t>
        </is>
      </c>
      <c r="R315" t="inlineStr">
        <is>
          <t>current</t>
        </is>
      </c>
      <c r="S315" t="inlineStr">
        <is>
          <t>Y</t>
        </is>
      </c>
      <c r="T315" t="inlineStr">
        <is>
          <t>matched</t>
        </is>
      </c>
      <c r="U315" t="inlineStr">
        <is>
          <t>2026-10-04</t>
        </is>
      </c>
      <c r="V315" t="inlineStr"/>
    </row>
    <row r="316">
      <c r="A316" t="n">
        <v>29</v>
      </c>
      <c r="B316" t="inlineStr">
        <is>
          <t>Dheruhfinolhu by Jawakara Islands Maldives</t>
        </is>
      </c>
      <c r="C316" t="inlineStr">
        <is>
          <t>factsheet</t>
        </is>
      </c>
      <c r="D316" t="inlineStr">
        <is>
          <t>2025_NalaMaldivesFactsheet011125311026Ver030426.pdf</t>
        </is>
      </c>
      <c r="E316" t="n">
        <v>2025</v>
      </c>
      <c r="F316" t="inlineStr">
        <is>
          <t>2025-11-01</t>
        </is>
      </c>
      <c r="G316" t="inlineStr">
        <is>
          <t>2026-10-31</t>
        </is>
      </c>
      <c r="H316" t="n">
        <v>13</v>
      </c>
      <c r="I316" t="n">
        <v>671</v>
      </c>
      <c r="J316" t="inlineStr">
        <is>
          <t>Y</t>
        </is>
      </c>
      <c r="K316" t="inlineStr">
        <is>
          <t>sales.crownandchamparesorts.com</t>
        </is>
      </c>
      <c r="L316" t="inlineStr">
        <is>
          <t>brand-cdn</t>
        </is>
      </c>
      <c r="M316" t="inlineStr">
        <is>
          <t>https://sales.crownandchamparesorts.com/wp-content/uploads/2026/04/NalaMaldivesFactsheet011125311026Ver030426.pdf</t>
        </is>
      </c>
      <c r="N316" t="inlineStr">
        <is>
          <t>https://sales.crownandchamparesorts.com/wp-content/uploads/2026/04/NalaMaldivesFactsheet011125311026Ver030426.pdf</t>
        </is>
      </c>
      <c r="O316" t="inlineStr">
        <is>
          <t>4ad61329a26c9e18c725660528f0b94cd13ec082d2ce3d09094d464849659c1e</t>
        </is>
      </c>
      <c r="P316" t="inlineStr">
        <is>
          <t>library/029_dheruhfinolhu-by-jawakara-islands-maldives/factsheet/2025_NalaMaldivesFactsheet011125311026Ver030426.pdf</t>
        </is>
      </c>
      <c r="R316" t="inlineStr">
        <is>
          <t>current</t>
        </is>
      </c>
      <c r="S316" t="inlineStr">
        <is>
          <t>Y</t>
        </is>
      </c>
      <c r="T316" t="inlineStr">
        <is>
          <t>needs-review</t>
        </is>
      </c>
      <c r="U316" t="inlineStr">
        <is>
          <t>2026-10-04</t>
        </is>
      </c>
      <c r="V316" t="inlineStr">
        <is>
          <t>ambiguous match [29, 83, 1]</t>
        </is>
      </c>
    </row>
    <row r="317">
      <c r="A317" t="n">
        <v>83</v>
      </c>
      <c r="B317" t="inlineStr">
        <is>
          <t>Mabinhura by Jawakara Islands Maldives</t>
        </is>
      </c>
      <c r="C317" t="inlineStr">
        <is>
          <t>factsheet</t>
        </is>
      </c>
      <c r="D317" t="inlineStr">
        <is>
          <t>2025_NalaMaldivesFactsheet011125311026Ver030426.pdf</t>
        </is>
      </c>
      <c r="E317" t="n">
        <v>2025</v>
      </c>
      <c r="F317" t="inlineStr">
        <is>
          <t>2025-11-01</t>
        </is>
      </c>
      <c r="G317" t="inlineStr">
        <is>
          <t>2026-10-31</t>
        </is>
      </c>
      <c r="H317" t="n">
        <v>13</v>
      </c>
      <c r="I317" t="n">
        <v>671</v>
      </c>
      <c r="J317" t="inlineStr">
        <is>
          <t>Y</t>
        </is>
      </c>
      <c r="K317" t="inlineStr">
        <is>
          <t>sales.crownandchamparesorts.com</t>
        </is>
      </c>
      <c r="L317" t="inlineStr">
        <is>
          <t>brand-cdn</t>
        </is>
      </c>
      <c r="M317" t="inlineStr">
        <is>
          <t>https://sales.crownandchamparesorts.com/wp-content/uploads/2026/04/NalaMaldivesFactsheet011125311026Ver030426.pdf</t>
        </is>
      </c>
      <c r="N317" t="inlineStr">
        <is>
          <t>https://sales.crownandchamparesorts.com/wp-content/uploads/2026/04/NalaMaldivesFactsheet011125311026Ver030426.pdf</t>
        </is>
      </c>
      <c r="O317" t="inlineStr">
        <is>
          <t>4ad61329a26c9e18c725660528f0b94cd13ec082d2ce3d09094d464849659c1e</t>
        </is>
      </c>
      <c r="P317" t="inlineStr">
        <is>
          <t>library/029_dheruhfinolhu-by-jawakara-islands-maldives/factsheet/2025_NalaMaldivesFactsheet011125311026Ver030426.pdf</t>
        </is>
      </c>
      <c r="R317" t="inlineStr">
        <is>
          <t>current</t>
        </is>
      </c>
      <c r="S317" t="inlineStr">
        <is>
          <t>Y</t>
        </is>
      </c>
      <c r="T317" t="inlineStr">
        <is>
          <t>needs-review</t>
        </is>
      </c>
      <c r="U317" t="inlineStr">
        <is>
          <t>2026-10-04</t>
        </is>
      </c>
      <c r="V317" t="inlineStr">
        <is>
          <t>ambiguous match [29, 83, 1]</t>
        </is>
      </c>
    </row>
    <row r="318">
      <c r="A318" t="n">
        <v>1</v>
      </c>
      <c r="B318" t="inlineStr">
        <is>
          <t>Six Senses Laamu</t>
        </is>
      </c>
      <c r="C318" t="inlineStr">
        <is>
          <t>factsheet</t>
        </is>
      </c>
      <c r="D318" t="inlineStr">
        <is>
          <t>2025_NalaMaldivesFactsheet011125311026Ver030426.pdf</t>
        </is>
      </c>
      <c r="E318" t="n">
        <v>2025</v>
      </c>
      <c r="F318" t="inlineStr">
        <is>
          <t>2025-11-01</t>
        </is>
      </c>
      <c r="G318" t="inlineStr">
        <is>
          <t>2026-10-31</t>
        </is>
      </c>
      <c r="H318" t="n">
        <v>13</v>
      </c>
      <c r="I318" t="n">
        <v>671</v>
      </c>
      <c r="J318" t="inlineStr">
        <is>
          <t>Y</t>
        </is>
      </c>
      <c r="K318" t="inlineStr">
        <is>
          <t>sales.crownandchamparesorts.com</t>
        </is>
      </c>
      <c r="L318" t="inlineStr">
        <is>
          <t>brand-cdn</t>
        </is>
      </c>
      <c r="M318" t="inlineStr">
        <is>
          <t>https://sales.crownandchamparesorts.com/wp-content/uploads/2026/04/NalaMaldivesFactsheet011125311026Ver030426.pdf</t>
        </is>
      </c>
      <c r="N318" t="inlineStr">
        <is>
          <t>https://sales.crownandchamparesorts.com/wp-content/uploads/2026/04/NalaMaldivesFactsheet011125311026Ver030426.pdf</t>
        </is>
      </c>
      <c r="O318" t="inlineStr">
        <is>
          <t>4ad61329a26c9e18c725660528f0b94cd13ec082d2ce3d09094d464849659c1e</t>
        </is>
      </c>
      <c r="P318" t="inlineStr">
        <is>
          <t>library/029_dheruhfinolhu-by-jawakara-islands-maldives/factsheet/2025_NalaMaldivesFactsheet011125311026Ver030426.pdf</t>
        </is>
      </c>
      <c r="R318" t="inlineStr">
        <is>
          <t>current</t>
        </is>
      </c>
      <c r="S318" t="inlineStr">
        <is>
          <t>Y</t>
        </is>
      </c>
      <c r="T318" t="inlineStr">
        <is>
          <t>needs-review</t>
        </is>
      </c>
      <c r="U318" t="inlineStr">
        <is>
          <t>2026-10-04</t>
        </is>
      </c>
      <c r="V318" t="inlineStr">
        <is>
          <t>ambiguous match [29, 83, 1]</t>
        </is>
      </c>
    </row>
    <row r="319">
      <c r="A319" t="n">
        <v>29</v>
      </c>
      <c r="B319" t="inlineStr">
        <is>
          <t>Dheruhfinolhu by Jawakara Islands Maldives</t>
        </is>
      </c>
      <c r="C319" t="inlineStr">
        <is>
          <t>map</t>
        </is>
      </c>
      <c r="D319" t="inlineStr">
        <is>
          <t>2023_Jawakara_Map_20Oct23.pdf</t>
        </is>
      </c>
      <c r="E319" t="n">
        <v>2023</v>
      </c>
      <c r="H319" t="n">
        <v>1</v>
      </c>
      <c r="I319" t="n">
        <v>364</v>
      </c>
      <c r="J319" t="inlineStr">
        <is>
          <t>N</t>
        </is>
      </c>
      <c r="K319" t="inlineStr">
        <is>
          <t>sales.crownandchamparesorts.com</t>
        </is>
      </c>
      <c r="L319" t="inlineStr">
        <is>
          <t>brand-cdn</t>
        </is>
      </c>
      <c r="M319" t="inlineStr">
        <is>
          <t>https://sales.crownandchamparesorts.com/wp-content/uploads/2023/10/Jawakara_Map_20Oct23.pdf</t>
        </is>
      </c>
      <c r="N319" t="inlineStr">
        <is>
          <t>https://sales.crownandchamparesorts.com/wp-content/uploads/2023/10/Jawakara_Map_20Oct23.pdf</t>
        </is>
      </c>
      <c r="O319" t="inlineStr">
        <is>
          <t>9775b6e6026f0016821c2c203ae61b3d94ff819c668f63dba8ad313fdae29a94</t>
        </is>
      </c>
      <c r="P319" t="inlineStr">
        <is>
          <t>library/029_dheruhfinolhu-by-jawakara-islands-maldives/map/2023_Jawakara_Map_20Oct23.pdf</t>
        </is>
      </c>
      <c r="R319" t="inlineStr">
        <is>
          <t>outdated</t>
        </is>
      </c>
      <c r="S319" t="inlineStr">
        <is>
          <t>Y</t>
        </is>
      </c>
      <c r="T319" t="inlineStr">
        <is>
          <t>matched</t>
        </is>
      </c>
      <c r="U319" t="inlineStr">
        <is>
          <t>2026-10-04</t>
        </is>
      </c>
      <c r="V319" t="inlineStr"/>
    </row>
    <row r="320">
      <c r="A320" t="n">
        <v>83</v>
      </c>
      <c r="B320" t="inlineStr">
        <is>
          <t>Mabinhura by Jawakara Islands Maldives</t>
        </is>
      </c>
      <c r="C320" t="inlineStr">
        <is>
          <t>map</t>
        </is>
      </c>
      <c r="D320" t="inlineStr">
        <is>
          <t>2023_Jawakara_Map_20Oct23.pdf</t>
        </is>
      </c>
      <c r="E320" t="n">
        <v>2023</v>
      </c>
      <c r="H320" t="n">
        <v>1</v>
      </c>
      <c r="I320" t="n">
        <v>364</v>
      </c>
      <c r="J320" t="inlineStr">
        <is>
          <t>N</t>
        </is>
      </c>
      <c r="K320" t="inlineStr">
        <is>
          <t>sales.crownandchamparesorts.com</t>
        </is>
      </c>
      <c r="L320" t="inlineStr">
        <is>
          <t>brand-cdn</t>
        </is>
      </c>
      <c r="M320" t="inlineStr">
        <is>
          <t>https://sales.crownandchamparesorts.com/wp-content/uploads/2023/10/Jawakara_Map_20Oct23.pdf</t>
        </is>
      </c>
      <c r="N320" t="inlineStr">
        <is>
          <t>https://sales.crownandchamparesorts.com/wp-content/uploads/2023/10/Jawakara_Map_20Oct23.pdf</t>
        </is>
      </c>
      <c r="O320" t="inlineStr">
        <is>
          <t>9775b6e6026f0016821c2c203ae61b3d94ff819c668f63dba8ad313fdae29a94</t>
        </is>
      </c>
      <c r="P320" t="inlineStr">
        <is>
          <t>library/029_dheruhfinolhu-by-jawakara-islands-maldives/map/2023_Jawakara_Map_20Oct23.pdf</t>
        </is>
      </c>
      <c r="R320" t="inlineStr">
        <is>
          <t>outdated</t>
        </is>
      </c>
      <c r="S320" t="inlineStr">
        <is>
          <t>Y</t>
        </is>
      </c>
      <c r="T320" t="inlineStr">
        <is>
          <t>matched</t>
        </is>
      </c>
      <c r="U320" t="inlineStr">
        <is>
          <t>2026-10-04</t>
        </is>
      </c>
      <c r="V320" t="inlineStr"/>
    </row>
    <row r="321">
      <c r="A321" t="n">
        <v>29</v>
      </c>
      <c r="B321" t="inlineStr">
        <is>
          <t>Dheruhfinolhu by Jawakara Islands Maldives</t>
        </is>
      </c>
      <c r="C321" t="inlineStr">
        <is>
          <t>calendar</t>
        </is>
      </c>
      <c r="D321" t="inlineStr">
        <is>
          <t>2023_Jawakara-Transfer-Policy.pdf</t>
        </is>
      </c>
      <c r="E321" t="n">
        <v>2023</v>
      </c>
      <c r="H321" t="n">
        <v>3</v>
      </c>
      <c r="I321" t="n">
        <v>848</v>
      </c>
      <c r="J321" t="inlineStr">
        <is>
          <t>Y</t>
        </is>
      </c>
      <c r="K321" t="inlineStr">
        <is>
          <t>sales.crownandchamparesorts.com</t>
        </is>
      </c>
      <c r="L321" t="inlineStr">
        <is>
          <t>brand-cdn</t>
        </is>
      </c>
      <c r="M321" t="inlineStr">
        <is>
          <t>https://sales.crownandchamparesorts.com/wp-content/uploads/2023/10/Jawakara-Transfer-Policy.pdf</t>
        </is>
      </c>
      <c r="N321" t="inlineStr">
        <is>
          <t>https://sales.crownandchamparesorts.com/wp-content/uploads/2023/10/Jawakara-Transfer-Policy.pdf</t>
        </is>
      </c>
      <c r="O321" t="inlineStr">
        <is>
          <t>7ce7b2cf9786612869281f996f96e5f96601ddd0ea678347befa37650822875c</t>
        </is>
      </c>
      <c r="P321" t="inlineStr">
        <is>
          <t>library/029_dheruhfinolhu-by-jawakara-islands-maldives/calendar/2023_Jawakara-Transfer-Policy.pdf</t>
        </is>
      </c>
      <c r="R321" t="inlineStr">
        <is>
          <t>outdated</t>
        </is>
      </c>
      <c r="S321" t="inlineStr">
        <is>
          <t>Y</t>
        </is>
      </c>
      <c r="T321" t="inlineStr">
        <is>
          <t>matched</t>
        </is>
      </c>
      <c r="U321" t="inlineStr">
        <is>
          <t>2026-10-04</t>
        </is>
      </c>
      <c r="V321" t="inlineStr"/>
    </row>
    <row r="322">
      <c r="A322" t="n">
        <v>83</v>
      </c>
      <c r="B322" t="inlineStr">
        <is>
          <t>Mabinhura by Jawakara Islands Maldives</t>
        </is>
      </c>
      <c r="C322" t="inlineStr">
        <is>
          <t>calendar</t>
        </is>
      </c>
      <c r="D322" t="inlineStr">
        <is>
          <t>2023_Jawakara-Transfer-Policy.pdf</t>
        </is>
      </c>
      <c r="E322" t="n">
        <v>2023</v>
      </c>
      <c r="H322" t="n">
        <v>3</v>
      </c>
      <c r="I322" t="n">
        <v>848</v>
      </c>
      <c r="J322" t="inlineStr">
        <is>
          <t>Y</t>
        </is>
      </c>
      <c r="K322" t="inlineStr">
        <is>
          <t>sales.crownandchamparesorts.com</t>
        </is>
      </c>
      <c r="L322" t="inlineStr">
        <is>
          <t>brand-cdn</t>
        </is>
      </c>
      <c r="M322" t="inlineStr">
        <is>
          <t>https://sales.crownandchamparesorts.com/wp-content/uploads/2023/10/Jawakara-Transfer-Policy.pdf</t>
        </is>
      </c>
      <c r="N322" t="inlineStr">
        <is>
          <t>https://sales.crownandchamparesorts.com/wp-content/uploads/2023/10/Jawakara-Transfer-Policy.pdf</t>
        </is>
      </c>
      <c r="O322" t="inlineStr">
        <is>
          <t>7ce7b2cf9786612869281f996f96e5f96601ddd0ea678347befa37650822875c</t>
        </is>
      </c>
      <c r="P322" t="inlineStr">
        <is>
          <t>library/029_dheruhfinolhu-by-jawakara-islands-maldives/calendar/2023_Jawakara-Transfer-Policy.pdf</t>
        </is>
      </c>
      <c r="R322" t="inlineStr">
        <is>
          <t>outdated</t>
        </is>
      </c>
      <c r="S322" t="inlineStr">
        <is>
          <t>Y</t>
        </is>
      </c>
      <c r="T322" t="inlineStr">
        <is>
          <t>matched</t>
        </is>
      </c>
      <c r="U322" t="inlineStr">
        <is>
          <t>2026-10-04</t>
        </is>
      </c>
      <c r="V322" t="inlineStr"/>
    </row>
    <row r="323">
      <c r="A323" t="n">
        <v>30</v>
      </c>
      <c r="B323" t="inlineStr">
        <is>
          <t>Hurawalhi Island Resort</t>
        </is>
      </c>
      <c r="C323" t="inlineStr">
        <is>
          <t>factsheet</t>
        </is>
      </c>
      <c r="D323" t="inlineStr">
        <is>
          <t>2023_FactSheetHurawalhi110123103124Ver030123.pdf</t>
        </is>
      </c>
      <c r="E323" t="n">
        <v>2023</v>
      </c>
      <c r="F323" t="inlineStr">
        <is>
          <t>2023-11-01</t>
        </is>
      </c>
      <c r="G323" t="inlineStr">
        <is>
          <t>2024-10-31</t>
        </is>
      </c>
      <c r="H323" t="n">
        <v>7</v>
      </c>
      <c r="I323" t="n">
        <v>1358</v>
      </c>
      <c r="J323" t="inlineStr">
        <is>
          <t>Y</t>
        </is>
      </c>
      <c r="K323" t="inlineStr">
        <is>
          <t>sales.crownandchamparesorts.com</t>
        </is>
      </c>
      <c r="L323" t="inlineStr">
        <is>
          <t>brand-cdn</t>
        </is>
      </c>
      <c r="M323" t="inlineStr">
        <is>
          <t>https://sales.crownandchamparesorts.com/wp-content/uploads/2023/08/FactSheetHurawalhi110123103124Ver030123.pdf</t>
        </is>
      </c>
      <c r="N323" t="inlineStr">
        <is>
          <t>https://sales.crownandchamparesorts.com/wp-content/uploads/2023/08/FactSheetHurawalhi110123103124Ver030123.pdf</t>
        </is>
      </c>
      <c r="O323" t="inlineStr">
        <is>
          <t>12e16a5bf26f7a12f047c4f8eb77e13660a3cbbf379bdd4faa707b131b11de61</t>
        </is>
      </c>
      <c r="P323" t="inlineStr">
        <is>
          <t>library/030_hurawalhi-island-resort/factsheet/2023_FactSheetHurawalhi110123103124Ver030123.pdf</t>
        </is>
      </c>
      <c r="R323" t="inlineStr">
        <is>
          <t>outdated</t>
        </is>
      </c>
      <c r="S323" t="inlineStr">
        <is>
          <t>Y</t>
        </is>
      </c>
      <c r="T323" t="inlineStr">
        <is>
          <t>matched</t>
        </is>
      </c>
      <c r="U323" t="inlineStr">
        <is>
          <t>2026-10-04</t>
        </is>
      </c>
      <c r="V323" t="inlineStr"/>
    </row>
    <row r="324">
      <c r="A324" t="n">
        <v>30</v>
      </c>
      <c r="B324" t="inlineStr">
        <is>
          <t>Hurawalhi Island Resort</t>
        </is>
      </c>
      <c r="C324" t="inlineStr">
        <is>
          <t>factsheet</t>
        </is>
      </c>
      <c r="D324" t="inlineStr">
        <is>
          <t>2020_FactSheetHurawalhi110120103121Rev100820.pdf</t>
        </is>
      </c>
      <c r="E324" t="n">
        <v>2020</v>
      </c>
      <c r="F324" t="inlineStr">
        <is>
          <t>2020-11-01</t>
        </is>
      </c>
      <c r="G324" t="inlineStr">
        <is>
          <t>2021-10-31</t>
        </is>
      </c>
      <c r="H324" t="n">
        <v>7</v>
      </c>
      <c r="I324" t="n">
        <v>2752</v>
      </c>
      <c r="J324" t="inlineStr">
        <is>
          <t>Y</t>
        </is>
      </c>
      <c r="K324" t="inlineStr">
        <is>
          <t>sales.crownandchamparesorts.com</t>
        </is>
      </c>
      <c r="L324" t="inlineStr">
        <is>
          <t>brand-cdn</t>
        </is>
      </c>
      <c r="M324" t="inlineStr">
        <is>
          <t>https://sales.crownandchamparesorts.com/wp-content/uploads/2018/10/FactSheetHurawalhi110120103121Rev100820.pdf</t>
        </is>
      </c>
      <c r="N324" t="inlineStr">
        <is>
          <t>https://sales.crownandchamparesorts.com/wp-content/uploads/2018/10/FactSheetHurawalhi110120103121Rev100820.pdf</t>
        </is>
      </c>
      <c r="O324" t="inlineStr">
        <is>
          <t>562472b9e710b4ce205958439f0838d042178a9c25f34b6db2910331e62cbb30</t>
        </is>
      </c>
      <c r="P324" t="inlineStr">
        <is>
          <t>library/030_hurawalhi-island-resort/factsheet/2020_FactSheetHurawalhi110120103121Rev100820.pdf</t>
        </is>
      </c>
      <c r="R324" t="inlineStr">
        <is>
          <t>outdated</t>
        </is>
      </c>
      <c r="S324" t="inlineStr">
        <is>
          <t>N</t>
        </is>
      </c>
      <c r="T324" t="inlineStr">
        <is>
          <t>matched</t>
        </is>
      </c>
      <c r="U324" t="inlineStr">
        <is>
          <t>2026-10-04</t>
        </is>
      </c>
      <c r="V324" t="inlineStr"/>
    </row>
    <row r="325">
      <c r="A325" t="n">
        <v>30</v>
      </c>
      <c r="B325" t="inlineStr">
        <is>
          <t>Hurawalhi Island Resort</t>
        </is>
      </c>
      <c r="C325" t="inlineStr">
        <is>
          <t>factsheet</t>
        </is>
      </c>
      <c r="D325" t="inlineStr">
        <is>
          <t>2019_FactSheet-Hurawalhi.pdf</t>
        </is>
      </c>
      <c r="E325" t="n">
        <v>2019</v>
      </c>
      <c r="H325" t="n">
        <v>7</v>
      </c>
      <c r="I325" t="n">
        <v>1219</v>
      </c>
      <c r="J325" t="inlineStr">
        <is>
          <t>Y</t>
        </is>
      </c>
      <c r="K325" t="inlineStr">
        <is>
          <t>neoscapesmaldives.com</t>
        </is>
      </c>
      <c r="L325" t="inlineStr">
        <is>
          <t>dmc-agency</t>
        </is>
      </c>
      <c r="M325" t="inlineStr">
        <is>
          <t>https://neoscapesmaldives.com/wp-content/uploads/FactSheet-Hurawalhi.pdf</t>
        </is>
      </c>
      <c r="N325" t="inlineStr">
        <is>
          <t>https://neoscapesmaldives.com/wp-content/uploads/FactSheet-Hurawalhi.pdf</t>
        </is>
      </c>
      <c r="O325" t="inlineStr">
        <is>
          <t>4d112dfbfc49300b7ef197ea7931fed5b82906d2c6f4f5f26f1adaa1a239ec5d</t>
        </is>
      </c>
      <c r="P325" t="inlineStr">
        <is>
          <t>library/030_hurawalhi-island-resort/factsheet/2019_FactSheet-Hurawalhi.pdf</t>
        </is>
      </c>
      <c r="R325" t="inlineStr">
        <is>
          <t>outdated</t>
        </is>
      </c>
      <c r="S325" t="inlineStr">
        <is>
          <t>N</t>
        </is>
      </c>
      <c r="T325" t="inlineStr">
        <is>
          <t>matched</t>
        </is>
      </c>
      <c r="U325" t="inlineStr">
        <is>
          <t>2026-10-04</t>
        </is>
      </c>
      <c r="V325" t="inlineStr"/>
    </row>
    <row r="326">
      <c r="A326" t="n">
        <v>30</v>
      </c>
      <c r="B326" t="inlineStr">
        <is>
          <t>Hurawalhi Island Resort</t>
        </is>
      </c>
      <c r="C326" t="inlineStr">
        <is>
          <t>wedding</t>
        </is>
      </c>
      <c r="D326" t="inlineStr">
        <is>
          <t>2019_HurawalhiCeremoniesPackagesVer110719.pdf</t>
        </is>
      </c>
      <c r="E326" t="n">
        <v>2019</v>
      </c>
      <c r="H326" t="n">
        <v>10</v>
      </c>
      <c r="I326" t="n">
        <v>3454</v>
      </c>
      <c r="J326" t="inlineStr">
        <is>
          <t>Y</t>
        </is>
      </c>
      <c r="K326" t="inlineStr">
        <is>
          <t>sales.crownandchamparesorts.com</t>
        </is>
      </c>
      <c r="L326" t="inlineStr">
        <is>
          <t>brand-cdn</t>
        </is>
      </c>
      <c r="M326" t="inlineStr">
        <is>
          <t>https://sales.crownandchamparesorts.com/wp-content/uploads/2020/01/HurawalhiCeremoniesPackagesVer110719.pdf</t>
        </is>
      </c>
      <c r="N326" t="inlineStr">
        <is>
          <t>https://sales.crownandchamparesorts.com/wp-content/uploads/2020/01/HurawalhiCeremoniesPackagesVer110719.pdf</t>
        </is>
      </c>
      <c r="O326" t="inlineStr">
        <is>
          <t>ecf6694ceb29b205a34253f5acb219cde5c283f38329f812f501b19c24e2e9d9</t>
        </is>
      </c>
      <c r="P326" t="inlineStr">
        <is>
          <t>library/030_hurawalhi-island-resort/wedding/2019_HurawalhiCeremoniesPackagesVer110719.pdf</t>
        </is>
      </c>
      <c r="R326" t="inlineStr">
        <is>
          <t>outdated</t>
        </is>
      </c>
      <c r="S326" t="inlineStr">
        <is>
          <t>Y</t>
        </is>
      </c>
      <c r="T326" t="inlineStr">
        <is>
          <t>matched</t>
        </is>
      </c>
      <c r="U326" t="inlineStr">
        <is>
          <t>2026-10-04</t>
        </is>
      </c>
      <c r="V326" t="inlineStr"/>
    </row>
    <row r="327">
      <c r="A327" t="n">
        <v>30</v>
      </c>
      <c r="B327" t="inlineStr">
        <is>
          <t>Hurawalhi Island Resort</t>
        </is>
      </c>
      <c r="C327" t="inlineStr">
        <is>
          <t>map</t>
        </is>
      </c>
      <c r="D327" t="inlineStr">
        <is>
          <t>2022_Hurawalhi-Map110122103123.pdf</t>
        </is>
      </c>
      <c r="E327" t="n">
        <v>2022</v>
      </c>
      <c r="F327" t="inlineStr">
        <is>
          <t>2022-11-01</t>
        </is>
      </c>
      <c r="G327" t="inlineStr">
        <is>
          <t>2023-10-31</t>
        </is>
      </c>
      <c r="H327" t="n">
        <v>1</v>
      </c>
      <c r="I327" t="n">
        <v>1544</v>
      </c>
      <c r="J327" t="inlineStr">
        <is>
          <t>N</t>
        </is>
      </c>
      <c r="K327" t="inlineStr">
        <is>
          <t>sales.crownandchamparesorts.com</t>
        </is>
      </c>
      <c r="L327" t="inlineStr">
        <is>
          <t>brand-cdn</t>
        </is>
      </c>
      <c r="M327" t="inlineStr">
        <is>
          <t>https://sales.crownandchamparesorts.com/wp-content/uploads/2023/08/Hurawalhi-Map110122103123.pdf</t>
        </is>
      </c>
      <c r="N327" t="inlineStr">
        <is>
          <t>https://sales.crownandchamparesorts.com/wp-content/uploads/2023/08/Hurawalhi-Map110122103123.pdf</t>
        </is>
      </c>
      <c r="O327" t="inlineStr">
        <is>
          <t>9d2e789c955c2d79ea5b103b571841ef6d03a127f914f8cf2d5fa763c0106455</t>
        </is>
      </c>
      <c r="P327" t="inlineStr">
        <is>
          <t>library/030_hurawalhi-island-resort/map/2022_Hurawalhi-Map110122103123.pdf</t>
        </is>
      </c>
      <c r="R327" t="inlineStr">
        <is>
          <t>outdated</t>
        </is>
      </c>
      <c r="S327" t="inlineStr">
        <is>
          <t>Y</t>
        </is>
      </c>
      <c r="T327" t="inlineStr">
        <is>
          <t>matched</t>
        </is>
      </c>
      <c r="U327" t="inlineStr">
        <is>
          <t>2026-10-04</t>
        </is>
      </c>
      <c r="V327" t="inlineStr"/>
    </row>
    <row r="328">
      <c r="A328" t="n">
        <v>30</v>
      </c>
      <c r="B328" t="inlineStr">
        <is>
          <t>Hurawalhi Island Resort</t>
        </is>
      </c>
      <c r="C328" t="inlineStr">
        <is>
          <t>map</t>
        </is>
      </c>
      <c r="D328" t="inlineStr">
        <is>
          <t>2019_Hurawalhi_Map.pdf</t>
        </is>
      </c>
      <c r="E328" t="n">
        <v>2019</v>
      </c>
      <c r="H328" t="n">
        <v>1</v>
      </c>
      <c r="I328" t="n">
        <v>1500</v>
      </c>
      <c r="J328" t="inlineStr">
        <is>
          <t>N</t>
        </is>
      </c>
      <c r="K328" t="inlineStr">
        <is>
          <t>neoscapesmaldives.com</t>
        </is>
      </c>
      <c r="L328" t="inlineStr">
        <is>
          <t>dmc-agency</t>
        </is>
      </c>
      <c r="M328" t="inlineStr">
        <is>
          <t>https://neoscapesmaldives.com/wp-content/uploads/Hurawalhi_Map.pdf</t>
        </is>
      </c>
      <c r="N328" t="inlineStr">
        <is>
          <t>https://neoscapesmaldives.com/wp-content/uploads/Hurawalhi_Map.pdf</t>
        </is>
      </c>
      <c r="O328" t="inlineStr">
        <is>
          <t>9caf12d6fe793b1c95b79b7e0adc8a291c8f176e9817ad03aa709a9f01b5126a</t>
        </is>
      </c>
      <c r="P328" t="inlineStr">
        <is>
          <t>library/030_hurawalhi-island-resort/map/2019_Hurawalhi_Map.pdf</t>
        </is>
      </c>
      <c r="R328" t="inlineStr">
        <is>
          <t>outdated</t>
        </is>
      </c>
      <c r="S328" t="inlineStr">
        <is>
          <t>N</t>
        </is>
      </c>
      <c r="T328" t="inlineStr">
        <is>
          <t>matched</t>
        </is>
      </c>
      <c r="U328" t="inlineStr">
        <is>
          <t>2026-10-04</t>
        </is>
      </c>
      <c r="V328" t="inlineStr"/>
    </row>
    <row r="329">
      <c r="A329" t="n">
        <v>30</v>
      </c>
      <c r="B329" t="inlineStr">
        <is>
          <t>Hurawalhi Island Resort</t>
        </is>
      </c>
      <c r="C329" t="inlineStr">
        <is>
          <t>map</t>
        </is>
      </c>
      <c r="D329" t="inlineStr">
        <is>
          <t>2018_MapHurawalhiPrintQuality092018ColorEnglish-1.pdf</t>
        </is>
      </c>
      <c r="E329" t="n">
        <v>2018</v>
      </c>
      <c r="H329" t="n">
        <v>1</v>
      </c>
      <c r="I329" t="n">
        <v>1548</v>
      </c>
      <c r="J329" t="inlineStr">
        <is>
          <t>N</t>
        </is>
      </c>
      <c r="K329" t="inlineStr">
        <is>
          <t>sales.crownandchamparesorts.com</t>
        </is>
      </c>
      <c r="L329" t="inlineStr">
        <is>
          <t>brand-cdn</t>
        </is>
      </c>
      <c r="M329" t="inlineStr">
        <is>
          <t>https://sales.crownandchamparesorts.com/wp-content/uploads/2018/10/MapHurawalhiPrintQuality092018ColorEnglish-1.pdf</t>
        </is>
      </c>
      <c r="N329" t="inlineStr">
        <is>
          <t>https://sales.crownandchamparesorts.com/wp-content/uploads/2018/10/MapHurawalhiPrintQuality092018ColorEnglish-1.pdf | https://sales.crownandchamparesorts.com/wp-content/uploads/2018/10/MapHurawalhiPrintQuality092018ColorEnglish.pdf</t>
        </is>
      </c>
      <c r="O329" t="inlineStr">
        <is>
          <t>dee4072b0b3a92ca7d77192d995b6c3aa7eca60aff9aea4e9dcb47362951fdf2</t>
        </is>
      </c>
      <c r="P329" t="inlineStr">
        <is>
          <t>library/030_hurawalhi-island-resort/map/2018_MapHurawalhiPrintQuality092018ColorEnglish-1.pdf</t>
        </is>
      </c>
      <c r="R329" t="inlineStr">
        <is>
          <t>outdated</t>
        </is>
      </c>
      <c r="S329" t="inlineStr">
        <is>
          <t>N</t>
        </is>
      </c>
      <c r="T329" t="inlineStr">
        <is>
          <t>matched</t>
        </is>
      </c>
      <c r="U329" t="inlineStr">
        <is>
          <t>2026-10-04</t>
        </is>
      </c>
      <c r="V329" t="inlineStr"/>
    </row>
    <row r="330">
      <c r="A330" t="n">
        <v>30</v>
      </c>
      <c r="B330" t="inlineStr">
        <is>
          <t>Hurawalhi Island Resort</t>
        </is>
      </c>
      <c r="C330" t="inlineStr">
        <is>
          <t>excursions</t>
        </is>
      </c>
      <c r="D330" t="inlineStr">
        <is>
          <t>2019_KUD_Brochure_Effortless-Adventure2.pdf</t>
        </is>
      </c>
      <c r="E330" t="n">
        <v>2019</v>
      </c>
      <c r="H330" t="n">
        <v>9</v>
      </c>
      <c r="I330" t="n">
        <v>1021</v>
      </c>
      <c r="J330" t="inlineStr">
        <is>
          <t>Y</t>
        </is>
      </c>
      <c r="K330" t="inlineStr">
        <is>
          <t>sales.crownandchamparesorts.com</t>
        </is>
      </c>
      <c r="L330" t="inlineStr">
        <is>
          <t>brand-cdn</t>
        </is>
      </c>
      <c r="M330" t="inlineStr">
        <is>
          <t>https://sales.crownandchamparesorts.com/wp-content/uploads/2020/10/KUD_Brochure_Effortless-Adventure2.pdf</t>
        </is>
      </c>
      <c r="N330" t="inlineStr">
        <is>
          <t>https://sales.crownandchamparesorts.com/wp-content/uploads/2020/10/KUD_Brochure_Effortless-Adventure2.pdf</t>
        </is>
      </c>
      <c r="O330" t="inlineStr">
        <is>
          <t>cdfa8cf6fb9684c6ef7dca754299a78378d03668faf2eff5ae3f6d0e5a23d7c0</t>
        </is>
      </c>
      <c r="P330" t="inlineStr">
        <is>
          <t>library/030_hurawalhi-island-resort/excursions/2019_KUD_Brochure_Effortless-Adventure2.pdf</t>
        </is>
      </c>
      <c r="R330" t="inlineStr">
        <is>
          <t>outdated</t>
        </is>
      </c>
      <c r="S330" t="inlineStr">
        <is>
          <t>Y</t>
        </is>
      </c>
      <c r="T330" t="inlineStr">
        <is>
          <t>needs-review</t>
        </is>
      </c>
      <c r="U330" t="inlineStr">
        <is>
          <t>2026-10-04</t>
        </is>
      </c>
      <c r="V330" t="inlineStr">
        <is>
          <t>ambiguous match [30, 28]</t>
        </is>
      </c>
    </row>
    <row r="331">
      <c r="A331" t="n">
        <v>28</v>
      </c>
      <c r="B331" t="inlineStr">
        <is>
          <t>Kudadoo Maldives Private island</t>
        </is>
      </c>
      <c r="C331" t="inlineStr">
        <is>
          <t>excursions</t>
        </is>
      </c>
      <c r="D331" t="inlineStr">
        <is>
          <t>2019_KUD_Brochure_Effortless-Adventure2.pdf</t>
        </is>
      </c>
      <c r="E331" t="n">
        <v>2019</v>
      </c>
      <c r="H331" t="n">
        <v>9</v>
      </c>
      <c r="I331" t="n">
        <v>1021</v>
      </c>
      <c r="J331" t="inlineStr">
        <is>
          <t>Y</t>
        </is>
      </c>
      <c r="K331" t="inlineStr">
        <is>
          <t>sales.crownandchamparesorts.com</t>
        </is>
      </c>
      <c r="L331" t="inlineStr">
        <is>
          <t>brand-cdn</t>
        </is>
      </c>
      <c r="M331" t="inlineStr">
        <is>
          <t>https://sales.crownandchamparesorts.com/wp-content/uploads/2020/10/KUD_Brochure_Effortless-Adventure2.pdf</t>
        </is>
      </c>
      <c r="N331" t="inlineStr">
        <is>
          <t>https://sales.crownandchamparesorts.com/wp-content/uploads/2020/10/KUD_Brochure_Effortless-Adventure2.pdf</t>
        </is>
      </c>
      <c r="O331" t="inlineStr">
        <is>
          <t>cdfa8cf6fb9684c6ef7dca754299a78378d03668faf2eff5ae3f6d0e5a23d7c0</t>
        </is>
      </c>
      <c r="P331" t="inlineStr">
        <is>
          <t>library/030_hurawalhi-island-resort/excursions/2019_KUD_Brochure_Effortless-Adventure2.pdf</t>
        </is>
      </c>
      <c r="R331" t="inlineStr">
        <is>
          <t>outdated</t>
        </is>
      </c>
      <c r="S331" t="inlineStr">
        <is>
          <t>Y</t>
        </is>
      </c>
      <c r="T331" t="inlineStr">
        <is>
          <t>needs-review</t>
        </is>
      </c>
      <c r="U331" t="inlineStr">
        <is>
          <t>2026-10-04</t>
        </is>
      </c>
      <c r="V331" t="inlineStr">
        <is>
          <t>ambiguous match [30, 28]</t>
        </is>
      </c>
    </row>
    <row r="332">
      <c r="A332" t="n">
        <v>31</v>
      </c>
      <c r="B332" t="inlineStr">
        <is>
          <t>Innahura Maldives Resort</t>
        </is>
      </c>
      <c r="C332" t="inlineStr">
        <is>
          <t>factsheet</t>
        </is>
      </c>
      <c r="D332" t="inlineStr">
        <is>
          <t>2021_FactSheetInnahura110121103122Ver110121.pdf</t>
        </is>
      </c>
      <c r="E332" t="n">
        <v>2021</v>
      </c>
      <c r="F332" t="inlineStr">
        <is>
          <t>2021-11-01</t>
        </is>
      </c>
      <c r="G332" t="inlineStr">
        <is>
          <t>2022-10-31</t>
        </is>
      </c>
      <c r="H332" t="n">
        <v>2</v>
      </c>
      <c r="I332" t="n">
        <v>1287</v>
      </c>
      <c r="J332" t="inlineStr">
        <is>
          <t>Y</t>
        </is>
      </c>
      <c r="K332" t="inlineStr">
        <is>
          <t>sales.crownandchamparesorts.com</t>
        </is>
      </c>
      <c r="L332" t="inlineStr">
        <is>
          <t>brand-cdn</t>
        </is>
      </c>
      <c r="M332" t="inlineStr">
        <is>
          <t>https://sales.crownandchamparesorts.com/wp-content/uploads/2023/08/FactSheetInnahura110121103122Ver110121.pdf</t>
        </is>
      </c>
      <c r="N332" t="inlineStr">
        <is>
          <t>https://sales.crownandchamparesorts.com/wp-content/uploads/2023/08/FactSheetInnahura110121103122Ver110121.pdf</t>
        </is>
      </c>
      <c r="O332" t="inlineStr">
        <is>
          <t>0a9e5501e70ea2887fed2d512069dc1a0f87ebedc422ed843b40e6ab51647a49</t>
        </is>
      </c>
      <c r="P332" t="inlineStr">
        <is>
          <t>library/031_innahura-maldives-resort/factsheet/2021_FactSheetInnahura110121103122Ver110121.pdf</t>
        </is>
      </c>
      <c r="R332" t="inlineStr">
        <is>
          <t>outdated</t>
        </is>
      </c>
      <c r="S332" t="inlineStr">
        <is>
          <t>Y</t>
        </is>
      </c>
      <c r="T332" t="inlineStr">
        <is>
          <t>matched</t>
        </is>
      </c>
      <c r="U332" t="inlineStr">
        <is>
          <t>2026-10-04</t>
        </is>
      </c>
      <c r="V332" t="inlineStr"/>
    </row>
    <row r="333">
      <c r="A333" t="n">
        <v>31</v>
      </c>
      <c r="B333" t="inlineStr">
        <is>
          <t>Innahura Maldives Resort</t>
        </is>
      </c>
      <c r="C333" t="inlineStr">
        <is>
          <t>factsheet</t>
        </is>
      </c>
      <c r="D333" t="inlineStr">
        <is>
          <t>2019_FactSheetInnahura110119103120Rev061019.pdf</t>
        </is>
      </c>
      <c r="E333" t="n">
        <v>2019</v>
      </c>
      <c r="F333" t="inlineStr">
        <is>
          <t>2019-11-01</t>
        </is>
      </c>
      <c r="G333" t="inlineStr">
        <is>
          <t>2020-10-31</t>
        </is>
      </c>
      <c r="H333" t="n">
        <v>2</v>
      </c>
      <c r="I333" t="n">
        <v>640</v>
      </c>
      <c r="J333" t="inlineStr">
        <is>
          <t>Y</t>
        </is>
      </c>
      <c r="K333" t="inlineStr">
        <is>
          <t>sales.crownandchamparesorts.com</t>
        </is>
      </c>
      <c r="L333" t="inlineStr">
        <is>
          <t>brand-cdn</t>
        </is>
      </c>
      <c r="M333" t="inlineStr">
        <is>
          <t>https://sales.crownandchamparesorts.com/wp-content/uploads/2019/05/FactSheetInnahura110119103120Rev061019.pdf</t>
        </is>
      </c>
      <c r="N333" t="inlineStr">
        <is>
          <t>https://sales.crownandchamparesorts.com/wp-content/uploads/2019/05/FactSheetInnahura110119103120Rev061019.pdf</t>
        </is>
      </c>
      <c r="O333" t="inlineStr">
        <is>
          <t>b39d8b448bbf3587e7dcbbfbda798e7f970c8f3dd7af6d2d15e5136d9f5a46b8</t>
        </is>
      </c>
      <c r="P333" t="inlineStr">
        <is>
          <t>library/031_innahura-maldives-resort/factsheet/2019_FactSheetInnahura110119103120Rev061019.pdf</t>
        </is>
      </c>
      <c r="R333" t="inlineStr">
        <is>
          <t>outdated</t>
        </is>
      </c>
      <c r="S333" t="inlineStr">
        <is>
          <t>N</t>
        </is>
      </c>
      <c r="T333" t="inlineStr">
        <is>
          <t>matched</t>
        </is>
      </c>
      <c r="U333" t="inlineStr">
        <is>
          <t>2026-10-04</t>
        </is>
      </c>
      <c r="V333" t="inlineStr"/>
    </row>
    <row r="334">
      <c r="A334" t="n">
        <v>31</v>
      </c>
      <c r="B334" t="inlineStr">
        <is>
          <t>Innahura Maldives Resort</t>
        </is>
      </c>
      <c r="C334" t="inlineStr">
        <is>
          <t>factsheet</t>
        </is>
      </c>
      <c r="D334" t="inlineStr">
        <is>
          <t>2018_Innahura_factsheet_v6low-res-1.pdf</t>
        </is>
      </c>
      <c r="E334" t="n">
        <v>2018</v>
      </c>
      <c r="H334" t="n">
        <v>3</v>
      </c>
      <c r="I334" t="n">
        <v>551</v>
      </c>
      <c r="J334" t="inlineStr">
        <is>
          <t>Y</t>
        </is>
      </c>
      <c r="K334" t="inlineStr">
        <is>
          <t>sales.crownandchamparesorts.com</t>
        </is>
      </c>
      <c r="L334" t="inlineStr">
        <is>
          <t>brand-cdn</t>
        </is>
      </c>
      <c r="M334" t="inlineStr">
        <is>
          <t>https://sales.crownandchamparesorts.com/wp-content/uploads/2018/04/Innahura_factsheet_v6low-res-1.pdf</t>
        </is>
      </c>
      <c r="N334" t="inlineStr">
        <is>
          <t>https://sales.crownandchamparesorts.com/wp-content/uploads/2018/04/Innahura_factsheet_v6low-res-1.pdf | https://sales.crownandchamparesorts.com/wp-content/uploads/2018/04/Innahura_factsheet_v6low-res.pdf</t>
        </is>
      </c>
      <c r="O334" t="inlineStr">
        <is>
          <t>7e93841a77341763c5c0aa0e20c25000e2a2781cd350a56b06e33cbef12c03b7</t>
        </is>
      </c>
      <c r="P334" t="inlineStr">
        <is>
          <t>library/031_innahura-maldives-resort/factsheet/2018_Innahura_factsheet_v6low-res-1.pdf</t>
        </is>
      </c>
      <c r="R334" t="inlineStr">
        <is>
          <t>outdated</t>
        </is>
      </c>
      <c r="S334" t="inlineStr">
        <is>
          <t>N</t>
        </is>
      </c>
      <c r="T334" t="inlineStr">
        <is>
          <t>matched</t>
        </is>
      </c>
      <c r="U334" t="inlineStr">
        <is>
          <t>2026-10-04</t>
        </is>
      </c>
      <c r="V334" t="inlineStr"/>
    </row>
    <row r="335">
      <c r="A335" t="n">
        <v>31</v>
      </c>
      <c r="B335" t="inlineStr">
        <is>
          <t>Innahura Maldives Resort</t>
        </is>
      </c>
      <c r="C335" t="inlineStr">
        <is>
          <t>all_inclusive</t>
        </is>
      </c>
      <c r="D335" t="inlineStr">
        <is>
          <t>2021_InnahuraAIEPackage110121103122Ver110121.pdf</t>
        </is>
      </c>
      <c r="E335" t="n">
        <v>2021</v>
      </c>
      <c r="F335" t="inlineStr">
        <is>
          <t>2021-11-01</t>
        </is>
      </c>
      <c r="G335" t="inlineStr">
        <is>
          <t>2022-10-31</t>
        </is>
      </c>
      <c r="H335" t="n">
        <v>1</v>
      </c>
      <c r="I335" t="n">
        <v>1226</v>
      </c>
      <c r="J335" t="inlineStr">
        <is>
          <t>Y</t>
        </is>
      </c>
      <c r="K335" t="inlineStr">
        <is>
          <t>sales.crownandchamparesorts.com</t>
        </is>
      </c>
      <c r="L335" t="inlineStr">
        <is>
          <t>brand-cdn</t>
        </is>
      </c>
      <c r="M335" t="inlineStr">
        <is>
          <t>https://sales.crownandchamparesorts.com/wp-content/uploads/2023/08/InnahuraAIEPackage110121103122Ver110121.pdf</t>
        </is>
      </c>
      <c r="N335" t="inlineStr">
        <is>
          <t>https://sales.crownandchamparesorts.com/wp-content/uploads/2023/08/InnahuraAIEPackage110121103122Ver110121.pdf</t>
        </is>
      </c>
      <c r="O335" t="inlineStr">
        <is>
          <t>9336ceef26a1d2d17985a0c60c47d5cce149b5891fc37624a393c36c36e14d40</t>
        </is>
      </c>
      <c r="P335" t="inlineStr">
        <is>
          <t>library/031_innahura-maldives-resort/all_inclusive/2021_InnahuraAIEPackage110121103122Ver110121.pdf</t>
        </is>
      </c>
      <c r="R335" t="inlineStr">
        <is>
          <t>outdated</t>
        </is>
      </c>
      <c r="S335" t="inlineStr">
        <is>
          <t>Y</t>
        </is>
      </c>
      <c r="T335" t="inlineStr">
        <is>
          <t>matched</t>
        </is>
      </c>
      <c r="U335" t="inlineStr">
        <is>
          <t>2026-10-04</t>
        </is>
      </c>
      <c r="V335" t="inlineStr"/>
    </row>
    <row r="336">
      <c r="A336" t="n">
        <v>32</v>
      </c>
      <c r="B336" t="inlineStr">
        <is>
          <t>Cocoon Maldives</t>
        </is>
      </c>
      <c r="C336" t="inlineStr">
        <is>
          <t>factsheet</t>
        </is>
      </c>
      <c r="D336" t="inlineStr">
        <is>
          <t>2025_Cocoon-Maldives-_-Fact-Sheet.pdf</t>
        </is>
      </c>
      <c r="E336" t="n">
        <v>2025</v>
      </c>
      <c r="H336" t="n">
        <v>6</v>
      </c>
      <c r="I336" t="n">
        <v>2993</v>
      </c>
      <c r="J336" t="inlineStr">
        <is>
          <t>Y</t>
        </is>
      </c>
      <c r="K336" t="inlineStr">
        <is>
          <t>neoscapesmaldives.com</t>
        </is>
      </c>
      <c r="L336" t="inlineStr">
        <is>
          <t>dmc-agency</t>
        </is>
      </c>
      <c r="M336" t="inlineStr">
        <is>
          <t>https://www.neoscapesmaldives.com/wp-content/uploads/Cocoon-Maldives-_-Fact-Sheet.pdf</t>
        </is>
      </c>
      <c r="N336" t="inlineStr">
        <is>
          <t>https://www.neoscapesmaldives.com/wp-content/uploads/Cocoon-Maldives-_-Fact-Sheet.pdf</t>
        </is>
      </c>
      <c r="O336" t="inlineStr">
        <is>
          <t>34f50f2019bc5baa0a0cd8bef11fbae4635b168722273cfaa5faf7574bc05144</t>
        </is>
      </c>
      <c r="P336" t="inlineStr">
        <is>
          <t>library/032_cocoon-maldives/factsheet/2025_Cocoon-Maldives-_-Fact-Sheet.pdf</t>
        </is>
      </c>
      <c r="R336" t="inlineStr">
        <is>
          <t>current</t>
        </is>
      </c>
      <c r="S336" t="inlineStr">
        <is>
          <t>Y</t>
        </is>
      </c>
      <c r="T336" t="inlineStr">
        <is>
          <t>matched</t>
        </is>
      </c>
      <c r="U336" t="inlineStr">
        <is>
          <t>2026-10-04</t>
        </is>
      </c>
      <c r="V336" t="inlineStr"/>
    </row>
    <row r="337">
      <c r="A337" t="n">
        <v>32</v>
      </c>
      <c r="B337" t="inlineStr">
        <is>
          <t>Cocoon Maldives</t>
        </is>
      </c>
      <c r="C337" t="inlineStr">
        <is>
          <t>map</t>
        </is>
      </c>
      <c r="D337" t="inlineStr">
        <is>
          <t>2025_DUSIT-D2-FEYDHOO-MAP-DIGITAL-HIGH-RES-.pdf</t>
        </is>
      </c>
      <c r="E337" t="n">
        <v>2025</v>
      </c>
      <c r="H337" t="n">
        <v>1</v>
      </c>
      <c r="I337" t="n">
        <v>4694</v>
      </c>
      <c r="J337" t="inlineStr">
        <is>
          <t>Y</t>
        </is>
      </c>
      <c r="K337" t="inlineStr">
        <is>
          <t>neoscapesmaldives.com</t>
        </is>
      </c>
      <c r="L337" t="inlineStr">
        <is>
          <t>dmc-agency</t>
        </is>
      </c>
      <c r="M337" t="inlineStr">
        <is>
          <t>https://www.neoscapesmaldives.com/wp-content/uploads/DUSIT-D2-FEYDHOO-MAP-DIGITAL-HIGH-RES-.pdf</t>
        </is>
      </c>
      <c r="N337" t="inlineStr">
        <is>
          <t>https://www.neoscapesmaldives.com/wp-content/uploads/DUSIT-D2-FEYDHOO-MAP-DIGITAL-HIGH-RES-.pdf</t>
        </is>
      </c>
      <c r="O337" t="inlineStr">
        <is>
          <t>d53c70cc4b3623c8f63e8d28df47d8a0ba5e8cabc851318bf2e58211a40a27c2</t>
        </is>
      </c>
      <c r="P337" t="inlineStr">
        <is>
          <t>library/032_cocoon-maldives/map/2025_DUSIT-D2-FEYDHOO-MAP-DIGITAL-HIGH-RES-.pdf</t>
        </is>
      </c>
      <c r="R337" t="inlineStr">
        <is>
          <t>current</t>
        </is>
      </c>
      <c r="S337" t="inlineStr">
        <is>
          <t>Y</t>
        </is>
      </c>
      <c r="T337" t="inlineStr">
        <is>
          <t>matched</t>
        </is>
      </c>
      <c r="U337" t="inlineStr">
        <is>
          <t>2026-10-04</t>
        </is>
      </c>
      <c r="V337" t="inlineStr"/>
    </row>
    <row r="338">
      <c r="A338" t="n">
        <v>32</v>
      </c>
      <c r="B338" t="inlineStr">
        <is>
          <t>Cocoon Maldives</t>
        </is>
      </c>
      <c r="C338" t="inlineStr">
        <is>
          <t>map</t>
        </is>
      </c>
      <c r="D338" t="inlineStr">
        <is>
          <t>2024_Cocoon-Maldives-_-Resort-Map.pdf</t>
        </is>
      </c>
      <c r="E338" t="n">
        <v>2024</v>
      </c>
      <c r="H338" t="n">
        <v>1</v>
      </c>
      <c r="I338" t="n">
        <v>1092</v>
      </c>
      <c r="J338" t="inlineStr">
        <is>
          <t>Y</t>
        </is>
      </c>
      <c r="K338" t="inlineStr">
        <is>
          <t>neoscapesmaldives.com</t>
        </is>
      </c>
      <c r="L338" t="inlineStr">
        <is>
          <t>dmc-agency</t>
        </is>
      </c>
      <c r="M338" t="inlineStr">
        <is>
          <t>https://www.neoscapesmaldives.com/wp-content/uploads/Cocoon-Maldives-_-Resort-Map.pdf</t>
        </is>
      </c>
      <c r="N338" t="inlineStr">
        <is>
          <t>https://www.neoscapesmaldives.com/wp-content/uploads/Cocoon-Maldives-_-Resort-Map.pdf</t>
        </is>
      </c>
      <c r="O338" t="inlineStr">
        <is>
          <t>62cde68b049648c29f61c9a24dae5b09f333ff81ced039e224d4b5eb70f04c8e</t>
        </is>
      </c>
      <c r="P338" t="inlineStr">
        <is>
          <t>library/032_cocoon-maldives/map/2024_Cocoon-Maldives-_-Resort-Map.pdf</t>
        </is>
      </c>
      <c r="R338" t="inlineStr">
        <is>
          <t>outdated</t>
        </is>
      </c>
      <c r="S338" t="inlineStr">
        <is>
          <t>N</t>
        </is>
      </c>
      <c r="T338" t="inlineStr">
        <is>
          <t>matched</t>
        </is>
      </c>
      <c r="U338" t="inlineStr">
        <is>
          <t>2026-10-04</t>
        </is>
      </c>
      <c r="V338" t="inlineStr"/>
    </row>
    <row r="339">
      <c r="A339" t="n">
        <v>33</v>
      </c>
      <c r="B339" t="inlineStr">
        <is>
          <t>Dhigali Maldives</t>
        </is>
      </c>
      <c r="C339" t="inlineStr">
        <is>
          <t>factsheet</t>
        </is>
      </c>
      <c r="D339" t="inlineStr">
        <is>
          <t>2022_Dhigali_Factsheet-03-15-2022.pdf</t>
        </is>
      </c>
      <c r="E339" t="n">
        <v>2022</v>
      </c>
      <c r="H339" t="n">
        <v>8</v>
      </c>
      <c r="I339" t="n">
        <v>4683</v>
      </c>
      <c r="J339" t="inlineStr">
        <is>
          <t>Y</t>
        </is>
      </c>
      <c r="K339" t="inlineStr">
        <is>
          <t>neoscapesmaldives.com</t>
        </is>
      </c>
      <c r="L339" t="inlineStr">
        <is>
          <t>dmc-agency</t>
        </is>
      </c>
      <c r="M339" t="inlineStr">
        <is>
          <t>https://www.neoscapesmaldives.com/wp-content/uploads/Dhigali_Factsheet-03-15-2022.pdf</t>
        </is>
      </c>
      <c r="N339" t="inlineStr">
        <is>
          <t>https://www.neoscapesmaldives.com/wp-content/uploads/Dhigali_Factsheet-03-15-2022.pdf</t>
        </is>
      </c>
      <c r="O339" t="inlineStr">
        <is>
          <t>34619d93f825f391b75cbe496f1d8b5a2601507cba561a25749b40f4f3707fe8</t>
        </is>
      </c>
      <c r="P339" t="inlineStr">
        <is>
          <t>library/033_dhigali-maldives/factsheet/2022_Dhigali_Factsheet-03-15-2022.pdf</t>
        </is>
      </c>
      <c r="R339" t="inlineStr">
        <is>
          <t>outdated</t>
        </is>
      </c>
      <c r="S339" t="inlineStr">
        <is>
          <t>Y</t>
        </is>
      </c>
      <c r="T339" t="inlineStr">
        <is>
          <t>matched</t>
        </is>
      </c>
      <c r="U339" t="inlineStr">
        <is>
          <t>2026-10-04</t>
        </is>
      </c>
      <c r="V339" t="inlineStr"/>
    </row>
    <row r="340">
      <c r="A340" t="n">
        <v>33</v>
      </c>
      <c r="B340" t="inlineStr">
        <is>
          <t>Dhigali Maldives</t>
        </is>
      </c>
      <c r="C340" t="inlineStr">
        <is>
          <t>map</t>
        </is>
      </c>
      <c r="D340" t="inlineStr">
        <is>
          <t>2022_Dhigali_Map-03-15-2022.pdf</t>
        </is>
      </c>
      <c r="E340" t="n">
        <v>2022</v>
      </c>
      <c r="H340" t="n">
        <v>1</v>
      </c>
      <c r="I340" t="n">
        <v>1277</v>
      </c>
      <c r="J340" t="inlineStr">
        <is>
          <t>N</t>
        </is>
      </c>
      <c r="K340" t="inlineStr">
        <is>
          <t>neoscapesmaldives.com</t>
        </is>
      </c>
      <c r="L340" t="inlineStr">
        <is>
          <t>dmc-agency</t>
        </is>
      </c>
      <c r="M340" t="inlineStr">
        <is>
          <t>https://www.neoscapesmaldives.com/wp-content/uploads/Dhigali_Map-03-15-2022.pdf</t>
        </is>
      </c>
      <c r="N340" t="inlineStr">
        <is>
          <t>https://www.neoscapesmaldives.com/wp-content/uploads/Dhigali_Map-03-15-2022.pdf</t>
        </is>
      </c>
      <c r="O340" t="inlineStr">
        <is>
          <t>e7122ad4dace502ec5c93eb499a03ab652ebeb8ae2232f2cc1d02c5859a96673</t>
        </is>
      </c>
      <c r="P340" t="inlineStr">
        <is>
          <t>library/033_dhigali-maldives/map/2022_Dhigali_Map-03-15-2022.pdf</t>
        </is>
      </c>
      <c r="R340" t="inlineStr">
        <is>
          <t>outdated</t>
        </is>
      </c>
      <c r="S340" t="inlineStr">
        <is>
          <t>Y</t>
        </is>
      </c>
      <c r="T340" t="inlineStr">
        <is>
          <t>matched</t>
        </is>
      </c>
      <c r="U340" t="inlineStr">
        <is>
          <t>2026-10-04</t>
        </is>
      </c>
      <c r="V340" t="inlineStr"/>
    </row>
    <row r="341">
      <c r="A341" t="n">
        <v>34</v>
      </c>
      <c r="B341" t="inlineStr">
        <is>
          <t>Adaaran Select Meedhupparu</t>
        </is>
      </c>
      <c r="C341" t="inlineStr">
        <is>
          <t>sustainability</t>
        </is>
      </c>
      <c r="D341" t="inlineStr">
        <is>
          <t>2025_Sustainabilty-Report-ASM-2025-26-compressed.pdf</t>
        </is>
      </c>
      <c r="E341" t="n">
        <v>2025</v>
      </c>
      <c r="H341" t="n">
        <v>21</v>
      </c>
      <c r="I341" t="n">
        <v>5686</v>
      </c>
      <c r="J341" t="inlineStr">
        <is>
          <t>Y</t>
        </is>
      </c>
      <c r="K341" t="inlineStr">
        <is>
          <t>adaaran.com</t>
        </is>
      </c>
      <c r="L341" t="inlineStr">
        <is>
          <t>official</t>
        </is>
      </c>
      <c r="M341" t="inlineStr">
        <is>
          <t>https://adaaran.eme-devops.com/2026/05/Sustainabilty-Report-ASM-2025-26-compressed.pdf</t>
        </is>
      </c>
      <c r="N341" t="inlineStr">
        <is>
          <t>https://adaaran.eme-devops.com/2026/05/Sustainabilty-Report-ASM-2025-26-compressed.pdf</t>
        </is>
      </c>
      <c r="O341" t="inlineStr">
        <is>
          <t>6b3907d79837723d7b58333fbda16c186296fa8802208f39ffa378ad10ebdbb6</t>
        </is>
      </c>
      <c r="P341" t="inlineStr">
        <is>
          <t>library/034_adaaran-select-meedhupparu/sustainability/2025_Sustainabilty-Report-ASM-2025-26-compressed.pdf</t>
        </is>
      </c>
      <c r="R341" t="inlineStr">
        <is>
          <t>current</t>
        </is>
      </c>
      <c r="S341" t="inlineStr">
        <is>
          <t>Y</t>
        </is>
      </c>
      <c r="T341" t="inlineStr">
        <is>
          <t>matched</t>
        </is>
      </c>
      <c r="U341" t="inlineStr">
        <is>
          <t>2026-10-04</t>
        </is>
      </c>
      <c r="V341" t="inlineStr"/>
    </row>
    <row r="342">
      <c r="A342" t="n">
        <v>34</v>
      </c>
      <c r="B342" t="inlineStr">
        <is>
          <t>Adaaran Select Meedhupparu</t>
        </is>
      </c>
      <c r="C342" t="inlineStr">
        <is>
          <t>sustainability</t>
        </is>
      </c>
      <c r="D342" t="inlineStr">
        <is>
          <t>2024_2024-25-Adaaran-Select-Meedhupparu-Sustainability-Report-2024-25.pdf</t>
        </is>
      </c>
      <c r="E342" t="n">
        <v>2024</v>
      </c>
      <c r="H342" t="n">
        <v>19</v>
      </c>
      <c r="I342" t="n">
        <v>2975</v>
      </c>
      <c r="J342" t="inlineStr">
        <is>
          <t>Y</t>
        </is>
      </c>
      <c r="K342" t="inlineStr">
        <is>
          <t>adaaran.com</t>
        </is>
      </c>
      <c r="L342" t="inlineStr">
        <is>
          <t>official</t>
        </is>
      </c>
      <c r="M342" t="inlineStr">
        <is>
          <t>https://adaaran.eme-devops.com/2025/08/2024-25-Adaaran-Select-Meedhupparu-Sustainability-Report-2024-25.pdf</t>
        </is>
      </c>
      <c r="N342" t="inlineStr">
        <is>
          <t>https://adaaran.eme-devops.com/2025/08/2024-25-Adaaran-Select-Meedhupparu-Sustainability-Report-2024-25.pdf</t>
        </is>
      </c>
      <c r="O342" t="inlineStr">
        <is>
          <t>45cc90e49dcac418986e36b772c8abea0554537404edcfec9b91cd7ae066ac21</t>
        </is>
      </c>
      <c r="P342" t="inlineStr">
        <is>
          <t>library/034_adaaran-select-meedhupparu/sustainability/2024_2024-25-Adaaran-Select-Meedhupparu-Sustainability-Report-2024-25.pdf</t>
        </is>
      </c>
      <c r="R342" t="inlineStr">
        <is>
          <t>outdated</t>
        </is>
      </c>
      <c r="S342" t="inlineStr">
        <is>
          <t>N</t>
        </is>
      </c>
      <c r="T342" t="inlineStr">
        <is>
          <t>matched</t>
        </is>
      </c>
      <c r="U342" t="inlineStr">
        <is>
          <t>2026-10-04</t>
        </is>
      </c>
      <c r="V342" t="inlineStr"/>
    </row>
    <row r="343">
      <c r="A343" t="n">
        <v>34</v>
      </c>
      <c r="B343" t="inlineStr">
        <is>
          <t>Adaaran Select Meedhupparu</t>
        </is>
      </c>
      <c r="C343" t="inlineStr">
        <is>
          <t>sustainability</t>
        </is>
      </c>
      <c r="D343" t="inlineStr">
        <is>
          <t>2023_Adaaran-Select-Meedhupparu-Sustainability-Report-2023-24.pdf</t>
        </is>
      </c>
      <c r="E343" t="n">
        <v>2023</v>
      </c>
      <c r="H343" t="n">
        <v>17</v>
      </c>
      <c r="I343" t="n">
        <v>2418</v>
      </c>
      <c r="J343" t="inlineStr">
        <is>
          <t>Y</t>
        </is>
      </c>
      <c r="K343" t="inlineStr">
        <is>
          <t>adaaran.com</t>
        </is>
      </c>
      <c r="L343" t="inlineStr">
        <is>
          <t>official</t>
        </is>
      </c>
      <c r="M343" t="inlineStr">
        <is>
          <t>https://adaaran.eme-devops.com/2025/08/Adaaran-Select-Meedhupparu-Sustainability-Report-2023-24.pdf</t>
        </is>
      </c>
      <c r="N343" t="inlineStr">
        <is>
          <t>https://adaaran.eme-devops.com/2025/08/Adaaran-Select-Meedhupparu-Sustainability-Report-2023-24.pdf</t>
        </is>
      </c>
      <c r="O343" t="inlineStr">
        <is>
          <t>63f67c08439a61af521e4d32244ac493a9c99019c4ee4fb31799b08c195af488</t>
        </is>
      </c>
      <c r="P343" t="inlineStr">
        <is>
          <t>library/034_adaaran-select-meedhupparu/sustainability/2023_Adaaran-Select-Meedhupparu-Sustainability-Report-2023-24.pdf</t>
        </is>
      </c>
      <c r="R343" t="inlineStr">
        <is>
          <t>outdated</t>
        </is>
      </c>
      <c r="S343" t="inlineStr">
        <is>
          <t>N</t>
        </is>
      </c>
      <c r="T343" t="inlineStr">
        <is>
          <t>matched</t>
        </is>
      </c>
      <c r="U343" t="inlineStr">
        <is>
          <t>2026-10-04</t>
        </is>
      </c>
      <c r="V343" t="inlineStr"/>
    </row>
    <row r="344">
      <c r="A344" t="n">
        <v>34</v>
      </c>
      <c r="B344" t="inlineStr">
        <is>
          <t>Adaaran Select Meedhupparu</t>
        </is>
      </c>
      <c r="C344" t="inlineStr">
        <is>
          <t>sustainability</t>
        </is>
      </c>
      <c r="D344" t="inlineStr">
        <is>
          <t>2022_Adaaran-Select-Meedhupparu-Sustainability-Report-2022-23.pdf</t>
        </is>
      </c>
      <c r="E344" t="n">
        <v>2022</v>
      </c>
      <c r="H344" t="n">
        <v>17</v>
      </c>
      <c r="I344" t="n">
        <v>5050</v>
      </c>
      <c r="J344" t="inlineStr">
        <is>
          <t>Y</t>
        </is>
      </c>
      <c r="K344" t="inlineStr">
        <is>
          <t>adaaran.com</t>
        </is>
      </c>
      <c r="L344" t="inlineStr">
        <is>
          <t>official</t>
        </is>
      </c>
      <c r="M344" t="inlineStr">
        <is>
          <t>https://adaaran.eme-devops.com/2025/08/Adaaran-Select-Meedhupparu-Sustainability-Report-2022-23.pdf</t>
        </is>
      </c>
      <c r="N344" t="inlineStr">
        <is>
          <t>https://adaaran.eme-devops.com/2025/08/Adaaran-Select-Meedhupparu-Sustainability-Report-2022-23.pdf</t>
        </is>
      </c>
      <c r="O344" t="inlineStr">
        <is>
          <t>fed83de8c673acc9a6aaf9bf98b4201ce561bb277f8dedfe103adf1c3ba6e3eb</t>
        </is>
      </c>
      <c r="P344" t="inlineStr">
        <is>
          <t>library/034_adaaran-select-meedhupparu/sustainability/2022_Adaaran-Select-Meedhupparu-Sustainability-Report-2022-23.pdf</t>
        </is>
      </c>
      <c r="R344" t="inlineStr">
        <is>
          <t>outdated</t>
        </is>
      </c>
      <c r="S344" t="inlineStr">
        <is>
          <t>N</t>
        </is>
      </c>
      <c r="T344" t="inlineStr">
        <is>
          <t>matched</t>
        </is>
      </c>
      <c r="U344" t="inlineStr">
        <is>
          <t>2026-10-04</t>
        </is>
      </c>
      <c r="V344" t="inlineStr"/>
    </row>
    <row r="345">
      <c r="A345" t="n">
        <v>34</v>
      </c>
      <c r="B345" t="inlineStr">
        <is>
          <t>Adaaran Select Meedhupparu</t>
        </is>
      </c>
      <c r="C345" t="inlineStr">
        <is>
          <t>sustainability</t>
        </is>
      </c>
      <c r="D345" t="inlineStr">
        <is>
          <t>2021_Adaaran-Select-Meedhupparu-Sustainability-Report-2021-22.pdf</t>
        </is>
      </c>
      <c r="E345" t="n">
        <v>2021</v>
      </c>
      <c r="H345" t="n">
        <v>20</v>
      </c>
      <c r="I345" t="n">
        <v>5447</v>
      </c>
      <c r="J345" t="inlineStr">
        <is>
          <t>Y</t>
        </is>
      </c>
      <c r="K345" t="inlineStr">
        <is>
          <t>adaaran.com</t>
        </is>
      </c>
      <c r="L345" t="inlineStr">
        <is>
          <t>official</t>
        </is>
      </c>
      <c r="M345" t="inlineStr">
        <is>
          <t>https://adaaran.eme-devops.com/2025/08/Adaaran-Select-Meedhupparu-Sustainability-Report-2021-22.pdf</t>
        </is>
      </c>
      <c r="N345" t="inlineStr">
        <is>
          <t>https://adaaran.eme-devops.com/2025/08/Adaaran-Select-Meedhupparu-Sustainability-Report-2021-22.pdf</t>
        </is>
      </c>
      <c r="O345" t="inlineStr">
        <is>
          <t>33b5432724621e74c3ce07215dc14ca93e1f76bbd6da90b6e87ffe630dc7721c</t>
        </is>
      </c>
      <c r="P345" t="inlineStr">
        <is>
          <t>library/034_adaaran-select-meedhupparu/sustainability/2021_Adaaran-Select-Meedhupparu-Sustainability-Report-2021-22.pdf</t>
        </is>
      </c>
      <c r="R345" t="inlineStr">
        <is>
          <t>outdated</t>
        </is>
      </c>
      <c r="S345" t="inlineStr">
        <is>
          <t>N</t>
        </is>
      </c>
      <c r="T345" t="inlineStr">
        <is>
          <t>matched</t>
        </is>
      </c>
      <c r="U345" t="inlineStr">
        <is>
          <t>2026-10-04</t>
        </is>
      </c>
      <c r="V345" t="inlineStr"/>
    </row>
    <row r="346">
      <c r="A346" t="n">
        <v>34</v>
      </c>
      <c r="B346" t="inlineStr">
        <is>
          <t>Adaaran Select Meedhupparu</t>
        </is>
      </c>
      <c r="C346" t="inlineStr">
        <is>
          <t>sustainability</t>
        </is>
      </c>
      <c r="D346" t="inlineStr">
        <is>
          <t>2021_Adaaran-Select-Meedhupparu-Sustainability-Report-_-2019-2020-2021.pdf</t>
        </is>
      </c>
      <c r="E346" t="n">
        <v>2021</v>
      </c>
      <c r="H346" t="n">
        <v>20</v>
      </c>
      <c r="I346" t="n">
        <v>4534</v>
      </c>
      <c r="J346" t="inlineStr">
        <is>
          <t>N</t>
        </is>
      </c>
      <c r="K346" t="inlineStr">
        <is>
          <t>adaaran.com</t>
        </is>
      </c>
      <c r="L346" t="inlineStr">
        <is>
          <t>official</t>
        </is>
      </c>
      <c r="M346" t="inlineStr">
        <is>
          <t>https://adaaran.eme-devops.com/2025/08/Adaaran-Select-Meedhupparu-Sustainability-Report-%E2%80%93-2019-2020-2021.pdf</t>
        </is>
      </c>
      <c r="N346" t="inlineStr">
        <is>
          <t>https://adaaran.eme-devops.com/2025/08/Adaaran-Select-Meedhupparu-Sustainability-Report-%E2%80%93-2019-2020-2021.pdf</t>
        </is>
      </c>
      <c r="O346" t="inlineStr">
        <is>
          <t>40c51d0b2955bffa72d2229baa9ae55beba209dc66ad471f578a068a8d0721b3</t>
        </is>
      </c>
      <c r="P346" t="inlineStr">
        <is>
          <t>library/034_adaaran-select-meedhupparu/sustainability/2021_Adaaran-Select-Meedhupparu-Sustainability-Report-_-2019-2020-2021.pdf</t>
        </is>
      </c>
      <c r="R346" t="inlineStr">
        <is>
          <t>outdated</t>
        </is>
      </c>
      <c r="S346" t="inlineStr">
        <is>
          <t>N</t>
        </is>
      </c>
      <c r="T346" t="inlineStr">
        <is>
          <t>matched</t>
        </is>
      </c>
      <c r="U346" t="inlineStr">
        <is>
          <t>2026-10-04</t>
        </is>
      </c>
      <c r="V346" t="inlineStr"/>
    </row>
    <row r="347">
      <c r="A347" t="n">
        <v>35</v>
      </c>
      <c r="B347" t="inlineStr">
        <is>
          <t>Heritance Aarah</t>
        </is>
      </c>
      <c r="C347" t="inlineStr">
        <is>
          <t>factsheet</t>
        </is>
      </c>
      <c r="D347" t="inlineStr">
        <is>
          <t>2020_Heritance-Aarah-Fact-Sheet_Dec-V2.pdf</t>
        </is>
      </c>
      <c r="E347" t="n">
        <v>2020</v>
      </c>
      <c r="H347" t="n">
        <v>6</v>
      </c>
      <c r="I347" t="n">
        <v>1721</v>
      </c>
      <c r="J347" t="inlineStr">
        <is>
          <t>Y</t>
        </is>
      </c>
      <c r="K347" t="inlineStr">
        <is>
          <t>neoscapesmaldives.com</t>
        </is>
      </c>
      <c r="L347" t="inlineStr">
        <is>
          <t>dmc-agency</t>
        </is>
      </c>
      <c r="M347" t="inlineStr">
        <is>
          <t>https://www.neoscapesmaldives.com/wp-content/uploads/Heritance-Aarah-Fact-Sheet_Dec-V2.pdf</t>
        </is>
      </c>
      <c r="N347" t="inlineStr">
        <is>
          <t>https://www.neoscapesmaldives.com/wp-content/uploads/Heritance-Aarah-Fact-Sheet_Dec-V2.pdf</t>
        </is>
      </c>
      <c r="O347" t="inlineStr">
        <is>
          <t>6965adc3b09f579b553b32c86575f64d34744f44408a084d8fd16b581ee62a84</t>
        </is>
      </c>
      <c r="P347" t="inlineStr">
        <is>
          <t>library/035_heritance-aarah/factsheet/2020_Heritance-Aarah-Fact-Sheet_Dec-V2.pdf</t>
        </is>
      </c>
      <c r="R347" t="inlineStr">
        <is>
          <t>outdated</t>
        </is>
      </c>
      <c r="S347" t="inlineStr">
        <is>
          <t>Y</t>
        </is>
      </c>
      <c r="T347" t="inlineStr">
        <is>
          <t>matched</t>
        </is>
      </c>
      <c r="U347" t="inlineStr">
        <is>
          <t>2026-10-04</t>
        </is>
      </c>
      <c r="V347" t="inlineStr"/>
    </row>
    <row r="348">
      <c r="A348" t="n">
        <v>35</v>
      </c>
      <c r="B348" t="inlineStr">
        <is>
          <t>Heritance Aarah</t>
        </is>
      </c>
      <c r="C348" t="inlineStr">
        <is>
          <t>map</t>
        </is>
      </c>
      <c r="D348" t="inlineStr">
        <is>
          <t>2020_Heritance-Aarah-Resort-map.pdf</t>
        </is>
      </c>
      <c r="E348" t="n">
        <v>2020</v>
      </c>
      <c r="H348" t="n">
        <v>1</v>
      </c>
      <c r="I348" t="n">
        <v>87</v>
      </c>
      <c r="J348" t="inlineStr">
        <is>
          <t>N</t>
        </is>
      </c>
      <c r="K348" t="inlineStr">
        <is>
          <t>neoscapesmaldives.com</t>
        </is>
      </c>
      <c r="L348" t="inlineStr">
        <is>
          <t>dmc-agency</t>
        </is>
      </c>
      <c r="M348" t="inlineStr">
        <is>
          <t>https://www.neoscapesmaldives.com/wp-content/uploads/Heritance-Aarah-Resort-map.pdf</t>
        </is>
      </c>
      <c r="N348" t="inlineStr">
        <is>
          <t>https://www.neoscapesmaldives.com/wp-content/uploads/Heritance-Aarah-Resort-map.pdf</t>
        </is>
      </c>
      <c r="O348" t="inlineStr">
        <is>
          <t>2f359de71c2ba859d96b36f11d0488b21ea1486131a93313c267bf76c1b0dde0</t>
        </is>
      </c>
      <c r="P348" t="inlineStr">
        <is>
          <t>library/035_heritance-aarah/map/2020_Heritance-Aarah-Resort-map.pdf</t>
        </is>
      </c>
      <c r="R348" t="inlineStr">
        <is>
          <t>outdated</t>
        </is>
      </c>
      <c r="S348" t="inlineStr">
        <is>
          <t>Y</t>
        </is>
      </c>
      <c r="T348" t="inlineStr">
        <is>
          <t>matched</t>
        </is>
      </c>
      <c r="U348" t="inlineStr">
        <is>
          <t>2026-10-04</t>
        </is>
      </c>
      <c r="V348" t="inlineStr"/>
    </row>
    <row r="349">
      <c r="A349" t="n">
        <v>37</v>
      </c>
      <c r="B349" t="inlineStr">
        <is>
          <t>The Ritz Carlton Maldives Fari Islands</t>
        </is>
      </c>
      <c r="C349" t="inlineStr">
        <is>
          <t>factsheet</t>
        </is>
      </c>
      <c r="D349" t="inlineStr">
        <is>
          <t>2021_The-Ritz-Carlton-Maldives-Factsheet.pdf</t>
        </is>
      </c>
      <c r="E349" t="n">
        <v>2021</v>
      </c>
      <c r="H349" t="n">
        <v>6</v>
      </c>
      <c r="I349" t="n">
        <v>1283</v>
      </c>
      <c r="J349" t="inlineStr">
        <is>
          <t>Y</t>
        </is>
      </c>
      <c r="K349" t="inlineStr">
        <is>
          <t>neoscapesmaldives.com</t>
        </is>
      </c>
      <c r="L349" t="inlineStr">
        <is>
          <t>dmc-agency</t>
        </is>
      </c>
      <c r="M349" t="inlineStr">
        <is>
          <t>https://www.neoscapesmaldives.com/wp-content/uploads/The-Ritz-Carlton-Maldives-Factsheet.pdf</t>
        </is>
      </c>
      <c r="N349" t="inlineStr">
        <is>
          <t>https://www.neoscapesmaldives.com/wp-content/uploads/The-Ritz-Carlton-Maldives-Factsheet.pdf</t>
        </is>
      </c>
      <c r="O349" t="inlineStr">
        <is>
          <t>0b999049304d5753eb91ffd06f2ee4e827d28951f546b20354aa977ac2cd5c07</t>
        </is>
      </c>
      <c r="P349" t="inlineStr">
        <is>
          <t>library/037_the-ritz-carlton-maldives-fari-islands/factsheet/2021_The-Ritz-Carlton-Maldives-Factsheet.pdf</t>
        </is>
      </c>
      <c r="R349" t="inlineStr">
        <is>
          <t>outdated</t>
        </is>
      </c>
      <c r="S349" t="inlineStr">
        <is>
          <t>Y</t>
        </is>
      </c>
      <c r="T349" t="inlineStr">
        <is>
          <t>matched</t>
        </is>
      </c>
      <c r="U349" t="inlineStr">
        <is>
          <t>2026-10-04</t>
        </is>
      </c>
      <c r="V349" t="inlineStr"/>
    </row>
    <row r="350">
      <c r="A350" t="n">
        <v>37</v>
      </c>
      <c r="B350" t="inlineStr">
        <is>
          <t>The Ritz Carlton Maldives Fari Islands</t>
        </is>
      </c>
      <c r="C350" t="inlineStr">
        <is>
          <t>map</t>
        </is>
      </c>
      <c r="D350" t="inlineStr">
        <is>
          <t>2022_The-Ritz-Carlton-Maldives-Fari-Islands-Map.pdf</t>
        </is>
      </c>
      <c r="E350" t="n">
        <v>2022</v>
      </c>
      <c r="H350" t="n">
        <v>1</v>
      </c>
      <c r="I350" t="n">
        <v>556</v>
      </c>
      <c r="J350" t="inlineStr">
        <is>
          <t>N</t>
        </is>
      </c>
      <c r="K350" t="inlineStr">
        <is>
          <t>neoscapesmaldives.com</t>
        </is>
      </c>
      <c r="L350" t="inlineStr">
        <is>
          <t>dmc-agency</t>
        </is>
      </c>
      <c r="M350" t="inlineStr">
        <is>
          <t>https://www.neoscapesmaldives.com/wp-content/uploads/The-Ritz-Carlton-Maldives-Fari-Islands-Map.pdf</t>
        </is>
      </c>
      <c r="N350" t="inlineStr">
        <is>
          <t>https://www.neoscapesmaldives.com/wp-content/uploads/The-Ritz-Carlton-Maldives-Fari-Islands-Map.pdf</t>
        </is>
      </c>
      <c r="O350" t="inlineStr">
        <is>
          <t>51c0e6b1be1c78a77d4f5143dba4aa74bf4d9ddb25e423e81455f51e63e55730</t>
        </is>
      </c>
      <c r="P350" t="inlineStr">
        <is>
          <t>library/037_the-ritz-carlton-maldives-fari-islands/map/2022_The-Ritz-Carlton-Maldives-Fari-Islands-Map.pdf</t>
        </is>
      </c>
      <c r="R350" t="inlineStr">
        <is>
          <t>outdated</t>
        </is>
      </c>
      <c r="S350" t="inlineStr">
        <is>
          <t>Y</t>
        </is>
      </c>
      <c r="T350" t="inlineStr">
        <is>
          <t>matched</t>
        </is>
      </c>
      <c r="U350" t="inlineStr">
        <is>
          <t>2026-10-04</t>
        </is>
      </c>
      <c r="V350" t="inlineStr"/>
    </row>
    <row r="351">
      <c r="A351" t="n">
        <v>38</v>
      </c>
      <c r="B351" t="inlineStr">
        <is>
          <t>Veligandu Maldives Resort Island</t>
        </is>
      </c>
      <c r="C351" t="inlineStr">
        <is>
          <t>factsheet</t>
        </is>
      </c>
      <c r="D351" t="inlineStr">
        <is>
          <t>2025_Veli-Factsheet-W25-26S26Ver17062025.pdf</t>
        </is>
      </c>
      <c r="E351" t="n">
        <v>2025</v>
      </c>
      <c r="H351" t="n">
        <v>18</v>
      </c>
      <c r="I351" t="n">
        <v>1995</v>
      </c>
      <c r="J351" t="inlineStr">
        <is>
          <t>N</t>
        </is>
      </c>
      <c r="K351" t="inlineStr">
        <is>
          <t>sales.crownandchamparesorts.com</t>
        </is>
      </c>
      <c r="L351" t="inlineStr">
        <is>
          <t>brand-cdn</t>
        </is>
      </c>
      <c r="M351" t="inlineStr">
        <is>
          <t>https://sales.crownandchamparesorts.com/wp-content/uploads/2025/08/Veli-Factsheet-W25-26S26Ver17062025.pdf</t>
        </is>
      </c>
      <c r="N351" t="inlineStr">
        <is>
          <t>https://sales.crownandchamparesorts.com/wp-content/uploads/2025/08/Veli-Factsheet-W25-26S26Ver17062025.pdf</t>
        </is>
      </c>
      <c r="O351" t="inlineStr">
        <is>
          <t>18a080bf8ba1859116b360ff14bff70325c4113d16f27acb988554b11321fa86</t>
        </is>
      </c>
      <c r="P351" t="inlineStr">
        <is>
          <t>library/038_veligandu-maldives-resort-island/factsheet/2025_Veli-Factsheet-W25-26S26Ver17062025.pdf</t>
        </is>
      </c>
      <c r="R351" t="inlineStr">
        <is>
          <t>current</t>
        </is>
      </c>
      <c r="S351" t="inlineStr">
        <is>
          <t>Y</t>
        </is>
      </c>
      <c r="T351" t="inlineStr">
        <is>
          <t>needs-review</t>
        </is>
      </c>
      <c r="U351" t="inlineStr">
        <is>
          <t>2026-10-04</t>
        </is>
      </c>
      <c r="V351" t="inlineStr">
        <is>
          <t>ambiguous match [38]</t>
        </is>
      </c>
    </row>
    <row r="352">
      <c r="A352" t="n">
        <v>38</v>
      </c>
      <c r="B352" t="inlineStr">
        <is>
          <t>Veligandu Maldives Resort Island</t>
        </is>
      </c>
      <c r="C352" t="inlineStr">
        <is>
          <t>factsheet</t>
        </is>
      </c>
      <c r="D352" t="inlineStr">
        <is>
          <t>2019_FactSheetVeligandu110119103120Rev111619.pdf</t>
        </is>
      </c>
      <c r="E352" t="n">
        <v>2019</v>
      </c>
      <c r="F352" t="inlineStr">
        <is>
          <t>2019-11-01</t>
        </is>
      </c>
      <c r="G352" t="inlineStr">
        <is>
          <t>2020-10-31</t>
        </is>
      </c>
      <c r="H352" t="n">
        <v>3</v>
      </c>
      <c r="I352" t="n">
        <v>803</v>
      </c>
      <c r="J352" t="inlineStr">
        <is>
          <t>Y</t>
        </is>
      </c>
      <c r="K352" t="inlineStr">
        <is>
          <t>sales.crownandchamparesorts.com</t>
        </is>
      </c>
      <c r="L352" t="inlineStr">
        <is>
          <t>brand-cdn</t>
        </is>
      </c>
      <c r="M352" t="inlineStr">
        <is>
          <t>https://sales.crownandchamparesorts.com/wp-content/uploads/2018/04/FactSheetVeligandu110119103120Rev111619.pdf</t>
        </is>
      </c>
      <c r="N352" t="inlineStr">
        <is>
          <t>https://sales.crownandchamparesorts.com/wp-content/uploads/2018/04/FactSheetVeligandu110119103120Rev111619.pdf</t>
        </is>
      </c>
      <c r="O352" t="inlineStr">
        <is>
          <t>c46fa7037910af809b77bcbbb3798430a89add4ecfedbc897f5158b9285272b5</t>
        </is>
      </c>
      <c r="P352" t="inlineStr">
        <is>
          <t>library/038_veligandu-maldives-resort-island/factsheet/2019_FactSheetVeligandu110119103120Rev111619.pdf</t>
        </is>
      </c>
      <c r="R352" t="inlineStr">
        <is>
          <t>outdated</t>
        </is>
      </c>
      <c r="S352" t="inlineStr">
        <is>
          <t>N</t>
        </is>
      </c>
      <c r="T352" t="inlineStr">
        <is>
          <t>matched</t>
        </is>
      </c>
      <c r="U352" t="inlineStr">
        <is>
          <t>2026-10-04</t>
        </is>
      </c>
      <c r="V352" t="inlineStr"/>
    </row>
    <row r="353">
      <c r="A353" t="n">
        <v>38</v>
      </c>
      <c r="B353" t="inlineStr">
        <is>
          <t>Veligandu Maldives Resort Island</t>
        </is>
      </c>
      <c r="C353" t="inlineStr">
        <is>
          <t>map</t>
        </is>
      </c>
      <c r="D353" t="inlineStr">
        <is>
          <t>2025_Veli-IslandMap110125103126Ver140625.pdf</t>
        </is>
      </c>
      <c r="E353" t="n">
        <v>2025</v>
      </c>
      <c r="F353" t="inlineStr">
        <is>
          <t>2025-11-01</t>
        </is>
      </c>
      <c r="G353" t="inlineStr">
        <is>
          <t>2026-10-31</t>
        </is>
      </c>
      <c r="H353" t="n">
        <v>1</v>
      </c>
      <c r="I353" t="n">
        <v>1499</v>
      </c>
      <c r="J353" t="inlineStr">
        <is>
          <t>N</t>
        </is>
      </c>
      <c r="K353" t="inlineStr">
        <is>
          <t>sales.crownandchamparesorts.com</t>
        </is>
      </c>
      <c r="L353" t="inlineStr">
        <is>
          <t>brand-cdn</t>
        </is>
      </c>
      <c r="M353" t="inlineStr">
        <is>
          <t>https://sales.crownandchamparesorts.com/wp-content/uploads/2025/08/Veli-IslandMap110125103126Ver140625.pdf</t>
        </is>
      </c>
      <c r="N353" t="inlineStr">
        <is>
          <t>https://sales.crownandchamparesorts.com/wp-content/uploads/2025/08/Veli-IslandMap110125103126Ver140625.pdf</t>
        </is>
      </c>
      <c r="O353" t="inlineStr">
        <is>
          <t>4e815a1b8b2556fe0727cafe9aba2ef9dfeb5076ba5568782a2aeb42f6bd3b06</t>
        </is>
      </c>
      <c r="P353" t="inlineStr">
        <is>
          <t>library/038_veligandu-maldives-resort-island/map/2025_Veli-IslandMap110125103126Ver140625.pdf</t>
        </is>
      </c>
      <c r="R353" t="inlineStr">
        <is>
          <t>current</t>
        </is>
      </c>
      <c r="S353" t="inlineStr">
        <is>
          <t>Y</t>
        </is>
      </c>
      <c r="T353" t="inlineStr">
        <is>
          <t>needs-review</t>
        </is>
      </c>
      <c r="U353" t="inlineStr">
        <is>
          <t>2026-10-04</t>
        </is>
      </c>
      <c r="V353" t="inlineStr">
        <is>
          <t>ambiguous match [38]</t>
        </is>
      </c>
    </row>
    <row r="354">
      <c r="A354" t="n">
        <v>38</v>
      </c>
      <c r="B354" t="inlineStr">
        <is>
          <t>Veligandu Maldives Resort Island</t>
        </is>
      </c>
      <c r="C354" t="inlineStr">
        <is>
          <t>map</t>
        </is>
      </c>
      <c r="D354" t="inlineStr">
        <is>
          <t>2024_Veligandu-Island-Map-290724.pdf</t>
        </is>
      </c>
      <c r="E354" t="n">
        <v>2024</v>
      </c>
      <c r="H354" t="n">
        <v>1</v>
      </c>
      <c r="I354" t="n">
        <v>1012</v>
      </c>
      <c r="J354" t="inlineStr">
        <is>
          <t>N</t>
        </is>
      </c>
      <c r="K354" t="inlineStr">
        <is>
          <t>sales.crownandchamparesorts.com</t>
        </is>
      </c>
      <c r="L354" t="inlineStr">
        <is>
          <t>brand-cdn</t>
        </is>
      </c>
      <c r="M354" t="inlineStr">
        <is>
          <t>https://sales.crownandchamparesorts.com/wp-content/uploads/2025/06/Veligandu-Island-Map-290724.pdf</t>
        </is>
      </c>
      <c r="N354" t="inlineStr">
        <is>
          <t>https://sales.crownandchamparesorts.com/wp-content/uploads/2025/06/Veligandu-Island-Map-290724.pdf</t>
        </is>
      </c>
      <c r="O354" t="inlineStr">
        <is>
          <t>dceeaeb28b408bf03995679784cfa56c97434293c6b21b340327692ecebb4876</t>
        </is>
      </c>
      <c r="P354" t="inlineStr">
        <is>
          <t>library/038_veligandu-maldives-resort-island/map/2024_Veligandu-Island-Map-290724.pdf</t>
        </is>
      </c>
      <c r="R354" t="inlineStr">
        <is>
          <t>outdated</t>
        </is>
      </c>
      <c r="S354" t="inlineStr">
        <is>
          <t>N</t>
        </is>
      </c>
      <c r="T354" t="inlineStr">
        <is>
          <t>matched</t>
        </is>
      </c>
      <c r="U354" t="inlineStr">
        <is>
          <t>2026-10-04</t>
        </is>
      </c>
      <c r="V354" t="inlineStr"/>
    </row>
    <row r="355">
      <c r="A355" t="n">
        <v>38</v>
      </c>
      <c r="B355" t="inlineStr">
        <is>
          <t>Veligandu Maldives Resort Island</t>
        </is>
      </c>
      <c r="C355" t="inlineStr">
        <is>
          <t>map</t>
        </is>
      </c>
      <c r="D355" t="inlineStr">
        <is>
          <t>2019_IslandMapColourRev060219.pdf</t>
        </is>
      </c>
      <c r="E355" t="n">
        <v>2019</v>
      </c>
      <c r="H355" t="n">
        <v>1</v>
      </c>
      <c r="I355" t="n">
        <v>70</v>
      </c>
      <c r="J355" t="inlineStr">
        <is>
          <t>Y</t>
        </is>
      </c>
      <c r="K355" t="inlineStr">
        <is>
          <t>sales.crownandchamparesorts.com</t>
        </is>
      </c>
      <c r="L355" t="inlineStr">
        <is>
          <t>brand-cdn</t>
        </is>
      </c>
      <c r="M355" t="inlineStr">
        <is>
          <t>https://sales.crownandchamparesorts.com/wp-content/uploads/2018/03/IslandMapColourRev060219.pdf</t>
        </is>
      </c>
      <c r="N355" t="inlineStr">
        <is>
          <t>https://sales.crownandchamparesorts.com/wp-content/uploads/2018/03/IslandMapColourRev060219.pdf</t>
        </is>
      </c>
      <c r="O355" t="inlineStr">
        <is>
          <t>b46067de679f1783d5b0bae639d967585c5f2896315aa7e1bc7de87c0749e853</t>
        </is>
      </c>
      <c r="P355" t="inlineStr">
        <is>
          <t>library/038_veligandu-maldives-resort-island/map/2019_IslandMapColourRev060219.pdf</t>
        </is>
      </c>
      <c r="R355" t="inlineStr">
        <is>
          <t>outdated</t>
        </is>
      </c>
      <c r="S355" t="inlineStr">
        <is>
          <t>N</t>
        </is>
      </c>
      <c r="T355" t="inlineStr">
        <is>
          <t>needs-review</t>
        </is>
      </c>
      <c r="U355" t="inlineStr">
        <is>
          <t>2026-10-04</t>
        </is>
      </c>
      <c r="V355" t="inlineStr">
        <is>
          <t>ambiguous match [38, 159]</t>
        </is>
      </c>
    </row>
    <row r="356">
      <c r="A356" t="n">
        <v>159</v>
      </c>
      <c r="B356" t="inlineStr">
        <is>
          <t>Cinnamon Dhonveli Maldives</t>
        </is>
      </c>
      <c r="C356" t="inlineStr">
        <is>
          <t>map</t>
        </is>
      </c>
      <c r="D356" t="inlineStr">
        <is>
          <t>2019_IslandMapColourRev060219.pdf</t>
        </is>
      </c>
      <c r="E356" t="n">
        <v>2019</v>
      </c>
      <c r="H356" t="n">
        <v>1</v>
      </c>
      <c r="I356" t="n">
        <v>70</v>
      </c>
      <c r="J356" t="inlineStr">
        <is>
          <t>Y</t>
        </is>
      </c>
      <c r="K356" t="inlineStr">
        <is>
          <t>sales.crownandchamparesorts.com</t>
        </is>
      </c>
      <c r="L356" t="inlineStr">
        <is>
          <t>brand-cdn</t>
        </is>
      </c>
      <c r="M356" t="inlineStr">
        <is>
          <t>https://sales.crownandchamparesorts.com/wp-content/uploads/2018/03/IslandMapColourRev060219.pdf</t>
        </is>
      </c>
      <c r="N356" t="inlineStr">
        <is>
          <t>https://sales.crownandchamparesorts.com/wp-content/uploads/2018/03/IslandMapColourRev060219.pdf</t>
        </is>
      </c>
      <c r="O356" t="inlineStr">
        <is>
          <t>b46067de679f1783d5b0bae639d967585c5f2896315aa7e1bc7de87c0749e853</t>
        </is>
      </c>
      <c r="P356" t="inlineStr">
        <is>
          <t>library/038_veligandu-maldives-resort-island/map/2019_IslandMapColourRev060219.pdf</t>
        </is>
      </c>
      <c r="R356" t="inlineStr">
        <is>
          <t>outdated</t>
        </is>
      </c>
      <c r="S356" t="inlineStr">
        <is>
          <t>N</t>
        </is>
      </c>
      <c r="T356" t="inlineStr">
        <is>
          <t>needs-review</t>
        </is>
      </c>
      <c r="U356" t="inlineStr">
        <is>
          <t>2026-10-04</t>
        </is>
      </c>
      <c r="V356" t="inlineStr">
        <is>
          <t>ambiguous match [38, 159]</t>
        </is>
      </c>
    </row>
    <row r="357">
      <c r="A357" t="n">
        <v>38</v>
      </c>
      <c r="B357" t="inlineStr">
        <is>
          <t>Veligandu Maldives Resort Island</t>
        </is>
      </c>
      <c r="C357" t="inlineStr">
        <is>
          <t>map</t>
        </is>
      </c>
      <c r="D357" t="inlineStr">
        <is>
          <t>2017_MapVeliganduColor110117.pdf</t>
        </is>
      </c>
      <c r="E357" t="n">
        <v>2017</v>
      </c>
      <c r="H357" t="n">
        <v>1</v>
      </c>
      <c r="I357" t="n">
        <v>84</v>
      </c>
      <c r="J357" t="inlineStr">
        <is>
          <t>Y</t>
        </is>
      </c>
      <c r="K357" t="inlineStr">
        <is>
          <t>sales.crownandchamparesorts.com</t>
        </is>
      </c>
      <c r="L357" t="inlineStr">
        <is>
          <t>brand-cdn</t>
        </is>
      </c>
      <c r="M357" t="inlineStr">
        <is>
          <t>https://sales.crownandchamparesorts.com/wp-content/uploads/2018/04/MapVeliganduColor110117.pdf</t>
        </is>
      </c>
      <c r="N357" t="inlineStr">
        <is>
          <t>https://sales.crownandchamparesorts.com/wp-content/uploads/2018/04/MapVeliganduColor110117.pdf</t>
        </is>
      </c>
      <c r="O357" t="inlineStr">
        <is>
          <t>af611da61efadde8cf8d0b493c7d4fa80e881aaeb4c87e0a850c336d6d49c3d3</t>
        </is>
      </c>
      <c r="P357" t="inlineStr">
        <is>
          <t>library/038_veligandu-maldives-resort-island/map/2017_MapVeliganduColor110117.pdf</t>
        </is>
      </c>
      <c r="R357" t="inlineStr">
        <is>
          <t>outdated</t>
        </is>
      </c>
      <c r="S357" t="inlineStr">
        <is>
          <t>N</t>
        </is>
      </c>
      <c r="T357" t="inlineStr">
        <is>
          <t>matched</t>
        </is>
      </c>
      <c r="U357" t="inlineStr">
        <is>
          <t>2026-10-04</t>
        </is>
      </c>
      <c r="V357" t="inlineStr"/>
    </row>
    <row r="358">
      <c r="A358" t="n">
        <v>38</v>
      </c>
      <c r="B358" t="inlineStr">
        <is>
          <t>Veligandu Maldives Resort Island</t>
        </is>
      </c>
      <c r="C358" t="inlineStr">
        <is>
          <t>dive_prices</t>
        </is>
      </c>
      <c r="D358" t="inlineStr">
        <is>
          <t>2020_OceanDiveandSportsCenterSOP-071720VELI.pdf</t>
        </is>
      </c>
      <c r="E358" t="n">
        <v>2020</v>
      </c>
      <c r="H358" t="n">
        <v>7</v>
      </c>
      <c r="I358" t="n">
        <v>97</v>
      </c>
      <c r="J358" t="inlineStr">
        <is>
          <t>Y</t>
        </is>
      </c>
      <c r="K358" t="inlineStr">
        <is>
          <t>sales.crownandchamparesorts.com</t>
        </is>
      </c>
      <c r="L358" t="inlineStr">
        <is>
          <t>brand-cdn</t>
        </is>
      </c>
      <c r="M358" t="inlineStr">
        <is>
          <t>https://sales.crownandchamparesorts.com/wp-content/uploads/2020/07/OceanDiveandSportsCenterSOP-071720VELI.pdf</t>
        </is>
      </c>
      <c r="N358" t="inlineStr">
        <is>
          <t>https://sales.crownandchamparesorts.com/wp-content/uploads/2020/07/OceanDiveandSportsCenterSOP-071720VELI.pdf</t>
        </is>
      </c>
      <c r="O358" t="inlineStr">
        <is>
          <t>9ecdc49cbf1f018e65bd21112dd46389caec9dbf1cc73f41c7a1c915d7667433</t>
        </is>
      </c>
      <c r="P358" t="inlineStr">
        <is>
          <t>library/038_veligandu-maldives-resort-island/dive_prices/2020_OceanDiveandSportsCenterSOP-071720VELI.pdf</t>
        </is>
      </c>
      <c r="R358" t="inlineStr">
        <is>
          <t>outdated</t>
        </is>
      </c>
      <c r="S358" t="inlineStr">
        <is>
          <t>Y</t>
        </is>
      </c>
      <c r="T358" t="inlineStr">
        <is>
          <t>needs-review</t>
        </is>
      </c>
      <c r="U358" t="inlineStr">
        <is>
          <t>2026-10-04</t>
        </is>
      </c>
      <c r="V358" t="inlineStr">
        <is>
          <t>ambiguous match [38]</t>
        </is>
      </c>
    </row>
    <row r="359">
      <c r="A359" t="n">
        <v>39</v>
      </c>
      <c r="B359" t="inlineStr">
        <is>
          <t>NH Collection Maldives Havodda Resort</t>
        </is>
      </c>
      <c r="C359" t="inlineStr">
        <is>
          <t>factsheet</t>
        </is>
      </c>
      <c r="D359" t="inlineStr">
        <is>
          <t>2018_Amari-Havodda-Factsheet.pdf</t>
        </is>
      </c>
      <c r="E359" t="n">
        <v>2018</v>
      </c>
      <c r="H359" t="n">
        <v>1</v>
      </c>
      <c r="I359" t="n">
        <v>1188</v>
      </c>
      <c r="J359" t="inlineStr">
        <is>
          <t>Y</t>
        </is>
      </c>
      <c r="K359" t="inlineStr">
        <is>
          <t>neoscapesmaldives.com</t>
        </is>
      </c>
      <c r="L359" t="inlineStr">
        <is>
          <t>dmc-agency</t>
        </is>
      </c>
      <c r="M359" t="inlineStr">
        <is>
          <t>https://neoscapesmaldives.com/wp-content/uploads/Amari-Havodda-Factsheet.pdf</t>
        </is>
      </c>
      <c r="N359" t="inlineStr">
        <is>
          <t>https://neoscapesmaldives.com/wp-content/uploads/Amari-Havodda-Factsheet.pdf</t>
        </is>
      </c>
      <c r="O359" t="inlineStr">
        <is>
          <t>a59811f843e1f7cf3193925c78af54428dcd0fbe03d169ef8da498661ab8092a</t>
        </is>
      </c>
      <c r="P359" t="inlineStr">
        <is>
          <t>library/039_nh-collection-maldives-havodda-resort/factsheet/2018_Amari-Havodda-Factsheet.pdf</t>
        </is>
      </c>
      <c r="R359" t="inlineStr">
        <is>
          <t>outdated</t>
        </is>
      </c>
      <c r="S359" t="inlineStr">
        <is>
          <t>Y</t>
        </is>
      </c>
      <c r="T359" t="inlineStr">
        <is>
          <t>matched</t>
        </is>
      </c>
      <c r="U359" t="inlineStr">
        <is>
          <t>2026-10-04</t>
        </is>
      </c>
      <c r="V359" t="inlineStr"/>
    </row>
    <row r="360">
      <c r="A360" t="n">
        <v>39</v>
      </c>
      <c r="B360" t="inlineStr">
        <is>
          <t>NH Collection Maldives Havodda Resort</t>
        </is>
      </c>
      <c r="C360" t="inlineStr">
        <is>
          <t>map</t>
        </is>
      </c>
      <c r="D360" t="inlineStr">
        <is>
          <t>2019_Amari-Havodda-Maldives-Map.pdf</t>
        </is>
      </c>
      <c r="E360" t="n">
        <v>2019</v>
      </c>
      <c r="H360" t="n">
        <v>1</v>
      </c>
      <c r="I360" t="n">
        <v>220</v>
      </c>
      <c r="J360" t="inlineStr">
        <is>
          <t>N</t>
        </is>
      </c>
      <c r="K360" t="inlineStr">
        <is>
          <t>neoscapesmaldives.com</t>
        </is>
      </c>
      <c r="L360" t="inlineStr">
        <is>
          <t>dmc-agency</t>
        </is>
      </c>
      <c r="M360" t="inlineStr">
        <is>
          <t>https://neoscapesmaldives.com/wp-content/uploads/Amari-Havodda-Maldives-Map.pdf</t>
        </is>
      </c>
      <c r="N360" t="inlineStr">
        <is>
          <t>https://neoscapesmaldives.com/wp-content/uploads/Amari-Havodda-Maldives-Map.pdf</t>
        </is>
      </c>
      <c r="O360" t="inlineStr">
        <is>
          <t>fd7d720baa1b7f08607fbf7b03c29035e9cf1b26f05a304c9b2d9ccd1c5cc366</t>
        </is>
      </c>
      <c r="P360" t="inlineStr">
        <is>
          <t>library/039_nh-collection-maldives-havodda-resort/map/2019_Amari-Havodda-Maldives-Map.pdf</t>
        </is>
      </c>
      <c r="R360" t="inlineStr">
        <is>
          <t>outdated</t>
        </is>
      </c>
      <c r="S360" t="inlineStr">
        <is>
          <t>Y</t>
        </is>
      </c>
      <c r="T360" t="inlineStr">
        <is>
          <t>matched</t>
        </is>
      </c>
      <c r="U360" t="inlineStr">
        <is>
          <t>2026-10-04</t>
        </is>
      </c>
      <c r="V360" t="inlineStr"/>
    </row>
    <row r="361">
      <c r="A361" t="n">
        <v>40</v>
      </c>
      <c r="B361" t="inlineStr">
        <is>
          <t>Le Méridien Maldives Resort and Spa</t>
        </is>
      </c>
      <c r="C361" t="inlineStr">
        <is>
          <t>factsheet</t>
        </is>
      </c>
      <c r="D361" t="inlineStr">
        <is>
          <t>2022_Resort-Factsheet-Le-Meridien-Maldives.pdf</t>
        </is>
      </c>
      <c r="E361" t="n">
        <v>2022</v>
      </c>
      <c r="H361" t="n">
        <v>24</v>
      </c>
      <c r="I361" t="n">
        <v>2786</v>
      </c>
      <c r="J361" t="inlineStr">
        <is>
          <t>Y</t>
        </is>
      </c>
      <c r="K361" t="inlineStr">
        <is>
          <t>neoscapesmaldives.com</t>
        </is>
      </c>
      <c r="L361" t="inlineStr">
        <is>
          <t>dmc-agency</t>
        </is>
      </c>
      <c r="M361" t="inlineStr">
        <is>
          <t>https://www.neoscapesmaldives.com/wp-content/uploads/Resort-Factsheet-Le-Meridien-Maldives.pdf</t>
        </is>
      </c>
      <c r="N361" t="inlineStr">
        <is>
          <t>https://www.neoscapesmaldives.com/wp-content/uploads/Resort-Factsheet-Le-Meridien-Maldives.pdf</t>
        </is>
      </c>
      <c r="O361" t="inlineStr">
        <is>
          <t>eddd25783828b410c3f4b20c2eda00dbf2a3ef2f4e1ad4e0f69993fb8e200fbf</t>
        </is>
      </c>
      <c r="P361" t="inlineStr">
        <is>
          <t>library/040_le-meridien-maldives-resort-and-spa/factsheet/2022_Resort-Factsheet-Le-Meridien-Maldives.pdf</t>
        </is>
      </c>
      <c r="R361" t="inlineStr">
        <is>
          <t>outdated</t>
        </is>
      </c>
      <c r="S361" t="inlineStr">
        <is>
          <t>Y</t>
        </is>
      </c>
      <c r="T361" t="inlineStr">
        <is>
          <t>matched</t>
        </is>
      </c>
      <c r="U361" t="inlineStr">
        <is>
          <t>2026-10-04</t>
        </is>
      </c>
      <c r="V361" t="inlineStr"/>
    </row>
    <row r="362">
      <c r="A362" t="n">
        <v>40</v>
      </c>
      <c r="B362" t="inlineStr">
        <is>
          <t>Le Méridien Maldives Resort and Spa</t>
        </is>
      </c>
      <c r="C362" t="inlineStr">
        <is>
          <t>map</t>
        </is>
      </c>
      <c r="D362" t="inlineStr">
        <is>
          <t>2022_Resort-Map-Le-Meridien-Maldives.pdf</t>
        </is>
      </c>
      <c r="E362" t="n">
        <v>2022</v>
      </c>
      <c r="H362" t="n">
        <v>1</v>
      </c>
      <c r="I362" t="n">
        <v>227</v>
      </c>
      <c r="J362" t="inlineStr">
        <is>
          <t>N</t>
        </is>
      </c>
      <c r="K362" t="inlineStr">
        <is>
          <t>neoscapesmaldives.com</t>
        </is>
      </c>
      <c r="L362" t="inlineStr">
        <is>
          <t>dmc-agency</t>
        </is>
      </c>
      <c r="M362" t="inlineStr">
        <is>
          <t>https://www.neoscapesmaldives.com/wp-content/uploads/Resort-Map-Le-Meridien-Maldives.pdf</t>
        </is>
      </c>
      <c r="N362" t="inlineStr">
        <is>
          <t>https://www.neoscapesmaldives.com/wp-content/uploads/Resort-Map-Le-Meridien-Maldives.pdf</t>
        </is>
      </c>
      <c r="O362" t="inlineStr">
        <is>
          <t>0a3799bcf0f130852efb17b9ae67d986d6c6fe806e6ce88c968a736116f2db0c</t>
        </is>
      </c>
      <c r="P362" t="inlineStr">
        <is>
          <t>library/040_le-meridien-maldives-resort-and-spa/map/2022_Resort-Map-Le-Meridien-Maldives.pdf</t>
        </is>
      </c>
      <c r="R362" t="inlineStr">
        <is>
          <t>outdated</t>
        </is>
      </c>
      <c r="S362" t="inlineStr">
        <is>
          <t>Y</t>
        </is>
      </c>
      <c r="T362" t="inlineStr">
        <is>
          <t>matched</t>
        </is>
      </c>
      <c r="U362" t="inlineStr">
        <is>
          <t>2026-10-04</t>
        </is>
      </c>
      <c r="V362" t="inlineStr"/>
    </row>
    <row r="363">
      <c r="A363" t="n">
        <v>41</v>
      </c>
      <c r="B363" t="inlineStr">
        <is>
          <t>Ozen By Atmosphere At Maadhoo</t>
        </is>
      </c>
      <c r="C363" t="inlineStr">
        <is>
          <t>factsheet</t>
        </is>
      </c>
      <c r="D363" t="inlineStr">
        <is>
          <t>2025_OZEN-LIFE-MAADHOO-Fact-Sheet-2025.pdf</t>
        </is>
      </c>
      <c r="E363" t="n">
        <v>2025</v>
      </c>
      <c r="H363" t="n">
        <v>8</v>
      </c>
      <c r="I363" t="n">
        <v>2590</v>
      </c>
      <c r="J363" t="inlineStr">
        <is>
          <t>Y</t>
        </is>
      </c>
      <c r="K363" t="inlineStr">
        <is>
          <t>neoscapesmaldives.com</t>
        </is>
      </c>
      <c r="L363" t="inlineStr">
        <is>
          <t>dmc-agency</t>
        </is>
      </c>
      <c r="M363" t="inlineStr">
        <is>
          <t>https://www.neoscapesmaldives.com/wp-content/uploads/OZEN-LIFE-MAADHOO-Fact-Sheet-2025.pdf</t>
        </is>
      </c>
      <c r="N363" t="inlineStr">
        <is>
          <t>https://www.neoscapesmaldives.com/wp-content/uploads/OZEN-LIFE-MAADHOO-Fact-Sheet-2025.pdf</t>
        </is>
      </c>
      <c r="O363" t="inlineStr">
        <is>
          <t>e3425d1fc89e17e25df5289874ac600227e6fb4cecf880383b7726bcfcf0c90b</t>
        </is>
      </c>
      <c r="P363" t="inlineStr">
        <is>
          <t>library/041_ozen-by-atmosphere-at-maadhoo/factsheet/2025_OZEN-LIFE-MAADHOO-Fact-Sheet-2025.pdf</t>
        </is>
      </c>
      <c r="R363" t="inlineStr">
        <is>
          <t>current</t>
        </is>
      </c>
      <c r="S363" t="inlineStr">
        <is>
          <t>Y</t>
        </is>
      </c>
      <c r="T363" t="inlineStr">
        <is>
          <t>matched</t>
        </is>
      </c>
      <c r="U363" t="inlineStr">
        <is>
          <t>2026-10-04</t>
        </is>
      </c>
      <c r="V363" t="inlineStr"/>
    </row>
    <row r="364">
      <c r="A364" t="n">
        <v>41</v>
      </c>
      <c r="B364" t="inlineStr">
        <is>
          <t>Ozen By Atmosphere At Maadhoo</t>
        </is>
      </c>
      <c r="C364" t="inlineStr">
        <is>
          <t>map</t>
        </is>
      </c>
      <c r="D364" t="inlineStr">
        <is>
          <t>2023_OZEN-LIFE-MAADHOO-Resort-Map-1.pdf</t>
        </is>
      </c>
      <c r="E364" t="n">
        <v>2023</v>
      </c>
      <c r="H364" t="n">
        <v>1</v>
      </c>
      <c r="I364" t="n">
        <v>1241</v>
      </c>
      <c r="J364" t="inlineStr">
        <is>
          <t>Y</t>
        </is>
      </c>
      <c r="K364" t="inlineStr">
        <is>
          <t>neoscapesmaldives.com</t>
        </is>
      </c>
      <c r="L364" t="inlineStr">
        <is>
          <t>dmc-agency</t>
        </is>
      </c>
      <c r="M364" t="inlineStr">
        <is>
          <t>https://www.neoscapesmaldives.com/wp-content/uploads/OZEN-LIFE-MAADHOO-Resort-Map-1.pdf</t>
        </is>
      </c>
      <c r="N364" t="inlineStr">
        <is>
          <t>https://www.neoscapesmaldives.com/wp-content/uploads/OZEN-LIFE-MAADHOO-Resort-Map-1.pdf</t>
        </is>
      </c>
      <c r="O364" t="inlineStr">
        <is>
          <t>6e09bb8abd272db0ce8fd33dc58f291886eeb4aea1e963338c03041a44a71b28</t>
        </is>
      </c>
      <c r="P364" t="inlineStr">
        <is>
          <t>library/041_ozen-by-atmosphere-at-maadhoo/map/2023_OZEN-LIFE-MAADHOO-Resort-Map-1.pdf</t>
        </is>
      </c>
      <c r="R364" t="inlineStr">
        <is>
          <t>outdated</t>
        </is>
      </c>
      <c r="S364" t="inlineStr">
        <is>
          <t>Y</t>
        </is>
      </c>
      <c r="T364" t="inlineStr">
        <is>
          <t>matched</t>
        </is>
      </c>
      <c r="U364" t="inlineStr">
        <is>
          <t>2026-10-04</t>
        </is>
      </c>
      <c r="V364" t="inlineStr"/>
    </row>
    <row r="365">
      <c r="A365" t="n">
        <v>44</v>
      </c>
      <c r="B365" t="inlineStr">
        <is>
          <t>Hard Rock Hotel Maldives</t>
        </is>
      </c>
      <c r="C365" t="inlineStr">
        <is>
          <t>brochure</t>
        </is>
      </c>
      <c r="D365" t="inlineStr">
        <is>
          <t>2025_Hard-Rock-Hotel-Maldives-Info-Sheet-2025.pdf</t>
        </is>
      </c>
      <c r="E365" t="n">
        <v>2025</v>
      </c>
      <c r="H365" t="n">
        <v>28</v>
      </c>
      <c r="I365" t="n">
        <v>5987</v>
      </c>
      <c r="J365" t="inlineStr">
        <is>
          <t>Y</t>
        </is>
      </c>
      <c r="K365" t="inlineStr">
        <is>
          <t>neoscapesmaldives.com</t>
        </is>
      </c>
      <c r="L365" t="inlineStr">
        <is>
          <t>dmc-agency</t>
        </is>
      </c>
      <c r="M365" t="inlineStr">
        <is>
          <t>https://www.neoscapesmaldives.com/wp-content/uploads/Hard-Rock-Hotel-Maldives-Info-Sheet-2025.pdf</t>
        </is>
      </c>
      <c r="N365" t="inlineStr">
        <is>
          <t>https://www.neoscapesmaldives.com/wp-content/uploads/Hard-Rock-Hotel-Maldives-Info-Sheet-2025.pdf</t>
        </is>
      </c>
      <c r="O365" t="inlineStr">
        <is>
          <t>576d02dcb439c3859451b99d290cef43389da4bc7ba36a4bf75b227c9435afed</t>
        </is>
      </c>
      <c r="P365" t="inlineStr">
        <is>
          <t>library/044_hard-rock-hotel-maldives/brochure/2025_Hard-Rock-Hotel-Maldives-Info-Sheet-2025.pdf</t>
        </is>
      </c>
      <c r="R365" t="inlineStr">
        <is>
          <t>current</t>
        </is>
      </c>
      <c r="S365" t="inlineStr">
        <is>
          <t>Y</t>
        </is>
      </c>
      <c r="T365" t="inlineStr">
        <is>
          <t>matched</t>
        </is>
      </c>
      <c r="U365" t="inlineStr">
        <is>
          <t>2026-10-04</t>
        </is>
      </c>
      <c r="V365" t="inlineStr"/>
    </row>
    <row r="366">
      <c r="A366" t="n">
        <v>45</v>
      </c>
      <c r="B366" t="inlineStr">
        <is>
          <t>Saii Lagoon Maldives</t>
        </is>
      </c>
      <c r="C366" t="inlineStr">
        <is>
          <t>factsheet</t>
        </is>
      </c>
      <c r="D366" t="inlineStr">
        <is>
          <t>2025_SAii-Lagoon-Maldives-Factsheet-2025.pdf</t>
        </is>
      </c>
      <c r="E366" t="n">
        <v>2025</v>
      </c>
      <c r="H366" t="n">
        <v>19</v>
      </c>
      <c r="I366" t="n">
        <v>23874</v>
      </c>
      <c r="J366" t="inlineStr">
        <is>
          <t>Y</t>
        </is>
      </c>
      <c r="K366" t="inlineStr">
        <is>
          <t>neoscapesmaldives.com</t>
        </is>
      </c>
      <c r="L366" t="inlineStr">
        <is>
          <t>dmc-agency</t>
        </is>
      </c>
      <c r="M366" t="inlineStr">
        <is>
          <t>https://www.neoscapesmaldives.com/wp-content/uploads/SAii-Lagoon-Maldives-Factsheet-2025.pdf</t>
        </is>
      </c>
      <c r="N366" t="inlineStr">
        <is>
          <t>https://www.neoscapesmaldives.com/wp-content/uploads/SAii-Lagoon-Maldives-Factsheet-2025.pdf</t>
        </is>
      </c>
      <c r="O366" t="inlineStr">
        <is>
          <t>edd2776c2f3092554dba0e05d7a2e84378db61d7899e2f444214804fab533257</t>
        </is>
      </c>
      <c r="P366" t="inlineStr">
        <is>
          <t>library/045_saii-lagoon-maldives/factsheet/2025_SAii-Lagoon-Maldives-Factsheet-2025.pdf</t>
        </is>
      </c>
      <c r="R366" t="inlineStr">
        <is>
          <t>current</t>
        </is>
      </c>
      <c r="S366" t="inlineStr">
        <is>
          <t>Y</t>
        </is>
      </c>
      <c r="T366" t="inlineStr">
        <is>
          <t>matched</t>
        </is>
      </c>
      <c r="U366" t="inlineStr">
        <is>
          <t>2026-10-04</t>
        </is>
      </c>
      <c r="V366" t="inlineStr"/>
    </row>
    <row r="367">
      <c r="A367" t="n">
        <v>45</v>
      </c>
      <c r="B367" t="inlineStr">
        <is>
          <t>Saii Lagoon Maldives</t>
        </is>
      </c>
      <c r="C367" t="inlineStr">
        <is>
          <t>map</t>
        </is>
      </c>
      <c r="D367" t="inlineStr">
        <is>
          <t>2024_SAii-Lagoon-Map-without-Rooms-numbers-2024-1.pdf</t>
        </is>
      </c>
      <c r="E367" t="n">
        <v>2024</v>
      </c>
      <c r="H367" t="n">
        <v>1</v>
      </c>
      <c r="I367" t="n">
        <v>1478</v>
      </c>
      <c r="J367" t="inlineStr">
        <is>
          <t>Y</t>
        </is>
      </c>
      <c r="K367" t="inlineStr">
        <is>
          <t>neoscapesmaldives.com</t>
        </is>
      </c>
      <c r="L367" t="inlineStr">
        <is>
          <t>dmc-agency</t>
        </is>
      </c>
      <c r="M367" t="inlineStr">
        <is>
          <t>https://www.neoscapesmaldives.com/wp-content/uploads/SAii-Lagoon-Map-without-Rooms-numbers-2024-1.pdf</t>
        </is>
      </c>
      <c r="N367" t="inlineStr">
        <is>
          <t>https://www.neoscapesmaldives.com/wp-content/uploads/SAii-Lagoon-Map-without-Rooms-numbers-2024-1.pdf</t>
        </is>
      </c>
      <c r="O367" t="inlineStr">
        <is>
          <t>c273c802233d362deb5309e21e4c1aeceaca1d25745265090d9f841a3db745dc</t>
        </is>
      </c>
      <c r="P367" t="inlineStr">
        <is>
          <t>library/045_saii-lagoon-maldives/map/2024_SAii-Lagoon-Map-without-Rooms-numbers-2024-1.pdf</t>
        </is>
      </c>
      <c r="R367" t="inlineStr">
        <is>
          <t>outdated</t>
        </is>
      </c>
      <c r="S367" t="inlineStr">
        <is>
          <t>Y</t>
        </is>
      </c>
      <c r="T367" t="inlineStr">
        <is>
          <t>matched</t>
        </is>
      </c>
      <c r="U367" t="inlineStr">
        <is>
          <t>2026-10-04</t>
        </is>
      </c>
      <c r="V367" t="inlineStr"/>
    </row>
    <row r="368">
      <c r="A368" t="n">
        <v>46</v>
      </c>
      <c r="B368" t="inlineStr">
        <is>
          <t>SO/ Maldives</t>
        </is>
      </c>
      <c r="C368" t="inlineStr">
        <is>
          <t>factsheet</t>
        </is>
      </c>
      <c r="D368" t="inlineStr">
        <is>
          <t>2025_SO-Maldives-Factsheet_Eng.pdf</t>
        </is>
      </c>
      <c r="E368" t="n">
        <v>2025</v>
      </c>
      <c r="H368" t="n">
        <v>6</v>
      </c>
      <c r="I368" t="n">
        <v>7824</v>
      </c>
      <c r="J368" t="inlineStr">
        <is>
          <t>Y</t>
        </is>
      </c>
      <c r="K368" t="inlineStr">
        <is>
          <t>neoscapesmaldives.com</t>
        </is>
      </c>
      <c r="L368" t="inlineStr">
        <is>
          <t>dmc-agency</t>
        </is>
      </c>
      <c r="M368" t="inlineStr">
        <is>
          <t>https://www.neoscapesmaldives.com/wp-content/uploads/SO-Maldives-Factsheet_Eng.pdf</t>
        </is>
      </c>
      <c r="N368" t="inlineStr">
        <is>
          <t>https://www.neoscapesmaldives.com/wp-content/uploads/SO-Maldives-Factsheet_Eng.pdf</t>
        </is>
      </c>
      <c r="O368" t="inlineStr">
        <is>
          <t>0e6ac36637ec8ab0067708d7e8730953e1095293b7a3f206555bf6ed79c408df</t>
        </is>
      </c>
      <c r="P368" t="inlineStr">
        <is>
          <t>library/046_so-maldives/factsheet/2025_SO-Maldives-Factsheet_Eng.pdf</t>
        </is>
      </c>
      <c r="R368" t="inlineStr">
        <is>
          <t>current</t>
        </is>
      </c>
      <c r="S368" t="inlineStr">
        <is>
          <t>Y</t>
        </is>
      </c>
      <c r="T368" t="inlineStr">
        <is>
          <t>matched</t>
        </is>
      </c>
      <c r="U368" t="inlineStr">
        <is>
          <t>2026-10-04</t>
        </is>
      </c>
      <c r="V368" t="inlineStr"/>
    </row>
    <row r="369">
      <c r="A369" t="n">
        <v>46</v>
      </c>
      <c r="B369" t="inlineStr">
        <is>
          <t>SO/ Maldives</t>
        </is>
      </c>
      <c r="C369" t="inlineStr">
        <is>
          <t>map</t>
        </is>
      </c>
      <c r="D369" t="inlineStr">
        <is>
          <t>2024_SO_Maldives_Resort_Map_-March-11-2024-Updated-1.pdf</t>
        </is>
      </c>
      <c r="E369" t="n">
        <v>2024</v>
      </c>
      <c r="H369" t="n">
        <v>1</v>
      </c>
      <c r="I369" t="n">
        <v>939</v>
      </c>
      <c r="J369" t="inlineStr">
        <is>
          <t>Y</t>
        </is>
      </c>
      <c r="K369" t="inlineStr">
        <is>
          <t>neoscapesmaldives.com</t>
        </is>
      </c>
      <c r="L369" t="inlineStr">
        <is>
          <t>dmc-agency</t>
        </is>
      </c>
      <c r="M369" t="inlineStr">
        <is>
          <t>https://www.neoscapesmaldives.com/wp-content/uploads/SO_Maldives_Resort_Map_-March-11-2024-Updated-1.pdf</t>
        </is>
      </c>
      <c r="N369" t="inlineStr">
        <is>
          <t>https://www.neoscapesmaldives.com/wp-content/uploads/SO_Maldives_Resort_Map_-March-11-2024-Updated-1.pdf</t>
        </is>
      </c>
      <c r="O369" t="inlineStr">
        <is>
          <t>27e3cd9912db14d28643b1a847c348a056e3363831f3266a1db803c51a4ecdf0</t>
        </is>
      </c>
      <c r="P369" t="inlineStr">
        <is>
          <t>library/046_so-maldives/map/2024_SO_Maldives_Resort_Map_-March-11-2024-Updated-1.pdf</t>
        </is>
      </c>
      <c r="R369" t="inlineStr">
        <is>
          <t>outdated</t>
        </is>
      </c>
      <c r="S369" t="inlineStr">
        <is>
          <t>Y</t>
        </is>
      </c>
      <c r="T369" t="inlineStr">
        <is>
          <t>matched</t>
        </is>
      </c>
      <c r="U369" t="inlineStr">
        <is>
          <t>2026-10-04</t>
        </is>
      </c>
      <c r="V369" t="inlineStr"/>
    </row>
    <row r="370">
      <c r="A370" t="n">
        <v>48</v>
      </c>
      <c r="B370" t="inlineStr">
        <is>
          <t>Dusit Thani Maldives</t>
        </is>
      </c>
      <c r="C370" t="inlineStr">
        <is>
          <t>factsheet</t>
        </is>
      </c>
      <c r="D370" t="inlineStr">
        <is>
          <t>2026_New-Dusit-Thani-Maldives-Property-Fact-Sheet-1.pdf</t>
        </is>
      </c>
      <c r="E370" t="n">
        <v>2026</v>
      </c>
      <c r="H370" t="n">
        <v>7</v>
      </c>
      <c r="I370" t="n">
        <v>7328</v>
      </c>
      <c r="J370" t="inlineStr">
        <is>
          <t>Y</t>
        </is>
      </c>
      <c r="K370" t="inlineStr">
        <is>
          <t>neoscapesmaldives.com</t>
        </is>
      </c>
      <c r="L370" t="inlineStr">
        <is>
          <t>dmc-agency</t>
        </is>
      </c>
      <c r="M370" t="inlineStr">
        <is>
          <t>https://www.neoscapesmaldives.com/wp-content/uploads/New-Dusit-Thani-Maldives-Property-Fact-Sheet-1.pdf</t>
        </is>
      </c>
      <c r="N370" t="inlineStr">
        <is>
          <t>https://www.neoscapesmaldives.com/wp-content/uploads/New-Dusit-Thani-Maldives-Property-Fact-Sheet-1.pdf</t>
        </is>
      </c>
      <c r="O370" t="inlineStr">
        <is>
          <t>d86fc1529d55814810ad43cbb73dbdf4f6e0e66790439b2d4826209657a7ee1d</t>
        </is>
      </c>
      <c r="P370" t="inlineStr">
        <is>
          <t>library/048_dusit-thani-maldives/factsheet/2026_New-Dusit-Thani-Maldives-Property-Fact-Sheet-1.pdf</t>
        </is>
      </c>
      <c r="R370" t="inlineStr">
        <is>
          <t>current</t>
        </is>
      </c>
      <c r="S370" t="inlineStr">
        <is>
          <t>Y</t>
        </is>
      </c>
      <c r="T370" t="inlineStr">
        <is>
          <t>matched</t>
        </is>
      </c>
      <c r="U370" t="inlineStr">
        <is>
          <t>2026-10-04</t>
        </is>
      </c>
      <c r="V370" t="inlineStr"/>
    </row>
    <row r="371">
      <c r="A371" t="n">
        <v>48</v>
      </c>
      <c r="B371" t="inlineStr">
        <is>
          <t>Dusit Thani Maldives</t>
        </is>
      </c>
      <c r="C371" t="inlineStr">
        <is>
          <t>map</t>
        </is>
      </c>
      <c r="D371" t="inlineStr">
        <is>
          <t>2024_Dusit-Thani-Maldives-Island-Map.pdf</t>
        </is>
      </c>
      <c r="E371" t="n">
        <v>2024</v>
      </c>
      <c r="H371" t="n">
        <v>2</v>
      </c>
      <c r="I371" t="n">
        <v>1874</v>
      </c>
      <c r="J371" t="inlineStr">
        <is>
          <t>Y</t>
        </is>
      </c>
      <c r="K371" t="inlineStr">
        <is>
          <t>neoscapesmaldives.com</t>
        </is>
      </c>
      <c r="L371" t="inlineStr">
        <is>
          <t>dmc-agency</t>
        </is>
      </c>
      <c r="M371" t="inlineStr">
        <is>
          <t>https://www.neoscapesmaldives.com/wp-content/uploads/Dusit-Thani-Maldives-Island-Map.pdf</t>
        </is>
      </c>
      <c r="N371" t="inlineStr">
        <is>
          <t>https://www.neoscapesmaldives.com/wp-content/uploads/Dusit-Thani-Maldives-Island-Map.pdf</t>
        </is>
      </c>
      <c r="O371" t="inlineStr">
        <is>
          <t>69077361230dc32e3a2f0d4352a70f07b0048a457334f1c9920d88ecde10dcec</t>
        </is>
      </c>
      <c r="P371" t="inlineStr">
        <is>
          <t>library/048_dusit-thani-maldives/map/2024_Dusit-Thani-Maldives-Island-Map.pdf</t>
        </is>
      </c>
      <c r="R371" t="inlineStr">
        <is>
          <t>outdated</t>
        </is>
      </c>
      <c r="S371" t="inlineStr">
        <is>
          <t>Y</t>
        </is>
      </c>
      <c r="T371" t="inlineStr">
        <is>
          <t>matched</t>
        </is>
      </c>
      <c r="U371" t="inlineStr">
        <is>
          <t>2026-10-04</t>
        </is>
      </c>
      <c r="V371" t="inlineStr"/>
    </row>
    <row r="372">
      <c r="A372" t="n">
        <v>49</v>
      </c>
      <c r="B372" t="inlineStr">
        <is>
          <t>Vakkaru Maldives</t>
        </is>
      </c>
      <c r="C372" t="inlineStr">
        <is>
          <t>factsheet</t>
        </is>
      </c>
      <c r="D372" t="inlineStr">
        <is>
          <t>2022_Vakkaru-Maldives-Fact-Sheet-2022.pdf</t>
        </is>
      </c>
      <c r="E372" t="n">
        <v>2022</v>
      </c>
      <c r="H372" t="n">
        <v>4</v>
      </c>
      <c r="I372" t="n">
        <v>5306</v>
      </c>
      <c r="J372" t="inlineStr">
        <is>
          <t>Y</t>
        </is>
      </c>
      <c r="K372" t="inlineStr">
        <is>
          <t>neoscapesmaldives.com</t>
        </is>
      </c>
      <c r="L372" t="inlineStr">
        <is>
          <t>dmc-agency</t>
        </is>
      </c>
      <c r="M372" t="inlineStr">
        <is>
          <t>https://www.neoscapesmaldives.com/wp-content/uploads/Vakkaru-Maldives-Fact-Sheet-2022.pdf</t>
        </is>
      </c>
      <c r="N372" t="inlineStr">
        <is>
          <t>https://www.neoscapesmaldives.com/wp-content/uploads/Vakkaru-Maldives-Fact-Sheet-2022.pdf</t>
        </is>
      </c>
      <c r="O372" t="inlineStr">
        <is>
          <t>c65f4e4bddc0bc31a0158eee110c03dc829454d25948303ba278cac4673dafb8</t>
        </is>
      </c>
      <c r="P372" t="inlineStr">
        <is>
          <t>library/049_vakkaru-maldives/factsheet/2022_Vakkaru-Maldives-Fact-Sheet-2022.pdf</t>
        </is>
      </c>
      <c r="R372" t="inlineStr">
        <is>
          <t>outdated</t>
        </is>
      </c>
      <c r="S372" t="inlineStr">
        <is>
          <t>Y</t>
        </is>
      </c>
      <c r="T372" t="inlineStr">
        <is>
          <t>matched</t>
        </is>
      </c>
      <c r="U372" t="inlineStr">
        <is>
          <t>2026-10-04</t>
        </is>
      </c>
      <c r="V372" t="inlineStr"/>
    </row>
    <row r="373">
      <c r="A373" t="n">
        <v>49</v>
      </c>
      <c r="B373" t="inlineStr">
        <is>
          <t>Vakkaru Maldives</t>
        </is>
      </c>
      <c r="C373" t="inlineStr">
        <is>
          <t>map</t>
        </is>
      </c>
      <c r="D373" t="inlineStr">
        <is>
          <t>2019_Vakkaru-Maldives-Resort-Map-A4.pdf</t>
        </is>
      </c>
      <c r="E373" t="n">
        <v>2019</v>
      </c>
      <c r="H373" t="n">
        <v>1</v>
      </c>
      <c r="I373" t="n">
        <v>997</v>
      </c>
      <c r="J373" t="inlineStr">
        <is>
          <t>Y</t>
        </is>
      </c>
      <c r="K373" t="inlineStr">
        <is>
          <t>neoscapesmaldives.com</t>
        </is>
      </c>
      <c r="L373" t="inlineStr">
        <is>
          <t>dmc-agency</t>
        </is>
      </c>
      <c r="M373" t="inlineStr">
        <is>
          <t>https://www.neoscapesmaldives.com/wp-content/uploads/Vakkaru-Maldives-Resort-Map-A4.pdf</t>
        </is>
      </c>
      <c r="N373" t="inlineStr">
        <is>
          <t>https://www.neoscapesmaldives.com/wp-content/uploads/Vakkaru-Maldives-Resort-Map-A4.pdf</t>
        </is>
      </c>
      <c r="O373" t="inlineStr">
        <is>
          <t>02bbbfe2610044e789cfa6a82f8d8d0ce1514ea0bb9149849dac5d81498d66db</t>
        </is>
      </c>
      <c r="P373" t="inlineStr">
        <is>
          <t>library/049_vakkaru-maldives/map/2019_Vakkaru-Maldives-Resort-Map-A4.pdf</t>
        </is>
      </c>
      <c r="R373" t="inlineStr">
        <is>
          <t>outdated</t>
        </is>
      </c>
      <c r="S373" t="inlineStr">
        <is>
          <t>Y</t>
        </is>
      </c>
      <c r="T373" t="inlineStr">
        <is>
          <t>matched</t>
        </is>
      </c>
      <c r="U373" t="inlineStr">
        <is>
          <t>2026-10-04</t>
        </is>
      </c>
      <c r="V373" t="inlineStr"/>
    </row>
    <row r="374">
      <c r="A374" t="n">
        <v>50</v>
      </c>
      <c r="B374" t="inlineStr">
        <is>
          <t>Sun Siyam Olhuveli Maldives</t>
        </is>
      </c>
      <c r="C374" t="inlineStr">
        <is>
          <t>factsheet</t>
        </is>
      </c>
      <c r="D374" t="inlineStr">
        <is>
          <t>2025_SSO-Factsheet-EN-24_25.pdf</t>
        </is>
      </c>
      <c r="E374" t="n">
        <v>2025</v>
      </c>
      <c r="H374" t="n">
        <v>8</v>
      </c>
      <c r="I374" t="n">
        <v>6395</v>
      </c>
      <c r="J374" t="inlineStr">
        <is>
          <t>Y</t>
        </is>
      </c>
      <c r="K374" t="inlineStr">
        <is>
          <t>neoscapesmaldives.com</t>
        </is>
      </c>
      <c r="L374" t="inlineStr">
        <is>
          <t>dmc-agency</t>
        </is>
      </c>
      <c r="M374" t="inlineStr">
        <is>
          <t>https://www.neoscapesmaldives.com/wp-content/uploads/SSO-Factsheet-EN-24_25.pdf</t>
        </is>
      </c>
      <c r="N374" t="inlineStr">
        <is>
          <t>https://www.neoscapesmaldives.com/wp-content/uploads/SSO-Factsheet-EN-24_25.pdf</t>
        </is>
      </c>
      <c r="O374" t="inlineStr">
        <is>
          <t>bc4d4ab79d193e794992d6039a71d757a1624de8729c483523445fb7c9b5fb8a</t>
        </is>
      </c>
      <c r="P374" t="inlineStr">
        <is>
          <t>library/050_sun-siyam-olhuveli-maldives/factsheet/2025_SSO-Factsheet-EN-24_25.pdf</t>
        </is>
      </c>
      <c r="R374" t="inlineStr">
        <is>
          <t>current</t>
        </is>
      </c>
      <c r="S374" t="inlineStr">
        <is>
          <t>Y</t>
        </is>
      </c>
      <c r="T374" t="inlineStr">
        <is>
          <t>matched</t>
        </is>
      </c>
      <c r="U374" t="inlineStr">
        <is>
          <t>2026-10-04</t>
        </is>
      </c>
      <c r="V374" t="inlineStr"/>
    </row>
    <row r="375">
      <c r="A375" t="n">
        <v>50</v>
      </c>
      <c r="B375" t="inlineStr">
        <is>
          <t>Sun Siyam Olhuveli Maldives</t>
        </is>
      </c>
      <c r="C375" t="inlineStr">
        <is>
          <t>wedding</t>
        </is>
      </c>
      <c r="D375" t="inlineStr">
        <is>
          <t>2025_Olhuveli-Dream-Romance-Map-2025-A4-updated-March-2025-final.pdf</t>
        </is>
      </c>
      <c r="E375" t="n">
        <v>2025</v>
      </c>
      <c r="H375" t="n">
        <v>1</v>
      </c>
      <c r="I375" t="n">
        <v>1402</v>
      </c>
      <c r="J375" t="inlineStr">
        <is>
          <t>Y</t>
        </is>
      </c>
      <c r="K375" t="inlineStr">
        <is>
          <t>neoscapesmaldives.com</t>
        </is>
      </c>
      <c r="L375" t="inlineStr">
        <is>
          <t>dmc-agency</t>
        </is>
      </c>
      <c r="M375" t="inlineStr">
        <is>
          <t>https://www.neoscapesmaldives.com/wp-content/uploads/Olhuveli-Dream-Romance-Map-2025-A4-updated-March-2025-final.pdf</t>
        </is>
      </c>
      <c r="N375" t="inlineStr">
        <is>
          <t>https://www.neoscapesmaldives.com/wp-content/uploads/Olhuveli-Dream-Romance-Map-2025-A4-updated-March-2025-final.pdf</t>
        </is>
      </c>
      <c r="O375" t="inlineStr">
        <is>
          <t>d94f08ae682fb7ef4313b135e49359396380dca469d5069dbaaa074e1e0c5a2c</t>
        </is>
      </c>
      <c r="P375" t="inlineStr">
        <is>
          <t>library/050_sun-siyam-olhuveli-maldives/wedding/2025_Olhuveli-Dream-Romance-Map-2025-A4-updated-March-2025-final.pdf</t>
        </is>
      </c>
      <c r="R375" t="inlineStr">
        <is>
          <t>current</t>
        </is>
      </c>
      <c r="S375" t="inlineStr">
        <is>
          <t>Y</t>
        </is>
      </c>
      <c r="T375" t="inlineStr">
        <is>
          <t>matched</t>
        </is>
      </c>
      <c r="U375" t="inlineStr">
        <is>
          <t>2026-10-04</t>
        </is>
      </c>
      <c r="V375" t="inlineStr"/>
    </row>
    <row r="376">
      <c r="A376" t="n">
        <v>51</v>
      </c>
      <c r="B376" t="inlineStr">
        <is>
          <t>Emerald Maldives Resort &amp; Spa Fasmendho</t>
        </is>
      </c>
      <c r="C376" t="inlineStr">
        <is>
          <t>map</t>
        </is>
      </c>
      <c r="D376" t="inlineStr">
        <is>
          <t>2019_RESORT-MAP-Emerald-Maldives-Resort-Spa.pdf</t>
        </is>
      </c>
      <c r="E376" t="n">
        <v>2019</v>
      </c>
      <c r="H376" t="n">
        <v>1</v>
      </c>
      <c r="I376" t="n">
        <v>6925</v>
      </c>
      <c r="J376" t="inlineStr">
        <is>
          <t>N</t>
        </is>
      </c>
      <c r="K376" t="inlineStr">
        <is>
          <t>neoscapesmaldives.com</t>
        </is>
      </c>
      <c r="L376" t="inlineStr">
        <is>
          <t>dmc-agency</t>
        </is>
      </c>
      <c r="M376" t="inlineStr">
        <is>
          <t>https://www.neoscapesmaldives.com/wp-content/uploads/RESORT-MAP-Emerald-Maldives-Resort-Spa.pdf</t>
        </is>
      </c>
      <c r="N376" t="inlineStr">
        <is>
          <t>https://www.neoscapesmaldives.com/wp-content/uploads/RESORT-MAP-Emerald-Maldives-Resort-Spa.pdf</t>
        </is>
      </c>
      <c r="O376" t="inlineStr">
        <is>
          <t>2f62bb255e3426202acc666107a62d9a886d4d070b75e1eb5b81c100f7691aea</t>
        </is>
      </c>
      <c r="P376" t="inlineStr">
        <is>
          <t>library/051_emerald-maldives-resort-spa-fasmendho/map/2019_RESORT-MAP-Emerald-Maldives-Resort-Spa.pdf</t>
        </is>
      </c>
      <c r="R376" t="inlineStr">
        <is>
          <t>outdated</t>
        </is>
      </c>
      <c r="S376" t="inlineStr">
        <is>
          <t>Y</t>
        </is>
      </c>
      <c r="T376" t="inlineStr">
        <is>
          <t>matched</t>
        </is>
      </c>
      <c r="U376" t="inlineStr">
        <is>
          <t>2026-10-04</t>
        </is>
      </c>
      <c r="V376" t="inlineStr"/>
    </row>
    <row r="377">
      <c r="A377" t="n">
        <v>51</v>
      </c>
      <c r="B377" t="inlineStr">
        <is>
          <t>Emerald Maldives Resort &amp; Spa Fasmendho</t>
        </is>
      </c>
      <c r="C377" t="inlineStr">
        <is>
          <t>spa_menu</t>
        </is>
      </c>
      <c r="D377" t="inlineStr">
        <is>
          <t>2019_E-Brochure-Emerald-Maldives-Resort-Spa.pdf</t>
        </is>
      </c>
      <c r="E377" t="n">
        <v>2019</v>
      </c>
      <c r="H377" t="n">
        <v>6</v>
      </c>
      <c r="I377" t="n">
        <v>5941</v>
      </c>
      <c r="J377" t="inlineStr">
        <is>
          <t>Y</t>
        </is>
      </c>
      <c r="K377" t="inlineStr">
        <is>
          <t>neoscapesmaldives.com</t>
        </is>
      </c>
      <c r="L377" t="inlineStr">
        <is>
          <t>dmc-agency</t>
        </is>
      </c>
      <c r="M377" t="inlineStr">
        <is>
          <t>https://www.neoscapesmaldives.com/wp-content/uploads/E-Brochure-Emerald-Maldives-Resort-Spa.pdf</t>
        </is>
      </c>
      <c r="N377" t="inlineStr">
        <is>
          <t>https://www.neoscapesmaldives.com/wp-content/uploads/E-Brochure-Emerald-Maldives-Resort-Spa.pdf</t>
        </is>
      </c>
      <c r="O377" t="inlineStr">
        <is>
          <t>f48a3cd3ac31b72f34f40918acbce5fe47e3f0f45448f09ecca0a689c540f82f</t>
        </is>
      </c>
      <c r="P377" t="inlineStr">
        <is>
          <t>library/051_emerald-maldives-resort-spa-fasmendho/spa_menu/2019_E-Brochure-Emerald-Maldives-Resort-Spa.pdf</t>
        </is>
      </c>
      <c r="R377" t="inlineStr">
        <is>
          <t>outdated</t>
        </is>
      </c>
      <c r="S377" t="inlineStr">
        <is>
          <t>Y</t>
        </is>
      </c>
      <c r="T377" t="inlineStr">
        <is>
          <t>matched</t>
        </is>
      </c>
      <c r="U377" t="inlineStr">
        <is>
          <t>2026-10-04</t>
        </is>
      </c>
      <c r="V377" t="inlineStr"/>
    </row>
    <row r="378">
      <c r="A378" t="n">
        <v>52</v>
      </c>
      <c r="B378" t="inlineStr">
        <is>
          <t>Eri Maldives</t>
        </is>
      </c>
      <c r="C378" t="inlineStr">
        <is>
          <t>factsheet</t>
        </is>
      </c>
      <c r="D378" t="inlineStr">
        <is>
          <t>2024_Furaveri-Maldives_Factsheet_Rev24102024.pdf</t>
        </is>
      </c>
      <c r="E378" t="n">
        <v>2024</v>
      </c>
      <c r="H378" t="n">
        <v>4</v>
      </c>
      <c r="I378" t="n">
        <v>5097</v>
      </c>
      <c r="J378" t="inlineStr">
        <is>
          <t>Y</t>
        </is>
      </c>
      <c r="K378" t="inlineStr">
        <is>
          <t>neoscapesmaldives.com</t>
        </is>
      </c>
      <c r="L378" t="inlineStr">
        <is>
          <t>dmc-agency</t>
        </is>
      </c>
      <c r="M378" t="inlineStr">
        <is>
          <t>https://www.neoscapesmaldives.com/wp-content/uploads/Furaveri-Maldives_Factsheet_Rev24102024.pdf</t>
        </is>
      </c>
      <c r="N378" t="inlineStr">
        <is>
          <t>https://www.neoscapesmaldives.com/wp-content/uploads/Furaveri-Maldives_Factsheet_Rev24102024.pdf</t>
        </is>
      </c>
      <c r="O378" t="inlineStr">
        <is>
          <t>88875b7fa1a627ab3b37d995eed0ab329dae77543570ee1459e9d39136740cb0</t>
        </is>
      </c>
      <c r="P378" t="inlineStr">
        <is>
          <t>library/052_eri-maldives/factsheet/2024_Furaveri-Maldives_Factsheet_Rev24102024.pdf</t>
        </is>
      </c>
      <c r="R378" t="inlineStr">
        <is>
          <t>outdated</t>
        </is>
      </c>
      <c r="S378" t="inlineStr">
        <is>
          <t>Y</t>
        </is>
      </c>
      <c r="T378" t="inlineStr">
        <is>
          <t>matched</t>
        </is>
      </c>
      <c r="U378" t="inlineStr">
        <is>
          <t>2026-10-04</t>
        </is>
      </c>
      <c r="V378" t="inlineStr"/>
    </row>
    <row r="379">
      <c r="A379" t="n">
        <v>52</v>
      </c>
      <c r="B379" t="inlineStr">
        <is>
          <t>Eri Maldives</t>
        </is>
      </c>
      <c r="C379" t="inlineStr">
        <is>
          <t>map</t>
        </is>
      </c>
      <c r="D379" t="inlineStr">
        <is>
          <t>2024_Island_map_updated-27.10.2024.pdf</t>
        </is>
      </c>
      <c r="E379" t="n">
        <v>2024</v>
      </c>
      <c r="H379" t="n">
        <v>1</v>
      </c>
      <c r="I379" t="n">
        <v>3145</v>
      </c>
      <c r="J379" t="inlineStr">
        <is>
          <t>N</t>
        </is>
      </c>
      <c r="K379" t="inlineStr">
        <is>
          <t>neoscapesmaldives.com</t>
        </is>
      </c>
      <c r="L379" t="inlineStr">
        <is>
          <t>dmc-agency</t>
        </is>
      </c>
      <c r="M379" t="inlineStr">
        <is>
          <t>https://www.neoscapesmaldives.com/wp-content/uploads/Island_map_updated-27.10.2024.pdf</t>
        </is>
      </c>
      <c r="N379" t="inlineStr">
        <is>
          <t>https://www.neoscapesmaldives.com/wp-content/uploads/Island_map_updated-27.10.2024.pdf</t>
        </is>
      </c>
      <c r="O379" t="inlineStr">
        <is>
          <t>1f717f13dd083a65b0d27e67432378bcb6702900f269b4083311f668ab67720c</t>
        </is>
      </c>
      <c r="P379" t="inlineStr">
        <is>
          <t>library/052_eri-maldives/map/2024_Island_map_updated-27.10.2024.pdf</t>
        </is>
      </c>
      <c r="R379" t="inlineStr">
        <is>
          <t>outdated</t>
        </is>
      </c>
      <c r="S379" t="inlineStr">
        <is>
          <t>Y</t>
        </is>
      </c>
      <c r="T379" t="inlineStr">
        <is>
          <t>needs-review</t>
        </is>
      </c>
      <c r="U379" t="inlineStr">
        <is>
          <t>2026-10-04</t>
        </is>
      </c>
      <c r="V379" t="inlineStr">
        <is>
          <t>ambiguous match [52]</t>
        </is>
      </c>
    </row>
    <row r="380">
      <c r="A380" t="n">
        <v>54</v>
      </c>
      <c r="B380" t="inlineStr">
        <is>
          <t>Emerald Faarufushi Resort &amp; Spa</t>
        </is>
      </c>
      <c r="C380" t="inlineStr">
        <is>
          <t>map</t>
        </is>
      </c>
      <c r="D380" t="inlineStr">
        <is>
          <t>2026_Emerald-Faarufushi-Resort-Spa-map.pdf</t>
        </is>
      </c>
      <c r="E380" t="n">
        <v>2026</v>
      </c>
      <c r="H380" t="n">
        <v>1</v>
      </c>
      <c r="I380" t="n">
        <v>539</v>
      </c>
      <c r="J380" t="inlineStr">
        <is>
          <t>N</t>
        </is>
      </c>
      <c r="K380" t="inlineStr">
        <is>
          <t>neoscapesmaldives.com</t>
        </is>
      </c>
      <c r="L380" t="inlineStr">
        <is>
          <t>dmc-agency</t>
        </is>
      </c>
      <c r="M380" t="inlineStr">
        <is>
          <t>https://www.neoscapesmaldives.com/wp-content/uploads/Emerald-Faarufushi-Resort-Spa-map.pdf</t>
        </is>
      </c>
      <c r="N380" t="inlineStr">
        <is>
          <t>https://www.neoscapesmaldives.com/wp-content/uploads/Emerald-Faarufushi-Resort-Spa-map.pdf</t>
        </is>
      </c>
      <c r="O380" t="inlineStr">
        <is>
          <t>de54b0639ce0774502822b10eda7a92544ee288900131a338b6d6bb78ea5096b</t>
        </is>
      </c>
      <c r="P380" t="inlineStr">
        <is>
          <t>library/054_emerald-faarufushi-resort-spa/map/2026_Emerald-Faarufushi-Resort-Spa-map.pdf</t>
        </is>
      </c>
      <c r="R380" t="inlineStr">
        <is>
          <t>current</t>
        </is>
      </c>
      <c r="S380" t="inlineStr">
        <is>
          <t>Y</t>
        </is>
      </c>
      <c r="T380" t="inlineStr">
        <is>
          <t>matched</t>
        </is>
      </c>
      <c r="U380" t="inlineStr">
        <is>
          <t>2026-10-04</t>
        </is>
      </c>
      <c r="V380" t="inlineStr"/>
    </row>
    <row r="381">
      <c r="A381" t="n">
        <v>54</v>
      </c>
      <c r="B381" t="inlineStr">
        <is>
          <t>Emerald Faarufushi Resort &amp; Spa</t>
        </is>
      </c>
      <c r="C381" t="inlineStr">
        <is>
          <t>brochure</t>
        </is>
      </c>
      <c r="D381" t="inlineStr">
        <is>
          <t>2025_Emerald-Faarufushi-Brochure-Web.pdf</t>
        </is>
      </c>
      <c r="E381" t="n">
        <v>2025</v>
      </c>
      <c r="H381" t="n">
        <v>4</v>
      </c>
      <c r="I381" t="n">
        <v>9463</v>
      </c>
      <c r="J381" t="inlineStr">
        <is>
          <t>Y</t>
        </is>
      </c>
      <c r="K381" t="inlineStr">
        <is>
          <t>neoscapesmaldives.com</t>
        </is>
      </c>
      <c r="L381" t="inlineStr">
        <is>
          <t>dmc-agency</t>
        </is>
      </c>
      <c r="M381" t="inlineStr">
        <is>
          <t>https://www.neoscapesmaldives.com/wp-content/uploads/Emerald-Faarufushi-Brochure-Web.pdf</t>
        </is>
      </c>
      <c r="N381" t="inlineStr">
        <is>
          <t>https://www.neoscapesmaldives.com/wp-content/uploads/Emerald-Faarufushi-Brochure-Web.pdf</t>
        </is>
      </c>
      <c r="O381" t="inlineStr">
        <is>
          <t>9d5c2421c5642204879003dbd9b93d0ecf4ab227de2532078a3540e1c8f6d297</t>
        </is>
      </c>
      <c r="P381" t="inlineStr">
        <is>
          <t>library/054_emerald-faarufushi-resort-spa/brochure/2025_Emerald-Faarufushi-Brochure-Web.pdf</t>
        </is>
      </c>
      <c r="R381" t="inlineStr">
        <is>
          <t>current</t>
        </is>
      </c>
      <c r="S381" t="inlineStr">
        <is>
          <t>Y</t>
        </is>
      </c>
      <c r="T381" t="inlineStr">
        <is>
          <t>matched</t>
        </is>
      </c>
      <c r="U381" t="inlineStr">
        <is>
          <t>2026-10-04</t>
        </is>
      </c>
      <c r="V381" t="inlineStr"/>
    </row>
    <row r="382">
      <c r="A382" t="n">
        <v>56</v>
      </c>
      <c r="B382" t="inlineStr">
        <is>
          <t>Four Seasons Resort Maldives at Kuda Huraa</t>
        </is>
      </c>
      <c r="C382" t="inlineStr">
        <is>
          <t>map</t>
        </is>
      </c>
      <c r="D382" t="inlineStr">
        <is>
          <t>2019_KH-Resort-map_v2.pdf</t>
        </is>
      </c>
      <c r="E382" t="n">
        <v>2019</v>
      </c>
      <c r="H382" t="n">
        <v>1</v>
      </c>
      <c r="I382" t="n">
        <v>111</v>
      </c>
      <c r="J382" t="inlineStr">
        <is>
          <t>N</t>
        </is>
      </c>
      <c r="K382" t="inlineStr">
        <is>
          <t>neoscapesmaldives.com</t>
        </is>
      </c>
      <c r="L382" t="inlineStr">
        <is>
          <t>dmc-agency</t>
        </is>
      </c>
      <c r="M382" t="inlineStr">
        <is>
          <t>https://neoscapesmaldives.com/wp-content/uploads/KH-Resort-map_v2.pdf</t>
        </is>
      </c>
      <c r="N382" t="inlineStr">
        <is>
          <t>https://neoscapesmaldives.com/wp-content/uploads/KH-Resort-map_v2.pdf</t>
        </is>
      </c>
      <c r="O382" t="inlineStr">
        <is>
          <t>886d7ec92945303122fb6af664be6dc58cce72aad2f5d6ab3f4d314c507e8475</t>
        </is>
      </c>
      <c r="P382" t="inlineStr">
        <is>
          <t>library/056_four-seasons-resort-maldives-at-kuda-huraa/map/2019_KH-Resort-map_v2.pdf</t>
        </is>
      </c>
      <c r="R382" t="inlineStr">
        <is>
          <t>outdated</t>
        </is>
      </c>
      <c r="S382" t="inlineStr">
        <is>
          <t>Y</t>
        </is>
      </c>
      <c r="T382" t="inlineStr">
        <is>
          <t>needs-review</t>
        </is>
      </c>
      <c r="U382" t="inlineStr">
        <is>
          <t>2026-10-04</t>
        </is>
      </c>
      <c r="V382" t="inlineStr">
        <is>
          <t>ambiguous match [56]</t>
        </is>
      </c>
    </row>
    <row r="383">
      <c r="A383" t="n">
        <v>56</v>
      </c>
      <c r="B383" t="inlineStr">
        <is>
          <t>Four Seasons Resort Maldives at Kuda Huraa</t>
        </is>
      </c>
      <c r="C383" t="inlineStr">
        <is>
          <t>spa_menu</t>
        </is>
      </c>
      <c r="D383" t="inlineStr">
        <is>
          <t>2019_facts-1.pdf</t>
        </is>
      </c>
      <c r="E383" t="n">
        <v>2019</v>
      </c>
      <c r="H383" t="n">
        <v>5</v>
      </c>
      <c r="I383" t="n">
        <v>132</v>
      </c>
      <c r="J383" t="inlineStr">
        <is>
          <t>Y</t>
        </is>
      </c>
      <c r="K383" t="inlineStr">
        <is>
          <t>neoscapesmaldives.com</t>
        </is>
      </c>
      <c r="L383" t="inlineStr">
        <is>
          <t>dmc-agency</t>
        </is>
      </c>
      <c r="M383" t="inlineStr">
        <is>
          <t>https://neoscapesmaldives.com/wp-content/uploads/facts-1.pdf</t>
        </is>
      </c>
      <c r="N383" t="inlineStr">
        <is>
          <t>https://neoscapesmaldives.com/wp-content/uploads/facts-1.pdf</t>
        </is>
      </c>
      <c r="O383" t="inlineStr">
        <is>
          <t>69ef29f4b98fbddfcf7e54cd28848e5841a32e712da9e330dae7fd44ed795c34</t>
        </is>
      </c>
      <c r="P383" t="inlineStr">
        <is>
          <t>library/056_four-seasons-resort-maldives-at-kuda-huraa/spa_menu/2019_facts-1.pdf</t>
        </is>
      </c>
      <c r="R383" t="inlineStr">
        <is>
          <t>outdated</t>
        </is>
      </c>
      <c r="S383" t="inlineStr">
        <is>
          <t>Y</t>
        </is>
      </c>
      <c r="T383" t="inlineStr">
        <is>
          <t>matched</t>
        </is>
      </c>
      <c r="U383" t="inlineStr">
        <is>
          <t>2026-10-04</t>
        </is>
      </c>
      <c r="V383" t="inlineStr"/>
    </row>
    <row r="384">
      <c r="A384" t="n">
        <v>58</v>
      </c>
      <c r="B384" t="inlineStr">
        <is>
          <t>Sirru Fen Fushi</t>
        </is>
      </c>
      <c r="C384" t="inlineStr">
        <is>
          <t>factsheet</t>
        </is>
      </c>
      <c r="D384" t="inlineStr">
        <is>
          <t>2023_Fairmont-Maldives-Fact-Sheet-2023.pdf</t>
        </is>
      </c>
      <c r="E384" t="n">
        <v>2023</v>
      </c>
      <c r="H384" t="n">
        <v>4</v>
      </c>
      <c r="I384" t="n">
        <v>7587</v>
      </c>
      <c r="J384" t="inlineStr">
        <is>
          <t>Y</t>
        </is>
      </c>
      <c r="K384" t="inlineStr">
        <is>
          <t>neoscapesmaldives.com</t>
        </is>
      </c>
      <c r="L384" t="inlineStr">
        <is>
          <t>dmc-agency</t>
        </is>
      </c>
      <c r="M384" t="inlineStr">
        <is>
          <t>https://www.neoscapesmaldives.com/wp-content/uploads/Fairmont-Maldives-Fact-Sheet-2023.pdf</t>
        </is>
      </c>
      <c r="N384" t="inlineStr">
        <is>
          <t>https://www.neoscapesmaldives.com/wp-content/uploads/Fairmont-Maldives-Fact-Sheet-2023.pdf</t>
        </is>
      </c>
      <c r="O384" t="inlineStr">
        <is>
          <t>95b0d873e7b016c64b8ad963f230d7698811b6f42e0cd05163e5af0ad7e4db45</t>
        </is>
      </c>
      <c r="P384" t="inlineStr">
        <is>
          <t>library/058_sirru-fen-fushi/factsheet/2023_Fairmont-Maldives-Fact-Sheet-2023.pdf</t>
        </is>
      </c>
      <c r="R384" t="inlineStr">
        <is>
          <t>outdated</t>
        </is>
      </c>
      <c r="S384" t="inlineStr">
        <is>
          <t>Y</t>
        </is>
      </c>
      <c r="T384" t="inlineStr">
        <is>
          <t>matched</t>
        </is>
      </c>
      <c r="U384" t="inlineStr">
        <is>
          <t>2026-10-04</t>
        </is>
      </c>
      <c r="V384" t="inlineStr"/>
    </row>
    <row r="385">
      <c r="A385" t="n">
        <v>58</v>
      </c>
      <c r="B385" t="inlineStr">
        <is>
          <t>Sirru Fen Fushi</t>
        </is>
      </c>
      <c r="C385" t="inlineStr">
        <is>
          <t>map</t>
        </is>
      </c>
      <c r="D385" t="inlineStr">
        <is>
          <t>2019_Fairmont-Maldives_ISLAND-MAP.pdf</t>
        </is>
      </c>
      <c r="E385" t="n">
        <v>2019</v>
      </c>
      <c r="H385" t="n">
        <v>2</v>
      </c>
      <c r="I385" t="n">
        <v>587</v>
      </c>
      <c r="J385" t="inlineStr">
        <is>
          <t>Y</t>
        </is>
      </c>
      <c r="K385" t="inlineStr">
        <is>
          <t>neoscapesmaldives.com</t>
        </is>
      </c>
      <c r="L385" t="inlineStr">
        <is>
          <t>dmc-agency</t>
        </is>
      </c>
      <c r="M385" t="inlineStr">
        <is>
          <t>https://neoscapesmaldives.com/wp-content/uploads/Fairmont-Maldives_ISLAND-MAP.pdf</t>
        </is>
      </c>
      <c r="N385" t="inlineStr">
        <is>
          <t>https://neoscapesmaldives.com/wp-content/uploads/Fairmont-Maldives_ISLAND-MAP.pdf</t>
        </is>
      </c>
      <c r="O385" t="inlineStr">
        <is>
          <t>946ebdb30c501805f96a120b3ba9d573e1ae802c6aad798f76c699bbeeb41e8e</t>
        </is>
      </c>
      <c r="P385" t="inlineStr">
        <is>
          <t>library/058_sirru-fen-fushi/map/2019_Fairmont-Maldives_ISLAND-MAP.pdf</t>
        </is>
      </c>
      <c r="R385" t="inlineStr">
        <is>
          <t>outdated</t>
        </is>
      </c>
      <c r="S385" t="inlineStr">
        <is>
          <t>Y</t>
        </is>
      </c>
      <c r="T385" t="inlineStr">
        <is>
          <t>matched</t>
        </is>
      </c>
      <c r="U385" t="inlineStr">
        <is>
          <t>2026-10-04</t>
        </is>
      </c>
      <c r="V385" t="inlineStr"/>
    </row>
    <row r="386">
      <c r="A386" t="n">
        <v>58</v>
      </c>
      <c r="B386" t="inlineStr">
        <is>
          <t>Sirru Fen Fushi</t>
        </is>
      </c>
      <c r="C386" t="inlineStr">
        <is>
          <t>dive_prices</t>
        </is>
      </c>
      <c r="D386" t="inlineStr">
        <is>
          <t>2019_Fairmont-Maldives_House-Reef-Snorkeling-and-Diving-Spots.pdf</t>
        </is>
      </c>
      <c r="E386" t="n">
        <v>2019</v>
      </c>
      <c r="H386" t="n">
        <v>1</v>
      </c>
      <c r="I386" t="n">
        <v>2652</v>
      </c>
      <c r="J386" t="inlineStr">
        <is>
          <t>Y</t>
        </is>
      </c>
      <c r="K386" t="inlineStr">
        <is>
          <t>neoscapesmaldives.com</t>
        </is>
      </c>
      <c r="L386" t="inlineStr">
        <is>
          <t>dmc-agency</t>
        </is>
      </c>
      <c r="M386" t="inlineStr">
        <is>
          <t>https://neoscapesmaldives.com/wp-content/uploads/Fairmont-Maldives_House-Reef-Snorkeling-and-Diving-Spots.pdf</t>
        </is>
      </c>
      <c r="N386" t="inlineStr">
        <is>
          <t>https://neoscapesmaldives.com/wp-content/uploads/Fairmont-Maldives_House-Reef-Snorkeling-and-Diving-Spots.pdf</t>
        </is>
      </c>
      <c r="O386" t="inlineStr">
        <is>
          <t>11d63d7fee0ca273862e1d69367f0e8d0251256413d4818c92c59871d808e01a</t>
        </is>
      </c>
      <c r="P386" t="inlineStr">
        <is>
          <t>library/058_sirru-fen-fushi/dive_prices/2019_Fairmont-Maldives_House-Reef-Snorkeling-and-Diving-Spots.pdf</t>
        </is>
      </c>
      <c r="R386" t="inlineStr">
        <is>
          <t>outdated</t>
        </is>
      </c>
      <c r="S386" t="inlineStr">
        <is>
          <t>Y</t>
        </is>
      </c>
      <c r="T386" t="inlineStr">
        <is>
          <t>matched</t>
        </is>
      </c>
      <c r="U386" t="inlineStr">
        <is>
          <t>2026-10-04</t>
        </is>
      </c>
      <c r="V386" t="inlineStr"/>
    </row>
    <row r="387">
      <c r="A387" t="n">
        <v>59</v>
      </c>
      <c r="B387" t="inlineStr">
        <is>
          <t>Jumeirah Maldives Olhahali Island</t>
        </is>
      </c>
      <c r="C387" t="inlineStr">
        <is>
          <t>factsheet</t>
        </is>
      </c>
      <c r="D387" t="inlineStr">
        <is>
          <t>2025_Jumeirah-Olhahali-Island-Resort-Factsheet-2025.pdf</t>
        </is>
      </c>
      <c r="E387" t="n">
        <v>2025</v>
      </c>
      <c r="H387" t="n">
        <v>12</v>
      </c>
      <c r="I387" t="n">
        <v>2725</v>
      </c>
      <c r="J387" t="inlineStr">
        <is>
          <t>Y</t>
        </is>
      </c>
      <c r="K387" t="inlineStr">
        <is>
          <t>neoscapesmaldives.com</t>
        </is>
      </c>
      <c r="L387" t="inlineStr">
        <is>
          <t>dmc-agency</t>
        </is>
      </c>
      <c r="M387" t="inlineStr">
        <is>
          <t>https://www.neoscapesmaldives.com/wp-content/uploads/Jumeirah-Olhahali-Island-Resort-Factsheet-2025.pdf</t>
        </is>
      </c>
      <c r="N387" t="inlineStr">
        <is>
          <t>https://www.neoscapesmaldives.com/wp-content/uploads/Jumeirah-Olhahali-Island-Resort-Factsheet-2025.pdf</t>
        </is>
      </c>
      <c r="O387" t="inlineStr">
        <is>
          <t>c8c77201ac7ffb8a45a206ffad81786cd9387ba91b6368abceec973ad76d3324</t>
        </is>
      </c>
      <c r="P387" t="inlineStr">
        <is>
          <t>library/059_jumeirah-maldives-olhahali-island/factsheet/2025_Jumeirah-Olhahali-Island-Resort-Factsheet-2025.pdf</t>
        </is>
      </c>
      <c r="R387" t="inlineStr">
        <is>
          <t>current</t>
        </is>
      </c>
      <c r="S387" t="inlineStr">
        <is>
          <t>Y</t>
        </is>
      </c>
      <c r="T387" t="inlineStr">
        <is>
          <t>matched</t>
        </is>
      </c>
      <c r="U387" t="inlineStr">
        <is>
          <t>2026-10-04</t>
        </is>
      </c>
      <c r="V387" t="inlineStr"/>
    </row>
    <row r="388">
      <c r="A388" t="n">
        <v>59</v>
      </c>
      <c r="B388" t="inlineStr">
        <is>
          <t>Jumeirah Maldives Olhahali Island</t>
        </is>
      </c>
      <c r="C388" t="inlineStr">
        <is>
          <t>map</t>
        </is>
      </c>
      <c r="D388" t="inlineStr">
        <is>
          <t>2025_Jumeirah-Olhahali-Island-Resort-Map-2025.pdf</t>
        </is>
      </c>
      <c r="E388" t="n">
        <v>2025</v>
      </c>
      <c r="H388" t="n">
        <v>1</v>
      </c>
      <c r="I388" t="n">
        <v>1365</v>
      </c>
      <c r="J388" t="inlineStr">
        <is>
          <t>N</t>
        </is>
      </c>
      <c r="K388" t="inlineStr">
        <is>
          <t>neoscapesmaldives.com</t>
        </is>
      </c>
      <c r="L388" t="inlineStr">
        <is>
          <t>dmc-agency</t>
        </is>
      </c>
      <c r="M388" t="inlineStr">
        <is>
          <t>https://www.neoscapesmaldives.com/wp-content/uploads/Jumeirah-Olhahali-Island-Resort-Map-2025.pdf</t>
        </is>
      </c>
      <c r="N388" t="inlineStr">
        <is>
          <t>https://www.neoscapesmaldives.com/wp-content/uploads/Jumeirah-Olhahali-Island-Resort-Map-2025.pdf</t>
        </is>
      </c>
      <c r="O388" t="inlineStr">
        <is>
          <t>667731aeb3ed1a2d21b0cc02be030bc99acafd760e81deae59b7ee7f697b556a</t>
        </is>
      </c>
      <c r="P388" t="inlineStr">
        <is>
          <t>library/059_jumeirah-maldives-olhahali-island/map/2025_Jumeirah-Olhahali-Island-Resort-Map-2025.pdf</t>
        </is>
      </c>
      <c r="R388" t="inlineStr">
        <is>
          <t>current</t>
        </is>
      </c>
      <c r="S388" t="inlineStr">
        <is>
          <t>Y</t>
        </is>
      </c>
      <c r="T388" t="inlineStr">
        <is>
          <t>matched</t>
        </is>
      </c>
      <c r="U388" t="inlineStr">
        <is>
          <t>2026-10-04</t>
        </is>
      </c>
      <c r="V388" t="inlineStr"/>
    </row>
    <row r="389">
      <c r="A389" t="n">
        <v>62</v>
      </c>
      <c r="B389" t="inlineStr">
        <is>
          <t>Cora Cora Maldives</t>
        </is>
      </c>
      <c r="C389" t="inlineStr">
        <is>
          <t>factsheet</t>
        </is>
      </c>
      <c r="D389" t="inlineStr">
        <is>
          <t>2021_CCM-Factsheet.pdf</t>
        </is>
      </c>
      <c r="E389" t="n">
        <v>2021</v>
      </c>
      <c r="H389" t="n">
        <v>6</v>
      </c>
      <c r="I389" t="n">
        <v>3244</v>
      </c>
      <c r="J389" t="inlineStr">
        <is>
          <t>Y</t>
        </is>
      </c>
      <c r="K389" t="inlineStr">
        <is>
          <t>neoscapesmaldives.com</t>
        </is>
      </c>
      <c r="L389" t="inlineStr">
        <is>
          <t>dmc-agency</t>
        </is>
      </c>
      <c r="M389" t="inlineStr">
        <is>
          <t>https://www.neoscapesmaldives.com/wp-content/uploads/CCM-Factsheet.pdf</t>
        </is>
      </c>
      <c r="N389" t="inlineStr">
        <is>
          <t>https://www.neoscapesmaldives.com/wp-content/uploads/CCM-Factsheet.pdf</t>
        </is>
      </c>
      <c r="O389" t="inlineStr">
        <is>
          <t>bfebc8900b4aadfa732e6be0148afb0e00bc85ed19cc2abebfc0aa9e3bd9d4a0</t>
        </is>
      </c>
      <c r="P389" t="inlineStr">
        <is>
          <t>library/062_cora-cora-maldives/factsheet/2021_CCM-Factsheet.pdf</t>
        </is>
      </c>
      <c r="R389" t="inlineStr">
        <is>
          <t>outdated</t>
        </is>
      </c>
      <c r="S389" t="inlineStr">
        <is>
          <t>Y</t>
        </is>
      </c>
      <c r="T389" t="inlineStr">
        <is>
          <t>matched</t>
        </is>
      </c>
      <c r="U389" t="inlineStr">
        <is>
          <t>2026-10-04</t>
        </is>
      </c>
      <c r="V389" t="inlineStr"/>
    </row>
    <row r="390">
      <c r="A390" t="n">
        <v>62</v>
      </c>
      <c r="B390" t="inlineStr">
        <is>
          <t>Cora Cora Maldives</t>
        </is>
      </c>
      <c r="C390" t="inlineStr">
        <is>
          <t>map</t>
        </is>
      </c>
      <c r="D390" t="inlineStr">
        <is>
          <t>2025_CCM-Island-Map-1.pdf</t>
        </is>
      </c>
      <c r="E390" t="n">
        <v>2025</v>
      </c>
      <c r="H390" t="n">
        <v>1</v>
      </c>
      <c r="I390" t="n">
        <v>4089</v>
      </c>
      <c r="J390" t="inlineStr">
        <is>
          <t>Y</t>
        </is>
      </c>
      <c r="K390" t="inlineStr">
        <is>
          <t>neoscapesmaldives.com</t>
        </is>
      </c>
      <c r="L390" t="inlineStr">
        <is>
          <t>dmc-agency</t>
        </is>
      </c>
      <c r="M390" t="inlineStr">
        <is>
          <t>https://www.neoscapesmaldives.com/wp-content/uploads/CCM-Island-Map-1.pdf</t>
        </is>
      </c>
      <c r="N390" t="inlineStr">
        <is>
          <t>https://www.neoscapesmaldives.com/wp-content/uploads/CCM-Island-Map-1.pdf</t>
        </is>
      </c>
      <c r="O390" t="inlineStr">
        <is>
          <t>f112acf98761e0a94073f473ab2831c8889a8beb662b33b10ab243b1dd079e40</t>
        </is>
      </c>
      <c r="P390" t="inlineStr">
        <is>
          <t>library/062_cora-cora-maldives/map/2025_CCM-Island-Map-1.pdf</t>
        </is>
      </c>
      <c r="R390" t="inlineStr">
        <is>
          <t>current</t>
        </is>
      </c>
      <c r="S390" t="inlineStr">
        <is>
          <t>Y</t>
        </is>
      </c>
      <c r="T390" t="inlineStr">
        <is>
          <t>needs-review</t>
        </is>
      </c>
      <c r="U390" t="inlineStr">
        <is>
          <t>2026-10-04</t>
        </is>
      </c>
      <c r="V390" t="inlineStr">
        <is>
          <t>ambiguous match [62]</t>
        </is>
      </c>
    </row>
    <row r="391">
      <c r="A391" t="n">
        <v>64</v>
      </c>
      <c r="B391" t="inlineStr">
        <is>
          <t>Radisson Blu Resort Maldives</t>
        </is>
      </c>
      <c r="C391" t="inlineStr">
        <is>
          <t>map</t>
        </is>
      </c>
      <c r="D391" t="inlineStr">
        <is>
          <t>2025_Radisson-Blu-Resort-Maldives-Map.pdf</t>
        </is>
      </c>
      <c r="E391" t="n">
        <v>2025</v>
      </c>
      <c r="H391" t="n">
        <v>1</v>
      </c>
      <c r="I391" t="n">
        <v>1626</v>
      </c>
      <c r="J391" t="inlineStr">
        <is>
          <t>N</t>
        </is>
      </c>
      <c r="K391" t="inlineStr">
        <is>
          <t>neoscapesmaldives.com</t>
        </is>
      </c>
      <c r="L391" t="inlineStr">
        <is>
          <t>dmc-agency</t>
        </is>
      </c>
      <c r="M391" t="inlineStr">
        <is>
          <t>https://www.neoscapesmaldives.com/wp-content/uploads/Radisson-Blu-Resort-Maldives-Map.pdf</t>
        </is>
      </c>
      <c r="N391" t="inlineStr">
        <is>
          <t>https://www.neoscapesmaldives.com/wp-content/uploads/Radisson-Blu-Resort-Maldives-Map.pdf</t>
        </is>
      </c>
      <c r="O391" t="inlineStr">
        <is>
          <t>c10fee1c9d082243c2bddfb507906931224783e01b343539dc499fac550401a9</t>
        </is>
      </c>
      <c r="P391" t="inlineStr">
        <is>
          <t>library/064_radisson-blu-resort-maldives/map/2025_Radisson-Blu-Resort-Maldives-Map.pdf</t>
        </is>
      </c>
      <c r="R391" t="inlineStr">
        <is>
          <t>current</t>
        </is>
      </c>
      <c r="S391" t="inlineStr">
        <is>
          <t>Y</t>
        </is>
      </c>
      <c r="T391" t="inlineStr">
        <is>
          <t>matched</t>
        </is>
      </c>
      <c r="U391" t="inlineStr">
        <is>
          <t>2026-10-04</t>
        </is>
      </c>
      <c r="V391" t="inlineStr"/>
    </row>
    <row r="392">
      <c r="A392" t="n">
        <v>64</v>
      </c>
      <c r="B392" t="inlineStr">
        <is>
          <t>Radisson Blu Resort Maldives</t>
        </is>
      </c>
      <c r="C392" t="inlineStr">
        <is>
          <t>press_kit</t>
        </is>
      </c>
      <c r="D392" t="inlineStr">
        <is>
          <t>2025_Radisson-Blu-Resort-Maldives-August_2025_Newsletter.pdf</t>
        </is>
      </c>
      <c r="E392" t="n">
        <v>2025</v>
      </c>
      <c r="H392" t="n">
        <v>19</v>
      </c>
      <c r="I392" t="n">
        <v>5207</v>
      </c>
      <c r="J392" t="inlineStr">
        <is>
          <t>Y</t>
        </is>
      </c>
      <c r="K392" t="inlineStr">
        <is>
          <t>neoscapesmaldives.com</t>
        </is>
      </c>
      <c r="L392" t="inlineStr">
        <is>
          <t>dmc-agency</t>
        </is>
      </c>
      <c r="M392" t="inlineStr">
        <is>
          <t>https://www.neoscapesmaldives.com/wp-content/uploads/Radisson-Blu-Resort-Maldives-August_2025_Newsletter.pdf</t>
        </is>
      </c>
      <c r="N392" t="inlineStr">
        <is>
          <t>https://www.neoscapesmaldives.com/wp-content/uploads/Radisson-Blu-Resort-Maldives-August_2025_Newsletter.pdf</t>
        </is>
      </c>
      <c r="O392" t="inlineStr">
        <is>
          <t>8ff781ac63a437375958d4b57280baf47c0566379eaaa77c18e9105aee4ddae8</t>
        </is>
      </c>
      <c r="P392" t="inlineStr">
        <is>
          <t>library/064_radisson-blu-resort-maldives/press_kit/2025_Radisson-Blu-Resort-Maldives-August_2025_Newsletter.pdf</t>
        </is>
      </c>
      <c r="R392" t="inlineStr">
        <is>
          <t>current</t>
        </is>
      </c>
      <c r="S392" t="inlineStr">
        <is>
          <t>Y</t>
        </is>
      </c>
      <c r="T392" t="inlineStr">
        <is>
          <t>matched</t>
        </is>
      </c>
      <c r="U392" t="inlineStr">
        <is>
          <t>2026-10-04</t>
        </is>
      </c>
      <c r="V392" t="inlineStr"/>
    </row>
    <row r="393">
      <c r="A393" t="n">
        <v>65</v>
      </c>
      <c r="B393" t="inlineStr">
        <is>
          <t>Cheval Blanc Randheli</t>
        </is>
      </c>
      <c r="C393" t="inlineStr">
        <is>
          <t>factsheet</t>
        </is>
      </c>
      <c r="D393" t="inlineStr">
        <is>
          <t>2022_Cheval-Blanc-Randheli-Factsheet.pdf</t>
        </is>
      </c>
      <c r="E393" t="n">
        <v>2022</v>
      </c>
      <c r="H393" t="n">
        <v>2</v>
      </c>
      <c r="I393" t="n">
        <v>580</v>
      </c>
      <c r="J393" t="inlineStr">
        <is>
          <t>Y</t>
        </is>
      </c>
      <c r="K393" t="inlineStr">
        <is>
          <t>neoscapesmaldives.com</t>
        </is>
      </c>
      <c r="L393" t="inlineStr">
        <is>
          <t>dmc-agency</t>
        </is>
      </c>
      <c r="M393" t="inlineStr">
        <is>
          <t>https://www.neoscapesmaldives.com/wp-content/uploads/Cheval-Blanc-Randheli-Factsheet.pdf</t>
        </is>
      </c>
      <c r="N393" t="inlineStr">
        <is>
          <t>https://www.neoscapesmaldives.com/wp-content/uploads/Cheval-Blanc-Randheli-Factsheet.pdf</t>
        </is>
      </c>
      <c r="O393" t="inlineStr">
        <is>
          <t>81c625ad9c4f4b1ec792543edfadd11e873430a9bca9a7742fee85bd9a094d6e</t>
        </is>
      </c>
      <c r="P393" t="inlineStr">
        <is>
          <t>library/065_cheval-blanc-randheli/factsheet/2022_Cheval-Blanc-Randheli-Factsheet.pdf</t>
        </is>
      </c>
      <c r="R393" t="inlineStr">
        <is>
          <t>outdated</t>
        </is>
      </c>
      <c r="S393" t="inlineStr">
        <is>
          <t>Y</t>
        </is>
      </c>
      <c r="T393" t="inlineStr">
        <is>
          <t>matched</t>
        </is>
      </c>
      <c r="U393" t="inlineStr">
        <is>
          <t>2026-10-04</t>
        </is>
      </c>
      <c r="V393" t="inlineStr"/>
    </row>
    <row r="394">
      <c r="A394" t="n">
        <v>65</v>
      </c>
      <c r="B394" t="inlineStr">
        <is>
          <t>Cheval Blanc Randheli</t>
        </is>
      </c>
      <c r="C394" t="inlineStr">
        <is>
          <t>factsheet</t>
        </is>
      </c>
      <c r="D394" t="inlineStr">
        <is>
          <t>2018_Cheval-Blanc-Randheli-Factsheet-EN.pdf</t>
        </is>
      </c>
      <c r="E394" t="n">
        <v>2018</v>
      </c>
      <c r="H394" t="n">
        <v>2</v>
      </c>
      <c r="I394" t="n">
        <v>455</v>
      </c>
      <c r="J394" t="inlineStr">
        <is>
          <t>Y</t>
        </is>
      </c>
      <c r="K394" t="inlineStr">
        <is>
          <t>neoscapesmaldives.com</t>
        </is>
      </c>
      <c r="L394" t="inlineStr">
        <is>
          <t>dmc-agency</t>
        </is>
      </c>
      <c r="M394" t="inlineStr">
        <is>
          <t>https://www.neoscapesmaldives.com/wp-content/uploads/Cheval-Blanc-Randheli-Factsheet-EN.pdf</t>
        </is>
      </c>
      <c r="N394" t="inlineStr">
        <is>
          <t>https://www.neoscapesmaldives.com/wp-content/uploads/Cheval-Blanc-Randheli-Factsheet-EN.pdf</t>
        </is>
      </c>
      <c r="O394" t="inlineStr">
        <is>
          <t>7c210e865fef54f915e2599c9be10457f80352a37ebe68f24dfa4696f1becffc</t>
        </is>
      </c>
      <c r="P394" t="inlineStr">
        <is>
          <t>library/065_cheval-blanc-randheli/factsheet/2018_Cheval-Blanc-Randheli-Factsheet-EN.pdf</t>
        </is>
      </c>
      <c r="R394" t="inlineStr">
        <is>
          <t>outdated</t>
        </is>
      </c>
      <c r="S394" t="inlineStr">
        <is>
          <t>N</t>
        </is>
      </c>
      <c r="T394" t="inlineStr">
        <is>
          <t>matched</t>
        </is>
      </c>
      <c r="U394" t="inlineStr">
        <is>
          <t>2026-10-04</t>
        </is>
      </c>
      <c r="V394" t="inlineStr"/>
    </row>
    <row r="395">
      <c r="A395" t="n">
        <v>66</v>
      </c>
      <c r="B395" t="inlineStr">
        <is>
          <t>Como Maalifushi</t>
        </is>
      </c>
      <c r="C395" t="inlineStr">
        <is>
          <t>factsheet</t>
        </is>
      </c>
      <c r="D395" t="inlineStr">
        <is>
          <t>2019_COMO-Maalifushi-Fact-Sheet.pdf</t>
        </is>
      </c>
      <c r="E395" t="n">
        <v>2019</v>
      </c>
      <c r="H395" t="n">
        <v>11</v>
      </c>
      <c r="I395" t="n">
        <v>7349</v>
      </c>
      <c r="J395" t="inlineStr">
        <is>
          <t>Y</t>
        </is>
      </c>
      <c r="K395" t="inlineStr">
        <is>
          <t>neoscapesmaldives.com</t>
        </is>
      </c>
      <c r="L395" t="inlineStr">
        <is>
          <t>dmc-agency</t>
        </is>
      </c>
      <c r="M395" t="inlineStr">
        <is>
          <t>https://neoscapesmaldives.com/wp-content/uploads/COMO-Maalifushi-Fact-Sheet.pdf</t>
        </is>
      </c>
      <c r="N395" t="inlineStr">
        <is>
          <t>https://neoscapesmaldives.com/wp-content/uploads/COMO-Maalifushi-Fact-Sheet.pdf</t>
        </is>
      </c>
      <c r="O395" t="inlineStr">
        <is>
          <t>6bd9c06a4d43e0772ad94b315a1f5fcf24fc750da311f6fa85ef20a4de19cf72</t>
        </is>
      </c>
      <c r="P395" t="inlineStr">
        <is>
          <t>library/066_como-maalifushi/factsheet/2019_COMO-Maalifushi-Fact-Sheet.pdf</t>
        </is>
      </c>
      <c r="R395" t="inlineStr">
        <is>
          <t>outdated</t>
        </is>
      </c>
      <c r="S395" t="inlineStr">
        <is>
          <t>Y</t>
        </is>
      </c>
      <c r="T395" t="inlineStr">
        <is>
          <t>matched</t>
        </is>
      </c>
      <c r="U395" t="inlineStr">
        <is>
          <t>2026-10-04</t>
        </is>
      </c>
      <c r="V395" t="inlineStr"/>
    </row>
    <row r="396">
      <c r="A396" t="n">
        <v>66</v>
      </c>
      <c r="B396" t="inlineStr">
        <is>
          <t>Como Maalifushi</t>
        </is>
      </c>
      <c r="C396" t="inlineStr">
        <is>
          <t>map</t>
        </is>
      </c>
      <c r="D396" t="inlineStr">
        <is>
          <t>2019_COMO-Maalifushi-Island-Map.pdf</t>
        </is>
      </c>
      <c r="E396" t="n">
        <v>2019</v>
      </c>
      <c r="H396" t="n">
        <v>1</v>
      </c>
      <c r="I396" t="n">
        <v>2478</v>
      </c>
      <c r="J396" t="inlineStr">
        <is>
          <t>N</t>
        </is>
      </c>
      <c r="K396" t="inlineStr">
        <is>
          <t>neoscapesmaldives.com</t>
        </is>
      </c>
      <c r="L396" t="inlineStr">
        <is>
          <t>dmc-agency</t>
        </is>
      </c>
      <c r="M396" t="inlineStr">
        <is>
          <t>https://neoscapesmaldives.com/wp-content/uploads/COMO-Maalifushi-Island-Map.pdf</t>
        </is>
      </c>
      <c r="N396" t="inlineStr">
        <is>
          <t>https://neoscapesmaldives.com/wp-content/uploads/COMO-Maalifushi-Island-Map.pdf</t>
        </is>
      </c>
      <c r="O396" t="inlineStr">
        <is>
          <t>c624bc434b81d21b74c779a88daaaa59299ec07e2153fb2e25b59353e6b552f9</t>
        </is>
      </c>
      <c r="P396" t="inlineStr">
        <is>
          <t>library/066_como-maalifushi/map/2019_COMO-Maalifushi-Island-Map.pdf</t>
        </is>
      </c>
      <c r="R396" t="inlineStr">
        <is>
          <t>outdated</t>
        </is>
      </c>
      <c r="S396" t="inlineStr">
        <is>
          <t>Y</t>
        </is>
      </c>
      <c r="T396" t="inlineStr">
        <is>
          <t>matched</t>
        </is>
      </c>
      <c r="U396" t="inlineStr">
        <is>
          <t>2026-10-04</t>
        </is>
      </c>
      <c r="V396" t="inlineStr"/>
    </row>
    <row r="397">
      <c r="A397" t="n">
        <v>67</v>
      </c>
      <c r="B397" t="inlineStr">
        <is>
          <t>Waldorf Astoria Maldives Ithaafushi</t>
        </is>
      </c>
      <c r="C397" t="inlineStr">
        <is>
          <t>factsheet</t>
        </is>
      </c>
      <c r="D397" t="inlineStr">
        <is>
          <t>2025_Fact-Sheet.pdf</t>
        </is>
      </c>
      <c r="E397" t="n">
        <v>2025</v>
      </c>
      <c r="H397" t="n">
        <v>4</v>
      </c>
      <c r="I397" t="n">
        <v>2535</v>
      </c>
      <c r="J397" t="inlineStr">
        <is>
          <t>Y</t>
        </is>
      </c>
      <c r="K397" t="inlineStr">
        <is>
          <t>neoscapesmaldives.com</t>
        </is>
      </c>
      <c r="L397" t="inlineStr">
        <is>
          <t>dmc-agency</t>
        </is>
      </c>
      <c r="M397" t="inlineStr">
        <is>
          <t>https://www.neoscapesmaldives.com/wp-content/uploads/Fact-Sheet.pdf</t>
        </is>
      </c>
      <c r="N397" t="inlineStr">
        <is>
          <t>https://www.neoscapesmaldives.com/wp-content/uploads/Fact-Sheet.pdf</t>
        </is>
      </c>
      <c r="O397" t="inlineStr">
        <is>
          <t>5c8a537273268db7a5b28cd9627a7d1816482746ea564d1e2a10379497b7c68b</t>
        </is>
      </c>
      <c r="P397" t="inlineStr">
        <is>
          <t>library/067_waldorf-astoria-maldives-ithaafushi/factsheet/2025_Fact-Sheet.pdf</t>
        </is>
      </c>
      <c r="R397" t="inlineStr">
        <is>
          <t>current</t>
        </is>
      </c>
      <c r="S397" t="inlineStr">
        <is>
          <t>Y</t>
        </is>
      </c>
      <c r="T397" t="inlineStr">
        <is>
          <t>matched</t>
        </is>
      </c>
      <c r="U397" t="inlineStr">
        <is>
          <t>2026-10-04</t>
        </is>
      </c>
      <c r="V397" t="inlineStr"/>
    </row>
    <row r="398">
      <c r="A398" t="n">
        <v>67</v>
      </c>
      <c r="B398" t="inlineStr">
        <is>
          <t>Waldorf Astoria Maldives Ithaafushi</t>
        </is>
      </c>
      <c r="C398" t="inlineStr">
        <is>
          <t>factsheet</t>
        </is>
      </c>
      <c r="D398" t="inlineStr">
        <is>
          <t>2023_Ithaafushi-The-Private-Island-Fact-Sheet_2023-1.pdf</t>
        </is>
      </c>
      <c r="E398" t="n">
        <v>2023</v>
      </c>
      <c r="H398" t="n">
        <v>4</v>
      </c>
      <c r="I398" t="n">
        <v>1461</v>
      </c>
      <c r="J398" t="inlineStr">
        <is>
          <t>Y</t>
        </is>
      </c>
      <c r="K398" t="inlineStr">
        <is>
          <t>neoscapesmaldives.com</t>
        </is>
      </c>
      <c r="L398" t="inlineStr">
        <is>
          <t>dmc-agency</t>
        </is>
      </c>
      <c r="M398" t="inlineStr">
        <is>
          <t>https://www.neoscapesmaldives.com/wp-content/uploads/Ithaafushi-The-Private-Island-Fact-Sheet_2023-1.pdf</t>
        </is>
      </c>
      <c r="N398" t="inlineStr">
        <is>
          <t>https://www.neoscapesmaldives.com/wp-content/uploads/Ithaafushi-The-Private-Island-Fact-Sheet_2023-1.pdf</t>
        </is>
      </c>
      <c r="O398" t="inlineStr">
        <is>
          <t>945fbbf8ddba937f77a96c1dc6156751567e529418c97ad92cddbce9020e2cac</t>
        </is>
      </c>
      <c r="P398" t="inlineStr">
        <is>
          <t>library/067_waldorf-astoria-maldives-ithaafushi/factsheet/2023_Ithaafushi-The-Private-Island-Fact-Sheet_2023-1.pdf</t>
        </is>
      </c>
      <c r="R398" t="inlineStr">
        <is>
          <t>outdated</t>
        </is>
      </c>
      <c r="S398" t="inlineStr">
        <is>
          <t>N</t>
        </is>
      </c>
      <c r="T398" t="inlineStr">
        <is>
          <t>matched</t>
        </is>
      </c>
      <c r="U398" t="inlineStr">
        <is>
          <t>2026-10-04</t>
        </is>
      </c>
      <c r="V398" t="inlineStr"/>
    </row>
    <row r="399">
      <c r="A399" t="n">
        <v>67</v>
      </c>
      <c r="B399" t="inlineStr">
        <is>
          <t>Waldorf Astoria Maldives Ithaafushi</t>
        </is>
      </c>
      <c r="C399" t="inlineStr">
        <is>
          <t>map</t>
        </is>
      </c>
      <c r="D399" t="inlineStr">
        <is>
          <t>2025_Resort-Map-1.pdf</t>
        </is>
      </c>
      <c r="E399" t="n">
        <v>2025</v>
      </c>
      <c r="H399" t="n">
        <v>1</v>
      </c>
      <c r="I399" t="n">
        <v>4106</v>
      </c>
      <c r="J399" t="inlineStr">
        <is>
          <t>Y</t>
        </is>
      </c>
      <c r="K399" t="inlineStr">
        <is>
          <t>neoscapesmaldives.com</t>
        </is>
      </c>
      <c r="L399" t="inlineStr">
        <is>
          <t>dmc-agency</t>
        </is>
      </c>
      <c r="M399" t="inlineStr">
        <is>
          <t>https://www.neoscapesmaldives.com/wp-content/uploads/Resort-Map-1.pdf</t>
        </is>
      </c>
      <c r="N399" t="inlineStr">
        <is>
          <t>https://www.neoscapesmaldives.com/wp-content/uploads/Resort-Map-1.pdf</t>
        </is>
      </c>
      <c r="O399" t="inlineStr">
        <is>
          <t>c9aaa752d9f5772a8f596fef8840dc5d656ab0952bd8e9adc9fb82508d17c6ca</t>
        </is>
      </c>
      <c r="P399" t="inlineStr">
        <is>
          <t>library/067_waldorf-astoria-maldives-ithaafushi/map/2025_Resort-Map-1.pdf</t>
        </is>
      </c>
      <c r="R399" t="inlineStr">
        <is>
          <t>current</t>
        </is>
      </c>
      <c r="S399" t="inlineStr">
        <is>
          <t>Y</t>
        </is>
      </c>
      <c r="T399" t="inlineStr">
        <is>
          <t>needs-review</t>
        </is>
      </c>
      <c r="U399" t="inlineStr">
        <is>
          <t>2026-10-04</t>
        </is>
      </c>
      <c r="V399" t="inlineStr">
        <is>
          <t>ambiguous match [67]</t>
        </is>
      </c>
    </row>
    <row r="400">
      <c r="A400" t="n">
        <v>67</v>
      </c>
      <c r="B400" t="inlineStr">
        <is>
          <t>Waldorf Astoria Maldives Ithaafushi</t>
        </is>
      </c>
      <c r="C400" t="inlineStr">
        <is>
          <t>map</t>
        </is>
      </c>
      <c r="D400" t="inlineStr">
        <is>
          <t>2025_Ithaafushi-Private-Island-Map.pdf</t>
        </is>
      </c>
      <c r="E400" t="n">
        <v>2025</v>
      </c>
      <c r="H400" t="n">
        <v>1</v>
      </c>
      <c r="I400" t="n">
        <v>2747</v>
      </c>
      <c r="J400" t="inlineStr">
        <is>
          <t>Y</t>
        </is>
      </c>
      <c r="K400" t="inlineStr">
        <is>
          <t>neoscapesmaldives.com</t>
        </is>
      </c>
      <c r="L400" t="inlineStr">
        <is>
          <t>dmc-agency</t>
        </is>
      </c>
      <c r="M400" t="inlineStr">
        <is>
          <t>https://www.neoscapesmaldives.com/wp-content/uploads/Ithaafushi-Private-Island-Map.pdf</t>
        </is>
      </c>
      <c r="N400" t="inlineStr">
        <is>
          <t>https://www.neoscapesmaldives.com/wp-content/uploads/Ithaafushi-Private-Island-Map.pdf</t>
        </is>
      </c>
      <c r="O400" t="inlineStr">
        <is>
          <t>96a25c830d9aa1eccc300d1a3b6081ed2809a88aad82e75db8e946f0d5db6b7f</t>
        </is>
      </c>
      <c r="P400" t="inlineStr">
        <is>
          <t>library/067_waldorf-astoria-maldives-ithaafushi/map/2025_Ithaafushi-Private-Island-Map.pdf</t>
        </is>
      </c>
      <c r="R400" t="inlineStr">
        <is>
          <t>current</t>
        </is>
      </c>
      <c r="S400" t="inlineStr">
        <is>
          <t>N</t>
        </is>
      </c>
      <c r="T400" t="inlineStr">
        <is>
          <t>matched</t>
        </is>
      </c>
      <c r="U400" t="inlineStr">
        <is>
          <t>2026-10-04</t>
        </is>
      </c>
      <c r="V400" t="inlineStr"/>
    </row>
    <row r="401">
      <c r="A401" t="n">
        <v>68</v>
      </c>
      <c r="B401" t="inlineStr">
        <is>
          <t>JA Manafaru</t>
        </is>
      </c>
      <c r="C401" t="inlineStr">
        <is>
          <t>factsheet</t>
        </is>
      </c>
      <c r="D401" t="inlineStr">
        <is>
          <t>2024_ja-jam-factsheet-digital.pdf</t>
        </is>
      </c>
      <c r="E401" t="n">
        <v>2024</v>
      </c>
      <c r="H401" t="n">
        <v>13</v>
      </c>
      <c r="I401" t="n">
        <v>4911</v>
      </c>
      <c r="J401" t="inlineStr">
        <is>
          <t>Y</t>
        </is>
      </c>
      <c r="K401" t="inlineStr">
        <is>
          <t>neoscapesmaldives.com</t>
        </is>
      </c>
      <c r="L401" t="inlineStr">
        <is>
          <t>dmc-agency</t>
        </is>
      </c>
      <c r="M401" t="inlineStr">
        <is>
          <t>https://www.neoscapesmaldives.com/wp-content/uploads/ja-jam-factsheet-digital.pdf</t>
        </is>
      </c>
      <c r="N401" t="inlineStr">
        <is>
          <t>https://www.neoscapesmaldives.com/wp-content/uploads/ja-jam-factsheet-digital.pdf</t>
        </is>
      </c>
      <c r="O401" t="inlineStr">
        <is>
          <t>55ff65cf939beb7824d57ff10f5731f4434f93bac651a92ff964a8a2262ea730</t>
        </is>
      </c>
      <c r="P401" t="inlineStr">
        <is>
          <t>library/068_ja-manafaru/factsheet/2024_ja-jam-factsheet-digital.pdf</t>
        </is>
      </c>
      <c r="R401" t="inlineStr">
        <is>
          <t>outdated</t>
        </is>
      </c>
      <c r="S401" t="inlineStr">
        <is>
          <t>Y</t>
        </is>
      </c>
      <c r="T401" t="inlineStr">
        <is>
          <t>matched</t>
        </is>
      </c>
      <c r="U401" t="inlineStr">
        <is>
          <t>2026-10-04</t>
        </is>
      </c>
      <c r="V401" t="inlineStr"/>
    </row>
    <row r="402">
      <c r="A402" t="n">
        <v>68</v>
      </c>
      <c r="B402" t="inlineStr">
        <is>
          <t>JA Manafaru</t>
        </is>
      </c>
      <c r="C402" t="inlineStr">
        <is>
          <t>map</t>
        </is>
      </c>
      <c r="D402" t="inlineStr">
        <is>
          <t>2024_JA-Manafaru-Map-24.pdf</t>
        </is>
      </c>
      <c r="E402" t="n">
        <v>2024</v>
      </c>
      <c r="H402" t="n">
        <v>1</v>
      </c>
      <c r="I402" t="n">
        <v>1974</v>
      </c>
      <c r="J402" t="inlineStr">
        <is>
          <t>N</t>
        </is>
      </c>
      <c r="K402" t="inlineStr">
        <is>
          <t>neoscapesmaldives.com</t>
        </is>
      </c>
      <c r="L402" t="inlineStr">
        <is>
          <t>dmc-agency</t>
        </is>
      </c>
      <c r="M402" t="inlineStr">
        <is>
          <t>https://www.neoscapesmaldives.com/wp-content/uploads/JA-Manafaru-Map-24.pdf</t>
        </is>
      </c>
      <c r="N402" t="inlineStr">
        <is>
          <t>https://www.neoscapesmaldives.com/wp-content/uploads/JA-Manafaru-Map-24.pdf</t>
        </is>
      </c>
      <c r="O402" t="inlineStr">
        <is>
          <t>de4ca4c8804707624f8672c5e384a768a3a8ebc8328b3fd515b5ca8d87e67ef0</t>
        </is>
      </c>
      <c r="P402" t="inlineStr">
        <is>
          <t>library/068_ja-manafaru/map/2024_JA-Manafaru-Map-24.pdf</t>
        </is>
      </c>
      <c r="R402" t="inlineStr">
        <is>
          <t>outdated</t>
        </is>
      </c>
      <c r="S402" t="inlineStr">
        <is>
          <t>Y</t>
        </is>
      </c>
      <c r="T402" t="inlineStr">
        <is>
          <t>matched</t>
        </is>
      </c>
      <c r="U402" t="inlineStr">
        <is>
          <t>2026-10-04</t>
        </is>
      </c>
      <c r="V402" t="inlineStr"/>
    </row>
    <row r="403">
      <c r="A403" t="n">
        <v>69</v>
      </c>
      <c r="B403" t="inlineStr">
        <is>
          <t>Adaaran Club Rannalhi</t>
        </is>
      </c>
      <c r="C403" t="inlineStr">
        <is>
          <t>factsheet</t>
        </is>
      </c>
      <c r="D403" t="inlineStr">
        <is>
          <t>2025_Fact-Sheet-Adaaran-Club-Rannalhi.pdf</t>
        </is>
      </c>
      <c r="E403" t="n">
        <v>2025</v>
      </c>
      <c r="H403" t="n">
        <v>13</v>
      </c>
      <c r="I403" t="n">
        <v>4919</v>
      </c>
      <c r="J403" t="inlineStr">
        <is>
          <t>Y</t>
        </is>
      </c>
      <c r="K403" t="inlineStr">
        <is>
          <t>neoscapesmaldives.com</t>
        </is>
      </c>
      <c r="L403" t="inlineStr">
        <is>
          <t>dmc-agency</t>
        </is>
      </c>
      <c r="M403" t="inlineStr">
        <is>
          <t>https://www.neoscapesmaldives.com/wp-content/uploads/Fact-Sheet-Adaaran-Club-Rannalhi.pdf</t>
        </is>
      </c>
      <c r="N403" t="inlineStr">
        <is>
          <t>https://www.neoscapesmaldives.com/wp-content/uploads/Fact-Sheet-Adaaran-Club-Rannalhi.pdf</t>
        </is>
      </c>
      <c r="O403" t="inlineStr">
        <is>
          <t>781c0f991a1217e1d87e11bc69e66b432a5e438106554078fa92d365a688059c</t>
        </is>
      </c>
      <c r="P403" t="inlineStr">
        <is>
          <t>library/069_adaaran-club-rannalhi/factsheet/2025_Fact-Sheet-Adaaran-Club-Rannalhi.pdf</t>
        </is>
      </c>
      <c r="R403" t="inlineStr">
        <is>
          <t>current</t>
        </is>
      </c>
      <c r="S403" t="inlineStr">
        <is>
          <t>Y</t>
        </is>
      </c>
      <c r="T403" t="inlineStr">
        <is>
          <t>matched</t>
        </is>
      </c>
      <c r="U403" t="inlineStr">
        <is>
          <t>2026-10-04</t>
        </is>
      </c>
      <c r="V403" t="inlineStr"/>
    </row>
    <row r="404">
      <c r="A404" t="n">
        <v>69</v>
      </c>
      <c r="B404" t="inlineStr">
        <is>
          <t>Adaaran Club Rannalhi</t>
        </is>
      </c>
      <c r="C404" t="inlineStr">
        <is>
          <t>map</t>
        </is>
      </c>
      <c r="D404" t="inlineStr">
        <is>
          <t>2020_Adaaran-Ranalhi-Island-Map.pdf</t>
        </is>
      </c>
      <c r="E404" t="n">
        <v>2020</v>
      </c>
      <c r="H404" t="n">
        <v>1</v>
      </c>
      <c r="I404" t="n">
        <v>2412</v>
      </c>
      <c r="J404" t="inlineStr">
        <is>
          <t>N</t>
        </is>
      </c>
      <c r="K404" t="inlineStr">
        <is>
          <t>neoscapesmaldives.com</t>
        </is>
      </c>
      <c r="L404" t="inlineStr">
        <is>
          <t>dmc-agency</t>
        </is>
      </c>
      <c r="M404" t="inlineStr">
        <is>
          <t>https://www.neoscapesmaldives.com/wp-content/uploads/Adaaran-Ranalhi-Island-Map.pdf</t>
        </is>
      </c>
      <c r="N404" t="inlineStr">
        <is>
          <t>https://www.neoscapesmaldives.com/wp-content/uploads/Adaaran-Ranalhi-Island-Map.pdf</t>
        </is>
      </c>
      <c r="O404" t="inlineStr">
        <is>
          <t>81577f8cad95ee7d1ac4840eb83bb607b805a7230cb4335b443030367b372453</t>
        </is>
      </c>
      <c r="P404" t="inlineStr">
        <is>
          <t>library/069_adaaran-club-rannalhi/map/2020_Adaaran-Ranalhi-Island-Map.pdf</t>
        </is>
      </c>
      <c r="R404" t="inlineStr">
        <is>
          <t>outdated</t>
        </is>
      </c>
      <c r="S404" t="inlineStr">
        <is>
          <t>Y</t>
        </is>
      </c>
      <c r="T404" t="inlineStr">
        <is>
          <t>needs-review</t>
        </is>
      </c>
      <c r="U404" t="inlineStr">
        <is>
          <t>2026-10-04</t>
        </is>
      </c>
      <c r="V404" t="inlineStr">
        <is>
          <t>ambiguous match [69]</t>
        </is>
      </c>
    </row>
    <row r="405">
      <c r="A405" t="n">
        <v>69</v>
      </c>
      <c r="B405" t="inlineStr">
        <is>
          <t>Adaaran Club Rannalhi</t>
        </is>
      </c>
      <c r="C405" t="inlineStr">
        <is>
          <t>sustainability</t>
        </is>
      </c>
      <c r="D405" t="inlineStr">
        <is>
          <t>2025_Sustainabilty-Report-ACR_compressed-2025-26.pdf</t>
        </is>
      </c>
      <c r="E405" t="n">
        <v>2025</v>
      </c>
      <c r="H405" t="n">
        <v>21</v>
      </c>
      <c r="I405" t="n">
        <v>4473</v>
      </c>
      <c r="J405" t="inlineStr">
        <is>
          <t>Y</t>
        </is>
      </c>
      <c r="K405" t="inlineStr">
        <is>
          <t>adaaran.com</t>
        </is>
      </c>
      <c r="L405" t="inlineStr">
        <is>
          <t>official</t>
        </is>
      </c>
      <c r="M405" t="inlineStr">
        <is>
          <t>https://adaaran.eme-devops.com/2026/05/Sustainabilty-Report-ACR_compressed-2025-26.pdf</t>
        </is>
      </c>
      <c r="N405" t="inlineStr">
        <is>
          <t>https://adaaran.eme-devops.com/2026/05/Sustainabilty-Report-ACR_compressed-2025-26.pdf</t>
        </is>
      </c>
      <c r="O405" t="inlineStr">
        <is>
          <t>fe84e5b1fda4f2f2cbb157d34bd0236fe3dc42283c0fdf1fbb995b68bca0c55a</t>
        </is>
      </c>
      <c r="P405" t="inlineStr">
        <is>
          <t>library/069_adaaran-club-rannalhi/sustainability/2025_Sustainabilty-Report-ACR_compressed-2025-26.pdf</t>
        </is>
      </c>
      <c r="R405" t="inlineStr">
        <is>
          <t>current</t>
        </is>
      </c>
      <c r="S405" t="inlineStr">
        <is>
          <t>Y</t>
        </is>
      </c>
      <c r="T405" t="inlineStr">
        <is>
          <t>matched</t>
        </is>
      </c>
      <c r="U405" t="inlineStr">
        <is>
          <t>2026-10-04</t>
        </is>
      </c>
      <c r="V405" t="inlineStr"/>
    </row>
    <row r="406">
      <c r="A406" t="n">
        <v>69</v>
      </c>
      <c r="B406" t="inlineStr">
        <is>
          <t>Adaaran Club Rannalhi</t>
        </is>
      </c>
      <c r="C406" t="inlineStr">
        <is>
          <t>sustainability</t>
        </is>
      </c>
      <c r="D406" t="inlineStr">
        <is>
          <t>2024_Adaaran-Club-Rannalhi-Sustainability-Report-2024-25.pdf</t>
        </is>
      </c>
      <c r="E406" t="n">
        <v>2024</v>
      </c>
      <c r="H406" t="n">
        <v>19</v>
      </c>
      <c r="I406" t="n">
        <v>2771</v>
      </c>
      <c r="J406" t="inlineStr">
        <is>
          <t>Y</t>
        </is>
      </c>
      <c r="K406" t="inlineStr">
        <is>
          <t>adaaran.com</t>
        </is>
      </c>
      <c r="L406" t="inlineStr">
        <is>
          <t>official</t>
        </is>
      </c>
      <c r="M406" t="inlineStr">
        <is>
          <t>https://adaaran.eme-devops.com/2025/08/Adaaran-Club-Rannalhi-Sustainability-Report-2024-25.pdf</t>
        </is>
      </c>
      <c r="N406" t="inlineStr">
        <is>
          <t>https://adaaran.eme-devops.com/2025/08/Adaaran-Club-Rannalhi-Sustainability-Report-2024-25.pdf</t>
        </is>
      </c>
      <c r="O406" t="inlineStr">
        <is>
          <t>b139c477f027bff3f37129886f4f0dacc706b257439c649f454a3a03f07d5f3a</t>
        </is>
      </c>
      <c r="P406" t="inlineStr">
        <is>
          <t>library/069_adaaran-club-rannalhi/sustainability/2024_Adaaran-Club-Rannalhi-Sustainability-Report-2024-25.pdf</t>
        </is>
      </c>
      <c r="R406" t="inlineStr">
        <is>
          <t>outdated</t>
        </is>
      </c>
      <c r="S406" t="inlineStr">
        <is>
          <t>N</t>
        </is>
      </c>
      <c r="T406" t="inlineStr">
        <is>
          <t>matched</t>
        </is>
      </c>
      <c r="U406" t="inlineStr">
        <is>
          <t>2026-10-04</t>
        </is>
      </c>
      <c r="V406" t="inlineStr"/>
    </row>
    <row r="407">
      <c r="A407" t="n">
        <v>69</v>
      </c>
      <c r="B407" t="inlineStr">
        <is>
          <t>Adaaran Club Rannalhi</t>
        </is>
      </c>
      <c r="C407" t="inlineStr">
        <is>
          <t>sustainability</t>
        </is>
      </c>
      <c r="D407" t="inlineStr">
        <is>
          <t>2023_Adaaran-Club-Rannalhi-Sustainability-Report-2023-24.pdf</t>
        </is>
      </c>
      <c r="E407" t="n">
        <v>2023</v>
      </c>
      <c r="H407" t="n">
        <v>17</v>
      </c>
      <c r="I407" t="n">
        <v>1981</v>
      </c>
      <c r="J407" t="inlineStr">
        <is>
          <t>Y</t>
        </is>
      </c>
      <c r="K407" t="inlineStr">
        <is>
          <t>adaaran.com</t>
        </is>
      </c>
      <c r="L407" t="inlineStr">
        <is>
          <t>official</t>
        </is>
      </c>
      <c r="M407" t="inlineStr">
        <is>
          <t>https://adaaran.eme-devops.com/2025/08/Adaaran-Club-Rannalhi-Sustainability-Report-2023-24.pdf</t>
        </is>
      </c>
      <c r="N407" t="inlineStr">
        <is>
          <t>https://adaaran.eme-devops.com/2025/08/Adaaran-Club-Rannalhi-Sustainability-Report-2023-24.pdf</t>
        </is>
      </c>
      <c r="O407" t="inlineStr">
        <is>
          <t>efbef08a0ff4edd864b6ec6ea23f3a1f93dddfa3f8042f1056a33e3196655895</t>
        </is>
      </c>
      <c r="P407" t="inlineStr">
        <is>
          <t>library/069_adaaran-club-rannalhi/sustainability/2023_Adaaran-Club-Rannalhi-Sustainability-Report-2023-24.pdf</t>
        </is>
      </c>
      <c r="R407" t="inlineStr">
        <is>
          <t>outdated</t>
        </is>
      </c>
      <c r="S407" t="inlineStr">
        <is>
          <t>N</t>
        </is>
      </c>
      <c r="T407" t="inlineStr">
        <is>
          <t>matched</t>
        </is>
      </c>
      <c r="U407" t="inlineStr">
        <is>
          <t>2026-10-04</t>
        </is>
      </c>
      <c r="V407" t="inlineStr"/>
    </row>
    <row r="408">
      <c r="A408" t="n">
        <v>69</v>
      </c>
      <c r="B408" t="inlineStr">
        <is>
          <t>Adaaran Club Rannalhi</t>
        </is>
      </c>
      <c r="C408" t="inlineStr">
        <is>
          <t>sustainability</t>
        </is>
      </c>
      <c r="D408" t="inlineStr">
        <is>
          <t>2022_Adaaran-Club-Rannalhi-Sustainability-Report-2022-23.pdf</t>
        </is>
      </c>
      <c r="E408" t="n">
        <v>2022</v>
      </c>
      <c r="H408" t="n">
        <v>16</v>
      </c>
      <c r="I408" t="n">
        <v>4982</v>
      </c>
      <c r="J408" t="inlineStr">
        <is>
          <t>Y</t>
        </is>
      </c>
      <c r="K408" t="inlineStr">
        <is>
          <t>adaaran.com</t>
        </is>
      </c>
      <c r="L408" t="inlineStr">
        <is>
          <t>official</t>
        </is>
      </c>
      <c r="M408" t="inlineStr">
        <is>
          <t>https://adaaran.eme-devops.com/2025/08/Adaaran-Club-Rannalhi-Sustainability-Report-2022-23.pdf</t>
        </is>
      </c>
      <c r="N408" t="inlineStr">
        <is>
          <t>https://adaaran.eme-devops.com/2025/08/Adaaran-Club-Rannalhi-Sustainability-Report-2022-23.pdf</t>
        </is>
      </c>
      <c r="O408" t="inlineStr">
        <is>
          <t>1060ea865b6dbbba069e7179753ed81c844a292198752f6ad72db29aee5dcfc1</t>
        </is>
      </c>
      <c r="P408" t="inlineStr">
        <is>
          <t>library/069_adaaran-club-rannalhi/sustainability/2022_Adaaran-Club-Rannalhi-Sustainability-Report-2022-23.pdf</t>
        </is>
      </c>
      <c r="R408" t="inlineStr">
        <is>
          <t>outdated</t>
        </is>
      </c>
      <c r="S408" t="inlineStr">
        <is>
          <t>N</t>
        </is>
      </c>
      <c r="T408" t="inlineStr">
        <is>
          <t>matched</t>
        </is>
      </c>
      <c r="U408" t="inlineStr">
        <is>
          <t>2026-10-04</t>
        </is>
      </c>
      <c r="V408" t="inlineStr"/>
    </row>
    <row r="409">
      <c r="A409" t="n">
        <v>69</v>
      </c>
      <c r="B409" t="inlineStr">
        <is>
          <t>Adaaran Club Rannalhi</t>
        </is>
      </c>
      <c r="C409" t="inlineStr">
        <is>
          <t>sustainability</t>
        </is>
      </c>
      <c r="D409" t="inlineStr">
        <is>
          <t>2021_Adaaran-Club-Rannalhi-Sustainability-Report-2021-22.pdf</t>
        </is>
      </c>
      <c r="E409" t="n">
        <v>2021</v>
      </c>
      <c r="H409" t="n">
        <v>19</v>
      </c>
      <c r="I409" t="n">
        <v>5179</v>
      </c>
      <c r="J409" t="inlineStr">
        <is>
          <t>Y</t>
        </is>
      </c>
      <c r="K409" t="inlineStr">
        <is>
          <t>adaaran.com</t>
        </is>
      </c>
      <c r="L409" t="inlineStr">
        <is>
          <t>official</t>
        </is>
      </c>
      <c r="M409" t="inlineStr">
        <is>
          <t>https://adaaran.eme-devops.com/2025/08/Adaaran-Club-Rannalhi-Sustainability-Report-2021-22.pdf</t>
        </is>
      </c>
      <c r="N409" t="inlineStr">
        <is>
          <t>https://adaaran.eme-devops.com/2025/08/Adaaran-Club-Rannalhi-Sustainability-Report-2021-22.pdf</t>
        </is>
      </c>
      <c r="O409" t="inlineStr">
        <is>
          <t>a1b4c8fa301d92172018390434cc085d933c495e046d396745f15ccb4875797d</t>
        </is>
      </c>
      <c r="P409" t="inlineStr">
        <is>
          <t>library/069_adaaran-club-rannalhi/sustainability/2021_Adaaran-Club-Rannalhi-Sustainability-Report-2021-22.pdf</t>
        </is>
      </c>
      <c r="R409" t="inlineStr">
        <is>
          <t>outdated</t>
        </is>
      </c>
      <c r="S409" t="inlineStr">
        <is>
          <t>N</t>
        </is>
      </c>
      <c r="T409" t="inlineStr">
        <is>
          <t>matched</t>
        </is>
      </c>
      <c r="U409" t="inlineStr">
        <is>
          <t>2026-10-04</t>
        </is>
      </c>
      <c r="V409" t="inlineStr"/>
    </row>
    <row r="410">
      <c r="A410" t="n">
        <v>69</v>
      </c>
      <c r="B410" t="inlineStr">
        <is>
          <t>Adaaran Club Rannalhi</t>
        </is>
      </c>
      <c r="C410" t="inlineStr">
        <is>
          <t>sustainability</t>
        </is>
      </c>
      <c r="D410" t="inlineStr">
        <is>
          <t>2019_Adaaran-Club-Rannalhi-Sustainability-Report-2019-20-21.pdf</t>
        </is>
      </c>
      <c r="E410" t="n">
        <v>2019</v>
      </c>
      <c r="H410" t="n">
        <v>16</v>
      </c>
      <c r="I410" t="n">
        <v>3602</v>
      </c>
      <c r="J410" t="inlineStr">
        <is>
          <t>N</t>
        </is>
      </c>
      <c r="K410" t="inlineStr">
        <is>
          <t>adaaran.com</t>
        </is>
      </c>
      <c r="L410" t="inlineStr">
        <is>
          <t>official</t>
        </is>
      </c>
      <c r="M410" t="inlineStr">
        <is>
          <t>https://adaaran.eme-devops.com/2025/08/Adaaran-Club-Rannalhi-Sustainability-Report-2019-20-21.pdf</t>
        </is>
      </c>
      <c r="N410" t="inlineStr">
        <is>
          <t>https://adaaran.eme-devops.com/2025/08/Adaaran-Club-Rannalhi-Sustainability-Report-2019-20-21.pdf</t>
        </is>
      </c>
      <c r="O410" t="inlineStr">
        <is>
          <t>70ee924ec239117ec6acfacf7b4b24ab94cbb6b23af1049c7102684ec0032948</t>
        </is>
      </c>
      <c r="P410" t="inlineStr">
        <is>
          <t>library/069_adaaran-club-rannalhi/sustainability/2019_Adaaran-Club-Rannalhi-Sustainability-Report-2019-20-21.pdf</t>
        </is>
      </c>
      <c r="R410" t="inlineStr">
        <is>
          <t>outdated</t>
        </is>
      </c>
      <c r="S410" t="inlineStr">
        <is>
          <t>N</t>
        </is>
      </c>
      <c r="T410" t="inlineStr">
        <is>
          <t>matched</t>
        </is>
      </c>
      <c r="U410" t="inlineStr">
        <is>
          <t>2026-10-04</t>
        </is>
      </c>
      <c r="V410" t="inlineStr"/>
    </row>
    <row r="411">
      <c r="A411" t="n">
        <v>70</v>
      </c>
      <c r="B411" t="inlineStr">
        <is>
          <t>Joy Island</t>
        </is>
      </c>
      <c r="C411" t="inlineStr">
        <is>
          <t>factsheet</t>
        </is>
      </c>
      <c r="D411" t="inlineStr">
        <is>
          <t>2025_Joy-Island-_-Fact-Sheet-2025.pdf</t>
        </is>
      </c>
      <c r="E411" t="n">
        <v>2025</v>
      </c>
      <c r="H411" t="n">
        <v>7</v>
      </c>
      <c r="I411" t="n">
        <v>13099</v>
      </c>
      <c r="J411" t="inlineStr">
        <is>
          <t>Y</t>
        </is>
      </c>
      <c r="K411" t="inlineStr">
        <is>
          <t>neoscapesmaldives.com</t>
        </is>
      </c>
      <c r="L411" t="inlineStr">
        <is>
          <t>dmc-agency</t>
        </is>
      </c>
      <c r="M411" t="inlineStr">
        <is>
          <t>https://www.neoscapesmaldives.com/wp-content/uploads/Joy-Island-_-Fact-Sheet-2025.pdf</t>
        </is>
      </c>
      <c r="N411" t="inlineStr">
        <is>
          <t>https://www.neoscapesmaldives.com/wp-content/uploads/Joy-Island-_-Fact-Sheet-2025.pdf</t>
        </is>
      </c>
      <c r="O411" t="inlineStr">
        <is>
          <t>eb0efc6e14d8e989274c777c41ea70999a7441e8a7df95e6a614dabd0bb378fc</t>
        </is>
      </c>
      <c r="P411" t="inlineStr">
        <is>
          <t>library/070_joy-island/factsheet/2025_Joy-Island-_-Fact-Sheet-2025.pdf</t>
        </is>
      </c>
      <c r="R411" t="inlineStr">
        <is>
          <t>current</t>
        </is>
      </c>
      <c r="S411" t="inlineStr">
        <is>
          <t>Y</t>
        </is>
      </c>
      <c r="T411" t="inlineStr">
        <is>
          <t>matched</t>
        </is>
      </c>
      <c r="U411" t="inlineStr">
        <is>
          <t>2026-10-04</t>
        </is>
      </c>
      <c r="V411" t="inlineStr"/>
    </row>
    <row r="412">
      <c r="A412" t="n">
        <v>70</v>
      </c>
      <c r="B412" t="inlineStr">
        <is>
          <t>Joy Island</t>
        </is>
      </c>
      <c r="C412" t="inlineStr">
        <is>
          <t>map</t>
        </is>
      </c>
      <c r="D412" t="inlineStr">
        <is>
          <t>2025_Joy-Island-Maldives-_-Resort-Map.pdf</t>
        </is>
      </c>
      <c r="E412" t="n">
        <v>2025</v>
      </c>
      <c r="H412" t="n">
        <v>1</v>
      </c>
      <c r="I412" t="n">
        <v>4674</v>
      </c>
      <c r="J412" t="inlineStr">
        <is>
          <t>Y</t>
        </is>
      </c>
      <c r="K412" t="inlineStr">
        <is>
          <t>neoscapesmaldives.com</t>
        </is>
      </c>
      <c r="L412" t="inlineStr">
        <is>
          <t>dmc-agency</t>
        </is>
      </c>
      <c r="M412" t="inlineStr">
        <is>
          <t>https://www.neoscapesmaldives.com/wp-content/uploads/Joy-Island-Maldives-_-Resort-Map.pdf</t>
        </is>
      </c>
      <c r="N412" t="inlineStr">
        <is>
          <t>https://www.neoscapesmaldives.com/wp-content/uploads/Joy-Island-Maldives-_-Resort-Map.pdf</t>
        </is>
      </c>
      <c r="O412" t="inlineStr">
        <is>
          <t>d835076065bd8a01b798de23774c6138a2c4c1965f466d26ce2937344297dc20</t>
        </is>
      </c>
      <c r="P412" t="inlineStr">
        <is>
          <t>library/070_joy-island/map/2025_Joy-Island-Maldives-_-Resort-Map.pdf</t>
        </is>
      </c>
      <c r="R412" t="inlineStr">
        <is>
          <t>current</t>
        </is>
      </c>
      <c r="S412" t="inlineStr">
        <is>
          <t>Y</t>
        </is>
      </c>
      <c r="T412" t="inlineStr">
        <is>
          <t>matched</t>
        </is>
      </c>
      <c r="U412" t="inlineStr">
        <is>
          <t>2026-10-04</t>
        </is>
      </c>
      <c r="V412" t="inlineStr"/>
    </row>
    <row r="413">
      <c r="A413" t="n">
        <v>71</v>
      </c>
      <c r="B413" t="inlineStr">
        <is>
          <t>Kagi Maldives Resort and Spa</t>
        </is>
      </c>
      <c r="C413" t="inlineStr">
        <is>
          <t>factsheet</t>
        </is>
      </c>
      <c r="D413" t="inlineStr">
        <is>
          <t>2023_FactSheetKagi11012210312322Rev011122_compressed-1.pdf</t>
        </is>
      </c>
      <c r="E413" t="n">
        <v>2023</v>
      </c>
      <c r="H413" t="n">
        <v>7</v>
      </c>
      <c r="I413" t="n">
        <v>600</v>
      </c>
      <c r="J413" t="inlineStr">
        <is>
          <t>Y</t>
        </is>
      </c>
      <c r="K413" t="inlineStr">
        <is>
          <t>sales.crownandchamparesorts.com</t>
        </is>
      </c>
      <c r="L413" t="inlineStr">
        <is>
          <t>brand-cdn</t>
        </is>
      </c>
      <c r="M413" t="inlineStr">
        <is>
          <t>https://sales.crownandchamparesorts.com/wp-content/uploads/2023/08/FactSheetKagi11012210312322Rev011122_compressed-1.pdf</t>
        </is>
      </c>
      <c r="N413" t="inlineStr">
        <is>
          <t>https://sales.crownandchamparesorts.com/wp-content/uploads/2023/08/FactSheetKagi11012210312322Rev011122_compressed-1.pdf</t>
        </is>
      </c>
      <c r="O413" t="inlineStr">
        <is>
          <t>8160f11401a02e6c888a6162980fa7d1942600dd6609aa27cfebe8626869f25a</t>
        </is>
      </c>
      <c r="P413" t="inlineStr">
        <is>
          <t>library/071_kagi-maldives-resort-and-spa/factsheet/2023_FactSheetKagi11012210312322Rev011122_compressed-1.pdf</t>
        </is>
      </c>
      <c r="R413" t="inlineStr">
        <is>
          <t>outdated</t>
        </is>
      </c>
      <c r="S413" t="inlineStr">
        <is>
          <t>Y</t>
        </is>
      </c>
      <c r="T413" t="inlineStr">
        <is>
          <t>matched</t>
        </is>
      </c>
      <c r="U413" t="inlineStr">
        <is>
          <t>2026-10-04</t>
        </is>
      </c>
      <c r="V413" t="inlineStr"/>
    </row>
    <row r="414">
      <c r="A414" t="n">
        <v>71</v>
      </c>
      <c r="B414" t="inlineStr">
        <is>
          <t>Kagi Maldives Resort and Spa</t>
        </is>
      </c>
      <c r="C414" t="inlineStr">
        <is>
          <t>factsheet</t>
        </is>
      </c>
      <c r="D414" t="inlineStr">
        <is>
          <t>2020_FactSheetKagi110120103121Rev040120.pdf</t>
        </is>
      </c>
      <c r="E414" t="n">
        <v>2020</v>
      </c>
      <c r="F414" t="inlineStr">
        <is>
          <t>2020-11-01</t>
        </is>
      </c>
      <c r="G414" t="inlineStr">
        <is>
          <t>2021-10-31</t>
        </is>
      </c>
      <c r="H414" t="n">
        <v>7</v>
      </c>
      <c r="I414" t="n">
        <v>997</v>
      </c>
      <c r="J414" t="inlineStr">
        <is>
          <t>Y</t>
        </is>
      </c>
      <c r="K414" t="inlineStr">
        <is>
          <t>sales.crownandchamparesorts.com</t>
        </is>
      </c>
      <c r="L414" t="inlineStr">
        <is>
          <t>brand-cdn</t>
        </is>
      </c>
      <c r="M414" t="inlineStr">
        <is>
          <t>https://sales.crownandchamparesorts.com/wp-content/uploads/2020/04/FactSheetKagi110120103121Rev040120.pdf</t>
        </is>
      </c>
      <c r="N414" t="inlineStr">
        <is>
          <t>https://sales.crownandchamparesorts.com/wp-content/uploads/2020/04/FactSheetKagi110120103121Rev040120.pdf</t>
        </is>
      </c>
      <c r="O414" t="inlineStr">
        <is>
          <t>7e3bf82184370a5e5d01889a54266e4238d5c2a36ba501c804f189aac6ca2ec0</t>
        </is>
      </c>
      <c r="P414" t="inlineStr">
        <is>
          <t>library/071_kagi-maldives-resort-and-spa/factsheet/2020_FactSheetKagi110120103121Rev040120.pdf</t>
        </is>
      </c>
      <c r="R414" t="inlineStr">
        <is>
          <t>outdated</t>
        </is>
      </c>
      <c r="S414" t="inlineStr">
        <is>
          <t>N</t>
        </is>
      </c>
      <c r="T414" t="inlineStr">
        <is>
          <t>matched</t>
        </is>
      </c>
      <c r="U414" t="inlineStr">
        <is>
          <t>2026-10-04</t>
        </is>
      </c>
      <c r="V414" t="inlineStr"/>
    </row>
    <row r="415">
      <c r="A415" t="n">
        <v>71</v>
      </c>
      <c r="B415" t="inlineStr">
        <is>
          <t>Kagi Maldives Resort and Spa</t>
        </is>
      </c>
      <c r="C415" t="inlineStr">
        <is>
          <t>map</t>
        </is>
      </c>
      <c r="D415" t="inlineStr">
        <is>
          <t>2025_Kagi_Map_Rev22082025.pdf</t>
        </is>
      </c>
      <c r="E415" t="n">
        <v>2025</v>
      </c>
      <c r="H415" t="n">
        <v>1</v>
      </c>
      <c r="I415" t="n">
        <v>1245</v>
      </c>
      <c r="J415" t="inlineStr">
        <is>
          <t>Y</t>
        </is>
      </c>
      <c r="K415" t="inlineStr">
        <is>
          <t>sales.crownandchamparesorts.com</t>
        </is>
      </c>
      <c r="L415" t="inlineStr">
        <is>
          <t>brand-cdn</t>
        </is>
      </c>
      <c r="M415" t="inlineStr">
        <is>
          <t>https://sales.crownandchamparesorts.com/wp-content/uploads/2025/08/Kagi_Map_Rev22082025.pdf</t>
        </is>
      </c>
      <c r="N415" t="inlineStr">
        <is>
          <t>https://sales.crownandchamparesorts.com/wp-content/uploads/2025/08/Kagi_Map_Rev22082025.pdf</t>
        </is>
      </c>
      <c r="O415" t="inlineStr">
        <is>
          <t>d93f7f2968ffb7eb5c58afe47137c97403af54c46f53c2df843f66dd8e9eea6a</t>
        </is>
      </c>
      <c r="P415" t="inlineStr">
        <is>
          <t>library/071_kagi-maldives-resort-and-spa/map/2025_Kagi_Map_Rev22082025.pdf</t>
        </is>
      </c>
      <c r="R415" t="inlineStr">
        <is>
          <t>current</t>
        </is>
      </c>
      <c r="S415" t="inlineStr">
        <is>
          <t>Y</t>
        </is>
      </c>
      <c r="T415" t="inlineStr">
        <is>
          <t>matched</t>
        </is>
      </c>
      <c r="U415" t="inlineStr">
        <is>
          <t>2026-10-04</t>
        </is>
      </c>
      <c r="V415" t="inlineStr"/>
    </row>
    <row r="416">
      <c r="A416" t="n">
        <v>71</v>
      </c>
      <c r="B416" t="inlineStr">
        <is>
          <t>Kagi Maldives Resort and Spa</t>
        </is>
      </c>
      <c r="C416" t="inlineStr">
        <is>
          <t>map</t>
        </is>
      </c>
      <c r="D416" t="inlineStr">
        <is>
          <t>2023_KagiMap121123.pdf</t>
        </is>
      </c>
      <c r="E416" t="n">
        <v>2023</v>
      </c>
      <c r="H416" t="n">
        <v>1</v>
      </c>
      <c r="I416" t="n">
        <v>642</v>
      </c>
      <c r="J416" t="inlineStr">
        <is>
          <t>Y</t>
        </is>
      </c>
      <c r="K416" t="inlineStr">
        <is>
          <t>sales.crownandchamparesorts.com</t>
        </is>
      </c>
      <c r="L416" t="inlineStr">
        <is>
          <t>brand-cdn</t>
        </is>
      </c>
      <c r="M416" t="inlineStr">
        <is>
          <t>https://sales.crownandchamparesorts.com/wp-content/uploads/2023/11/KagiMap121123.pdf</t>
        </is>
      </c>
      <c r="N416" t="inlineStr">
        <is>
          <t>https://sales.crownandchamparesorts.com/wp-content/uploads/2023/11/KagiMap121123.pdf</t>
        </is>
      </c>
      <c r="O416" t="inlineStr">
        <is>
          <t>c2f429a15ccb821114fa8ab555406bb5a5aab42a24a47a06d2c6d4bf2bd1b9d3</t>
        </is>
      </c>
      <c r="P416" t="inlineStr">
        <is>
          <t>library/071_kagi-maldives-resort-and-spa/map/2023_KagiMap121123.pdf</t>
        </is>
      </c>
      <c r="R416" t="inlineStr">
        <is>
          <t>outdated</t>
        </is>
      </c>
      <c r="S416" t="inlineStr">
        <is>
          <t>N</t>
        </is>
      </c>
      <c r="T416" t="inlineStr">
        <is>
          <t>matched</t>
        </is>
      </c>
      <c r="U416" t="inlineStr">
        <is>
          <t>2026-10-04</t>
        </is>
      </c>
      <c r="V416" t="inlineStr"/>
    </row>
    <row r="417">
      <c r="A417" t="n">
        <v>71</v>
      </c>
      <c r="B417" t="inlineStr">
        <is>
          <t>Kagi Maldives Resort and Spa</t>
        </is>
      </c>
      <c r="C417" t="inlineStr">
        <is>
          <t>spa_menu</t>
        </is>
      </c>
      <c r="D417" t="inlineStr">
        <is>
          <t>2019_KAGI_BaaniSpaMenu_16Dec2019.pdf</t>
        </is>
      </c>
      <c r="E417" t="n">
        <v>2019</v>
      </c>
      <c r="H417" t="n">
        <v>13</v>
      </c>
      <c r="I417" t="n">
        <v>1077</v>
      </c>
      <c r="J417" t="inlineStr">
        <is>
          <t>Y</t>
        </is>
      </c>
      <c r="K417" t="inlineStr">
        <is>
          <t>sales.crownandchamparesorts.com</t>
        </is>
      </c>
      <c r="L417" t="inlineStr">
        <is>
          <t>brand-cdn</t>
        </is>
      </c>
      <c r="M417" t="inlineStr">
        <is>
          <t>https://sales.crownandchamparesorts.com/wp-content/uploads/2020/01/KAGI_BaaniSpaMenu_16Dec2019.pdf</t>
        </is>
      </c>
      <c r="N417" t="inlineStr">
        <is>
          <t>https://sales.crownandchamparesorts.com/wp-content/uploads/2020/01/KAGI_BaaniSpaMenu_16Dec2019.pdf</t>
        </is>
      </c>
      <c r="O417" t="inlineStr">
        <is>
          <t>3331211a2378c9e30e15b991a5b2d2fcab009e0d932f4c29b4fa5eec851fc63c</t>
        </is>
      </c>
      <c r="P417" t="inlineStr">
        <is>
          <t>library/071_kagi-maldives-resort-and-spa/spa_menu/2019_KAGI_BaaniSpaMenu_16Dec2019.pdf</t>
        </is>
      </c>
      <c r="R417" t="inlineStr">
        <is>
          <t>outdated</t>
        </is>
      </c>
      <c r="S417" t="inlineStr">
        <is>
          <t>Y</t>
        </is>
      </c>
      <c r="T417" t="inlineStr">
        <is>
          <t>matched</t>
        </is>
      </c>
      <c r="U417" t="inlineStr">
        <is>
          <t>2026-10-04</t>
        </is>
      </c>
      <c r="V417" t="inlineStr"/>
    </row>
    <row r="418">
      <c r="A418" t="n">
        <v>71</v>
      </c>
      <c r="B418" t="inlineStr">
        <is>
          <t>Kagi Maldives Resort and Spa</t>
        </is>
      </c>
      <c r="C418" t="inlineStr">
        <is>
          <t>dining_menu</t>
        </is>
      </c>
      <c r="D418" t="inlineStr">
        <is>
          <t>2018_KagiConcept.pdf</t>
        </is>
      </c>
      <c r="E418" t="n">
        <v>2018</v>
      </c>
      <c r="H418" t="n">
        <v>15</v>
      </c>
      <c r="I418" t="n">
        <v>6888</v>
      </c>
      <c r="J418" t="inlineStr">
        <is>
          <t>Y</t>
        </is>
      </c>
      <c r="K418" t="inlineStr">
        <is>
          <t>sales.crownandchamparesorts.com</t>
        </is>
      </c>
      <c r="L418" t="inlineStr">
        <is>
          <t>brand-cdn</t>
        </is>
      </c>
      <c r="M418" t="inlineStr">
        <is>
          <t>https://sales.crownandchamparesorts.com/wp-content/uploads/2019/02/KagiConcept.pdf</t>
        </is>
      </c>
      <c r="N418" t="inlineStr">
        <is>
          <t>https://sales.crownandchamparesorts.com/wp-content/uploads/2019/02/KagiConcept.pdf</t>
        </is>
      </c>
      <c r="O418" t="inlineStr">
        <is>
          <t>1691f2bcced91cdf081a3fec2e273cab349be410d1eb50fb0dd5b8d4a207bbf6</t>
        </is>
      </c>
      <c r="P418" t="inlineStr">
        <is>
          <t>library/071_kagi-maldives-resort-and-spa/dining_menu/2018_KagiConcept.pdf</t>
        </is>
      </c>
      <c r="R418" t="inlineStr">
        <is>
          <t>outdated</t>
        </is>
      </c>
      <c r="S418" t="inlineStr">
        <is>
          <t>Y</t>
        </is>
      </c>
      <c r="T418" t="inlineStr">
        <is>
          <t>needs-review</t>
        </is>
      </c>
      <c r="U418" t="inlineStr">
        <is>
          <t>2026-10-04</t>
        </is>
      </c>
      <c r="V418" t="inlineStr">
        <is>
          <t>ambiguous match [71]</t>
        </is>
      </c>
    </row>
    <row r="419">
      <c r="A419" t="n">
        <v>71</v>
      </c>
      <c r="B419" t="inlineStr">
        <is>
          <t>Kagi Maldives Resort and Spa</t>
        </is>
      </c>
      <c r="C419" t="inlineStr">
        <is>
          <t>villa_plans</t>
        </is>
      </c>
      <c r="D419" t="inlineStr">
        <is>
          <t>2019_Kagi-beach-villa.pdf</t>
        </is>
      </c>
      <c r="E419" t="n">
        <v>2019</v>
      </c>
      <c r="H419" t="n">
        <v>1</v>
      </c>
      <c r="I419" t="n">
        <v>398</v>
      </c>
      <c r="J419" t="inlineStr">
        <is>
          <t>N</t>
        </is>
      </c>
      <c r="K419" t="inlineStr">
        <is>
          <t>sales.crownandchamparesorts.com</t>
        </is>
      </c>
      <c r="L419" t="inlineStr">
        <is>
          <t>brand-cdn</t>
        </is>
      </c>
      <c r="M419" t="inlineStr">
        <is>
          <t>https://sales.crownandchamparesorts.com/wp-content/uploads/2019/03/Kagi-beach-villa.pdf</t>
        </is>
      </c>
      <c r="N419" t="inlineStr">
        <is>
          <t>https://sales.crownandchamparesorts.com/wp-content/uploads/2019/03/Kagi-beach-villa.pdf</t>
        </is>
      </c>
      <c r="O419" t="inlineStr">
        <is>
          <t>6cbfcf2c9f59e7a0291785b727d6e674a2e24c50417bfcd56c34aa1b96d6c3b6</t>
        </is>
      </c>
      <c r="P419" t="inlineStr">
        <is>
          <t>library/071_kagi-maldives-resort-and-spa/villa_plans/2019_Kagi-beach-villa.pdf</t>
        </is>
      </c>
      <c r="R419" t="inlineStr">
        <is>
          <t>outdated</t>
        </is>
      </c>
      <c r="S419" t="inlineStr">
        <is>
          <t>Y</t>
        </is>
      </c>
      <c r="T419" t="inlineStr">
        <is>
          <t>matched</t>
        </is>
      </c>
      <c r="U419" t="inlineStr">
        <is>
          <t>2026-10-04</t>
        </is>
      </c>
      <c r="V419" t="inlineStr"/>
    </row>
    <row r="420">
      <c r="A420" t="n">
        <v>71</v>
      </c>
      <c r="B420" t="inlineStr">
        <is>
          <t>Kagi Maldives Resort and Spa</t>
        </is>
      </c>
      <c r="C420" t="inlineStr">
        <is>
          <t>villa_plans</t>
        </is>
      </c>
      <c r="D420" t="inlineStr">
        <is>
          <t>2019_Kagi-water-villa.pdf</t>
        </is>
      </c>
      <c r="E420" t="n">
        <v>2019</v>
      </c>
      <c r="H420" t="n">
        <v>1</v>
      </c>
      <c r="I420" t="n">
        <v>288</v>
      </c>
      <c r="J420" t="inlineStr">
        <is>
          <t>N</t>
        </is>
      </c>
      <c r="K420" t="inlineStr">
        <is>
          <t>sales.crownandchamparesorts.com</t>
        </is>
      </c>
      <c r="L420" t="inlineStr">
        <is>
          <t>brand-cdn</t>
        </is>
      </c>
      <c r="M420" t="inlineStr">
        <is>
          <t>https://sales.crownandchamparesorts.com/wp-content/uploads/2019/03/Kagi-water-villa.pdf</t>
        </is>
      </c>
      <c r="N420" t="inlineStr">
        <is>
          <t>https://sales.crownandchamparesorts.com/wp-content/uploads/2019/03/Kagi-water-villa.pdf</t>
        </is>
      </c>
      <c r="O420" t="inlineStr">
        <is>
          <t>341d74cec8602f2289e54e35bf826a1d4d234b7f7fcebd4e7f4ae7ba9e5fb85f</t>
        </is>
      </c>
      <c r="P420" t="inlineStr">
        <is>
          <t>library/071_kagi-maldives-resort-and-spa/villa_plans/2019_Kagi-water-villa.pdf</t>
        </is>
      </c>
      <c r="R420" t="inlineStr">
        <is>
          <t>outdated</t>
        </is>
      </c>
      <c r="S420" t="inlineStr">
        <is>
          <t>N</t>
        </is>
      </c>
      <c r="T420" t="inlineStr">
        <is>
          <t>matched</t>
        </is>
      </c>
      <c r="U420" t="inlineStr">
        <is>
          <t>2026-10-04</t>
        </is>
      </c>
      <c r="V420" t="inlineStr"/>
    </row>
    <row r="421">
      <c r="A421" t="n">
        <v>71</v>
      </c>
      <c r="B421" t="inlineStr">
        <is>
          <t>Kagi Maldives Resort and Spa</t>
        </is>
      </c>
      <c r="C421" t="inlineStr">
        <is>
          <t>villa_plans</t>
        </is>
      </c>
      <c r="D421" t="inlineStr">
        <is>
          <t>2018_A100B_Villa-Plans_110118s.pdf</t>
        </is>
      </c>
      <c r="E421" t="n">
        <v>2018</v>
      </c>
      <c r="H421" t="n">
        <v>1</v>
      </c>
      <c r="I421" t="n">
        <v>652</v>
      </c>
      <c r="J421" t="inlineStr">
        <is>
          <t>Y</t>
        </is>
      </c>
      <c r="K421" t="inlineStr">
        <is>
          <t>sales.crownandchamparesorts.com</t>
        </is>
      </c>
      <c r="L421" t="inlineStr">
        <is>
          <t>brand-cdn</t>
        </is>
      </c>
      <c r="M421" t="inlineStr">
        <is>
          <t>https://sales.crownandchamparesorts.com/wp-content/uploads/2019/03/A100B_Villa-Plans_110118s.pdf</t>
        </is>
      </c>
      <c r="N421" t="inlineStr">
        <is>
          <t>https://sales.crownandchamparesorts.com/wp-content/uploads/2019/03/A100B_Villa-Plans_110118s.pdf | https://sales.crownandchamparesorts.com/wp-content/uploads/2019/02/KagiVillaPlans.pdf</t>
        </is>
      </c>
      <c r="O421" t="inlineStr">
        <is>
          <t>f7ac39011acdd038c86e2cf71cf7dbffdc133d3294b382d6b7de0b14876b5bec</t>
        </is>
      </c>
      <c r="P421" t="inlineStr">
        <is>
          <t>library/071_kagi-maldives-resort-and-spa/villa_plans/2018_A100B_Villa-Plans_110118s.pdf</t>
        </is>
      </c>
      <c r="R421" t="inlineStr">
        <is>
          <t>outdated</t>
        </is>
      </c>
      <c r="S421" t="inlineStr">
        <is>
          <t>N</t>
        </is>
      </c>
      <c r="T421" t="inlineStr">
        <is>
          <t>matched</t>
        </is>
      </c>
      <c r="U421" t="inlineStr">
        <is>
          <t>2026-10-04</t>
        </is>
      </c>
      <c r="V421" t="inlineStr"/>
    </row>
    <row r="422">
      <c r="A422" t="n">
        <v>71</v>
      </c>
      <c r="B422" t="inlineStr">
        <is>
          <t>Kagi Maldives Resort and Spa</t>
        </is>
      </c>
      <c r="C422" t="inlineStr">
        <is>
          <t>all_inclusive</t>
        </is>
      </c>
      <c r="D422" t="inlineStr">
        <is>
          <t>2023_PremiumAllInclusivePlusPackageKagi110123103124Rev010923.pdf</t>
        </is>
      </c>
      <c r="E422" t="n">
        <v>2023</v>
      </c>
      <c r="F422" t="inlineStr">
        <is>
          <t>2023-11-01</t>
        </is>
      </c>
      <c r="G422" t="inlineStr">
        <is>
          <t>2024-10-31</t>
        </is>
      </c>
      <c r="H422" t="n">
        <v>3</v>
      </c>
      <c r="I422" t="n">
        <v>573</v>
      </c>
      <c r="J422" t="inlineStr">
        <is>
          <t>Y</t>
        </is>
      </c>
      <c r="K422" t="inlineStr">
        <is>
          <t>sales.crownandchamparesorts.com</t>
        </is>
      </c>
      <c r="L422" t="inlineStr">
        <is>
          <t>brand-cdn</t>
        </is>
      </c>
      <c r="M422" t="inlineStr">
        <is>
          <t>https://sales.crownandchamparesorts.com/wp-content/uploads/2023/11/PremiumAllInclusivePlusPackageKagi110123103124Rev010923.pdf</t>
        </is>
      </c>
      <c r="N422" t="inlineStr">
        <is>
          <t>https://sales.crownandchamparesorts.com/wp-content/uploads/2023/11/PremiumAllInclusivePlusPackageKagi110123103124Rev010923.pdf</t>
        </is>
      </c>
      <c r="O422" t="inlineStr">
        <is>
          <t>ca11a937d8fec78aa2c121ea76a067a53d63030174b7c8bef63dfb2871f290f3</t>
        </is>
      </c>
      <c r="P422" t="inlineStr">
        <is>
          <t>library/071_kagi-maldives-resort-and-spa/all_inclusive/2023_PremiumAllInclusivePlusPackageKagi110123103124Rev010923.pdf</t>
        </is>
      </c>
      <c r="R422" t="inlineStr">
        <is>
          <t>outdated</t>
        </is>
      </c>
      <c r="S422" t="inlineStr">
        <is>
          <t>Y</t>
        </is>
      </c>
      <c r="T422" t="inlineStr">
        <is>
          <t>matched</t>
        </is>
      </c>
      <c r="U422" t="inlineStr">
        <is>
          <t>2026-10-04</t>
        </is>
      </c>
      <c r="V422" t="inlineStr"/>
    </row>
    <row r="423">
      <c r="A423" t="n">
        <v>71</v>
      </c>
      <c r="B423" t="inlineStr">
        <is>
          <t>Kagi Maldives Resort and Spa</t>
        </is>
      </c>
      <c r="C423" t="inlineStr">
        <is>
          <t>all_inclusive</t>
        </is>
      </c>
      <c r="D423" t="inlineStr">
        <is>
          <t>2022_PremiumAllInclusivePlusPackageKagi110122103123Ver011122.pdf</t>
        </is>
      </c>
      <c r="E423" t="n">
        <v>2022</v>
      </c>
      <c r="F423" t="inlineStr">
        <is>
          <t>2022-11-01</t>
        </is>
      </c>
      <c r="G423" t="inlineStr">
        <is>
          <t>2023-10-31</t>
        </is>
      </c>
      <c r="H423" t="n">
        <v>3</v>
      </c>
      <c r="I423" t="n">
        <v>1062</v>
      </c>
      <c r="J423" t="inlineStr">
        <is>
          <t>Y</t>
        </is>
      </c>
      <c r="K423" t="inlineStr">
        <is>
          <t>sales.crownandchamparesorts.com</t>
        </is>
      </c>
      <c r="L423" t="inlineStr">
        <is>
          <t>brand-cdn</t>
        </is>
      </c>
      <c r="M423" t="inlineStr">
        <is>
          <t>https://sales.crownandchamparesorts.com/wp-content/uploads/2023/08/PremiumAllInclusivePlusPackageKagi110122103123Ver011122.pdf</t>
        </is>
      </c>
      <c r="N423" t="inlineStr">
        <is>
          <t>https://sales.crownandchamparesorts.com/wp-content/uploads/2023/08/PremiumAllInclusivePlusPackageKagi110122103123Ver011122.pdf</t>
        </is>
      </c>
      <c r="O423" t="inlineStr">
        <is>
          <t>cd8f3b2fe26f4a46941a826a102cae77a68a8a65fcdea0fa75553af8a3513a91</t>
        </is>
      </c>
      <c r="P423" t="inlineStr">
        <is>
          <t>library/071_kagi-maldives-resort-and-spa/all_inclusive/2022_PremiumAllInclusivePlusPackageKagi110122103123Ver011122.pdf</t>
        </is>
      </c>
      <c r="R423" t="inlineStr">
        <is>
          <t>outdated</t>
        </is>
      </c>
      <c r="S423" t="inlineStr">
        <is>
          <t>N</t>
        </is>
      </c>
      <c r="T423" t="inlineStr">
        <is>
          <t>matched</t>
        </is>
      </c>
      <c r="U423" t="inlineStr">
        <is>
          <t>2026-10-04</t>
        </is>
      </c>
      <c r="V423" t="inlineStr"/>
    </row>
    <row r="424">
      <c r="A424" t="n">
        <v>71</v>
      </c>
      <c r="B424" t="inlineStr">
        <is>
          <t>Kagi Maldives Resort and Spa</t>
        </is>
      </c>
      <c r="C424" t="inlineStr">
        <is>
          <t>other</t>
        </is>
      </c>
      <c r="D424" t="inlineStr">
        <is>
          <t>2018_KagiInteriorDesigns.pdf</t>
        </is>
      </c>
      <c r="E424" t="n">
        <v>2018</v>
      </c>
      <c r="H424" t="n">
        <v>24</v>
      </c>
      <c r="I424" t="n">
        <v>5820</v>
      </c>
      <c r="J424" t="inlineStr">
        <is>
          <t>Y</t>
        </is>
      </c>
      <c r="K424" t="inlineStr">
        <is>
          <t>sales.crownandchamparesorts.com</t>
        </is>
      </c>
      <c r="L424" t="inlineStr">
        <is>
          <t>brand-cdn</t>
        </is>
      </c>
      <c r="M424" t="inlineStr">
        <is>
          <t>https://sales.crownandchamparesorts.com/wp-content/uploads/2019/02/KagiInteriorDesigns.pdf</t>
        </is>
      </c>
      <c r="N424" t="inlineStr">
        <is>
          <t>https://sales.crownandchamparesorts.com/wp-content/uploads/2019/02/KagiInteriorDesigns.pdf</t>
        </is>
      </c>
      <c r="O424" t="inlineStr">
        <is>
          <t>9a3d7cf168bc08e275eb9b7f98f28536dfd26d6d55cf9786423f8d5236a81cc1</t>
        </is>
      </c>
      <c r="P424" t="inlineStr">
        <is>
          <t>library/071_kagi-maldives-resort-and-spa/other/2018_KagiInteriorDesigns.pdf</t>
        </is>
      </c>
      <c r="R424" t="inlineStr">
        <is>
          <t>outdated</t>
        </is>
      </c>
      <c r="S424" t="inlineStr">
        <is>
          <t>Y</t>
        </is>
      </c>
      <c r="T424" t="inlineStr">
        <is>
          <t>matched</t>
        </is>
      </c>
      <c r="U424" t="inlineStr">
        <is>
          <t>2026-10-04</t>
        </is>
      </c>
      <c r="V424" t="inlineStr"/>
    </row>
    <row r="425">
      <c r="A425" t="n">
        <v>74</v>
      </c>
      <c r="B425" t="inlineStr">
        <is>
          <t>Kandolhu Island Maldives</t>
        </is>
      </c>
      <c r="C425" t="inlineStr">
        <is>
          <t>factsheet</t>
        </is>
      </c>
      <c r="D425" t="inlineStr">
        <is>
          <t>2019_kandolhu-maldives-factsheet.pdf</t>
        </is>
      </c>
      <c r="E425" t="n">
        <v>2019</v>
      </c>
      <c r="H425" t="n">
        <v>11</v>
      </c>
      <c r="I425" t="n">
        <v>1883</v>
      </c>
      <c r="J425" t="inlineStr">
        <is>
          <t>Y</t>
        </is>
      </c>
      <c r="K425" t="inlineStr">
        <is>
          <t>neoscapesmaldives.com</t>
        </is>
      </c>
      <c r="L425" t="inlineStr">
        <is>
          <t>dmc-agency</t>
        </is>
      </c>
      <c r="M425" t="inlineStr">
        <is>
          <t>https://www.neoscapesmaldives.com/wp-content/uploads/kandolhu-maldives-factsheet.pdf</t>
        </is>
      </c>
      <c r="N425" t="inlineStr">
        <is>
          <t>https://www.neoscapesmaldives.com/wp-content/uploads/kandolhu-maldives-factsheet.pdf</t>
        </is>
      </c>
      <c r="O425" t="inlineStr">
        <is>
          <t>70f81f1e5d68a608c7a27601d650e812f9f45bd39a0bd6522f6024cbe5adc6c0</t>
        </is>
      </c>
      <c r="P425" t="inlineStr">
        <is>
          <t>library/074_kandolhu-island-maldives/factsheet/2019_kandolhu-maldives-factsheet.pdf</t>
        </is>
      </c>
      <c r="R425" t="inlineStr">
        <is>
          <t>outdated</t>
        </is>
      </c>
      <c r="S425" t="inlineStr">
        <is>
          <t>Y</t>
        </is>
      </c>
      <c r="T425" t="inlineStr">
        <is>
          <t>matched</t>
        </is>
      </c>
      <c r="U425" t="inlineStr">
        <is>
          <t>2026-10-04</t>
        </is>
      </c>
      <c r="V425" t="inlineStr"/>
    </row>
    <row r="426">
      <c r="A426" t="n">
        <v>74</v>
      </c>
      <c r="B426" t="inlineStr">
        <is>
          <t>Kandolhu Island Maldives</t>
        </is>
      </c>
      <c r="C426" t="inlineStr">
        <is>
          <t>map</t>
        </is>
      </c>
      <c r="D426" t="inlineStr">
        <is>
          <t>2019_kandolhu-maldives-resort-map-may-2019.pdf</t>
        </is>
      </c>
      <c r="E426" t="n">
        <v>2019</v>
      </c>
      <c r="H426" t="n">
        <v>1</v>
      </c>
      <c r="I426" t="n">
        <v>225</v>
      </c>
      <c r="J426" t="inlineStr">
        <is>
          <t>N</t>
        </is>
      </c>
      <c r="K426" t="inlineStr">
        <is>
          <t>neoscapesmaldives.com</t>
        </is>
      </c>
      <c r="L426" t="inlineStr">
        <is>
          <t>dmc-agency</t>
        </is>
      </c>
      <c r="M426" t="inlineStr">
        <is>
          <t>https://www.neoscapesmaldives.com/wp-content/uploads/kandolhu-maldives-resort-map-may-2019.pdf</t>
        </is>
      </c>
      <c r="N426" t="inlineStr">
        <is>
          <t>https://www.neoscapesmaldives.com/wp-content/uploads/kandolhu-maldives-resort-map-may-2019.pdf</t>
        </is>
      </c>
      <c r="O426" t="inlineStr">
        <is>
          <t>a38176efb363d926d5cf91bb5a52ccf2684d7248d39edb7c87035ea776529641</t>
        </is>
      </c>
      <c r="P426" t="inlineStr">
        <is>
          <t>library/074_kandolhu-island-maldives/map/2019_kandolhu-maldives-resort-map-may-2019.pdf</t>
        </is>
      </c>
      <c r="R426" t="inlineStr">
        <is>
          <t>outdated</t>
        </is>
      </c>
      <c r="S426" t="inlineStr">
        <is>
          <t>Y</t>
        </is>
      </c>
      <c r="T426" t="inlineStr">
        <is>
          <t>matched</t>
        </is>
      </c>
      <c r="U426" t="inlineStr">
        <is>
          <t>2026-10-04</t>
        </is>
      </c>
      <c r="V426" t="inlineStr"/>
    </row>
    <row r="427">
      <c r="A427" t="n">
        <v>75</v>
      </c>
      <c r="B427" t="inlineStr">
        <is>
          <t>Kandima Maldives</t>
        </is>
      </c>
      <c r="C427" t="inlineStr">
        <is>
          <t>factsheet</t>
        </is>
      </c>
      <c r="D427" t="inlineStr">
        <is>
          <t>2019_Kandima-Maldives-Resort-Factsheet.pdf</t>
        </is>
      </c>
      <c r="E427" t="n">
        <v>2019</v>
      </c>
      <c r="H427" t="n">
        <v>6</v>
      </c>
      <c r="I427" t="n">
        <v>1718</v>
      </c>
      <c r="J427" t="inlineStr">
        <is>
          <t>Y</t>
        </is>
      </c>
      <c r="K427" t="inlineStr">
        <is>
          <t>neoscapesmaldives.com</t>
        </is>
      </c>
      <c r="L427" t="inlineStr">
        <is>
          <t>dmc-agency</t>
        </is>
      </c>
      <c r="M427" t="inlineStr">
        <is>
          <t>https://www.neoscapesmaldives.com/wp-content/uploads/Kandima-Maldives-Resort-Factsheet.pdf</t>
        </is>
      </c>
      <c r="N427" t="inlineStr">
        <is>
          <t>https://www.neoscapesmaldives.com/wp-content/uploads/Kandima-Maldives-Resort-Factsheet.pdf</t>
        </is>
      </c>
      <c r="O427" t="inlineStr">
        <is>
          <t>50fda9fb952a318bc060d8dcf5cfa974074dcde7a417bf581c74d325efb57d87</t>
        </is>
      </c>
      <c r="P427" t="inlineStr">
        <is>
          <t>library/075_kandima-maldives/factsheet/2019_Kandima-Maldives-Resort-Factsheet.pdf</t>
        </is>
      </c>
      <c r="R427" t="inlineStr">
        <is>
          <t>outdated</t>
        </is>
      </c>
      <c r="S427" t="inlineStr">
        <is>
          <t>Y</t>
        </is>
      </c>
      <c r="T427" t="inlineStr">
        <is>
          <t>matched</t>
        </is>
      </c>
      <c r="U427" t="inlineStr">
        <is>
          <t>2026-10-04</t>
        </is>
      </c>
      <c r="V427" t="inlineStr"/>
    </row>
    <row r="428">
      <c r="A428" t="n">
        <v>75</v>
      </c>
      <c r="B428" t="inlineStr">
        <is>
          <t>Kandima Maldives</t>
        </is>
      </c>
      <c r="C428" t="inlineStr">
        <is>
          <t>map</t>
        </is>
      </c>
      <c r="D428" t="inlineStr">
        <is>
          <t>2019_Kandima-Maldives-Resort-map.pdf</t>
        </is>
      </c>
      <c r="E428" t="n">
        <v>2019</v>
      </c>
      <c r="H428" t="n">
        <v>1</v>
      </c>
      <c r="I428" t="n">
        <v>64</v>
      </c>
      <c r="J428" t="inlineStr">
        <is>
          <t>N</t>
        </is>
      </c>
      <c r="K428" t="inlineStr">
        <is>
          <t>neoscapesmaldives.com</t>
        </is>
      </c>
      <c r="L428" t="inlineStr">
        <is>
          <t>dmc-agency</t>
        </is>
      </c>
      <c r="M428" t="inlineStr">
        <is>
          <t>https://www.neoscapesmaldives.com/wp-content/uploads/Kandima-Maldives-Resort-map.pdf</t>
        </is>
      </c>
      <c r="N428" t="inlineStr">
        <is>
          <t>https://www.neoscapesmaldives.com/wp-content/uploads/Kandima-Maldives-Resort-map.pdf</t>
        </is>
      </c>
      <c r="O428" t="inlineStr">
        <is>
          <t>334d629597ed041ea7707cf5349470809a7dbe64386021c484d9e8ad7a33b249</t>
        </is>
      </c>
      <c r="P428" t="inlineStr">
        <is>
          <t>library/075_kandima-maldives/map/2019_Kandima-Maldives-Resort-map.pdf</t>
        </is>
      </c>
      <c r="R428" t="inlineStr">
        <is>
          <t>outdated</t>
        </is>
      </c>
      <c r="S428" t="inlineStr">
        <is>
          <t>Y</t>
        </is>
      </c>
      <c r="T428" t="inlineStr">
        <is>
          <t>matched</t>
        </is>
      </c>
      <c r="U428" t="inlineStr">
        <is>
          <t>2026-10-04</t>
        </is>
      </c>
      <c r="V428" t="inlineStr"/>
    </row>
    <row r="429">
      <c r="A429" t="n">
        <v>76</v>
      </c>
      <c r="B429" t="inlineStr">
        <is>
          <t>Hideaway Beach Resort and Spa at Dhonakulhi Island Maldives</t>
        </is>
      </c>
      <c r="C429" t="inlineStr">
        <is>
          <t>factsheet</t>
        </is>
      </c>
      <c r="D429" t="inlineStr">
        <is>
          <t>2020_Factsheet-Hideaway-Beach-Maldives-NEO.pdf</t>
        </is>
      </c>
      <c r="E429" t="n">
        <v>2020</v>
      </c>
      <c r="H429" t="n">
        <v>17</v>
      </c>
      <c r="I429" t="n">
        <v>4507</v>
      </c>
      <c r="J429" t="inlineStr">
        <is>
          <t>N</t>
        </is>
      </c>
      <c r="K429" t="inlineStr">
        <is>
          <t>neoscapesmaldives.com</t>
        </is>
      </c>
      <c r="L429" t="inlineStr">
        <is>
          <t>dmc-agency</t>
        </is>
      </c>
      <c r="M429" t="inlineStr">
        <is>
          <t>https://www.neoscapesmaldives.com/wp-content/uploads/Factsheet-Hideaway-Beach-Maldives-NEO.pdf</t>
        </is>
      </c>
      <c r="N429" t="inlineStr">
        <is>
          <t>https://www.neoscapesmaldives.com/wp-content/uploads/Factsheet-Hideaway-Beach-Maldives-NEO.pdf</t>
        </is>
      </c>
      <c r="O429" t="inlineStr">
        <is>
          <t>38e5077d60a8cf65c22b98ccb07a76a550efd029d799f31d8b3ee40ca757fd9f</t>
        </is>
      </c>
      <c r="P429" t="inlineStr">
        <is>
          <t>library/076_hideaway-beach-resort-and-spa-at-dhonakulhi-island/factsheet/2020_Factsheet-Hideaway-Beach-Maldives-NEO.pdf</t>
        </is>
      </c>
      <c r="R429" t="inlineStr">
        <is>
          <t>outdated</t>
        </is>
      </c>
      <c r="S429" t="inlineStr">
        <is>
          <t>Y</t>
        </is>
      </c>
      <c r="T429" t="inlineStr">
        <is>
          <t>matched</t>
        </is>
      </c>
      <c r="U429" t="inlineStr">
        <is>
          <t>2026-10-04</t>
        </is>
      </c>
      <c r="V429" t="inlineStr"/>
    </row>
    <row r="430">
      <c r="A430" t="n">
        <v>76</v>
      </c>
      <c r="B430" t="inlineStr">
        <is>
          <t>Hideaway Beach Resort and Spa at Dhonakulhi Island Maldives</t>
        </is>
      </c>
      <c r="C430" t="inlineStr">
        <is>
          <t>map</t>
        </is>
      </c>
      <c r="D430" t="inlineStr">
        <is>
          <t>2018_Resort-Map-Hideaway-Beach-Maldives.pdf</t>
        </is>
      </c>
      <c r="E430" t="n">
        <v>2018</v>
      </c>
      <c r="H430" t="n">
        <v>2</v>
      </c>
      <c r="I430" t="n">
        <v>1202</v>
      </c>
      <c r="J430" t="inlineStr">
        <is>
          <t>Y</t>
        </is>
      </c>
      <c r="K430" t="inlineStr">
        <is>
          <t>neoscapesmaldives.com</t>
        </is>
      </c>
      <c r="L430" t="inlineStr">
        <is>
          <t>dmc-agency</t>
        </is>
      </c>
      <c r="M430" t="inlineStr">
        <is>
          <t>https://www.neoscapesmaldives.com/wp-content/uploads/Resort-Map-Hideaway-Beach-Maldives.pdf</t>
        </is>
      </c>
      <c r="N430" t="inlineStr">
        <is>
          <t>https://www.neoscapesmaldives.com/wp-content/uploads/Resort-Map-Hideaway-Beach-Maldives.pdf</t>
        </is>
      </c>
      <c r="O430" t="inlineStr">
        <is>
          <t>b9bdbbce4defe7fa506e05d0e2aa4e0b1c885f3ef898227db13a6f75c2bc0430</t>
        </is>
      </c>
      <c r="P430" t="inlineStr">
        <is>
          <t>library/076_hideaway-beach-resort-and-spa-at-dhonakulhi-island/map/2018_Resort-Map-Hideaway-Beach-Maldives.pdf</t>
        </is>
      </c>
      <c r="R430" t="inlineStr">
        <is>
          <t>outdated</t>
        </is>
      </c>
      <c r="S430" t="inlineStr">
        <is>
          <t>Y</t>
        </is>
      </c>
      <c r="T430" t="inlineStr">
        <is>
          <t>matched</t>
        </is>
      </c>
      <c r="U430" t="inlineStr">
        <is>
          <t>2026-10-04</t>
        </is>
      </c>
      <c r="V430" t="inlineStr"/>
    </row>
    <row r="431">
      <c r="A431" t="n">
        <v>77</v>
      </c>
      <c r="B431" t="inlineStr">
        <is>
          <t>Atmosphere Kanifushi Maldives</t>
        </is>
      </c>
      <c r="C431" t="inlineStr">
        <is>
          <t>map</t>
        </is>
      </c>
      <c r="D431" t="inlineStr">
        <is>
          <t>2019_ATMOSPHERE-KANIFUSHI-MALDIVES-ISLAND-MAP-DEC2019.pdf</t>
        </is>
      </c>
      <c r="E431" t="n">
        <v>2019</v>
      </c>
      <c r="H431" t="n">
        <v>1</v>
      </c>
      <c r="I431" t="n">
        <v>977</v>
      </c>
      <c r="J431" t="inlineStr">
        <is>
          <t>Y</t>
        </is>
      </c>
      <c r="K431" t="inlineStr">
        <is>
          <t>neoscapesmaldives.com</t>
        </is>
      </c>
      <c r="L431" t="inlineStr">
        <is>
          <t>dmc-agency</t>
        </is>
      </c>
      <c r="M431" t="inlineStr">
        <is>
          <t>https://www.neoscapesmaldives.com/wp-content/uploads/ATMOSPHERE-KANIFUSHI-MALDIVES-ISLAND-MAP-DEC2019.pdf</t>
        </is>
      </c>
      <c r="N431" t="inlineStr">
        <is>
          <t>https://www.neoscapesmaldives.com/wp-content/uploads/ATMOSPHERE-KANIFUSHI-MALDIVES-ISLAND-MAP-DEC2019.pdf</t>
        </is>
      </c>
      <c r="O431" t="inlineStr">
        <is>
          <t>f0f9875169f4793ba0810c0f041f3255f852d132536a2a4efb1dd0834714b0cd</t>
        </is>
      </c>
      <c r="P431" t="inlineStr">
        <is>
          <t>library/077_atmosphere-kanifushi-maldives/map/2019_ATMOSPHERE-KANIFUSHI-MALDIVES-ISLAND-MAP-DEC2019.pdf</t>
        </is>
      </c>
      <c r="R431" t="inlineStr">
        <is>
          <t>outdated</t>
        </is>
      </c>
      <c r="S431" t="inlineStr">
        <is>
          <t>Y</t>
        </is>
      </c>
      <c r="T431" t="inlineStr">
        <is>
          <t>matched</t>
        </is>
      </c>
      <c r="U431" t="inlineStr">
        <is>
          <t>2026-10-04</t>
        </is>
      </c>
      <c r="V431" t="inlineStr"/>
    </row>
    <row r="432">
      <c r="A432" t="n">
        <v>77</v>
      </c>
      <c r="B432" t="inlineStr">
        <is>
          <t>Atmosphere Kanifushi Maldives</t>
        </is>
      </c>
      <c r="C432" t="inlineStr">
        <is>
          <t>brochure</t>
        </is>
      </c>
      <c r="D432" t="inlineStr">
        <is>
          <t>2025_AKM-Resort-Brochure-MAR-2025-1.pdf</t>
        </is>
      </c>
      <c r="E432" t="n">
        <v>2025</v>
      </c>
      <c r="H432" t="n">
        <v>21</v>
      </c>
      <c r="I432" t="n">
        <v>10617</v>
      </c>
      <c r="J432" t="inlineStr">
        <is>
          <t>Y</t>
        </is>
      </c>
      <c r="K432" t="inlineStr">
        <is>
          <t>neoscapesmaldives.com</t>
        </is>
      </c>
      <c r="L432" t="inlineStr">
        <is>
          <t>dmc-agency</t>
        </is>
      </c>
      <c r="M432" t="inlineStr">
        <is>
          <t>https://www.neoscapesmaldives.com/wp-content/uploads/AKM-Resort-Brochure-MAR-2025-1.pdf</t>
        </is>
      </c>
      <c r="N432" t="inlineStr">
        <is>
          <t>https://www.neoscapesmaldives.com/wp-content/uploads/AKM-Resort-Brochure-MAR-2025-1.pdf</t>
        </is>
      </c>
      <c r="O432" t="inlineStr">
        <is>
          <t>e6726b206e1ffe4d47155a59840d481aafb1cfe8ad10957a13a2b728d9b1c310</t>
        </is>
      </c>
      <c r="P432" t="inlineStr">
        <is>
          <t>library/077_atmosphere-kanifushi-maldives/brochure/2025_AKM-Resort-Brochure-MAR-2025-1.pdf</t>
        </is>
      </c>
      <c r="R432" t="inlineStr">
        <is>
          <t>current</t>
        </is>
      </c>
      <c r="S432" t="inlineStr">
        <is>
          <t>Y</t>
        </is>
      </c>
      <c r="T432" t="inlineStr">
        <is>
          <t>matched</t>
        </is>
      </c>
      <c r="U432" t="inlineStr">
        <is>
          <t>2026-10-04</t>
        </is>
      </c>
      <c r="V432" t="inlineStr"/>
    </row>
    <row r="433">
      <c r="A433" t="n">
        <v>78</v>
      </c>
      <c r="B433" t="inlineStr">
        <is>
          <t>Meeru Maldives Resort Island</t>
        </is>
      </c>
      <c r="C433" t="inlineStr">
        <is>
          <t>factsheet</t>
        </is>
      </c>
      <c r="D433" t="inlineStr">
        <is>
          <t>2025_FactSheetMeeru110125103126Ver01022025-1.pdf</t>
        </is>
      </c>
      <c r="E433" t="n">
        <v>2025</v>
      </c>
      <c r="F433" t="inlineStr">
        <is>
          <t>2025-11-01</t>
        </is>
      </c>
      <c r="G433" t="inlineStr">
        <is>
          <t>2026-10-31</t>
        </is>
      </c>
      <c r="H433" t="n">
        <v>0</v>
      </c>
      <c r="I433" t="n">
        <v>1596</v>
      </c>
      <c r="J433" t="inlineStr">
        <is>
          <t>N</t>
        </is>
      </c>
      <c r="K433" t="inlineStr">
        <is>
          <t>sales.crownandchamparesorts.com</t>
        </is>
      </c>
      <c r="L433" t="inlineStr">
        <is>
          <t>brand-cdn</t>
        </is>
      </c>
      <c r="M433" t="inlineStr">
        <is>
          <t>https://sales.crownandchamparesorts.com/wp-content/uploads/2025/12/FactSheetMeeru110125103126Ver01022025-1.pdf</t>
        </is>
      </c>
      <c r="N433" t="inlineStr">
        <is>
          <t>https://sales.crownandchamparesorts.com/wp-content/uploads/2025/12/FactSheetMeeru110125103126Ver01022025-1.pdf</t>
        </is>
      </c>
      <c r="O433" t="inlineStr">
        <is>
          <t>30eb914028693086535fcce2c813320287d595fb4296615b162c8542ad2f78e2</t>
        </is>
      </c>
      <c r="P433" t="inlineStr">
        <is>
          <t>library/078_meeru-maldives-resort-island/factsheet/2025_FactSheetMeeru110125103126Ver01022025-1.pdf</t>
        </is>
      </c>
      <c r="R433" t="inlineStr">
        <is>
          <t>current</t>
        </is>
      </c>
      <c r="S433" t="inlineStr">
        <is>
          <t>N</t>
        </is>
      </c>
      <c r="T433" t="inlineStr">
        <is>
          <t>matched</t>
        </is>
      </c>
      <c r="U433" t="inlineStr">
        <is>
          <t>2026-10-04</t>
        </is>
      </c>
      <c r="V433" t="inlineStr"/>
    </row>
    <row r="434">
      <c r="A434" t="n">
        <v>78</v>
      </c>
      <c r="B434" t="inlineStr">
        <is>
          <t>Meeru Maldives Resort Island</t>
        </is>
      </c>
      <c r="C434" t="inlineStr">
        <is>
          <t>factsheet</t>
        </is>
      </c>
      <c r="D434" t="inlineStr">
        <is>
          <t>2025_FactSheetMeeru110125103126Ver01022025.pdf</t>
        </is>
      </c>
      <c r="E434" t="n">
        <v>2025</v>
      </c>
      <c r="F434" t="inlineStr">
        <is>
          <t>2025-11-01</t>
        </is>
      </c>
      <c r="G434" t="inlineStr">
        <is>
          <t>2026-10-31</t>
        </is>
      </c>
      <c r="H434" t="n">
        <v>12</v>
      </c>
      <c r="I434" t="n">
        <v>1932</v>
      </c>
      <c r="J434" t="inlineStr">
        <is>
          <t>Y</t>
        </is>
      </c>
      <c r="K434" t="inlineStr">
        <is>
          <t>sales.crownandchamparesorts.com</t>
        </is>
      </c>
      <c r="L434" t="inlineStr">
        <is>
          <t>brand-cdn</t>
        </is>
      </c>
      <c r="M434" t="inlineStr">
        <is>
          <t>https://sales.crownandchamparesorts.com/wp-content/uploads/2025/12/FactSheetMeeru110125103126Ver01022025.pdf</t>
        </is>
      </c>
      <c r="N434" t="inlineStr">
        <is>
          <t>https://sales.crownandchamparesorts.com/wp-content/uploads/2025/12/FactSheetMeeru110125103126Ver01022025.pdf</t>
        </is>
      </c>
      <c r="O434" t="inlineStr">
        <is>
          <t>c823c98f31c880d7fd21016d5177d4dbea55817256e54becff49b9e9a2d25fac</t>
        </is>
      </c>
      <c r="P434" t="inlineStr">
        <is>
          <t>library/078_meeru-maldives-resort-island/factsheet/2025_FactSheetMeeru110125103126Ver01022025.pdf</t>
        </is>
      </c>
      <c r="R434" t="inlineStr">
        <is>
          <t>current</t>
        </is>
      </c>
      <c r="S434" t="inlineStr">
        <is>
          <t>Y</t>
        </is>
      </c>
      <c r="T434" t="inlineStr">
        <is>
          <t>matched</t>
        </is>
      </c>
      <c r="U434" t="inlineStr">
        <is>
          <t>2026-10-04</t>
        </is>
      </c>
      <c r="V434" t="inlineStr"/>
    </row>
    <row r="435">
      <c r="A435" t="n">
        <v>78</v>
      </c>
      <c r="B435" t="inlineStr">
        <is>
          <t>Meeru Maldives Resort Island</t>
        </is>
      </c>
      <c r="C435" t="inlineStr">
        <is>
          <t>factsheet</t>
        </is>
      </c>
      <c r="D435" t="inlineStr">
        <is>
          <t>2022_FactSheetMeeru110122103123Rev090623.pdf</t>
        </is>
      </c>
      <c r="E435" t="n">
        <v>2022</v>
      </c>
      <c r="F435" t="inlineStr">
        <is>
          <t>2022-11-01</t>
        </is>
      </c>
      <c r="G435" t="inlineStr">
        <is>
          <t>2023-10-31</t>
        </is>
      </c>
      <c r="H435" t="n">
        <v>7</v>
      </c>
      <c r="I435" t="n">
        <v>1913</v>
      </c>
      <c r="J435" t="inlineStr">
        <is>
          <t>Y</t>
        </is>
      </c>
      <c r="K435" t="inlineStr">
        <is>
          <t>sales.crownandchamparesorts.com</t>
        </is>
      </c>
      <c r="L435" t="inlineStr">
        <is>
          <t>brand-cdn</t>
        </is>
      </c>
      <c r="M435" t="inlineStr">
        <is>
          <t>https://sales.crownandchamparesorts.com/wp-content/uploads/2023/09/FactSheetMeeru110122103123Rev090623.pdf</t>
        </is>
      </c>
      <c r="N435" t="inlineStr">
        <is>
          <t>https://sales.crownandchamparesorts.com/wp-content/uploads/2023/09/FactSheetMeeru110122103123Rev090623.pdf</t>
        </is>
      </c>
      <c r="O435" t="inlineStr">
        <is>
          <t>6cf3f39dc3a04cce040cdd1f410d17396e19a329fd0598c0525777f0d6798ecf</t>
        </is>
      </c>
      <c r="P435" t="inlineStr">
        <is>
          <t>library/078_meeru-maldives-resort-island/factsheet/2022_FactSheetMeeru110122103123Rev090623.pdf</t>
        </is>
      </c>
      <c r="R435" t="inlineStr">
        <is>
          <t>outdated</t>
        </is>
      </c>
      <c r="S435" t="inlineStr">
        <is>
          <t>N</t>
        </is>
      </c>
      <c r="T435" t="inlineStr">
        <is>
          <t>matched</t>
        </is>
      </c>
      <c r="U435" t="inlineStr">
        <is>
          <t>2026-10-04</t>
        </is>
      </c>
      <c r="V435" t="inlineStr"/>
    </row>
    <row r="436">
      <c r="A436" t="n">
        <v>78</v>
      </c>
      <c r="B436" t="inlineStr">
        <is>
          <t>Meeru Maldives Resort Island</t>
        </is>
      </c>
      <c r="C436" t="inlineStr">
        <is>
          <t>factsheet</t>
        </is>
      </c>
      <c r="D436" t="inlineStr">
        <is>
          <t>2019_FactSheetMeeru110119103120Rev051219.pdf</t>
        </is>
      </c>
      <c r="E436" t="n">
        <v>2019</v>
      </c>
      <c r="F436" t="inlineStr">
        <is>
          <t>2019-11-01</t>
        </is>
      </c>
      <c r="G436" t="inlineStr">
        <is>
          <t>2020-10-31</t>
        </is>
      </c>
      <c r="H436" t="n">
        <v>4</v>
      </c>
      <c r="I436" t="n">
        <v>607</v>
      </c>
      <c r="J436" t="inlineStr">
        <is>
          <t>Y</t>
        </is>
      </c>
      <c r="K436" t="inlineStr">
        <is>
          <t>sales.crownandchamparesorts.com</t>
        </is>
      </c>
      <c r="L436" t="inlineStr">
        <is>
          <t>brand-cdn</t>
        </is>
      </c>
      <c r="M436" t="inlineStr">
        <is>
          <t>https://sales.crownandchamparesorts.com/wp-content/uploads/2018/11/FactSheetMeeru110119103120Rev051219.pdf</t>
        </is>
      </c>
      <c r="N436" t="inlineStr">
        <is>
          <t>https://sales.crownandchamparesorts.com/wp-content/uploads/2018/11/FactSheetMeeru110119103120Rev051219.pdf</t>
        </is>
      </c>
      <c r="O436" t="inlineStr">
        <is>
          <t>326843bf2f69b1768f49f676f68811613d012ec58c621080cbd904d4d06eb432</t>
        </is>
      </c>
      <c r="P436" t="inlineStr">
        <is>
          <t>library/078_meeru-maldives-resort-island/factsheet/2019_FactSheetMeeru110119103120Rev051219.pdf</t>
        </is>
      </c>
      <c r="R436" t="inlineStr">
        <is>
          <t>outdated</t>
        </is>
      </c>
      <c r="S436" t="inlineStr">
        <is>
          <t>N</t>
        </is>
      </c>
      <c r="T436" t="inlineStr">
        <is>
          <t>matched</t>
        </is>
      </c>
      <c r="U436" t="inlineStr">
        <is>
          <t>2026-10-04</t>
        </is>
      </c>
      <c r="V436" t="inlineStr"/>
    </row>
    <row r="437">
      <c r="A437" t="n">
        <v>78</v>
      </c>
      <c r="B437" t="inlineStr">
        <is>
          <t>Meeru Maldives Resort Island</t>
        </is>
      </c>
      <c r="C437" t="inlineStr">
        <is>
          <t>factsheet</t>
        </is>
      </c>
      <c r="D437" t="inlineStr">
        <is>
          <t>2018_FactSheetMeeru110118103119Rev040318.pdf</t>
        </is>
      </c>
      <c r="E437" t="n">
        <v>2018</v>
      </c>
      <c r="F437" t="inlineStr">
        <is>
          <t>2018-11-01</t>
        </is>
      </c>
      <c r="G437" t="inlineStr">
        <is>
          <t>2019-10-31</t>
        </is>
      </c>
      <c r="H437" t="n">
        <v>2</v>
      </c>
      <c r="I437" t="n">
        <v>189</v>
      </c>
      <c r="J437" t="inlineStr">
        <is>
          <t>Y</t>
        </is>
      </c>
      <c r="K437" t="inlineStr">
        <is>
          <t>sales.crownandchamparesorts.com</t>
        </is>
      </c>
      <c r="L437" t="inlineStr">
        <is>
          <t>brand-cdn</t>
        </is>
      </c>
      <c r="M437" t="inlineStr">
        <is>
          <t>https://sales.crownandchamparesorts.com/wp-content/uploads/2018/04/FactSheetMeeru110118103119Rev040318.pdf</t>
        </is>
      </c>
      <c r="N437" t="inlineStr">
        <is>
          <t>https://sales.crownandchamparesorts.com/wp-content/uploads/2018/04/FactSheetMeeru110118103119Rev040318.pdf</t>
        </is>
      </c>
      <c r="O437" t="inlineStr">
        <is>
          <t>6641f27067c77a901f64814063834f99c71a9deead31d7623c0a62bf06a7fdda</t>
        </is>
      </c>
      <c r="P437" t="inlineStr">
        <is>
          <t>library/078_meeru-maldives-resort-island/factsheet/2018_FactSheetMeeru110118103119Rev040318.pdf</t>
        </is>
      </c>
      <c r="R437" t="inlineStr">
        <is>
          <t>outdated</t>
        </is>
      </c>
      <c r="S437" t="inlineStr">
        <is>
          <t>N</t>
        </is>
      </c>
      <c r="T437" t="inlineStr">
        <is>
          <t>matched</t>
        </is>
      </c>
      <c r="U437" t="inlineStr">
        <is>
          <t>2026-10-04</t>
        </is>
      </c>
      <c r="V437" t="inlineStr"/>
    </row>
    <row r="438">
      <c r="A438" t="n">
        <v>78</v>
      </c>
      <c r="B438" t="inlineStr">
        <is>
          <t>Meeru Maldives Resort Island</t>
        </is>
      </c>
      <c r="C438" t="inlineStr">
        <is>
          <t>factsheet</t>
        </is>
      </c>
      <c r="D438" t="inlineStr">
        <is>
          <t>2018_FactSheetCCH050118103118Rev033118.pdf</t>
        </is>
      </c>
      <c r="E438" t="n">
        <v>2018</v>
      </c>
      <c r="F438" t="inlineStr">
        <is>
          <t>2018-05-01</t>
        </is>
      </c>
      <c r="G438" t="inlineStr">
        <is>
          <t>2018-10-31</t>
        </is>
      </c>
      <c r="H438" t="n">
        <v>4</v>
      </c>
      <c r="I438" t="n">
        <v>303</v>
      </c>
      <c r="J438" t="inlineStr">
        <is>
          <t>Y</t>
        </is>
      </c>
      <c r="K438" t="inlineStr">
        <is>
          <t>sales.crownandchamparesorts.com</t>
        </is>
      </c>
      <c r="L438" t="inlineStr">
        <is>
          <t>brand-cdn</t>
        </is>
      </c>
      <c r="M438" t="inlineStr">
        <is>
          <t>https://sales.crownandchamparesorts.com/wp-content/uploads/2018/04/FactSheetCCH050118103118Rev033118.pdf</t>
        </is>
      </c>
      <c r="N438" t="inlineStr">
        <is>
          <t>https://sales.crownandchamparesorts.com/wp-content/uploads/2018/04/FactSheetCCH050118103118Rev033118.pdf</t>
        </is>
      </c>
      <c r="O438" t="inlineStr">
        <is>
          <t>c83f5aacc539df0d865709c9fd0e622fb2d50a3f8ea7ad6e21ba179e17b3f679</t>
        </is>
      </c>
      <c r="P438" t="inlineStr">
        <is>
          <t>library/078_meeru-maldives-resort-island/factsheet/2018_FactSheetCCH050118103118Rev033118.pdf</t>
        </is>
      </c>
      <c r="R438" t="inlineStr">
        <is>
          <t>outdated</t>
        </is>
      </c>
      <c r="S438" t="inlineStr">
        <is>
          <t>N</t>
        </is>
      </c>
      <c r="T438" t="inlineStr">
        <is>
          <t>matched</t>
        </is>
      </c>
      <c r="U438" t="inlineStr">
        <is>
          <t>2026-10-04</t>
        </is>
      </c>
      <c r="V438" t="inlineStr"/>
    </row>
    <row r="439">
      <c r="A439" t="n">
        <v>78</v>
      </c>
      <c r="B439" t="inlineStr">
        <is>
          <t>Meeru Maldives Resort Island</t>
        </is>
      </c>
      <c r="C439" t="inlineStr">
        <is>
          <t>map</t>
        </is>
      </c>
      <c r="D439" t="inlineStr">
        <is>
          <t>2025_MeeruMaldivesColorMap110125103126Ver200425.pdf</t>
        </is>
      </c>
      <c r="E439" t="n">
        <v>2025</v>
      </c>
      <c r="F439" t="inlineStr">
        <is>
          <t>2025-11-01</t>
        </is>
      </c>
      <c r="G439" t="inlineStr">
        <is>
          <t>2026-10-31</t>
        </is>
      </c>
      <c r="H439" t="n">
        <v>1</v>
      </c>
      <c r="I439" t="n">
        <v>602</v>
      </c>
      <c r="J439" t="inlineStr">
        <is>
          <t>Y</t>
        </is>
      </c>
      <c r="K439" t="inlineStr">
        <is>
          <t>sales.crownandchamparesorts.com</t>
        </is>
      </c>
      <c r="L439" t="inlineStr">
        <is>
          <t>brand-cdn</t>
        </is>
      </c>
      <c r="M439" t="inlineStr">
        <is>
          <t>https://sales.crownandchamparesorts.com/wp-content/uploads/2025/08/MeeruMaldivesColorMap110125103126Ver200425.pdf</t>
        </is>
      </c>
      <c r="N439" t="inlineStr">
        <is>
          <t>https://sales.crownandchamparesorts.com/wp-content/uploads/2025/08/MeeruMaldivesColorMap110125103126Ver200425.pdf</t>
        </is>
      </c>
      <c r="O439" t="inlineStr">
        <is>
          <t>9edae79491dd0ed15315b18f953b45798ce78b04354cf8e7abecffaa3b86eb9c</t>
        </is>
      </c>
      <c r="P439" t="inlineStr">
        <is>
          <t>library/078_meeru-maldives-resort-island/map/2025_MeeruMaldivesColorMap110125103126Ver200425.pdf</t>
        </is>
      </c>
      <c r="R439" t="inlineStr">
        <is>
          <t>current</t>
        </is>
      </c>
      <c r="S439" t="inlineStr">
        <is>
          <t>Y</t>
        </is>
      </c>
      <c r="T439" t="inlineStr">
        <is>
          <t>matched</t>
        </is>
      </c>
      <c r="U439" t="inlineStr">
        <is>
          <t>2026-10-04</t>
        </is>
      </c>
      <c r="V439" t="inlineStr"/>
    </row>
    <row r="440">
      <c r="A440" t="n">
        <v>78</v>
      </c>
      <c r="B440" t="inlineStr">
        <is>
          <t>Meeru Maldives Resort Island</t>
        </is>
      </c>
      <c r="C440" t="inlineStr">
        <is>
          <t>map</t>
        </is>
      </c>
      <c r="D440" t="inlineStr">
        <is>
          <t>2018_MapMeeru022218ColorEnglish.pdf</t>
        </is>
      </c>
      <c r="E440" t="n">
        <v>2018</v>
      </c>
      <c r="H440" t="n">
        <v>1</v>
      </c>
      <c r="I440" t="n">
        <v>931</v>
      </c>
      <c r="J440" t="inlineStr">
        <is>
          <t>Y</t>
        </is>
      </c>
      <c r="K440" t="inlineStr">
        <is>
          <t>sales.crownandchamparesorts.com</t>
        </is>
      </c>
      <c r="L440" t="inlineStr">
        <is>
          <t>brand-cdn</t>
        </is>
      </c>
      <c r="M440" t="inlineStr">
        <is>
          <t>https://sales.crownandchamparesorts.com/wp-content/uploads/2018/11/MapMeeru022218ColorEnglish.pdf</t>
        </is>
      </c>
      <c r="N440" t="inlineStr">
        <is>
          <t>https://sales.crownandchamparesorts.com/wp-content/uploads/2018/11/MapMeeru022218ColorEnglish.pdf</t>
        </is>
      </c>
      <c r="O440" t="inlineStr">
        <is>
          <t>e2c6ea490dccd459ba72ffec15fdab79632ee8dd7aef34ab5bb95dfc6d4ed277</t>
        </is>
      </c>
      <c r="P440" t="inlineStr">
        <is>
          <t>library/078_meeru-maldives-resort-island/map/2018_MapMeeru022218ColorEnglish.pdf</t>
        </is>
      </c>
      <c r="R440" t="inlineStr">
        <is>
          <t>outdated</t>
        </is>
      </c>
      <c r="S440" t="inlineStr">
        <is>
          <t>N</t>
        </is>
      </c>
      <c r="T440" t="inlineStr">
        <is>
          <t>matched</t>
        </is>
      </c>
      <c r="U440" t="inlineStr">
        <is>
          <t>2026-10-04</t>
        </is>
      </c>
      <c r="V440" t="inlineStr"/>
    </row>
    <row r="441">
      <c r="A441" t="n">
        <v>78</v>
      </c>
      <c r="B441" t="inlineStr">
        <is>
          <t>Meeru Maldives Resort Island</t>
        </is>
      </c>
      <c r="C441" t="inlineStr">
        <is>
          <t>obsolete</t>
        </is>
      </c>
      <c r="D441" t="inlineStr">
        <is>
          <t>2020_EURO-DIVERS-Covid-19-Precaution-and-Hygiene-Measures-071720-Meeru-and-Vilamendhoo.pdf</t>
        </is>
      </c>
      <c r="E441" t="n">
        <v>2020</v>
      </c>
      <c r="H441" t="n">
        <v>7</v>
      </c>
      <c r="I441" t="n">
        <v>253</v>
      </c>
      <c r="J441" t="inlineStr">
        <is>
          <t>Y</t>
        </is>
      </c>
      <c r="K441" t="inlineStr">
        <is>
          <t>sales.crownandchamparesorts.com</t>
        </is>
      </c>
      <c r="L441" t="inlineStr">
        <is>
          <t>brand-cdn</t>
        </is>
      </c>
      <c r="M441" t="inlineStr">
        <is>
          <t>https://sales.crownandchamparesorts.com/wp-content/uploads/2020/07/EURO-DIVERS-Covid-19-Precaution-and-Hygiene-Measures-071720-Meeru-and-Vilamendhoo.pdf</t>
        </is>
      </c>
      <c r="N441" t="inlineStr">
        <is>
          <t>https://sales.crownandchamparesorts.com/wp-content/uploads/2020/07/EURO-DIVERS-Covid-19-Precaution-and-Hygiene-Measures-071720-Meeru-and-Vilamendhoo.pdf</t>
        </is>
      </c>
      <c r="O441" t="inlineStr">
        <is>
          <t>3a51688ae4b24bb8b96d8a5e3fca5659bd4a3f5bef311f3727fab71e85723ca7</t>
        </is>
      </c>
      <c r="P441" t="inlineStr">
        <is>
          <t>library/078_meeru-maldives-resort-island/obsolete/2020_EURO-DIVERS-Covid-19-Precaution-and-Hygiene-Measures-071720-Meeru-and-Vilamendhoo.pdf</t>
        </is>
      </c>
      <c r="R441" t="inlineStr">
        <is>
          <t>obsolete</t>
        </is>
      </c>
      <c r="S441" t="inlineStr">
        <is>
          <t>Y</t>
        </is>
      </c>
      <c r="T441" t="inlineStr">
        <is>
          <t>matched</t>
        </is>
      </c>
      <c r="U441" t="inlineStr">
        <is>
          <t>2026-10-04</t>
        </is>
      </c>
      <c r="V441" t="inlineStr"/>
    </row>
    <row r="442">
      <c r="A442" t="n">
        <v>79</v>
      </c>
      <c r="B442" t="inlineStr">
        <is>
          <t>Komandoo Island Resort</t>
        </is>
      </c>
      <c r="C442" t="inlineStr">
        <is>
          <t>factsheet</t>
        </is>
      </c>
      <c r="D442" t="inlineStr">
        <is>
          <t>2025_KomandooFactsheet110125103126Ver170824.pdf</t>
        </is>
      </c>
      <c r="E442" t="n">
        <v>2025</v>
      </c>
      <c r="F442" t="inlineStr">
        <is>
          <t>2025-11-01</t>
        </is>
      </c>
      <c r="G442" t="inlineStr">
        <is>
          <t>2026-10-31</t>
        </is>
      </c>
      <c r="H442" t="n">
        <v>9</v>
      </c>
      <c r="I442" t="n">
        <v>1526</v>
      </c>
      <c r="J442" t="inlineStr">
        <is>
          <t>Y</t>
        </is>
      </c>
      <c r="K442" t="inlineStr">
        <is>
          <t>sales.crownandchamparesorts.com</t>
        </is>
      </c>
      <c r="L442" t="inlineStr">
        <is>
          <t>brand-cdn</t>
        </is>
      </c>
      <c r="M442" t="inlineStr">
        <is>
          <t>https://sales.crownandchamparesorts.com/wp-content/uploads/2025/12/KomandooFactsheet110125103126Ver170824.pdf</t>
        </is>
      </c>
      <c r="N442" t="inlineStr">
        <is>
          <t>https://sales.crownandchamparesorts.com/wp-content/uploads/2025/12/KomandooFactsheet110125103126Ver170824.pdf</t>
        </is>
      </c>
      <c r="O442" t="inlineStr">
        <is>
          <t>c252eb24066c25e6035549933c8f27924c3d945de75a6c0a2081d187bfab0c97</t>
        </is>
      </c>
      <c r="P442" t="inlineStr">
        <is>
          <t>library/079_komandoo-island-resort/factsheet/2025_KomandooFactsheet110125103126Ver170824.pdf</t>
        </is>
      </c>
      <c r="R442" t="inlineStr">
        <is>
          <t>current</t>
        </is>
      </c>
      <c r="S442" t="inlineStr">
        <is>
          <t>Y</t>
        </is>
      </c>
      <c r="T442" t="inlineStr">
        <is>
          <t>matched</t>
        </is>
      </c>
      <c r="U442" t="inlineStr">
        <is>
          <t>2026-10-04</t>
        </is>
      </c>
      <c r="V442" t="inlineStr"/>
    </row>
    <row r="443">
      <c r="A443" t="n">
        <v>79</v>
      </c>
      <c r="B443" t="inlineStr">
        <is>
          <t>Komandoo Island Resort</t>
        </is>
      </c>
      <c r="C443" t="inlineStr">
        <is>
          <t>factsheet</t>
        </is>
      </c>
      <c r="D443" t="inlineStr">
        <is>
          <t>2021_FactSheetKomandoo110121103122Ver110121.pdf</t>
        </is>
      </c>
      <c r="E443" t="n">
        <v>2021</v>
      </c>
      <c r="F443" t="inlineStr">
        <is>
          <t>2021-11-01</t>
        </is>
      </c>
      <c r="G443" t="inlineStr">
        <is>
          <t>2022-10-31</t>
        </is>
      </c>
      <c r="H443" t="n">
        <v>3</v>
      </c>
      <c r="I443" t="n">
        <v>708</v>
      </c>
      <c r="J443" t="inlineStr">
        <is>
          <t>Y</t>
        </is>
      </c>
      <c r="K443" t="inlineStr">
        <is>
          <t>sales.crownandchamparesorts.com</t>
        </is>
      </c>
      <c r="L443" t="inlineStr">
        <is>
          <t>brand-cdn</t>
        </is>
      </c>
      <c r="M443" t="inlineStr">
        <is>
          <t>https://sales.crownandchamparesorts.com/wp-content/uploads/2023/08/FactSheetKomandoo110121103122Ver110121.pdf</t>
        </is>
      </c>
      <c r="N443" t="inlineStr">
        <is>
          <t>https://sales.crownandchamparesorts.com/wp-content/uploads/2023/08/FactSheetKomandoo110121103122Ver110121.pdf</t>
        </is>
      </c>
      <c r="O443" t="inlineStr">
        <is>
          <t>3ecab9f90259b84182da4f65675219c1faab96afe1b5c4114200b828c7dc1e36</t>
        </is>
      </c>
      <c r="P443" t="inlineStr">
        <is>
          <t>library/079_komandoo-island-resort/factsheet/2021_FactSheetKomandoo110121103122Ver110121.pdf</t>
        </is>
      </c>
      <c r="R443" t="inlineStr">
        <is>
          <t>outdated</t>
        </is>
      </c>
      <c r="S443" t="inlineStr">
        <is>
          <t>N</t>
        </is>
      </c>
      <c r="T443" t="inlineStr">
        <is>
          <t>matched</t>
        </is>
      </c>
      <c r="U443" t="inlineStr">
        <is>
          <t>2026-10-04</t>
        </is>
      </c>
      <c r="V443" t="inlineStr"/>
    </row>
    <row r="444">
      <c r="A444" t="n">
        <v>79</v>
      </c>
      <c r="B444" t="inlineStr">
        <is>
          <t>Komandoo Island Resort</t>
        </is>
      </c>
      <c r="C444" t="inlineStr">
        <is>
          <t>factsheet</t>
        </is>
      </c>
      <c r="D444" t="inlineStr">
        <is>
          <t>2019_FactSheetKomandoo110119103120Rev010720.pdf</t>
        </is>
      </c>
      <c r="E444" t="n">
        <v>2019</v>
      </c>
      <c r="F444" t="inlineStr">
        <is>
          <t>2019-11-01</t>
        </is>
      </c>
      <c r="G444" t="inlineStr">
        <is>
          <t>2020-10-31</t>
        </is>
      </c>
      <c r="H444" t="n">
        <v>3</v>
      </c>
      <c r="I444" t="n">
        <v>1261</v>
      </c>
      <c r="J444" t="inlineStr">
        <is>
          <t>Y</t>
        </is>
      </c>
      <c r="K444" t="inlineStr">
        <is>
          <t>sales.crownandchamparesorts.com</t>
        </is>
      </c>
      <c r="L444" t="inlineStr">
        <is>
          <t>brand-cdn</t>
        </is>
      </c>
      <c r="M444" t="inlineStr">
        <is>
          <t>https://sales.crownandchamparesorts.com/wp-content/uploads/2018/10/FactSheetKomandoo110119103120Rev010720.pdf</t>
        </is>
      </c>
      <c r="N444" t="inlineStr">
        <is>
          <t>https://sales.crownandchamparesorts.com/wp-content/uploads/2018/10/FactSheetKomandoo110119103120Rev010720.pdf</t>
        </is>
      </c>
      <c r="O444" t="inlineStr">
        <is>
          <t>178b11695641be942cc4c4a0bd17585722dfce343ce12c6f7b809af36c8211bb</t>
        </is>
      </c>
      <c r="P444" t="inlineStr">
        <is>
          <t>library/079_komandoo-island-resort/factsheet/2019_FactSheetKomandoo110119103120Rev010720.pdf</t>
        </is>
      </c>
      <c r="R444" t="inlineStr">
        <is>
          <t>outdated</t>
        </is>
      </c>
      <c r="S444" t="inlineStr">
        <is>
          <t>N</t>
        </is>
      </c>
      <c r="T444" t="inlineStr">
        <is>
          <t>matched</t>
        </is>
      </c>
      <c r="U444" t="inlineStr">
        <is>
          <t>2026-10-04</t>
        </is>
      </c>
      <c r="V444" t="inlineStr"/>
    </row>
    <row r="445">
      <c r="A445" t="n">
        <v>79</v>
      </c>
      <c r="B445" t="inlineStr">
        <is>
          <t>Komandoo Island Resort</t>
        </is>
      </c>
      <c r="C445" t="inlineStr">
        <is>
          <t>factsheet</t>
        </is>
      </c>
      <c r="D445" t="inlineStr">
        <is>
          <t>2018_FactSheetKomandoo110118103119Rev011718.pdf</t>
        </is>
      </c>
      <c r="E445" t="n">
        <v>2018</v>
      </c>
      <c r="F445" t="inlineStr">
        <is>
          <t>2018-11-01</t>
        </is>
      </c>
      <c r="G445" t="inlineStr">
        <is>
          <t>2019-10-31</t>
        </is>
      </c>
      <c r="H445" t="n">
        <v>2</v>
      </c>
      <c r="I445" t="n">
        <v>133</v>
      </c>
      <c r="J445" t="inlineStr">
        <is>
          <t>Y</t>
        </is>
      </c>
      <c r="K445" t="inlineStr">
        <is>
          <t>sales.crownandchamparesorts.com</t>
        </is>
      </c>
      <c r="L445" t="inlineStr">
        <is>
          <t>brand-cdn</t>
        </is>
      </c>
      <c r="M445" t="inlineStr">
        <is>
          <t>https://sales.crownandchamparesorts.com/wp-content/uploads/2018/04/FactSheetKomandoo110118103119Rev011718.pdf</t>
        </is>
      </c>
      <c r="N445" t="inlineStr">
        <is>
          <t>https://sales.crownandchamparesorts.com/wp-content/uploads/2018/04/FactSheetKomandoo110118103119Rev011718.pdf</t>
        </is>
      </c>
      <c r="O445" t="inlineStr">
        <is>
          <t>ca37561b5d6c2eaf580d37cca41f0be043707809fa77b653001e175b2bf18d66</t>
        </is>
      </c>
      <c r="P445" t="inlineStr">
        <is>
          <t>library/079_komandoo-island-resort/factsheet/2018_FactSheetKomandoo110118103119Rev011718.pdf</t>
        </is>
      </c>
      <c r="R445" t="inlineStr">
        <is>
          <t>outdated</t>
        </is>
      </c>
      <c r="S445" t="inlineStr">
        <is>
          <t>N</t>
        </is>
      </c>
      <c r="T445" t="inlineStr">
        <is>
          <t>matched</t>
        </is>
      </c>
      <c r="U445" t="inlineStr">
        <is>
          <t>2026-10-04</t>
        </is>
      </c>
      <c r="V445" t="inlineStr"/>
    </row>
    <row r="446">
      <c r="A446" t="n">
        <v>79</v>
      </c>
      <c r="B446" t="inlineStr">
        <is>
          <t>Komandoo Island Resort</t>
        </is>
      </c>
      <c r="C446" t="inlineStr">
        <is>
          <t>map</t>
        </is>
      </c>
      <c r="D446" t="inlineStr">
        <is>
          <t>2025_KomandooMap110125103126Ver042024.pdf</t>
        </is>
      </c>
      <c r="E446" t="n">
        <v>2025</v>
      </c>
      <c r="F446" t="inlineStr">
        <is>
          <t>2025-11-01</t>
        </is>
      </c>
      <c r="G446" t="inlineStr">
        <is>
          <t>2026-10-31</t>
        </is>
      </c>
      <c r="H446" t="n">
        <v>1</v>
      </c>
      <c r="I446" t="n">
        <v>112</v>
      </c>
      <c r="J446" t="inlineStr">
        <is>
          <t>N</t>
        </is>
      </c>
      <c r="K446" t="inlineStr">
        <is>
          <t>sales.crownandchamparesorts.com</t>
        </is>
      </c>
      <c r="L446" t="inlineStr">
        <is>
          <t>brand-cdn</t>
        </is>
      </c>
      <c r="M446" t="inlineStr">
        <is>
          <t>https://sales.crownandchamparesorts.com/wp-content/uploads/2025/12/KomandooMap110125103126Ver042024.pdf</t>
        </is>
      </c>
      <c r="N446" t="inlineStr">
        <is>
          <t>https://sales.crownandchamparesorts.com/wp-content/uploads/2025/12/KomandooMap110125103126Ver042024.pdf</t>
        </is>
      </c>
      <c r="O446" t="inlineStr">
        <is>
          <t>410bb96af26fc302914f2ce40b24c0b079e750a3a9186eabd40a851370fe6824</t>
        </is>
      </c>
      <c r="P446" t="inlineStr">
        <is>
          <t>library/079_komandoo-island-resort/map/2025_KomandooMap110125103126Ver042024.pdf</t>
        </is>
      </c>
      <c r="R446" t="inlineStr">
        <is>
          <t>current</t>
        </is>
      </c>
      <c r="S446" t="inlineStr">
        <is>
          <t>Y</t>
        </is>
      </c>
      <c r="T446" t="inlineStr">
        <is>
          <t>matched</t>
        </is>
      </c>
      <c r="U446" t="inlineStr">
        <is>
          <t>2026-10-04</t>
        </is>
      </c>
      <c r="V446" t="inlineStr"/>
    </row>
    <row r="447">
      <c r="A447" t="n">
        <v>79</v>
      </c>
      <c r="B447" t="inlineStr">
        <is>
          <t>Komandoo Island Resort</t>
        </is>
      </c>
      <c r="C447" t="inlineStr">
        <is>
          <t>map</t>
        </is>
      </c>
      <c r="D447" t="inlineStr">
        <is>
          <t>2019_MapKomandooColorEnglish061719.pdf</t>
        </is>
      </c>
      <c r="E447" t="n">
        <v>2019</v>
      </c>
      <c r="H447" t="n">
        <v>1</v>
      </c>
      <c r="I447" t="n">
        <v>1695</v>
      </c>
      <c r="J447" t="inlineStr">
        <is>
          <t>N</t>
        </is>
      </c>
      <c r="K447" t="inlineStr">
        <is>
          <t>sales.crownandchamparesorts.com</t>
        </is>
      </c>
      <c r="L447" t="inlineStr">
        <is>
          <t>brand-cdn</t>
        </is>
      </c>
      <c r="M447" t="inlineStr">
        <is>
          <t>https://sales.crownandchamparesorts.com/wp-content/uploads/2020/01/MapKomandooColorEnglish061719.pdf</t>
        </is>
      </c>
      <c r="N447" t="inlineStr">
        <is>
          <t>https://sales.crownandchamparesorts.com/wp-content/uploads/2020/01/MapKomandooColorEnglish061719.pdf</t>
        </is>
      </c>
      <c r="O447" t="inlineStr">
        <is>
          <t>5a309d7ddc1f54956d89ecbfbf9158f0d3cc9606f37c842e1449a9bf609bf885</t>
        </is>
      </c>
      <c r="P447" t="inlineStr">
        <is>
          <t>library/079_komandoo-island-resort/map/2019_MapKomandooColorEnglish061719.pdf</t>
        </is>
      </c>
      <c r="R447" t="inlineStr">
        <is>
          <t>outdated</t>
        </is>
      </c>
      <c r="S447" t="inlineStr">
        <is>
          <t>N</t>
        </is>
      </c>
      <c r="T447" t="inlineStr">
        <is>
          <t>matched</t>
        </is>
      </c>
      <c r="U447" t="inlineStr">
        <is>
          <t>2026-10-04</t>
        </is>
      </c>
      <c r="V447" t="inlineStr"/>
    </row>
    <row r="448">
      <c r="A448" t="n">
        <v>79</v>
      </c>
      <c r="B448" t="inlineStr">
        <is>
          <t>Komandoo Island Resort</t>
        </is>
      </c>
      <c r="C448" t="inlineStr">
        <is>
          <t>all_inclusive</t>
        </is>
      </c>
      <c r="D448" t="inlineStr">
        <is>
          <t>2025_KomandooAll-InclusivePlus110125103126Ver081724.pdf</t>
        </is>
      </c>
      <c r="E448" t="n">
        <v>2025</v>
      </c>
      <c r="F448" t="inlineStr">
        <is>
          <t>2025-11-01</t>
        </is>
      </c>
      <c r="G448" t="inlineStr">
        <is>
          <t>2026-10-31</t>
        </is>
      </c>
      <c r="H448" t="n">
        <v>2</v>
      </c>
      <c r="I448" t="n">
        <v>664</v>
      </c>
      <c r="J448" t="inlineStr">
        <is>
          <t>Y</t>
        </is>
      </c>
      <c r="K448" t="inlineStr">
        <is>
          <t>sales.crownandchamparesorts.com</t>
        </is>
      </c>
      <c r="L448" t="inlineStr">
        <is>
          <t>brand-cdn</t>
        </is>
      </c>
      <c r="M448" t="inlineStr">
        <is>
          <t>https://sales.crownandchamparesorts.com/wp-content/uploads/2025/12/KomandooAll-InclusivePlus110125103126Ver081724.pdf</t>
        </is>
      </c>
      <c r="N448" t="inlineStr">
        <is>
          <t>https://sales.crownandchamparesorts.com/wp-content/uploads/2025/12/KomandooAll-InclusivePlus110125103126Ver081724.pdf</t>
        </is>
      </c>
      <c r="O448" t="inlineStr">
        <is>
          <t>977cf092d53ab4432def97c7e661b3030cebc1041b2619d2f03eac69d2f8ab79</t>
        </is>
      </c>
      <c r="P448" t="inlineStr">
        <is>
          <t>library/079_komandoo-island-resort/all_inclusive/2025_KomandooAll-InclusivePlus110125103126Ver081724.pdf</t>
        </is>
      </c>
      <c r="R448" t="inlineStr">
        <is>
          <t>current</t>
        </is>
      </c>
      <c r="S448" t="inlineStr">
        <is>
          <t>Y</t>
        </is>
      </c>
      <c r="T448" t="inlineStr">
        <is>
          <t>matched</t>
        </is>
      </c>
      <c r="U448" t="inlineStr">
        <is>
          <t>2026-10-04</t>
        </is>
      </c>
      <c r="V448" t="inlineStr"/>
    </row>
    <row r="449">
      <c r="A449" t="n">
        <v>80</v>
      </c>
      <c r="B449" t="inlineStr">
        <is>
          <t>Raaya by Atmosphere</t>
        </is>
      </c>
      <c r="C449" t="inlineStr">
        <is>
          <t>map</t>
        </is>
      </c>
      <c r="D449" t="inlineStr">
        <is>
          <t>2025_RAAYA-by-Atmosphere-Island-Map-MAR-2025-Portrait.pdf</t>
        </is>
      </c>
      <c r="E449" t="n">
        <v>2025</v>
      </c>
      <c r="H449" t="n">
        <v>1</v>
      </c>
      <c r="I449" t="n">
        <v>1631</v>
      </c>
      <c r="J449" t="inlineStr">
        <is>
          <t>Y</t>
        </is>
      </c>
      <c r="K449" t="inlineStr">
        <is>
          <t>neoscapesmaldives.com</t>
        </is>
      </c>
      <c r="L449" t="inlineStr">
        <is>
          <t>dmc-agency</t>
        </is>
      </c>
      <c r="M449" t="inlineStr">
        <is>
          <t>https://www.neoscapesmaldives.com/wp-content/uploads/RAAYA-by-Atmosphere-Island-Map-MAR-2025-Portrait.pdf</t>
        </is>
      </c>
      <c r="N449" t="inlineStr">
        <is>
          <t>https://www.neoscapesmaldives.com/wp-content/uploads/RAAYA-by-Atmosphere-Island-Map-MAR-2025-Portrait.pdf</t>
        </is>
      </c>
      <c r="O449" t="inlineStr">
        <is>
          <t>42ec8c0b59426409d5a91899eff17ac731a9b68da14469dd7b42d2103c360029</t>
        </is>
      </c>
      <c r="P449" t="inlineStr">
        <is>
          <t>library/080_raaya-by-atmosphere/map/2025_RAAYA-by-Atmosphere-Island-Map-MAR-2025-Portrait.pdf</t>
        </is>
      </c>
      <c r="R449" t="inlineStr">
        <is>
          <t>current</t>
        </is>
      </c>
      <c r="S449" t="inlineStr">
        <is>
          <t>Y</t>
        </is>
      </c>
      <c r="T449" t="inlineStr">
        <is>
          <t>matched</t>
        </is>
      </c>
      <c r="U449" t="inlineStr">
        <is>
          <t>2026-10-04</t>
        </is>
      </c>
      <c r="V449" t="inlineStr"/>
    </row>
    <row r="450">
      <c r="A450" t="n">
        <v>80</v>
      </c>
      <c r="B450" t="inlineStr">
        <is>
          <t>Raaya by Atmosphere</t>
        </is>
      </c>
      <c r="C450" t="inlineStr">
        <is>
          <t>brochure</t>
        </is>
      </c>
      <c r="D450" t="inlineStr">
        <is>
          <t>2025_RAAYA-by-Atmosphere-Brochure-APR-2025.pdf</t>
        </is>
      </c>
      <c r="E450" t="n">
        <v>2025</v>
      </c>
      <c r="H450" t="n">
        <v>17</v>
      </c>
      <c r="I450" t="n">
        <v>5056</v>
      </c>
      <c r="J450" t="inlineStr">
        <is>
          <t>Y</t>
        </is>
      </c>
      <c r="K450" t="inlineStr">
        <is>
          <t>neoscapesmaldives.com</t>
        </is>
      </c>
      <c r="L450" t="inlineStr">
        <is>
          <t>dmc-agency</t>
        </is>
      </c>
      <c r="M450" t="inlineStr">
        <is>
          <t>https://www.neoscapesmaldives.com/wp-content/uploads/RAAYA-by-Atmosphere-Brochure-APR-2025.pdf</t>
        </is>
      </c>
      <c r="N450" t="inlineStr">
        <is>
          <t>https://www.neoscapesmaldives.com/wp-content/uploads/RAAYA-by-Atmosphere-Brochure-APR-2025.pdf</t>
        </is>
      </c>
      <c r="O450" t="inlineStr">
        <is>
          <t>f027b9e8d346c035a7dd44877d0107d3c262daa3f93078bd685428ab0176811f</t>
        </is>
      </c>
      <c r="P450" t="inlineStr">
        <is>
          <t>library/080_raaya-by-atmosphere/brochure/2025_RAAYA-by-Atmosphere-Brochure-APR-2025.pdf</t>
        </is>
      </c>
      <c r="R450" t="inlineStr">
        <is>
          <t>current</t>
        </is>
      </c>
      <c r="S450" t="inlineStr">
        <is>
          <t>Y</t>
        </is>
      </c>
      <c r="T450" t="inlineStr">
        <is>
          <t>matched</t>
        </is>
      </c>
      <c r="U450" t="inlineStr">
        <is>
          <t>2026-10-04</t>
        </is>
      </c>
      <c r="V450" t="inlineStr"/>
    </row>
    <row r="451">
      <c r="A451" t="n">
        <v>81</v>
      </c>
      <c r="B451" t="inlineStr">
        <is>
          <t>Kuredu Island Resort</t>
        </is>
      </c>
      <c r="C451" t="inlineStr">
        <is>
          <t>factsheet</t>
        </is>
      </c>
      <c r="D451" t="inlineStr">
        <is>
          <t>2025_KureduFactsheet110125103126Rev301025.pdf</t>
        </is>
      </c>
      <c r="E451" t="n">
        <v>2025</v>
      </c>
      <c r="F451" t="inlineStr">
        <is>
          <t>2025-11-01</t>
        </is>
      </c>
      <c r="G451" t="inlineStr">
        <is>
          <t>2026-10-31</t>
        </is>
      </c>
      <c r="H451" t="n">
        <v>0</v>
      </c>
      <c r="I451" t="n">
        <v>1696</v>
      </c>
      <c r="J451" t="inlineStr">
        <is>
          <t>N</t>
        </is>
      </c>
      <c r="K451" t="inlineStr">
        <is>
          <t>sales.crownandchamparesorts.com</t>
        </is>
      </c>
      <c r="L451" t="inlineStr">
        <is>
          <t>brand-cdn</t>
        </is>
      </c>
      <c r="M451" t="inlineStr">
        <is>
          <t>https://sales.crownandchamparesorts.com/wp-content/uploads/2025/12/KureduFactsheet110125103126Rev301025.pdf</t>
        </is>
      </c>
      <c r="N451" t="inlineStr">
        <is>
          <t>https://sales.crownandchamparesorts.com/wp-content/uploads/2025/12/KureduFactsheet110125103126Rev301025.pdf</t>
        </is>
      </c>
      <c r="O451" t="inlineStr">
        <is>
          <t>ddf9264a8554119b252bcf2cafb129bb353a6ae186f9071d3fc49113670a57af</t>
        </is>
      </c>
      <c r="P451" t="inlineStr">
        <is>
          <t>library/081_kuredu-island-resort/factsheet/2025_KureduFactsheet110125103126Rev301025.pdf</t>
        </is>
      </c>
      <c r="R451" t="inlineStr">
        <is>
          <t>current</t>
        </is>
      </c>
      <c r="S451" t="inlineStr">
        <is>
          <t>Y</t>
        </is>
      </c>
      <c r="T451" t="inlineStr">
        <is>
          <t>matched</t>
        </is>
      </c>
      <c r="U451" t="inlineStr">
        <is>
          <t>2026-10-04</t>
        </is>
      </c>
      <c r="V451" t="inlineStr"/>
    </row>
    <row r="452">
      <c r="A452" t="n">
        <v>81</v>
      </c>
      <c r="B452" t="inlineStr">
        <is>
          <t>Kuredu Island Resort</t>
        </is>
      </c>
      <c r="C452" t="inlineStr">
        <is>
          <t>factsheet</t>
        </is>
      </c>
      <c r="D452" t="inlineStr">
        <is>
          <t>2021_FactSheetKuredu110121103122Rev010122.pdf</t>
        </is>
      </c>
      <c r="E452" t="n">
        <v>2021</v>
      </c>
      <c r="F452" t="inlineStr">
        <is>
          <t>2021-11-01</t>
        </is>
      </c>
      <c r="G452" t="inlineStr">
        <is>
          <t>2022-10-31</t>
        </is>
      </c>
      <c r="H452" t="n">
        <v>4</v>
      </c>
      <c r="I452" t="n">
        <v>951</v>
      </c>
      <c r="J452" t="inlineStr">
        <is>
          <t>Y</t>
        </is>
      </c>
      <c r="K452" t="inlineStr">
        <is>
          <t>sales.crownandchamparesorts.com</t>
        </is>
      </c>
      <c r="L452" t="inlineStr">
        <is>
          <t>brand-cdn</t>
        </is>
      </c>
      <c r="M452" t="inlineStr">
        <is>
          <t>https://sales.crownandchamparesorts.com/wp-content/uploads/2023/08/FactSheetKuredu110121103122Rev010122.pdf</t>
        </is>
      </c>
      <c r="N452" t="inlineStr">
        <is>
          <t>https://sales.crownandchamparesorts.com/wp-content/uploads/2023/08/FactSheetKuredu110121103122Rev010122.pdf</t>
        </is>
      </c>
      <c r="O452" t="inlineStr">
        <is>
          <t>a0f13b52b0e36331958715b2bdf65675518c8e989f2796dd42f2746c668dac85</t>
        </is>
      </c>
      <c r="P452" t="inlineStr">
        <is>
          <t>library/081_kuredu-island-resort/factsheet/2021_FactSheetKuredu110121103122Rev010122.pdf</t>
        </is>
      </c>
      <c r="R452" t="inlineStr">
        <is>
          <t>outdated</t>
        </is>
      </c>
      <c r="S452" t="inlineStr">
        <is>
          <t>N</t>
        </is>
      </c>
      <c r="T452" t="inlineStr">
        <is>
          <t>matched</t>
        </is>
      </c>
      <c r="U452" t="inlineStr">
        <is>
          <t>2026-10-04</t>
        </is>
      </c>
      <c r="V452" t="inlineStr"/>
    </row>
    <row r="453">
      <c r="A453" t="n">
        <v>81</v>
      </c>
      <c r="B453" t="inlineStr">
        <is>
          <t>Kuredu Island Resort</t>
        </is>
      </c>
      <c r="C453" t="inlineStr">
        <is>
          <t>factsheet</t>
        </is>
      </c>
      <c r="D453" t="inlineStr">
        <is>
          <t>2020_FactSheetKuredu110120103121Ver091720.pdf</t>
        </is>
      </c>
      <c r="E453" t="n">
        <v>2020</v>
      </c>
      <c r="F453" t="inlineStr">
        <is>
          <t>2020-11-01</t>
        </is>
      </c>
      <c r="G453" t="inlineStr">
        <is>
          <t>2021-10-31</t>
        </is>
      </c>
      <c r="H453" t="n">
        <v>4</v>
      </c>
      <c r="I453" t="n">
        <v>1468</v>
      </c>
      <c r="J453" t="inlineStr">
        <is>
          <t>Y</t>
        </is>
      </c>
      <c r="K453" t="inlineStr">
        <is>
          <t>sales.crownandchamparesorts.com</t>
        </is>
      </c>
      <c r="L453" t="inlineStr">
        <is>
          <t>brand-cdn</t>
        </is>
      </c>
      <c r="M453" t="inlineStr">
        <is>
          <t>https://sales.crownandchamparesorts.com/wp-content/uploads/2018/10/FactSheetKuredu110120103121Ver091720.pdf</t>
        </is>
      </c>
      <c r="N453" t="inlineStr">
        <is>
          <t>https://sales.crownandchamparesorts.com/wp-content/uploads/2018/10/FactSheetKuredu110120103121Ver091720.pdf</t>
        </is>
      </c>
      <c r="O453" t="inlineStr">
        <is>
          <t>861f87402265b9e7da0302001dabb24246a3fb813cede751b8499fadcd8b960e</t>
        </is>
      </c>
      <c r="P453" t="inlineStr">
        <is>
          <t>library/081_kuredu-island-resort/factsheet/2020_FactSheetKuredu110120103121Ver091720.pdf</t>
        </is>
      </c>
      <c r="R453" t="inlineStr">
        <is>
          <t>outdated</t>
        </is>
      </c>
      <c r="S453" t="inlineStr">
        <is>
          <t>N</t>
        </is>
      </c>
      <c r="T453" t="inlineStr">
        <is>
          <t>matched</t>
        </is>
      </c>
      <c r="U453" t="inlineStr">
        <is>
          <t>2026-10-04</t>
        </is>
      </c>
      <c r="V453" t="inlineStr"/>
    </row>
    <row r="454">
      <c r="A454" t="n">
        <v>81</v>
      </c>
      <c r="B454" t="inlineStr">
        <is>
          <t>Kuredu Island Resort</t>
        </is>
      </c>
      <c r="C454" t="inlineStr">
        <is>
          <t>map</t>
        </is>
      </c>
      <c r="D454" t="inlineStr">
        <is>
          <t>2025_Kuredu_IslandMapVer301025.pdf</t>
        </is>
      </c>
      <c r="E454" t="n">
        <v>2025</v>
      </c>
      <c r="H454" t="n">
        <v>0</v>
      </c>
      <c r="I454" t="n">
        <v>1496</v>
      </c>
      <c r="J454" t="inlineStr">
        <is>
          <t>N</t>
        </is>
      </c>
      <c r="K454" t="inlineStr">
        <is>
          <t>sales.crownandchamparesorts.com</t>
        </is>
      </c>
      <c r="L454" t="inlineStr">
        <is>
          <t>brand-cdn</t>
        </is>
      </c>
      <c r="M454" t="inlineStr">
        <is>
          <t>https://sales.crownandchamparesorts.com/wp-content/uploads/2025/12/Kuredu_IslandMapVer301025.pdf</t>
        </is>
      </c>
      <c r="N454" t="inlineStr">
        <is>
          <t>https://sales.crownandchamparesorts.com/wp-content/uploads/2025/12/Kuredu_IslandMapVer301025.pdf</t>
        </is>
      </c>
      <c r="O454" t="inlineStr">
        <is>
          <t>9417934d7cd6f4050aecbd6d9669b91451e011384a61062ad3433efae7210e38</t>
        </is>
      </c>
      <c r="P454" t="inlineStr">
        <is>
          <t>library/081_kuredu-island-resort/map/2025_Kuredu_IslandMapVer301025.pdf</t>
        </is>
      </c>
      <c r="R454" t="inlineStr">
        <is>
          <t>current</t>
        </is>
      </c>
      <c r="S454" t="inlineStr">
        <is>
          <t>Y</t>
        </is>
      </c>
      <c r="T454" t="inlineStr">
        <is>
          <t>matched</t>
        </is>
      </c>
      <c r="U454" t="inlineStr">
        <is>
          <t>2026-10-04</t>
        </is>
      </c>
      <c r="V454" t="inlineStr"/>
    </row>
    <row r="455">
      <c r="A455" t="n">
        <v>81</v>
      </c>
      <c r="B455" t="inlineStr">
        <is>
          <t>Kuredu Island Resort</t>
        </is>
      </c>
      <c r="C455" t="inlineStr">
        <is>
          <t>map</t>
        </is>
      </c>
      <c r="D455" t="inlineStr">
        <is>
          <t>2018_MapKuredu070318ColorEnglish.pdf</t>
        </is>
      </c>
      <c r="E455" t="n">
        <v>2018</v>
      </c>
      <c r="H455" t="n">
        <v>1</v>
      </c>
      <c r="I455" t="n">
        <v>2629</v>
      </c>
      <c r="J455" t="inlineStr">
        <is>
          <t>N</t>
        </is>
      </c>
      <c r="K455" t="inlineStr">
        <is>
          <t>sales.crownandchamparesorts.com</t>
        </is>
      </c>
      <c r="L455" t="inlineStr">
        <is>
          <t>brand-cdn</t>
        </is>
      </c>
      <c r="M455" t="inlineStr">
        <is>
          <t>https://sales.crownandchamparesorts.com/wp-content/uploads/2018/10/MapKuredu070318ColorEnglish.pdf</t>
        </is>
      </c>
      <c r="N455" t="inlineStr">
        <is>
          <t>https://sales.crownandchamparesorts.com/wp-content/uploads/2018/10/MapKuredu070318ColorEnglish.pdf</t>
        </is>
      </c>
      <c r="O455" t="inlineStr">
        <is>
          <t>4c19a94ccc4e04d60dc20c00df6c254c4779e3f580b98d9dd52d7f4790d252d9</t>
        </is>
      </c>
      <c r="P455" t="inlineStr">
        <is>
          <t>library/081_kuredu-island-resort/map/2018_MapKuredu070318ColorEnglish.pdf</t>
        </is>
      </c>
      <c r="R455" t="inlineStr">
        <is>
          <t>outdated</t>
        </is>
      </c>
      <c r="S455" t="inlineStr">
        <is>
          <t>N</t>
        </is>
      </c>
      <c r="T455" t="inlineStr">
        <is>
          <t>matched</t>
        </is>
      </c>
      <c r="U455" t="inlineStr">
        <is>
          <t>2026-10-04</t>
        </is>
      </c>
      <c r="V455" t="inlineStr"/>
    </row>
    <row r="456">
      <c r="A456" t="n">
        <v>81</v>
      </c>
      <c r="B456" t="inlineStr">
        <is>
          <t>Kuredu Island Resort</t>
        </is>
      </c>
      <c r="C456" t="inlineStr">
        <is>
          <t>map</t>
        </is>
      </c>
      <c r="D456" t="inlineStr">
        <is>
          <t>2017_MapKuredu120617ColorEnglish.pdf</t>
        </is>
      </c>
      <c r="E456" t="n">
        <v>2017</v>
      </c>
      <c r="H456" t="n">
        <v>1</v>
      </c>
      <c r="I456" t="n">
        <v>2640</v>
      </c>
      <c r="J456" t="inlineStr">
        <is>
          <t>N</t>
        </is>
      </c>
      <c r="K456" t="inlineStr">
        <is>
          <t>sales.crownandchamparesorts.com</t>
        </is>
      </c>
      <c r="L456" t="inlineStr">
        <is>
          <t>brand-cdn</t>
        </is>
      </c>
      <c r="M456" t="inlineStr">
        <is>
          <t>https://sales.crownandchamparesorts.com/wp-content/uploads/2018/04/MapKuredu120617ColorEnglish.pdf</t>
        </is>
      </c>
      <c r="N456" t="inlineStr">
        <is>
          <t>https://sales.crownandchamparesorts.com/wp-content/uploads/2018/04/MapKuredu120617ColorEnglish.pdf</t>
        </is>
      </c>
      <c r="O456" t="inlineStr">
        <is>
          <t>5c96108643fb179fae9f4e3321be70debea473bd7517fbf1cacb1ddd402fd4a1</t>
        </is>
      </c>
      <c r="P456" t="inlineStr">
        <is>
          <t>library/081_kuredu-island-resort/map/2017_MapKuredu120617ColorEnglish.pdf</t>
        </is>
      </c>
      <c r="R456" t="inlineStr">
        <is>
          <t>outdated</t>
        </is>
      </c>
      <c r="S456" t="inlineStr">
        <is>
          <t>N</t>
        </is>
      </c>
      <c r="T456" t="inlineStr">
        <is>
          <t>matched</t>
        </is>
      </c>
      <c r="U456" t="inlineStr">
        <is>
          <t>2026-10-04</t>
        </is>
      </c>
      <c r="V456" t="inlineStr"/>
    </row>
    <row r="457">
      <c r="A457" t="n">
        <v>81</v>
      </c>
      <c r="B457" t="inlineStr">
        <is>
          <t>Kuredu Island Resort</t>
        </is>
      </c>
      <c r="C457" t="inlineStr">
        <is>
          <t>dive_prices</t>
        </is>
      </c>
      <c r="D457" t="inlineStr">
        <is>
          <t>2020_General-ProDivers-operation-guidelines-071720KURKOMHURKUDINN.pdf</t>
        </is>
      </c>
      <c r="E457" t="n">
        <v>2020</v>
      </c>
      <c r="H457" t="n">
        <v>4</v>
      </c>
      <c r="I457" t="n">
        <v>373</v>
      </c>
      <c r="J457" t="inlineStr">
        <is>
          <t>Y</t>
        </is>
      </c>
      <c r="K457" t="inlineStr">
        <is>
          <t>sales.crownandchamparesorts.com</t>
        </is>
      </c>
      <c r="L457" t="inlineStr">
        <is>
          <t>brand-cdn</t>
        </is>
      </c>
      <c r="M457" t="inlineStr">
        <is>
          <t>https://sales.crownandchamparesorts.com/wp-content/uploads/2020/07/General-ProDivers-operation-guidelines-071720KURKOMHURKUDINN.pdf</t>
        </is>
      </c>
      <c r="N457" t="inlineStr">
        <is>
          <t>https://sales.crownandchamparesorts.com/wp-content/uploads/2020/07/General-ProDivers-operation-guidelines-071720KURKOMHURKUDINN.pdf</t>
        </is>
      </c>
      <c r="O457" t="inlineStr">
        <is>
          <t>71fdb2ecc01246c303436cbc79372100f51d34f876f86a5a661efdff1016081e</t>
        </is>
      </c>
      <c r="P457" t="inlineStr">
        <is>
          <t>library/081_kuredu-island-resort/dive_prices/2020_General-ProDivers-operation-guidelines-071720KURKOMHURKUDINN.pdf</t>
        </is>
      </c>
      <c r="R457" t="inlineStr">
        <is>
          <t>outdated</t>
        </is>
      </c>
      <c r="S457" t="inlineStr">
        <is>
          <t>Y</t>
        </is>
      </c>
      <c r="T457" t="inlineStr">
        <is>
          <t>matched</t>
        </is>
      </c>
      <c r="U457" t="inlineStr">
        <is>
          <t>2026-10-04</t>
        </is>
      </c>
      <c r="V457" t="inlineStr"/>
    </row>
    <row r="458">
      <c r="A458" t="n">
        <v>82</v>
      </c>
      <c r="B458" t="inlineStr">
        <is>
          <t>Ifuru Island Maldives</t>
        </is>
      </c>
      <c r="C458" t="inlineStr">
        <is>
          <t>factsheet</t>
        </is>
      </c>
      <c r="D458" t="inlineStr">
        <is>
          <t>2023_IFURU-ISLAND-MALDIVES-Fact-Sheet.pdf</t>
        </is>
      </c>
      <c r="E458" t="n">
        <v>2023</v>
      </c>
      <c r="H458" t="n">
        <v>8</v>
      </c>
      <c r="I458" t="n">
        <v>2232</v>
      </c>
      <c r="J458" t="inlineStr">
        <is>
          <t>Y</t>
        </is>
      </c>
      <c r="K458" t="inlineStr">
        <is>
          <t>neoscapesmaldives.com</t>
        </is>
      </c>
      <c r="L458" t="inlineStr">
        <is>
          <t>dmc-agency</t>
        </is>
      </c>
      <c r="M458" t="inlineStr">
        <is>
          <t>https://www.neoscapesmaldives.com/wp-content/uploads/IFURU-ISLAND-MALDIVES-Fact-Sheet.pdf</t>
        </is>
      </c>
      <c r="N458" t="inlineStr">
        <is>
          <t>https://www.neoscapesmaldives.com/wp-content/uploads/IFURU-ISLAND-MALDIVES-Fact-Sheet.pdf</t>
        </is>
      </c>
      <c r="O458" t="inlineStr">
        <is>
          <t>71d64a9924ddbe1235de7c1dcab68a809eabe6e8cb8514a4c234900b70221b24</t>
        </is>
      </c>
      <c r="P458" t="inlineStr">
        <is>
          <t>library/082_ifuru-island-maldives/factsheet/2023_IFURU-ISLAND-MALDIVES-Fact-Sheet.pdf</t>
        </is>
      </c>
      <c r="R458" t="inlineStr">
        <is>
          <t>outdated</t>
        </is>
      </c>
      <c r="S458" t="inlineStr">
        <is>
          <t>Y</t>
        </is>
      </c>
      <c r="T458" t="inlineStr">
        <is>
          <t>matched</t>
        </is>
      </c>
      <c r="U458" t="inlineStr">
        <is>
          <t>2026-10-04</t>
        </is>
      </c>
      <c r="V458" t="inlineStr"/>
    </row>
    <row r="459">
      <c r="A459" t="n">
        <v>82</v>
      </c>
      <c r="B459" t="inlineStr">
        <is>
          <t>Ifuru Island Maldives</t>
        </is>
      </c>
      <c r="C459" t="inlineStr">
        <is>
          <t>map</t>
        </is>
      </c>
      <c r="D459" t="inlineStr">
        <is>
          <t>2024_Ifuru_Island_Resort_Island_Map.pdf</t>
        </is>
      </c>
      <c r="E459" t="n">
        <v>2024</v>
      </c>
      <c r="H459" t="n">
        <v>1</v>
      </c>
      <c r="I459" t="n">
        <v>3160</v>
      </c>
      <c r="J459" t="inlineStr">
        <is>
          <t>N</t>
        </is>
      </c>
      <c r="K459" t="inlineStr">
        <is>
          <t>neoscapesmaldives.com</t>
        </is>
      </c>
      <c r="L459" t="inlineStr">
        <is>
          <t>dmc-agency</t>
        </is>
      </c>
      <c r="M459" t="inlineStr">
        <is>
          <t>https://www.neoscapesmaldives.com/wp-content/uploads/Ifuru_Island_Resort_Island_Map.pdf</t>
        </is>
      </c>
      <c r="N459" t="inlineStr">
        <is>
          <t>https://www.neoscapesmaldives.com/wp-content/uploads/Ifuru_Island_Resort_Island_Map.pdf</t>
        </is>
      </c>
      <c r="O459" t="inlineStr">
        <is>
          <t>7e3319d172fd1f90c7af23cfc81403777dfebeb9e765b669bdba19cd9c4218e8</t>
        </is>
      </c>
      <c r="P459" t="inlineStr">
        <is>
          <t>library/082_ifuru-island-maldives/map/2024_Ifuru_Island_Resort_Island_Map.pdf</t>
        </is>
      </c>
      <c r="R459" t="inlineStr">
        <is>
          <t>outdated</t>
        </is>
      </c>
      <c r="S459" t="inlineStr">
        <is>
          <t>Y</t>
        </is>
      </c>
      <c r="T459" t="inlineStr">
        <is>
          <t>matched</t>
        </is>
      </c>
      <c r="U459" t="inlineStr">
        <is>
          <t>2026-10-04</t>
        </is>
      </c>
      <c r="V459" t="inlineStr"/>
    </row>
    <row r="460">
      <c r="A460" t="n">
        <v>85</v>
      </c>
      <c r="B460" t="inlineStr">
        <is>
          <t>Centara Mirage Lagoon Maldives &amp; Centara Grand Lagoon Maldives</t>
        </is>
      </c>
      <c r="C460" t="inlineStr">
        <is>
          <t>factsheet</t>
        </is>
      </c>
      <c r="D460" t="inlineStr">
        <is>
          <t>2025_Centara-Mirage-Lagoon-Factsheet-October-2025.pdf</t>
        </is>
      </c>
      <c r="E460" t="n">
        <v>2025</v>
      </c>
      <c r="H460" t="n">
        <v>4</v>
      </c>
      <c r="I460" t="n">
        <v>620</v>
      </c>
      <c r="J460" t="inlineStr">
        <is>
          <t>Y</t>
        </is>
      </c>
      <c r="K460" t="inlineStr">
        <is>
          <t>neoscapesmaldives.com</t>
        </is>
      </c>
      <c r="L460" t="inlineStr">
        <is>
          <t>dmc-agency</t>
        </is>
      </c>
      <c r="M460" t="inlineStr">
        <is>
          <t>https://www.neoscapesmaldives.com/wp-content/uploads/Centara-Mirage-Lagoon-Factsheet-October-2025.pdf</t>
        </is>
      </c>
      <c r="N460" t="inlineStr">
        <is>
          <t>https://www.neoscapesmaldives.com/wp-content/uploads/Centara-Mirage-Lagoon-Factsheet-October-2025.pdf</t>
        </is>
      </c>
      <c r="O460" t="inlineStr">
        <is>
          <t>6a3cdfbc08a22fc696211ad40a62f6961ccda38380a935d7cd26f4deb4349f8c</t>
        </is>
      </c>
      <c r="P460" t="inlineStr">
        <is>
          <t>library/085_centara-mirage-lagoon-maldives-centara-grand-lagoo/factsheet/2025_Centara-Mirage-Lagoon-Factsheet-October-2025.pdf</t>
        </is>
      </c>
      <c r="R460" t="inlineStr">
        <is>
          <t>current</t>
        </is>
      </c>
      <c r="S460" t="inlineStr">
        <is>
          <t>Y</t>
        </is>
      </c>
      <c r="T460" t="inlineStr">
        <is>
          <t>matched</t>
        </is>
      </c>
      <c r="U460" t="inlineStr">
        <is>
          <t>2026-10-04</t>
        </is>
      </c>
      <c r="V460" t="inlineStr"/>
    </row>
    <row r="461">
      <c r="A461" t="n">
        <v>85</v>
      </c>
      <c r="B461" t="inlineStr">
        <is>
          <t>Centara Mirage Lagoon Maldives &amp; Centara Grand Lagoon Maldives</t>
        </is>
      </c>
      <c r="C461" t="inlineStr">
        <is>
          <t>factsheet</t>
        </is>
      </c>
      <c r="D461" t="inlineStr">
        <is>
          <t>2024_CGLM-Factsheet.pdf</t>
        </is>
      </c>
      <c r="E461" t="n">
        <v>2024</v>
      </c>
      <c r="H461" t="n">
        <v>6</v>
      </c>
      <c r="I461" t="n">
        <v>5265</v>
      </c>
      <c r="J461" t="inlineStr">
        <is>
          <t>Y</t>
        </is>
      </c>
      <c r="K461" t="inlineStr">
        <is>
          <t>neoscapesmaldives.com</t>
        </is>
      </c>
      <c r="L461" t="inlineStr">
        <is>
          <t>dmc-agency</t>
        </is>
      </c>
      <c r="M461" t="inlineStr">
        <is>
          <t>https://www.neoscapesmaldives.com/wp-content/uploads/CGLM-Factsheet.pdf</t>
        </is>
      </c>
      <c r="N461" t="inlineStr">
        <is>
          <t>https://www.neoscapesmaldives.com/wp-content/uploads/CGLM-Factsheet.pdf</t>
        </is>
      </c>
      <c r="O461" t="inlineStr">
        <is>
          <t>b8f27aec747504948b35a66d571b099ad9ace3ae633e3dddf6a79ba6f85e40ce</t>
        </is>
      </c>
      <c r="P461" t="inlineStr">
        <is>
          <t>library/085_centara-mirage-lagoon-maldives-centara-grand-lagoo/factsheet/2024_CGLM-Factsheet.pdf</t>
        </is>
      </c>
      <c r="R461" t="inlineStr">
        <is>
          <t>outdated</t>
        </is>
      </c>
      <c r="S461" t="inlineStr">
        <is>
          <t>N</t>
        </is>
      </c>
      <c r="T461" t="inlineStr">
        <is>
          <t>matched</t>
        </is>
      </c>
      <c r="U461" t="inlineStr">
        <is>
          <t>2026-10-04</t>
        </is>
      </c>
      <c r="V461" t="inlineStr"/>
    </row>
    <row r="462">
      <c r="A462" t="n">
        <v>85</v>
      </c>
      <c r="B462" t="inlineStr">
        <is>
          <t>Centara Mirage Lagoon Maldives &amp; Centara Grand Lagoon Maldives</t>
        </is>
      </c>
      <c r="C462" t="inlineStr">
        <is>
          <t>map</t>
        </is>
      </c>
      <c r="D462" t="inlineStr">
        <is>
          <t>2025_Centara-Grand-Lagoon-Maldives-Resort-Map_09.10.25.pdf</t>
        </is>
      </c>
      <c r="E462" t="n">
        <v>2025</v>
      </c>
      <c r="H462" t="n">
        <v>1</v>
      </c>
      <c r="I462" t="n">
        <v>340</v>
      </c>
      <c r="J462" t="inlineStr">
        <is>
          <t>Y</t>
        </is>
      </c>
      <c r="K462" t="inlineStr">
        <is>
          <t>neoscapesmaldives.com</t>
        </is>
      </c>
      <c r="L462" t="inlineStr">
        <is>
          <t>dmc-agency</t>
        </is>
      </c>
      <c r="M462" t="inlineStr">
        <is>
          <t>https://www.neoscapesmaldives.com/wp-content/uploads/Centara-Grand-Lagoon-Maldives-Resort-Map_09.10.25.pdf</t>
        </is>
      </c>
      <c r="N462" t="inlineStr">
        <is>
          <t>https://www.neoscapesmaldives.com/wp-content/uploads/Centara-Grand-Lagoon-Maldives-Resort-Map_09.10.25.pdf</t>
        </is>
      </c>
      <c r="O462" t="inlineStr">
        <is>
          <t>cffd97348d603fcd44dee7ca20a366dabbee67e12fc958a6ebbe03a5868a39f2</t>
        </is>
      </c>
      <c r="P462" t="inlineStr">
        <is>
          <t>library/085_centara-mirage-lagoon-maldives-centara-grand-lagoo/map/2025_Centara-Grand-Lagoon-Maldives-Resort-Map_09.10.25.pdf</t>
        </is>
      </c>
      <c r="R462" t="inlineStr">
        <is>
          <t>current</t>
        </is>
      </c>
      <c r="S462" t="inlineStr">
        <is>
          <t>Y</t>
        </is>
      </c>
      <c r="T462" t="inlineStr">
        <is>
          <t>matched</t>
        </is>
      </c>
      <c r="U462" t="inlineStr">
        <is>
          <t>2026-10-04</t>
        </is>
      </c>
      <c r="V462" t="inlineStr"/>
    </row>
    <row r="463">
      <c r="A463" t="n">
        <v>85</v>
      </c>
      <c r="B463" t="inlineStr">
        <is>
          <t>Centara Mirage Lagoon Maldives &amp; Centara Grand Lagoon Maldives</t>
        </is>
      </c>
      <c r="C463" t="inlineStr">
        <is>
          <t>map</t>
        </is>
      </c>
      <c r="D463" t="inlineStr">
        <is>
          <t>2025_Centara-Mirage-Lagoon-Maldives-Resort-Map-2025.pdf</t>
        </is>
      </c>
      <c r="E463" t="n">
        <v>2025</v>
      </c>
      <c r="H463" t="n">
        <v>1</v>
      </c>
      <c r="I463" t="n">
        <v>2741</v>
      </c>
      <c r="J463" t="inlineStr">
        <is>
          <t>Y</t>
        </is>
      </c>
      <c r="K463" t="inlineStr">
        <is>
          <t>neoscapesmaldives.com</t>
        </is>
      </c>
      <c r="L463" t="inlineStr">
        <is>
          <t>dmc-agency</t>
        </is>
      </c>
      <c r="M463" t="inlineStr">
        <is>
          <t>https://www.neoscapesmaldives.com/wp-content/uploads/Centara-Mirage-Lagoon-Maldives-Resort-Map-2025.pdf</t>
        </is>
      </c>
      <c r="N463" t="inlineStr">
        <is>
          <t>https://www.neoscapesmaldives.com/wp-content/uploads/Centara-Mirage-Lagoon-Maldives-Resort-Map-2025.pdf</t>
        </is>
      </c>
      <c r="O463" t="inlineStr">
        <is>
          <t>5ea1ebb802c23bc1d407e3f32e3e0ffd007a9c059c7353f4a08bbe8e3c2e4a10</t>
        </is>
      </c>
      <c r="P463" t="inlineStr">
        <is>
          <t>library/085_centara-mirage-lagoon-maldives-centara-grand-lagoo/map/2025_Centara-Mirage-Lagoon-Maldives-Resort-Map-2025.pdf</t>
        </is>
      </c>
      <c r="R463" t="inlineStr">
        <is>
          <t>current</t>
        </is>
      </c>
      <c r="S463" t="inlineStr">
        <is>
          <t>N</t>
        </is>
      </c>
      <c r="T463" t="inlineStr">
        <is>
          <t>matched</t>
        </is>
      </c>
      <c r="U463" t="inlineStr">
        <is>
          <t>2026-10-04</t>
        </is>
      </c>
      <c r="V463" t="inlineStr"/>
    </row>
    <row r="464">
      <c r="A464" t="n">
        <v>87</v>
      </c>
      <c r="B464" t="inlineStr">
        <is>
          <t>Four Seasons Resort Maldives at Landaa Giraavaru</t>
        </is>
      </c>
      <c r="C464" t="inlineStr">
        <is>
          <t>map</t>
        </is>
      </c>
      <c r="D464" t="inlineStr">
        <is>
          <t>2023_Landaa-Giraavaru-Resort-Map.pdf</t>
        </is>
      </c>
      <c r="E464" t="n">
        <v>2023</v>
      </c>
      <c r="H464" t="n">
        <v>1</v>
      </c>
      <c r="I464" t="n">
        <v>4903</v>
      </c>
      <c r="J464" t="inlineStr">
        <is>
          <t>Y</t>
        </is>
      </c>
      <c r="K464" t="inlineStr">
        <is>
          <t>neoscapesmaldives.com</t>
        </is>
      </c>
      <c r="L464" t="inlineStr">
        <is>
          <t>dmc-agency</t>
        </is>
      </c>
      <c r="M464" t="inlineStr">
        <is>
          <t>https://www.neoscapesmaldives.com/wp-content/uploads/Landaa-Giraavaru-Resort-Map.pdf</t>
        </is>
      </c>
      <c r="N464" t="inlineStr">
        <is>
          <t>https://www.neoscapesmaldives.com/wp-content/uploads/Landaa-Giraavaru-Resort-Map.pdf</t>
        </is>
      </c>
      <c r="O464" t="inlineStr">
        <is>
          <t>35c6d9c544bbb87799071a78826db8e7a33e9390447e7c8827da931cbea861e0</t>
        </is>
      </c>
      <c r="P464" t="inlineStr">
        <is>
          <t>library/087_four-seasons-resort-maldives-at-landaa-giraavaru/map/2023_Landaa-Giraavaru-Resort-Map.pdf</t>
        </is>
      </c>
      <c r="R464" t="inlineStr">
        <is>
          <t>outdated</t>
        </is>
      </c>
      <c r="S464" t="inlineStr">
        <is>
          <t>Y</t>
        </is>
      </c>
      <c r="T464" t="inlineStr">
        <is>
          <t>matched</t>
        </is>
      </c>
      <c r="U464" t="inlineStr">
        <is>
          <t>2026-10-04</t>
        </is>
      </c>
      <c r="V464" t="inlineStr"/>
    </row>
    <row r="465">
      <c r="A465" t="n">
        <v>87</v>
      </c>
      <c r="B465" t="inlineStr">
        <is>
          <t>Four Seasons Resort Maldives at Landaa Giraavaru</t>
        </is>
      </c>
      <c r="C465" t="inlineStr">
        <is>
          <t>sustainability</t>
        </is>
      </c>
      <c r="D465" t="inlineStr">
        <is>
          <t>2025_Amilla-Sustainability-Policy.pdf</t>
        </is>
      </c>
      <c r="E465" t="n">
        <v>2025</v>
      </c>
      <c r="H465" t="n">
        <v>5</v>
      </c>
      <c r="I465" t="n">
        <v>208</v>
      </c>
      <c r="J465" t="inlineStr">
        <is>
          <t>Y</t>
        </is>
      </c>
      <c r="K465" t="inlineStr">
        <is>
          <t>amilla.com</t>
        </is>
      </c>
      <c r="L465" t="inlineStr">
        <is>
          <t>official</t>
        </is>
      </c>
      <c r="M465" t="inlineStr">
        <is>
          <t>https://amilla.com/wp-content/uploads/Amilla-Sustainability-Policy.pdf</t>
        </is>
      </c>
      <c r="N465" t="inlineStr">
        <is>
          <t>https://amilla.com/wp-content/uploads/Amilla-Sustainability-Policy.pdf</t>
        </is>
      </c>
      <c r="O465" t="inlineStr">
        <is>
          <t>6336ec3c575d2d2a6ebb058b30f1a5661f107db6f79b3e48a743b7fa3644319e</t>
        </is>
      </c>
      <c r="P465" t="inlineStr">
        <is>
          <t>library/087_four-seasons-resort-maldives-at-landaa-giraavaru/sustainability/2025_Amilla-Sustainability-Policy.pdf</t>
        </is>
      </c>
      <c r="R465" t="inlineStr">
        <is>
          <t>current</t>
        </is>
      </c>
      <c r="S465" t="inlineStr">
        <is>
          <t>Y</t>
        </is>
      </c>
      <c r="T465" t="inlineStr">
        <is>
          <t>matched</t>
        </is>
      </c>
      <c r="U465" t="inlineStr">
        <is>
          <t>2026-10-04</t>
        </is>
      </c>
      <c r="V465" t="inlineStr"/>
    </row>
    <row r="466">
      <c r="A466" t="n">
        <v>87</v>
      </c>
      <c r="B466" t="inlineStr">
        <is>
          <t>Four Seasons Resort Maldives at Landaa Giraavaru</t>
        </is>
      </c>
      <c r="C466" t="inlineStr">
        <is>
          <t>sustainability</t>
        </is>
      </c>
      <c r="D466" t="inlineStr">
        <is>
          <t>2024_Amilla-Maldives-Sustainability-Policy.pdf</t>
        </is>
      </c>
      <c r="E466" t="n">
        <v>2024</v>
      </c>
      <c r="H466" t="n">
        <v>5</v>
      </c>
      <c r="I466" t="n">
        <v>313</v>
      </c>
      <c r="J466" t="inlineStr">
        <is>
          <t>Y</t>
        </is>
      </c>
      <c r="K466" t="inlineStr">
        <is>
          <t>amilla.com</t>
        </is>
      </c>
      <c r="L466" t="inlineStr">
        <is>
          <t>official</t>
        </is>
      </c>
      <c r="M466" t="inlineStr">
        <is>
          <t>https://amilla.com/wp-content/uploads/Amilla-Maldives-Sustainability-Policy.pdf</t>
        </is>
      </c>
      <c r="N466" t="inlineStr">
        <is>
          <t>https://amilla.com/wp-content/uploads/Amilla-Maldives-Sustainability-Policy.pdf</t>
        </is>
      </c>
      <c r="O466" t="inlineStr">
        <is>
          <t>746fa1c0dcae1f6cbfdcf8eaa61d98b5404a5c01caa7f7f837d88399ab307186</t>
        </is>
      </c>
      <c r="P466" t="inlineStr">
        <is>
          <t>library/087_four-seasons-resort-maldives-at-landaa-giraavaru/sustainability/2024_Amilla-Maldives-Sustainability-Policy.pdf</t>
        </is>
      </c>
      <c r="R466" t="inlineStr">
        <is>
          <t>outdated</t>
        </is>
      </c>
      <c r="S466" t="inlineStr">
        <is>
          <t>N</t>
        </is>
      </c>
      <c r="T466" t="inlineStr">
        <is>
          <t>matched</t>
        </is>
      </c>
      <c r="U466" t="inlineStr">
        <is>
          <t>2026-10-04</t>
        </is>
      </c>
      <c r="V466" t="inlineStr"/>
    </row>
    <row r="467">
      <c r="A467" t="n">
        <v>87</v>
      </c>
      <c r="B467" t="inlineStr">
        <is>
          <t>Four Seasons Resort Maldives at Landaa Giraavaru</t>
        </is>
      </c>
      <c r="C467" t="inlineStr">
        <is>
          <t>press_kit</t>
        </is>
      </c>
      <c r="D467" t="inlineStr">
        <is>
          <t>2023_Four-Seasons-Resorts-Maldives-Press-Kit..pdf</t>
        </is>
      </c>
      <c r="E467" t="n">
        <v>2023</v>
      </c>
      <c r="H467" t="n">
        <v>15</v>
      </c>
      <c r="I467" t="n">
        <v>1000</v>
      </c>
      <c r="J467" t="inlineStr">
        <is>
          <t>Y</t>
        </is>
      </c>
      <c r="K467" t="inlineStr">
        <is>
          <t>neoscapesmaldives.com</t>
        </is>
      </c>
      <c r="L467" t="inlineStr">
        <is>
          <t>dmc-agency</t>
        </is>
      </c>
      <c r="M467" t="inlineStr">
        <is>
          <t>https://www.neoscapesmaldives.com/wp-content/uploads/Four-Seasons-Resorts-Maldives-Press-Kit..pdf</t>
        </is>
      </c>
      <c r="N467" t="inlineStr">
        <is>
          <t>https://www.neoscapesmaldives.com/wp-content/uploads/Four-Seasons-Resorts-Maldives-Press-Kit..pdf</t>
        </is>
      </c>
      <c r="O467" t="inlineStr">
        <is>
          <t>a3f52a5cc3100d23bfc2b233a17f510458bbda6afabcfa2a4f7a57000ae124d9</t>
        </is>
      </c>
      <c r="P467" t="inlineStr">
        <is>
          <t>library/087_four-seasons-resort-maldives-at-landaa-giraavaru/press_kit/2023_Four-Seasons-Resorts-Maldives-Press-Kit..pdf</t>
        </is>
      </c>
      <c r="R467" t="inlineStr">
        <is>
          <t>outdated</t>
        </is>
      </c>
      <c r="S467" t="inlineStr">
        <is>
          <t>Y</t>
        </is>
      </c>
      <c r="T467" t="inlineStr">
        <is>
          <t>matched</t>
        </is>
      </c>
      <c r="U467" t="inlineStr">
        <is>
          <t>2026-10-04</t>
        </is>
      </c>
      <c r="V467" t="inlineStr"/>
    </row>
    <row r="468">
      <c r="A468" t="n">
        <v>89</v>
      </c>
      <c r="B468" t="inlineStr">
        <is>
          <t>Inter Continental Maldives Maamunagau</t>
        </is>
      </c>
      <c r="C468" t="inlineStr">
        <is>
          <t>factsheet</t>
        </is>
      </c>
      <c r="D468" t="inlineStr">
        <is>
          <t>2020_InterContinental-Maldives-Maamunagau-Resort-Factsheet-NEO.pdf</t>
        </is>
      </c>
      <c r="E468" t="n">
        <v>2020</v>
      </c>
      <c r="H468" t="n">
        <v>20</v>
      </c>
      <c r="I468" t="n">
        <v>9395</v>
      </c>
      <c r="J468" t="inlineStr">
        <is>
          <t>Y</t>
        </is>
      </c>
      <c r="K468" t="inlineStr">
        <is>
          <t>neoscapesmaldives.com</t>
        </is>
      </c>
      <c r="L468" t="inlineStr">
        <is>
          <t>dmc-agency</t>
        </is>
      </c>
      <c r="M468" t="inlineStr">
        <is>
          <t>https://www.neoscapesmaldives.com/wp-content/uploads/InterContinental-Maldives-Maamunagau-Resort-Factsheet-NEO.pdf</t>
        </is>
      </c>
      <c r="N468" t="inlineStr">
        <is>
          <t>https://www.neoscapesmaldives.com/wp-content/uploads/InterContinental-Maldives-Maamunagau-Resort-Factsheet-NEO.pdf</t>
        </is>
      </c>
      <c r="O468" t="inlineStr">
        <is>
          <t>e1c6f4b7b4335fb7f2794c49930372c724884896f5934fe2cc32f4c697485966</t>
        </is>
      </c>
      <c r="P468" t="inlineStr">
        <is>
          <t>library/089_inter-continental-maldives-maamunagau/factsheet/2020_InterContinental-Maldives-Maamunagau-Resort-Factsheet-NEO.pdf</t>
        </is>
      </c>
      <c r="R468" t="inlineStr">
        <is>
          <t>outdated</t>
        </is>
      </c>
      <c r="S468" t="inlineStr">
        <is>
          <t>Y</t>
        </is>
      </c>
      <c r="T468" t="inlineStr">
        <is>
          <t>matched</t>
        </is>
      </c>
      <c r="U468" t="inlineStr">
        <is>
          <t>2026-10-04</t>
        </is>
      </c>
      <c r="V468" t="inlineStr"/>
    </row>
    <row r="469">
      <c r="A469" t="n">
        <v>90</v>
      </c>
      <c r="B469" t="inlineStr">
        <is>
          <t>Six Senses Kanuhura</t>
        </is>
      </c>
      <c r="C469" t="inlineStr">
        <is>
          <t>factsheet</t>
        </is>
      </c>
      <c r="D469" t="inlineStr">
        <is>
          <t>2018_Factsheet_2018_NEW.pdf</t>
        </is>
      </c>
      <c r="E469" t="n">
        <v>2018</v>
      </c>
      <c r="H469" t="n">
        <v>6</v>
      </c>
      <c r="I469" t="n">
        <v>5209</v>
      </c>
      <c r="J469" t="inlineStr">
        <is>
          <t>Y</t>
        </is>
      </c>
      <c r="K469" t="inlineStr">
        <is>
          <t>neoscapesmaldives.com</t>
        </is>
      </c>
      <c r="L469" t="inlineStr">
        <is>
          <t>dmc-agency</t>
        </is>
      </c>
      <c r="M469" t="inlineStr">
        <is>
          <t>https://www.neoscapesmaldives.com/wp-content/uploads/Factsheet_2018_NEW.pdf</t>
        </is>
      </c>
      <c r="N469" t="inlineStr">
        <is>
          <t>https://www.neoscapesmaldives.com/wp-content/uploads/Factsheet_2018_NEW.pdf</t>
        </is>
      </c>
      <c r="O469" t="inlineStr">
        <is>
          <t>464cf761fd32f4742d79b158dee6fffb19204b97eea30851563854164bc66159</t>
        </is>
      </c>
      <c r="P469" t="inlineStr">
        <is>
          <t>library/090_six-senses-kanuhura/factsheet/2018_Factsheet_2018_NEW.pdf</t>
        </is>
      </c>
      <c r="R469" t="inlineStr">
        <is>
          <t>outdated</t>
        </is>
      </c>
      <c r="S469" t="inlineStr">
        <is>
          <t>Y</t>
        </is>
      </c>
      <c r="T469" t="inlineStr">
        <is>
          <t>matched</t>
        </is>
      </c>
      <c r="U469" t="inlineStr">
        <is>
          <t>2026-10-04</t>
        </is>
      </c>
      <c r="V469" t="inlineStr"/>
    </row>
    <row r="470">
      <c r="A470" t="n">
        <v>91</v>
      </c>
      <c r="B470" t="inlineStr">
        <is>
          <t>Lily Beach Resort</t>
        </is>
      </c>
      <c r="C470" t="inlineStr">
        <is>
          <t>factsheet</t>
        </is>
      </c>
      <c r="D470" t="inlineStr">
        <is>
          <t>2020_LilyBeach-Factsheet-Resort-NEO.pdf</t>
        </is>
      </c>
      <c r="E470" t="n">
        <v>2020</v>
      </c>
      <c r="H470" t="n">
        <v>2</v>
      </c>
      <c r="I470" t="n">
        <v>2714</v>
      </c>
      <c r="J470" t="inlineStr">
        <is>
          <t>Y</t>
        </is>
      </c>
      <c r="K470" t="inlineStr">
        <is>
          <t>neoscapesmaldives.com</t>
        </is>
      </c>
      <c r="L470" t="inlineStr">
        <is>
          <t>dmc-agency</t>
        </is>
      </c>
      <c r="M470" t="inlineStr">
        <is>
          <t>https://www.neoscapesmaldives.com/wp-content/uploads/LilyBeach-Factsheet-Resort-NEO.pdf</t>
        </is>
      </c>
      <c r="N470" t="inlineStr">
        <is>
          <t>https://www.neoscapesmaldives.com/wp-content/uploads/LilyBeach-Factsheet-Resort-NEO.pdf</t>
        </is>
      </c>
      <c r="O470" t="inlineStr">
        <is>
          <t>01ab97c5627beba4cf46a210fe56f535c07908c1e29e9632e174a1b195e43a43</t>
        </is>
      </c>
      <c r="P470" t="inlineStr">
        <is>
          <t>library/091_lily-beach-resort/factsheet/2020_LilyBeach-Factsheet-Resort-NEO.pdf</t>
        </is>
      </c>
      <c r="R470" t="inlineStr">
        <is>
          <t>outdated</t>
        </is>
      </c>
      <c r="S470" t="inlineStr">
        <is>
          <t>Y</t>
        </is>
      </c>
      <c r="T470" t="inlineStr">
        <is>
          <t>matched</t>
        </is>
      </c>
      <c r="U470" t="inlineStr">
        <is>
          <t>2026-10-04</t>
        </is>
      </c>
      <c r="V470" t="inlineStr"/>
    </row>
    <row r="471">
      <c r="A471" t="n">
        <v>91</v>
      </c>
      <c r="B471" t="inlineStr">
        <is>
          <t>Lily Beach Resort</t>
        </is>
      </c>
      <c r="C471" t="inlineStr">
        <is>
          <t>map</t>
        </is>
      </c>
      <c r="D471" t="inlineStr">
        <is>
          <t>2020_LilyBeach-Resort-Map.pdf</t>
        </is>
      </c>
      <c r="E471" t="n">
        <v>2020</v>
      </c>
      <c r="H471" t="n">
        <v>1</v>
      </c>
      <c r="I471" t="n">
        <v>354</v>
      </c>
      <c r="J471" t="inlineStr">
        <is>
          <t>N</t>
        </is>
      </c>
      <c r="K471" t="inlineStr">
        <is>
          <t>neoscapesmaldives.com</t>
        </is>
      </c>
      <c r="L471" t="inlineStr">
        <is>
          <t>dmc-agency</t>
        </is>
      </c>
      <c r="M471" t="inlineStr">
        <is>
          <t>https://www.neoscapesmaldives.com/wp-content/uploads/LilyBeach-Resort-Map.pdf</t>
        </is>
      </c>
      <c r="N471" t="inlineStr">
        <is>
          <t>https://www.neoscapesmaldives.com/wp-content/uploads/LilyBeach-Resort-Map.pdf</t>
        </is>
      </c>
      <c r="O471" t="inlineStr">
        <is>
          <t>d61bed104b44f2f9c7aa42736a026279023dc33776e151960024c52277bbf934</t>
        </is>
      </c>
      <c r="P471" t="inlineStr">
        <is>
          <t>library/091_lily-beach-resort/map/2020_LilyBeach-Resort-Map.pdf</t>
        </is>
      </c>
      <c r="R471" t="inlineStr">
        <is>
          <t>outdated</t>
        </is>
      </c>
      <c r="S471" t="inlineStr">
        <is>
          <t>Y</t>
        </is>
      </c>
      <c r="T471" t="inlineStr">
        <is>
          <t>matched</t>
        </is>
      </c>
      <c r="U471" t="inlineStr">
        <is>
          <t>2026-10-04</t>
        </is>
      </c>
      <c r="V471" t="inlineStr"/>
    </row>
    <row r="472">
      <c r="A472" t="n">
        <v>92</v>
      </c>
      <c r="B472" t="inlineStr">
        <is>
          <t>Amaya Kuda Rah Maldives</t>
        </is>
      </c>
      <c r="C472" t="inlineStr">
        <is>
          <t>factsheet</t>
        </is>
      </c>
      <c r="D472" t="inlineStr">
        <is>
          <t>2024_NH-Maldives-Kuda-Rah-Fact-Sheet.pdf</t>
        </is>
      </c>
      <c r="E472" t="n">
        <v>2024</v>
      </c>
      <c r="H472" t="n">
        <v>9</v>
      </c>
      <c r="I472" t="n">
        <v>2127</v>
      </c>
      <c r="J472" t="inlineStr">
        <is>
          <t>Y</t>
        </is>
      </c>
      <c r="K472" t="inlineStr">
        <is>
          <t>neoscapesmaldives.com</t>
        </is>
      </c>
      <c r="L472" t="inlineStr">
        <is>
          <t>dmc-agency</t>
        </is>
      </c>
      <c r="M472" t="inlineStr">
        <is>
          <t>https://www.neoscapesmaldives.com/wp-content/uploads/NH-Maldives-Kuda-Rah-Fact-Sheet.pdf</t>
        </is>
      </c>
      <c r="N472" t="inlineStr">
        <is>
          <t>https://www.neoscapesmaldives.com/wp-content/uploads/NH-Maldives-Kuda-Rah-Fact-Sheet.pdf</t>
        </is>
      </c>
      <c r="O472" t="inlineStr">
        <is>
          <t>e92ab16ceeb876893b8905db269d20f6592491f0130ef8cfc5cc625fe576a534</t>
        </is>
      </c>
      <c r="P472" t="inlineStr">
        <is>
          <t>library/092_amaya-kuda-rah-maldives/factsheet/2024_NH-Maldives-Kuda-Rah-Fact-Sheet.pdf</t>
        </is>
      </c>
      <c r="R472" t="inlineStr">
        <is>
          <t>outdated</t>
        </is>
      </c>
      <c r="S472" t="inlineStr">
        <is>
          <t>Y</t>
        </is>
      </c>
      <c r="T472" t="inlineStr">
        <is>
          <t>matched</t>
        </is>
      </c>
      <c r="U472" t="inlineStr">
        <is>
          <t>2026-10-04</t>
        </is>
      </c>
      <c r="V472" t="inlineStr"/>
    </row>
    <row r="473">
      <c r="A473" t="n">
        <v>92</v>
      </c>
      <c r="B473" t="inlineStr">
        <is>
          <t>Amaya Kuda Rah Maldives</t>
        </is>
      </c>
      <c r="C473" t="inlineStr">
        <is>
          <t>map</t>
        </is>
      </c>
      <c r="D473" t="inlineStr">
        <is>
          <t>2024_Pages-from-NH-Maldives-Kuda-Rah-map.pdf</t>
        </is>
      </c>
      <c r="E473" t="n">
        <v>2024</v>
      </c>
      <c r="H473" t="n">
        <v>1</v>
      </c>
      <c r="I473" t="n">
        <v>162</v>
      </c>
      <c r="J473" t="inlineStr">
        <is>
          <t>Y</t>
        </is>
      </c>
      <c r="K473" t="inlineStr">
        <is>
          <t>neoscapesmaldives.com</t>
        </is>
      </c>
      <c r="L473" t="inlineStr">
        <is>
          <t>dmc-agency</t>
        </is>
      </c>
      <c r="M473" t="inlineStr">
        <is>
          <t>https://www.neoscapesmaldives.com/wp-content/uploads/Pages-from-NH-Maldives-Kuda-Rah-map.pdf</t>
        </is>
      </c>
      <c r="N473" t="inlineStr">
        <is>
          <t>https://www.neoscapesmaldives.com/wp-content/uploads/Pages-from-NH-Maldives-Kuda-Rah-map.pdf</t>
        </is>
      </c>
      <c r="O473" t="inlineStr">
        <is>
          <t>e4a85342a070f9514db82042d6144159047b292d99b3ef4c504a219c04e6bad9</t>
        </is>
      </c>
      <c r="P473" t="inlineStr">
        <is>
          <t>library/092_amaya-kuda-rah-maldives/map/2024_Pages-from-NH-Maldives-Kuda-Rah-map.pdf</t>
        </is>
      </c>
      <c r="R473" t="inlineStr">
        <is>
          <t>outdated</t>
        </is>
      </c>
      <c r="S473" t="inlineStr">
        <is>
          <t>Y</t>
        </is>
      </c>
      <c r="T473" t="inlineStr">
        <is>
          <t>matched</t>
        </is>
      </c>
      <c r="U473" t="inlineStr">
        <is>
          <t>2026-10-04</t>
        </is>
      </c>
      <c r="V473" t="inlineStr"/>
    </row>
    <row r="474">
      <c r="A474" t="n">
        <v>95</v>
      </c>
      <c r="B474" t="inlineStr">
        <is>
          <t>Malahini Kuda Bandos</t>
        </is>
      </c>
      <c r="C474" t="inlineStr">
        <is>
          <t>factsheet</t>
        </is>
      </c>
      <c r="D474" t="inlineStr">
        <is>
          <t>2017_Malahini-Kuda-Bandos-E-factsheet_2017.pdf</t>
        </is>
      </c>
      <c r="E474" t="n">
        <v>2017</v>
      </c>
      <c r="H474" t="n">
        <v>4</v>
      </c>
      <c r="I474" t="n">
        <v>900</v>
      </c>
      <c r="J474" t="inlineStr">
        <is>
          <t>N</t>
        </is>
      </c>
      <c r="K474" t="inlineStr">
        <is>
          <t>neoscapesmaldives.com</t>
        </is>
      </c>
      <c r="L474" t="inlineStr">
        <is>
          <t>dmc-agency</t>
        </is>
      </c>
      <c r="M474" t="inlineStr">
        <is>
          <t>https://www.neoscapesmaldives.com/wp-content/uploads/Malahini-Kuda-Bandos-E-factsheet_2017.pdf</t>
        </is>
      </c>
      <c r="N474" t="inlineStr">
        <is>
          <t>https://www.neoscapesmaldives.com/wp-content/uploads/Malahini-Kuda-Bandos-E-factsheet_2017.pdf</t>
        </is>
      </c>
      <c r="O474" t="inlineStr">
        <is>
          <t>440ea169e2f4d214d00dab89b6fb49e21ed60e3c163dead36260de5aaf432e8d</t>
        </is>
      </c>
      <c r="P474" t="inlineStr">
        <is>
          <t>library/095_malahini-kuda-bandos/factsheet/2017_Malahini-Kuda-Bandos-E-factsheet_2017.pdf</t>
        </is>
      </c>
      <c r="R474" t="inlineStr">
        <is>
          <t>outdated</t>
        </is>
      </c>
      <c r="S474" t="inlineStr">
        <is>
          <t>Y</t>
        </is>
      </c>
      <c r="T474" t="inlineStr">
        <is>
          <t>matched</t>
        </is>
      </c>
      <c r="U474" t="inlineStr">
        <is>
          <t>2026-10-04</t>
        </is>
      </c>
      <c r="V474" t="inlineStr"/>
    </row>
    <row r="475">
      <c r="A475" t="n">
        <v>95</v>
      </c>
      <c r="B475" t="inlineStr">
        <is>
          <t>Malahini Kuda Bandos</t>
        </is>
      </c>
      <c r="C475" t="inlineStr">
        <is>
          <t>map</t>
        </is>
      </c>
      <c r="D475" t="inlineStr">
        <is>
          <t>2020_Malahini-Kuda-Bandos-Map.pdf</t>
        </is>
      </c>
      <c r="E475" t="n">
        <v>2020</v>
      </c>
      <c r="H475" t="n">
        <v>1</v>
      </c>
      <c r="I475" t="n">
        <v>493</v>
      </c>
      <c r="J475" t="inlineStr">
        <is>
          <t>N</t>
        </is>
      </c>
      <c r="K475" t="inlineStr">
        <is>
          <t>neoscapesmaldives.com</t>
        </is>
      </c>
      <c r="L475" t="inlineStr">
        <is>
          <t>dmc-agency</t>
        </is>
      </c>
      <c r="M475" t="inlineStr">
        <is>
          <t>https://www.neoscapesmaldives.com/wp-content/uploads/Malahini-Kuda-Bandos-Map.pdf</t>
        </is>
      </c>
      <c r="N475" t="inlineStr">
        <is>
          <t>https://www.neoscapesmaldives.com/wp-content/uploads/Malahini-Kuda-Bandos-Map.pdf</t>
        </is>
      </c>
      <c r="O475" t="inlineStr">
        <is>
          <t>8a9df1522250448ea91329bbe2dabc82e7343ceb433e67224f82a2671ec4e86f</t>
        </is>
      </c>
      <c r="P475" t="inlineStr">
        <is>
          <t>library/095_malahini-kuda-bandos/map/2020_Malahini-Kuda-Bandos-Map.pdf</t>
        </is>
      </c>
      <c r="R475" t="inlineStr">
        <is>
          <t>outdated</t>
        </is>
      </c>
      <c r="S475" t="inlineStr">
        <is>
          <t>Y</t>
        </is>
      </c>
      <c r="T475" t="inlineStr">
        <is>
          <t>matched</t>
        </is>
      </c>
      <c r="U475" t="inlineStr">
        <is>
          <t>2026-10-04</t>
        </is>
      </c>
      <c r="V475" t="inlineStr"/>
    </row>
    <row r="476">
      <c r="A476" t="n">
        <v>96</v>
      </c>
      <c r="B476" t="inlineStr">
        <is>
          <t>Dhawa Ihuru</t>
        </is>
      </c>
      <c r="C476" t="inlineStr">
        <is>
          <t>factsheet</t>
        </is>
      </c>
      <c r="D476" t="inlineStr">
        <is>
          <t>2025_DHMVIH-Fact-Sheet.pdf</t>
        </is>
      </c>
      <c r="E476" t="n">
        <v>2025</v>
      </c>
      <c r="H476" t="n">
        <v>10</v>
      </c>
      <c r="I476" t="n">
        <v>1609</v>
      </c>
      <c r="J476" t="inlineStr">
        <is>
          <t>Y</t>
        </is>
      </c>
      <c r="K476" t="inlineStr">
        <is>
          <t>neoscapesmaldives.com</t>
        </is>
      </c>
      <c r="L476" t="inlineStr">
        <is>
          <t>dmc-agency</t>
        </is>
      </c>
      <c r="M476" t="inlineStr">
        <is>
          <t>https://www.neoscapesmaldives.com/wp-content/uploads/DHMVIH-Fact-Sheet.pdf</t>
        </is>
      </c>
      <c r="N476" t="inlineStr">
        <is>
          <t>https://www.neoscapesmaldives.com/wp-content/uploads/DHMVIH-Fact-Sheet.pdf</t>
        </is>
      </c>
      <c r="O476" t="inlineStr">
        <is>
          <t>3a11a440fecceb2deadfac364216859e13527e858f6c42050ddbb72521edb849</t>
        </is>
      </c>
      <c r="P476" t="inlineStr">
        <is>
          <t>library/096_dhawa-ihuru/factsheet/2025_DHMVIH-Fact-Sheet.pdf</t>
        </is>
      </c>
      <c r="R476" t="inlineStr">
        <is>
          <t>current</t>
        </is>
      </c>
      <c r="S476" t="inlineStr">
        <is>
          <t>Y</t>
        </is>
      </c>
      <c r="T476" t="inlineStr">
        <is>
          <t>matched</t>
        </is>
      </c>
      <c r="U476" t="inlineStr">
        <is>
          <t>2026-10-04</t>
        </is>
      </c>
      <c r="V476" t="inlineStr"/>
    </row>
    <row r="477">
      <c r="A477" t="n">
        <v>97</v>
      </c>
      <c r="B477" t="inlineStr">
        <is>
          <t>Angsana Resort &amp; Spa Maldives - Velavaru</t>
        </is>
      </c>
      <c r="C477" t="inlineStr">
        <is>
          <t>factsheet</t>
        </is>
      </c>
      <c r="D477" t="inlineStr">
        <is>
          <t>2023_Fact-Sheet-Angsana-Velavaru.pdf</t>
        </is>
      </c>
      <c r="E477" t="n">
        <v>2023</v>
      </c>
      <c r="H477" t="n">
        <v>15</v>
      </c>
      <c r="I477" t="n">
        <v>6802</v>
      </c>
      <c r="J477" t="inlineStr">
        <is>
          <t>Y</t>
        </is>
      </c>
      <c r="K477" t="inlineStr">
        <is>
          <t>neoscapesmaldives.com</t>
        </is>
      </c>
      <c r="L477" t="inlineStr">
        <is>
          <t>dmc-agency</t>
        </is>
      </c>
      <c r="M477" t="inlineStr">
        <is>
          <t>https://www.neoscapesmaldives.com/wp-content/uploads/Fact-Sheet-Angsana-Velavaru.pdf</t>
        </is>
      </c>
      <c r="N477" t="inlineStr">
        <is>
          <t>https://www.neoscapesmaldives.com/wp-content/uploads/Fact-Sheet-Angsana-Velavaru.pdf</t>
        </is>
      </c>
      <c r="O477" t="inlineStr">
        <is>
          <t>d01d7d4d3b1ae39bdea196fd3a88d6f37f7591122e0e24d954bcd1ec436937dc</t>
        </is>
      </c>
      <c r="P477" t="inlineStr">
        <is>
          <t>library/097_angsana-resort-spa-maldives-velavaru/factsheet/2023_Fact-Sheet-Angsana-Velavaru.pdf</t>
        </is>
      </c>
      <c r="R477" t="inlineStr">
        <is>
          <t>outdated</t>
        </is>
      </c>
      <c r="S477" t="inlineStr">
        <is>
          <t>Y</t>
        </is>
      </c>
      <c r="T477" t="inlineStr">
        <is>
          <t>matched</t>
        </is>
      </c>
      <c r="U477" t="inlineStr">
        <is>
          <t>2026-10-04</t>
        </is>
      </c>
      <c r="V477" t="inlineStr"/>
    </row>
    <row r="478">
      <c r="A478" t="n">
        <v>97</v>
      </c>
      <c r="B478" t="inlineStr">
        <is>
          <t>Angsana Resort &amp; Spa Maldives - Velavaru</t>
        </is>
      </c>
      <c r="C478" t="inlineStr">
        <is>
          <t>villa_plans</t>
        </is>
      </c>
      <c r="D478" t="inlineStr">
        <is>
          <t>2021_Villa-Categories-Update_08-04-2021_Angsana-Velavaru.pdf</t>
        </is>
      </c>
      <c r="E478" t="n">
        <v>2021</v>
      </c>
      <c r="H478" t="n">
        <v>3</v>
      </c>
      <c r="I478" t="n">
        <v>2448</v>
      </c>
      <c r="J478" t="inlineStr">
        <is>
          <t>Y</t>
        </is>
      </c>
      <c r="K478" t="inlineStr">
        <is>
          <t>neoscapesmaldives.com</t>
        </is>
      </c>
      <c r="L478" t="inlineStr">
        <is>
          <t>dmc-agency</t>
        </is>
      </c>
      <c r="M478" t="inlineStr">
        <is>
          <t>https://www.neoscapesmaldives.com/wp-content/uploads/Villa-Categories-Update_08-04-2021_Angsana-Velavaru.pdf</t>
        </is>
      </c>
      <c r="N478" t="inlineStr">
        <is>
          <t>https://www.neoscapesmaldives.com/wp-content/uploads/Villa-Categories-Update_08-04-2021_Angsana-Velavaru.pdf</t>
        </is>
      </c>
      <c r="O478" t="inlineStr">
        <is>
          <t>09c2975965d55719b667d06acd377adf9cbae58770212932e53df89d9bcb0940</t>
        </is>
      </c>
      <c r="P478" t="inlineStr">
        <is>
          <t>library/097_angsana-resort-spa-maldives-velavaru/villa_plans/2021_Villa-Categories-Update_08-04-2021_Angsana-Velavaru.pdf</t>
        </is>
      </c>
      <c r="R478" t="inlineStr">
        <is>
          <t>outdated</t>
        </is>
      </c>
      <c r="S478" t="inlineStr">
        <is>
          <t>Y</t>
        </is>
      </c>
      <c r="T478" t="inlineStr">
        <is>
          <t>matched</t>
        </is>
      </c>
      <c r="U478" t="inlineStr">
        <is>
          <t>2026-10-04</t>
        </is>
      </c>
      <c r="V478" t="inlineStr"/>
    </row>
    <row r="479">
      <c r="A479" t="n">
        <v>97</v>
      </c>
      <c r="B479" t="inlineStr">
        <is>
          <t>Angsana Resort &amp; Spa Maldives - Velavaru</t>
        </is>
      </c>
      <c r="C479" t="inlineStr">
        <is>
          <t>other</t>
        </is>
      </c>
      <c r="D479" t="inlineStr">
        <is>
          <t>2020_islandmap-velavaru.pdf</t>
        </is>
      </c>
      <c r="E479" t="n">
        <v>2020</v>
      </c>
      <c r="H479" t="n">
        <v>1</v>
      </c>
      <c r="I479" t="n">
        <v>174</v>
      </c>
      <c r="J479" t="inlineStr">
        <is>
          <t>N</t>
        </is>
      </c>
      <c r="K479" t="inlineStr">
        <is>
          <t>neoscapesmaldives.com</t>
        </is>
      </c>
      <c r="L479" t="inlineStr">
        <is>
          <t>dmc-agency</t>
        </is>
      </c>
      <c r="M479" t="inlineStr">
        <is>
          <t>https://www.neoscapesmaldives.com/wp-content/uploads/islandmap-velavaru.pdf</t>
        </is>
      </c>
      <c r="N479" t="inlineStr">
        <is>
          <t>https://www.neoscapesmaldives.com/wp-content/uploads/islandmap-velavaru.pdf</t>
        </is>
      </c>
      <c r="O479" t="inlineStr">
        <is>
          <t>0d83026592c5819caa7da30db8256ea967b26a4ed125be4aa4ae485b52a75063</t>
        </is>
      </c>
      <c r="P479" t="inlineStr">
        <is>
          <t>library/097_angsana-resort-spa-maldives-velavaru/other/2020_islandmap-velavaru.pdf</t>
        </is>
      </c>
      <c r="R479" t="inlineStr">
        <is>
          <t>outdated</t>
        </is>
      </c>
      <c r="S479" t="inlineStr">
        <is>
          <t>Y</t>
        </is>
      </c>
      <c r="T479" t="inlineStr">
        <is>
          <t>matched</t>
        </is>
      </c>
      <c r="U479" t="inlineStr">
        <is>
          <t>2026-10-04</t>
        </is>
      </c>
      <c r="V479" t="inlineStr"/>
    </row>
    <row r="480">
      <c r="A480" t="n">
        <v>99</v>
      </c>
      <c r="B480" t="inlineStr">
        <is>
          <t>Conrad Maldives Rangali Island</t>
        </is>
      </c>
      <c r="C480" t="inlineStr">
        <is>
          <t>factsheet</t>
        </is>
      </c>
      <c r="D480" t="inlineStr">
        <is>
          <t>2025_CMRI-Villa-Factsheet.pdf</t>
        </is>
      </c>
      <c r="E480" t="n">
        <v>2025</v>
      </c>
      <c r="H480" t="n">
        <v>18</v>
      </c>
      <c r="I480" t="n">
        <v>9944</v>
      </c>
      <c r="J480" t="inlineStr">
        <is>
          <t>Y</t>
        </is>
      </c>
      <c r="K480" t="inlineStr">
        <is>
          <t>neoscapesmaldives.com</t>
        </is>
      </c>
      <c r="L480" t="inlineStr">
        <is>
          <t>dmc-agency</t>
        </is>
      </c>
      <c r="M480" t="inlineStr">
        <is>
          <t>https://www.neoscapesmaldives.com/wp-content/uploads/CMRI-Villa-Factsheet.pdf</t>
        </is>
      </c>
      <c r="N480" t="inlineStr">
        <is>
          <t>https://www.neoscapesmaldives.com/wp-content/uploads/CMRI-Villa-Factsheet.pdf</t>
        </is>
      </c>
      <c r="O480" t="inlineStr">
        <is>
          <t>d70860c1c698b2d87a9ef21544ca28778dd937b4abc511f529dbb2bf951cc85c</t>
        </is>
      </c>
      <c r="P480" t="inlineStr">
        <is>
          <t>library/099_conrad-maldives-rangali-island/factsheet/2025_CMRI-Villa-Factsheet.pdf</t>
        </is>
      </c>
      <c r="R480" t="inlineStr">
        <is>
          <t>current</t>
        </is>
      </c>
      <c r="S480" t="inlineStr">
        <is>
          <t>Y</t>
        </is>
      </c>
      <c r="T480" t="inlineStr">
        <is>
          <t>matched</t>
        </is>
      </c>
      <c r="U480" t="inlineStr">
        <is>
          <t>2026-10-04</t>
        </is>
      </c>
      <c r="V480" t="inlineStr"/>
    </row>
    <row r="481">
      <c r="A481" t="n">
        <v>99</v>
      </c>
      <c r="B481" t="inlineStr">
        <is>
          <t>Conrad Maldives Rangali Island</t>
        </is>
      </c>
      <c r="C481" t="inlineStr">
        <is>
          <t>factsheet</t>
        </is>
      </c>
      <c r="D481" t="inlineStr">
        <is>
          <t>2024_CMRI_Resort-FactSheet_082024.pdf</t>
        </is>
      </c>
      <c r="E481" t="n">
        <v>2024</v>
      </c>
      <c r="H481" t="n">
        <v>8</v>
      </c>
      <c r="I481" t="n">
        <v>4876</v>
      </c>
      <c r="J481" t="inlineStr">
        <is>
          <t>Y</t>
        </is>
      </c>
      <c r="K481" t="inlineStr">
        <is>
          <t>neoscapesmaldives.com</t>
        </is>
      </c>
      <c r="L481" t="inlineStr">
        <is>
          <t>dmc-agency</t>
        </is>
      </c>
      <c r="M481" t="inlineStr">
        <is>
          <t>https://www.neoscapesmaldives.com/wp-content/uploads/CMRI_Resort-FactSheet_082024.pdf</t>
        </is>
      </c>
      <c r="N481" t="inlineStr">
        <is>
          <t>https://www.neoscapesmaldives.com/wp-content/uploads/CMRI_Resort-FactSheet_082024.pdf</t>
        </is>
      </c>
      <c r="O481" t="inlineStr">
        <is>
          <t>797a902ce8a5201abd0741a38707b557b4414a1d2a5258aab1455a799ac2ba2b</t>
        </is>
      </c>
      <c r="P481" t="inlineStr">
        <is>
          <t>library/099_conrad-maldives-rangali-island/factsheet/2024_CMRI_Resort-FactSheet_082024.pdf</t>
        </is>
      </c>
      <c r="R481" t="inlineStr">
        <is>
          <t>outdated</t>
        </is>
      </c>
      <c r="S481" t="inlineStr">
        <is>
          <t>N</t>
        </is>
      </c>
      <c r="T481" t="inlineStr">
        <is>
          <t>matched</t>
        </is>
      </c>
      <c r="U481" t="inlineStr">
        <is>
          <t>2026-10-04</t>
        </is>
      </c>
      <c r="V481" t="inlineStr"/>
    </row>
    <row r="482">
      <c r="A482" t="n">
        <v>99</v>
      </c>
      <c r="B482" t="inlineStr">
        <is>
          <t>Conrad Maldives Rangali Island</t>
        </is>
      </c>
      <c r="C482" t="inlineStr">
        <is>
          <t>map</t>
        </is>
      </c>
      <c r="D482" t="inlineStr">
        <is>
          <t>2020_CONRAD-MALDIVES-RANGALI-MAP.pdf</t>
        </is>
      </c>
      <c r="E482" t="n">
        <v>2020</v>
      </c>
      <c r="H482" t="n">
        <v>1</v>
      </c>
      <c r="I482" t="n">
        <v>236</v>
      </c>
      <c r="J482" t="inlineStr">
        <is>
          <t>N</t>
        </is>
      </c>
      <c r="K482" t="inlineStr">
        <is>
          <t>neoscapesmaldives.com</t>
        </is>
      </c>
      <c r="L482" t="inlineStr">
        <is>
          <t>dmc-agency</t>
        </is>
      </c>
      <c r="M482" t="inlineStr">
        <is>
          <t>https://www.neoscapesmaldives.com/wp-content/uploads/CONRAD-MALDIVES-RANGALI-MAP.pdf</t>
        </is>
      </c>
      <c r="N482" t="inlineStr">
        <is>
          <t>https://www.neoscapesmaldives.com/wp-content/uploads/CONRAD-MALDIVES-RANGALI-MAP.pdf</t>
        </is>
      </c>
      <c r="O482" t="inlineStr">
        <is>
          <t>b24bc93071d54bd0abe2e63187896a4fd174dc290ffc827002bd52d401e169c1</t>
        </is>
      </c>
      <c r="P482" t="inlineStr">
        <is>
          <t>library/099_conrad-maldives-rangali-island/map/2020_CONRAD-MALDIVES-RANGALI-MAP.pdf</t>
        </is>
      </c>
      <c r="R482" t="inlineStr">
        <is>
          <t>outdated</t>
        </is>
      </c>
      <c r="S482" t="inlineStr">
        <is>
          <t>Y</t>
        </is>
      </c>
      <c r="T482" t="inlineStr">
        <is>
          <t>matched</t>
        </is>
      </c>
      <c r="U482" t="inlineStr">
        <is>
          <t>2026-10-04</t>
        </is>
      </c>
      <c r="V482" t="inlineStr"/>
    </row>
    <row r="483">
      <c r="A483" t="n">
        <v>102</v>
      </c>
      <c r="B483" t="inlineStr">
        <is>
          <t>W Maldives</t>
        </is>
      </c>
      <c r="C483" t="inlineStr">
        <is>
          <t>factsheet</t>
        </is>
      </c>
      <c r="D483" t="inlineStr">
        <is>
          <t>2019_W_Retreat-Maldives-Factsheet.pdf</t>
        </is>
      </c>
      <c r="E483" t="n">
        <v>2019</v>
      </c>
      <c r="H483" t="n">
        <v>2</v>
      </c>
      <c r="I483" t="n">
        <v>152</v>
      </c>
      <c r="J483" t="inlineStr">
        <is>
          <t>Y</t>
        </is>
      </c>
      <c r="K483" t="inlineStr">
        <is>
          <t>neoscapesmaldives.com</t>
        </is>
      </c>
      <c r="L483" t="inlineStr">
        <is>
          <t>dmc-agency</t>
        </is>
      </c>
      <c r="M483" t="inlineStr">
        <is>
          <t>https://neoscapesmaldives.com/wp-content/uploads/W_Retreat-Maldives-Factsheet.pdf</t>
        </is>
      </c>
      <c r="N483" t="inlineStr">
        <is>
          <t>https://neoscapesmaldives.com/wp-content/uploads/W_Retreat-Maldives-Factsheet.pdf</t>
        </is>
      </c>
      <c r="O483" t="inlineStr">
        <is>
          <t>45c64d783c1d4a4cb52e53c50d0ae14e8a35aeccdd750a224d01783e77fa5a96</t>
        </is>
      </c>
      <c r="P483" t="inlineStr">
        <is>
          <t>library/102_w-maldives/factsheet/2019_W_Retreat-Maldives-Factsheet.pdf</t>
        </is>
      </c>
      <c r="R483" t="inlineStr">
        <is>
          <t>outdated</t>
        </is>
      </c>
      <c r="S483" t="inlineStr">
        <is>
          <t>Y</t>
        </is>
      </c>
      <c r="T483" t="inlineStr">
        <is>
          <t>matched</t>
        </is>
      </c>
      <c r="U483" t="inlineStr">
        <is>
          <t>2026-10-04</t>
        </is>
      </c>
      <c r="V483" t="inlineStr"/>
    </row>
    <row r="484">
      <c r="A484" t="n">
        <v>103</v>
      </c>
      <c r="B484" t="inlineStr">
        <is>
          <t>Sheraton Maldives Full Moon Resort &amp; Spa</t>
        </is>
      </c>
      <c r="C484" t="inlineStr">
        <is>
          <t>factsheet</t>
        </is>
      </c>
      <c r="D484" t="inlineStr">
        <is>
          <t>2018_Fact-Sheet_EN.pdf</t>
        </is>
      </c>
      <c r="E484" t="n">
        <v>2018</v>
      </c>
      <c r="H484" t="n">
        <v>8</v>
      </c>
      <c r="I484" t="n">
        <v>3133</v>
      </c>
      <c r="J484" t="inlineStr">
        <is>
          <t>Y</t>
        </is>
      </c>
      <c r="K484" t="inlineStr">
        <is>
          <t>neoscapesmaldives.com</t>
        </is>
      </c>
      <c r="L484" t="inlineStr">
        <is>
          <t>dmc-agency</t>
        </is>
      </c>
      <c r="M484" t="inlineStr">
        <is>
          <t>https://www.neoscapesmaldives.com/wp-content/uploads/Fact-Sheet_EN.pdf</t>
        </is>
      </c>
      <c r="N484" t="inlineStr">
        <is>
          <t>https://www.neoscapesmaldives.com/wp-content/uploads/Fact-Sheet_EN.pdf</t>
        </is>
      </c>
      <c r="O484" t="inlineStr">
        <is>
          <t>fb4976f3c42e83d80f87a4fa2d98c8f95f91d6185a9be159f4b2c89f5de2c2b8</t>
        </is>
      </c>
      <c r="P484" t="inlineStr">
        <is>
          <t>library/103_sheraton-maldives-full-moon-resort-spa/factsheet/2018_Fact-Sheet_EN.pdf</t>
        </is>
      </c>
      <c r="R484" t="inlineStr">
        <is>
          <t>outdated</t>
        </is>
      </c>
      <c r="S484" t="inlineStr">
        <is>
          <t>Y</t>
        </is>
      </c>
      <c r="T484" t="inlineStr">
        <is>
          <t>matched</t>
        </is>
      </c>
      <c r="U484" t="inlineStr">
        <is>
          <t>2026-10-04</t>
        </is>
      </c>
      <c r="V484" t="inlineStr"/>
    </row>
    <row r="485">
      <c r="A485" t="n">
        <v>103</v>
      </c>
      <c r="B485" t="inlineStr">
        <is>
          <t>Sheraton Maldives Full Moon Resort &amp; Spa</t>
        </is>
      </c>
      <c r="C485" t="inlineStr">
        <is>
          <t>map</t>
        </is>
      </c>
      <c r="D485" t="inlineStr">
        <is>
          <t>2025_Resort-Map_EN.pdf</t>
        </is>
      </c>
      <c r="E485" t="n">
        <v>2025</v>
      </c>
      <c r="H485" t="n">
        <v>2</v>
      </c>
      <c r="I485" t="n">
        <v>92</v>
      </c>
      <c r="J485" t="inlineStr">
        <is>
          <t>Y</t>
        </is>
      </c>
      <c r="K485" t="inlineStr">
        <is>
          <t>neoscapesmaldives.com</t>
        </is>
      </c>
      <c r="L485" t="inlineStr">
        <is>
          <t>dmc-agency</t>
        </is>
      </c>
      <c r="M485" t="inlineStr">
        <is>
          <t>https://www.neoscapesmaldives.com/wp-content/uploads/Resort-Map_EN.pdf</t>
        </is>
      </c>
      <c r="N485" t="inlineStr">
        <is>
          <t>https://www.neoscapesmaldives.com/wp-content/uploads/Resort-Map_EN.pdf</t>
        </is>
      </c>
      <c r="O485" t="inlineStr">
        <is>
          <t>6bbda48d9817e59ab1ed0b8a4ea9928f29f8426c02c05966d149162ac1afab8a</t>
        </is>
      </c>
      <c r="P485" t="inlineStr">
        <is>
          <t>library/103_sheraton-maldives-full-moon-resort-spa/map/2025_Resort-Map_EN.pdf</t>
        </is>
      </c>
      <c r="R485" t="inlineStr">
        <is>
          <t>current</t>
        </is>
      </c>
      <c r="S485" t="inlineStr">
        <is>
          <t>Y</t>
        </is>
      </c>
      <c r="T485" t="inlineStr">
        <is>
          <t>needs-review</t>
        </is>
      </c>
      <c r="U485" t="inlineStr">
        <is>
          <t>2026-10-04</t>
        </is>
      </c>
      <c r="V485" t="inlineStr">
        <is>
          <t>ambiguous match [103]</t>
        </is>
      </c>
    </row>
    <row r="486">
      <c r="A486" t="n">
        <v>105</v>
      </c>
      <c r="B486" t="inlineStr">
        <is>
          <t>Kuda Villingili Resort Maldives</t>
        </is>
      </c>
      <c r="C486" t="inlineStr">
        <is>
          <t>factsheet</t>
        </is>
      </c>
      <c r="D486" t="inlineStr">
        <is>
          <t>2025_241220_-_Factsheet.pdf</t>
        </is>
      </c>
      <c r="E486" t="n">
        <v>2025</v>
      </c>
      <c r="H486" t="n">
        <v>27</v>
      </c>
      <c r="I486" t="n">
        <v>15567</v>
      </c>
      <c r="J486" t="inlineStr">
        <is>
          <t>Y</t>
        </is>
      </c>
      <c r="K486" t="inlineStr">
        <is>
          <t>neoscapesmaldives.com</t>
        </is>
      </c>
      <c r="L486" t="inlineStr">
        <is>
          <t>dmc-agency</t>
        </is>
      </c>
      <c r="M486" t="inlineStr">
        <is>
          <t>https://www.neoscapesmaldives.com/wp-content/uploads/241220_-_Factsheet.pdf</t>
        </is>
      </c>
      <c r="N486" t="inlineStr">
        <is>
          <t>https://www.neoscapesmaldives.com/wp-content/uploads/241220_-_Factsheet.pdf</t>
        </is>
      </c>
      <c r="O486" t="inlineStr">
        <is>
          <t>0c265544e28055a95e4b3c8ff1cf5a7365e294b3cd6b72851a9212f3deb68c8b</t>
        </is>
      </c>
      <c r="P486" t="inlineStr">
        <is>
          <t>library/105_kuda-villingili-resort-maldives/factsheet/2025_241220_-_Factsheet.pdf</t>
        </is>
      </c>
      <c r="R486" t="inlineStr">
        <is>
          <t>current</t>
        </is>
      </c>
      <c r="S486" t="inlineStr">
        <is>
          <t>Y</t>
        </is>
      </c>
      <c r="T486" t="inlineStr">
        <is>
          <t>matched</t>
        </is>
      </c>
      <c r="U486" t="inlineStr">
        <is>
          <t>2026-10-04</t>
        </is>
      </c>
      <c r="V486" t="inlineStr"/>
    </row>
    <row r="487">
      <c r="A487" t="n">
        <v>105</v>
      </c>
      <c r="B487" t="inlineStr">
        <is>
          <t>Kuda Villingili Resort Maldives</t>
        </is>
      </c>
      <c r="C487" t="inlineStr">
        <is>
          <t>map</t>
        </is>
      </c>
      <c r="D487" t="inlineStr">
        <is>
          <t>2024_Kuda-Villingili-Resort-Map.pdf</t>
        </is>
      </c>
      <c r="E487" t="n">
        <v>2024</v>
      </c>
      <c r="H487" t="n">
        <v>1</v>
      </c>
      <c r="I487" t="n">
        <v>458</v>
      </c>
      <c r="J487" t="inlineStr">
        <is>
          <t>Y</t>
        </is>
      </c>
      <c r="K487" t="inlineStr">
        <is>
          <t>neoscapesmaldives.com</t>
        </is>
      </c>
      <c r="L487" t="inlineStr">
        <is>
          <t>dmc-agency</t>
        </is>
      </c>
      <c r="M487" t="inlineStr">
        <is>
          <t>https://www.neoscapesmaldives.com/wp-content/uploads/Kuda-Villingili-Resort-Map.pdf</t>
        </is>
      </c>
      <c r="N487" t="inlineStr">
        <is>
          <t>https://www.neoscapesmaldives.com/wp-content/uploads/Kuda-Villingili-Resort-Map.pdf</t>
        </is>
      </c>
      <c r="O487" t="inlineStr">
        <is>
          <t>b00a71d24a5ee12e8e76b265fed9f126e2148493340829acfac188ca09e45947</t>
        </is>
      </c>
      <c r="P487" t="inlineStr">
        <is>
          <t>library/105_kuda-villingili-resort-maldives/map/2024_Kuda-Villingili-Resort-Map.pdf</t>
        </is>
      </c>
      <c r="R487" t="inlineStr">
        <is>
          <t>outdated</t>
        </is>
      </c>
      <c r="S487" t="inlineStr">
        <is>
          <t>Y</t>
        </is>
      </c>
      <c r="T487" t="inlineStr">
        <is>
          <t>matched</t>
        </is>
      </c>
      <c r="U487" t="inlineStr">
        <is>
          <t>2026-10-04</t>
        </is>
      </c>
      <c r="V487" t="inlineStr"/>
    </row>
    <row r="488">
      <c r="A488" t="n">
        <v>106</v>
      </c>
      <c r="B488" t="inlineStr">
        <is>
          <t>Anantara Kihavah Villas</t>
        </is>
      </c>
      <c r="C488" t="inlineStr">
        <is>
          <t>factsheet</t>
        </is>
      </c>
      <c r="D488" t="inlineStr">
        <is>
          <t>2021_Anantara_Kihavah_Maldives_Villas_Factsheet_Resort.pdf</t>
        </is>
      </c>
      <c r="E488" t="n">
        <v>2021</v>
      </c>
      <c r="H488" t="n">
        <v>13</v>
      </c>
      <c r="I488" t="n">
        <v>1964</v>
      </c>
      <c r="J488" t="inlineStr">
        <is>
          <t>Y</t>
        </is>
      </c>
      <c r="K488" t="inlineStr">
        <is>
          <t>neoscapesmaldives.com</t>
        </is>
      </c>
      <c r="L488" t="inlineStr">
        <is>
          <t>dmc-agency</t>
        </is>
      </c>
      <c r="M488" t="inlineStr">
        <is>
          <t>https://www.neoscapesmaldives.com/wp-content/uploads/Anantara_Kihavah_Maldives_Villas_Factsheet_Resort.pdf</t>
        </is>
      </c>
      <c r="N488" t="inlineStr">
        <is>
          <t>https://www.neoscapesmaldives.com/wp-content/uploads/Anantara_Kihavah_Maldives_Villas_Factsheet_Resort.pdf</t>
        </is>
      </c>
      <c r="O488" t="inlineStr">
        <is>
          <t>adc106ce0f1fd3de7b51a2a34cb8de17aac33e2a93d9b56ed75c3a6b4aae375a</t>
        </is>
      </c>
      <c r="P488" t="inlineStr">
        <is>
          <t>library/106_anantara-kihavah-villas/factsheet/2021_Anantara_Kihavah_Maldives_Villas_Factsheet_Resort.pdf</t>
        </is>
      </c>
      <c r="R488" t="inlineStr">
        <is>
          <t>outdated</t>
        </is>
      </c>
      <c r="S488" t="inlineStr">
        <is>
          <t>Y</t>
        </is>
      </c>
      <c r="T488" t="inlineStr">
        <is>
          <t>matched</t>
        </is>
      </c>
      <c r="U488" t="inlineStr">
        <is>
          <t>2026-10-04</t>
        </is>
      </c>
      <c r="V488" t="inlineStr"/>
    </row>
    <row r="489">
      <c r="A489" t="n">
        <v>106</v>
      </c>
      <c r="B489" t="inlineStr">
        <is>
          <t>Anantara Kihavah Villas</t>
        </is>
      </c>
      <c r="C489" t="inlineStr">
        <is>
          <t>map</t>
        </is>
      </c>
      <c r="D489" t="inlineStr">
        <is>
          <t>2022_Anantara_Kihavah_Maldives_Villas_Resort_Map.pdf</t>
        </is>
      </c>
      <c r="E489" t="n">
        <v>2022</v>
      </c>
      <c r="H489" t="n">
        <v>1</v>
      </c>
      <c r="I489" t="n">
        <v>497</v>
      </c>
      <c r="J489" t="inlineStr">
        <is>
          <t>Y</t>
        </is>
      </c>
      <c r="K489" t="inlineStr">
        <is>
          <t>neoscapesmaldives.com</t>
        </is>
      </c>
      <c r="L489" t="inlineStr">
        <is>
          <t>dmc-agency</t>
        </is>
      </c>
      <c r="M489" t="inlineStr">
        <is>
          <t>https://www.neoscapesmaldives.com/wp-content/uploads/Anantara_Kihavah_Maldives_Villas_Resort_Map.pdf</t>
        </is>
      </c>
      <c r="N489" t="inlineStr">
        <is>
          <t>https://www.neoscapesmaldives.com/wp-content/uploads/Anantara_Kihavah_Maldives_Villas_Resort_Map.pdf</t>
        </is>
      </c>
      <c r="O489" t="inlineStr">
        <is>
          <t>9fa7397add16cfe62608c2606eca8bc0b3a499a4f6b9903dd7f1408e941bf2fb</t>
        </is>
      </c>
      <c r="P489" t="inlineStr">
        <is>
          <t>library/106_anantara-kihavah-villas/map/2022_Anantara_Kihavah_Maldives_Villas_Resort_Map.pdf</t>
        </is>
      </c>
      <c r="R489" t="inlineStr">
        <is>
          <t>outdated</t>
        </is>
      </c>
      <c r="S489" t="inlineStr">
        <is>
          <t>Y</t>
        </is>
      </c>
      <c r="T489" t="inlineStr">
        <is>
          <t>matched</t>
        </is>
      </c>
      <c r="U489" t="inlineStr">
        <is>
          <t>2026-10-04</t>
        </is>
      </c>
      <c r="V489" t="inlineStr"/>
    </row>
    <row r="490">
      <c r="A490" t="n">
        <v>109</v>
      </c>
      <c r="B490" t="inlineStr">
        <is>
          <t>Constance Moofushi Resort</t>
        </is>
      </c>
      <c r="C490" t="inlineStr">
        <is>
          <t>factsheet</t>
        </is>
      </c>
      <c r="D490" t="inlineStr">
        <is>
          <t>2023_moofushi-factsheet-en-24april2023.pdf</t>
        </is>
      </c>
      <c r="E490" t="n">
        <v>2023</v>
      </c>
      <c r="H490" t="n">
        <v>10</v>
      </c>
      <c r="I490" t="n">
        <v>2186</v>
      </c>
      <c r="J490" t="inlineStr">
        <is>
          <t>Y</t>
        </is>
      </c>
      <c r="K490" t="inlineStr">
        <is>
          <t>neoscapesmaldives.com</t>
        </is>
      </c>
      <c r="L490" t="inlineStr">
        <is>
          <t>dmc-agency</t>
        </is>
      </c>
      <c r="M490" t="inlineStr">
        <is>
          <t>https://www.neoscapesmaldives.com/wp-content/uploads/moofushi-factsheet-en-24april2023.pdf</t>
        </is>
      </c>
      <c r="N490" t="inlineStr">
        <is>
          <t>https://www.neoscapesmaldives.com/wp-content/uploads/moofushi-factsheet-en-24april2023.pdf</t>
        </is>
      </c>
      <c r="O490" t="inlineStr">
        <is>
          <t>5ebd8050b188741fa5ad44ce96986d305be59c3012aa3048310b73d684da611b</t>
        </is>
      </c>
      <c r="P490" t="inlineStr">
        <is>
          <t>library/109_constance-moofushi-resort/factsheet/2023_moofushi-factsheet-en-24april2023.pdf</t>
        </is>
      </c>
      <c r="R490" t="inlineStr">
        <is>
          <t>outdated</t>
        </is>
      </c>
      <c r="S490" t="inlineStr">
        <is>
          <t>Y</t>
        </is>
      </c>
      <c r="T490" t="inlineStr">
        <is>
          <t>matched</t>
        </is>
      </c>
      <c r="U490" t="inlineStr">
        <is>
          <t>2026-10-04</t>
        </is>
      </c>
      <c r="V490" t="inlineStr"/>
    </row>
    <row r="491">
      <c r="A491" t="n">
        <v>109</v>
      </c>
      <c r="B491" t="inlineStr">
        <is>
          <t>Constance Moofushi Resort</t>
        </is>
      </c>
      <c r="C491" t="inlineStr">
        <is>
          <t>map</t>
        </is>
      </c>
      <c r="D491" t="inlineStr">
        <is>
          <t>2019_constance-moofushi-island-map.pdf</t>
        </is>
      </c>
      <c r="E491" t="n">
        <v>2019</v>
      </c>
      <c r="H491" t="n">
        <v>1</v>
      </c>
      <c r="I491" t="n">
        <v>74</v>
      </c>
      <c r="J491" t="inlineStr">
        <is>
          <t>N</t>
        </is>
      </c>
      <c r="K491" t="inlineStr">
        <is>
          <t>neoscapesmaldives.com</t>
        </is>
      </c>
      <c r="L491" t="inlineStr">
        <is>
          <t>dmc-agency</t>
        </is>
      </c>
      <c r="M491" t="inlineStr">
        <is>
          <t>https://www.neoscapesmaldives.com/wp-content/uploads/constance-moofushi-island-map.pdf</t>
        </is>
      </c>
      <c r="N491" t="inlineStr">
        <is>
          <t>https://www.neoscapesmaldives.com/wp-content/uploads/constance-moofushi-island-map.pdf</t>
        </is>
      </c>
      <c r="O491" t="inlineStr">
        <is>
          <t>b0725b04c31c2598ac98e9e8e3c2484d5c047a374eb3824748abfaca0ec355dc</t>
        </is>
      </c>
      <c r="P491" t="inlineStr">
        <is>
          <t>library/109_constance-moofushi-resort/map/2019_constance-moofushi-island-map.pdf</t>
        </is>
      </c>
      <c r="R491" t="inlineStr">
        <is>
          <t>outdated</t>
        </is>
      </c>
      <c r="S491" t="inlineStr">
        <is>
          <t>Y</t>
        </is>
      </c>
      <c r="T491" t="inlineStr">
        <is>
          <t>matched</t>
        </is>
      </c>
      <c r="U491" t="inlineStr">
        <is>
          <t>2026-10-04</t>
        </is>
      </c>
      <c r="V491" t="inlineStr"/>
    </row>
    <row r="492">
      <c r="A492" t="n">
        <v>111</v>
      </c>
      <c r="B492" t="inlineStr">
        <is>
          <t>Huvafenfushi Maldives</t>
        </is>
      </c>
      <c r="C492" t="inlineStr">
        <is>
          <t>factsheet</t>
        </is>
      </c>
      <c r="D492" t="inlineStr">
        <is>
          <t>2020_Huvafen-Fushi-Factsheet-2020-Digital_rdc.pdf</t>
        </is>
      </c>
      <c r="E492" t="n">
        <v>2020</v>
      </c>
      <c r="H492" t="n">
        <v>6</v>
      </c>
      <c r="I492" t="n">
        <v>4312</v>
      </c>
      <c r="J492" t="inlineStr">
        <is>
          <t>Y</t>
        </is>
      </c>
      <c r="K492" t="inlineStr">
        <is>
          <t>neoscapesmaldives.com</t>
        </is>
      </c>
      <c r="L492" t="inlineStr">
        <is>
          <t>dmc-agency</t>
        </is>
      </c>
      <c r="M492" t="inlineStr">
        <is>
          <t>https://www.neoscapesmaldives.com/wp-content/uploads/Huvafen-Fushi-Factsheet-2020-Digital_rdc.pdf</t>
        </is>
      </c>
      <c r="N492" t="inlineStr">
        <is>
          <t>https://www.neoscapesmaldives.com/wp-content/uploads/Huvafen-Fushi-Factsheet-2020-Digital_rdc.pdf</t>
        </is>
      </c>
      <c r="O492" t="inlineStr">
        <is>
          <t>27ff8aea9534d473f1fb6ed498501050fbe19bdb8fb83905c8cecb6a9293b941</t>
        </is>
      </c>
      <c r="P492" t="inlineStr">
        <is>
          <t>library/111_huvafenfushi-maldives/factsheet/2020_Huvafen-Fushi-Factsheet-2020-Digital_rdc.pdf</t>
        </is>
      </c>
      <c r="R492" t="inlineStr">
        <is>
          <t>outdated</t>
        </is>
      </c>
      <c r="S492" t="inlineStr">
        <is>
          <t>Y</t>
        </is>
      </c>
      <c r="T492" t="inlineStr">
        <is>
          <t>matched</t>
        </is>
      </c>
      <c r="U492" t="inlineStr">
        <is>
          <t>2026-10-04</t>
        </is>
      </c>
      <c r="V492" t="inlineStr"/>
    </row>
    <row r="493">
      <c r="A493" t="n">
        <v>111</v>
      </c>
      <c r="B493" t="inlineStr">
        <is>
          <t>Huvafenfushi Maldives</t>
        </is>
      </c>
      <c r="C493" t="inlineStr">
        <is>
          <t>map</t>
        </is>
      </c>
      <c r="D493" t="inlineStr">
        <is>
          <t>2019_Resort-Map.pdf</t>
        </is>
      </c>
      <c r="E493" t="n">
        <v>2019</v>
      </c>
      <c r="H493" t="n">
        <v>1</v>
      </c>
      <c r="I493" t="n">
        <v>527</v>
      </c>
      <c r="J493" t="inlineStr">
        <is>
          <t>N</t>
        </is>
      </c>
      <c r="K493" t="inlineStr">
        <is>
          <t>neoscapesmaldives.com</t>
        </is>
      </c>
      <c r="L493" t="inlineStr">
        <is>
          <t>dmc-agency</t>
        </is>
      </c>
      <c r="M493" t="inlineStr">
        <is>
          <t>https://www.neoscapesmaldives.com/wp-content/uploads/Resort-Map.pdf</t>
        </is>
      </c>
      <c r="N493" t="inlineStr">
        <is>
          <t>https://www.neoscapesmaldives.com/wp-content/uploads/Resort-Map.pdf</t>
        </is>
      </c>
      <c r="O493" t="inlineStr">
        <is>
          <t>74a139d7ae06d0394d881ec6d920f0b009261443408663eaa739b1fb20874d83</t>
        </is>
      </c>
      <c r="P493" t="inlineStr">
        <is>
          <t>library/111_huvafenfushi-maldives/map/2019_Resort-Map.pdf</t>
        </is>
      </c>
      <c r="R493" t="inlineStr">
        <is>
          <t>outdated</t>
        </is>
      </c>
      <c r="S493" t="inlineStr">
        <is>
          <t>Y</t>
        </is>
      </c>
      <c r="T493" t="inlineStr">
        <is>
          <t>needs-review</t>
        </is>
      </c>
      <c r="U493" t="inlineStr">
        <is>
          <t>2026-10-04</t>
        </is>
      </c>
      <c r="V493" t="inlineStr">
        <is>
          <t>ambiguous match [111]</t>
        </is>
      </c>
    </row>
    <row r="494">
      <c r="A494" t="n">
        <v>112</v>
      </c>
      <c r="B494" t="inlineStr">
        <is>
          <t>Nika Island Resort and Spa</t>
        </is>
      </c>
      <c r="C494" t="inlineStr">
        <is>
          <t>factsheet</t>
        </is>
      </c>
      <c r="D494" t="inlineStr">
        <is>
          <t>2020_NIKA-FACT-SHEET-Nika-Island-Resort.pdf</t>
        </is>
      </c>
      <c r="E494" t="n">
        <v>2020</v>
      </c>
      <c r="H494" t="n">
        <v>2</v>
      </c>
      <c r="I494" t="n">
        <v>2913</v>
      </c>
      <c r="J494" t="inlineStr">
        <is>
          <t>Y</t>
        </is>
      </c>
      <c r="K494" t="inlineStr">
        <is>
          <t>neoscapesmaldives.com</t>
        </is>
      </c>
      <c r="L494" t="inlineStr">
        <is>
          <t>dmc-agency</t>
        </is>
      </c>
      <c r="M494" t="inlineStr">
        <is>
          <t>https://www.neoscapesmaldives.com/wp-content/uploads/NIKA-FACT-SHEET-Nika-Island-Resort.pdf</t>
        </is>
      </c>
      <c r="N494" t="inlineStr">
        <is>
          <t>https://www.neoscapesmaldives.com/wp-content/uploads/NIKA-FACT-SHEET-Nika-Island-Resort.pdf</t>
        </is>
      </c>
      <c r="O494" t="inlineStr">
        <is>
          <t>9ce4116a6829cf3591292427cd1fcc4e218866a91b353b15fb91391c74b356b0</t>
        </is>
      </c>
      <c r="P494" t="inlineStr">
        <is>
          <t>library/112_nika-island-resort-and-spa/factsheet/2020_NIKA-FACT-SHEET-Nika-Island-Resort.pdf</t>
        </is>
      </c>
      <c r="R494" t="inlineStr">
        <is>
          <t>outdated</t>
        </is>
      </c>
      <c r="S494" t="inlineStr">
        <is>
          <t>Y</t>
        </is>
      </c>
      <c r="T494" t="inlineStr">
        <is>
          <t>matched</t>
        </is>
      </c>
      <c r="U494" t="inlineStr">
        <is>
          <t>2026-10-04</t>
        </is>
      </c>
      <c r="V494" t="inlineStr"/>
    </row>
    <row r="495">
      <c r="A495" t="n">
        <v>112</v>
      </c>
      <c r="B495" t="inlineStr">
        <is>
          <t>Nika Island Resort and Spa</t>
        </is>
      </c>
      <c r="C495" t="inlineStr">
        <is>
          <t>map</t>
        </is>
      </c>
      <c r="D495" t="inlineStr">
        <is>
          <t>2020_NIKA-MAP-Nika-Island-Resort.pdf</t>
        </is>
      </c>
      <c r="E495" t="n">
        <v>2020</v>
      </c>
      <c r="H495" t="n">
        <v>1</v>
      </c>
      <c r="I495" t="n">
        <v>3099</v>
      </c>
      <c r="J495" t="inlineStr">
        <is>
          <t>N</t>
        </is>
      </c>
      <c r="K495" t="inlineStr">
        <is>
          <t>neoscapesmaldives.com</t>
        </is>
      </c>
      <c r="L495" t="inlineStr">
        <is>
          <t>dmc-agency</t>
        </is>
      </c>
      <c r="M495" t="inlineStr">
        <is>
          <t>https://www.neoscapesmaldives.com/wp-content/uploads/NIKA-MAP-Nika-Island-Resort.pdf</t>
        </is>
      </c>
      <c r="N495" t="inlineStr">
        <is>
          <t>https://www.neoscapesmaldives.com/wp-content/uploads/NIKA-MAP-Nika-Island-Resort.pdf</t>
        </is>
      </c>
      <c r="O495" t="inlineStr">
        <is>
          <t>64c39d06b22475c464f76baa780e7016c25f67f68dd56a5108f0bc30385dee52</t>
        </is>
      </c>
      <c r="P495" t="inlineStr">
        <is>
          <t>library/112_nika-island-resort-and-spa/map/2020_NIKA-MAP-Nika-Island-Resort.pdf</t>
        </is>
      </c>
      <c r="R495" t="inlineStr">
        <is>
          <t>outdated</t>
        </is>
      </c>
      <c r="S495" t="inlineStr">
        <is>
          <t>Y</t>
        </is>
      </c>
      <c r="T495" t="inlineStr">
        <is>
          <t>matched</t>
        </is>
      </c>
      <c r="U495" t="inlineStr">
        <is>
          <t>2026-10-04</t>
        </is>
      </c>
      <c r="V495" t="inlineStr"/>
    </row>
    <row r="496">
      <c r="A496" t="n">
        <v>115</v>
      </c>
      <c r="B496" t="inlineStr">
        <is>
          <t>Oblu Select by Atmosphere at Sangeli</t>
        </is>
      </c>
      <c r="C496" t="inlineStr">
        <is>
          <t>map</t>
        </is>
      </c>
      <c r="D496" t="inlineStr">
        <is>
          <t>2025_OBLU-SELECT-Lobigili-Island-Map-MAY-2025.pdf</t>
        </is>
      </c>
      <c r="E496" t="n">
        <v>2025</v>
      </c>
      <c r="H496" t="n">
        <v>1</v>
      </c>
      <c r="I496" t="n">
        <v>5174</v>
      </c>
      <c r="J496" t="inlineStr">
        <is>
          <t>Y</t>
        </is>
      </c>
      <c r="K496" t="inlineStr">
        <is>
          <t>neoscapesmaldives.com</t>
        </is>
      </c>
      <c r="L496" t="inlineStr">
        <is>
          <t>dmc-agency</t>
        </is>
      </c>
      <c r="M496" t="inlineStr">
        <is>
          <t>https://www.neoscapesmaldives.com/wp-content/uploads/OBLU-SELECT-Lobigili-Island-Map-MAY-2025.pdf</t>
        </is>
      </c>
      <c r="N496" t="inlineStr">
        <is>
          <t>https://www.neoscapesmaldives.com/wp-content/uploads/OBLU-SELECT-Lobigili-Island-Map-MAY-2025.pdf</t>
        </is>
      </c>
      <c r="O496" t="inlineStr">
        <is>
          <t>9f54eccd4a783c906a918dfc91c898d1c26bfd2797929143bb16407ac5c0adef</t>
        </is>
      </c>
      <c r="P496" t="inlineStr">
        <is>
          <t>library/115_oblu-select-by-atmosphere-at-sangeli/map/2025_OBLU-SELECT-Lobigili-Island-Map-MAY-2025.pdf</t>
        </is>
      </c>
      <c r="R496" t="inlineStr">
        <is>
          <t>current</t>
        </is>
      </c>
      <c r="S496" t="inlineStr">
        <is>
          <t>Y</t>
        </is>
      </c>
      <c r="T496" t="inlineStr">
        <is>
          <t>matched</t>
        </is>
      </c>
      <c r="U496" t="inlineStr">
        <is>
          <t>2026-10-04</t>
        </is>
      </c>
      <c r="V496" t="inlineStr"/>
    </row>
    <row r="497">
      <c r="A497" t="n">
        <v>115</v>
      </c>
      <c r="B497" t="inlineStr">
        <is>
          <t>Oblu Select by Atmosphere at Sangeli</t>
        </is>
      </c>
      <c r="C497" t="inlineStr">
        <is>
          <t>map</t>
        </is>
      </c>
      <c r="D497" t="inlineStr">
        <is>
          <t>2019_OBLU-SELECT-at-Sangeli-ISLAND-MAP-1.pdf</t>
        </is>
      </c>
      <c r="E497" t="n">
        <v>2019</v>
      </c>
      <c r="H497" t="n">
        <v>1</v>
      </c>
      <c r="I497" t="n">
        <v>2409</v>
      </c>
      <c r="J497" t="inlineStr">
        <is>
          <t>N</t>
        </is>
      </c>
      <c r="K497" t="inlineStr">
        <is>
          <t>neoscapesmaldives.com</t>
        </is>
      </c>
      <c r="L497" t="inlineStr">
        <is>
          <t>dmc-agency</t>
        </is>
      </c>
      <c r="M497" t="inlineStr">
        <is>
          <t>https://www.neoscapesmaldives.com/wp-content/uploads/OBLU-SELECT-at-Sangeli-ISLAND-MAP-1.pdf</t>
        </is>
      </c>
      <c r="N497" t="inlineStr">
        <is>
          <t>https://www.neoscapesmaldives.com/wp-content/uploads/OBLU-SELECT-at-Sangeli-ISLAND-MAP-1.pdf</t>
        </is>
      </c>
      <c r="O497" t="inlineStr">
        <is>
          <t>53c3a857e8721c04b7f2a63163238a93c670359df8eb71b803a94afd2dfa106c</t>
        </is>
      </c>
      <c r="P497" t="inlineStr">
        <is>
          <t>library/115_oblu-select-by-atmosphere-at-sangeli/map/2019_OBLU-SELECT-at-Sangeli-ISLAND-MAP-1.pdf</t>
        </is>
      </c>
      <c r="R497" t="inlineStr">
        <is>
          <t>outdated</t>
        </is>
      </c>
      <c r="S497" t="inlineStr">
        <is>
          <t>N</t>
        </is>
      </c>
      <c r="T497" t="inlineStr">
        <is>
          <t>matched</t>
        </is>
      </c>
      <c r="U497" t="inlineStr">
        <is>
          <t>2026-10-04</t>
        </is>
      </c>
      <c r="V497" t="inlineStr"/>
    </row>
    <row r="498">
      <c r="A498" t="n">
        <v>115</v>
      </c>
      <c r="B498" t="inlineStr">
        <is>
          <t>Oblu Select by Atmosphere at Sangeli</t>
        </is>
      </c>
      <c r="C498" t="inlineStr">
        <is>
          <t>brochure</t>
        </is>
      </c>
      <c r="D498" t="inlineStr">
        <is>
          <t>2025_OBLU-SELECT-Sangeli-BROCHURE-FEB-2025.pdf</t>
        </is>
      </c>
      <c r="E498" t="n">
        <v>2025</v>
      </c>
      <c r="H498" t="n">
        <v>11</v>
      </c>
      <c r="I498" t="n">
        <v>5401</v>
      </c>
      <c r="J498" t="inlineStr">
        <is>
          <t>Y</t>
        </is>
      </c>
      <c r="K498" t="inlineStr">
        <is>
          <t>neoscapesmaldives.com</t>
        </is>
      </c>
      <c r="L498" t="inlineStr">
        <is>
          <t>dmc-agency</t>
        </is>
      </c>
      <c r="M498" t="inlineStr">
        <is>
          <t>https://www.neoscapesmaldives.com/wp-content/uploads/OBLU-SELECT-Sangeli-BROCHURE-FEB-2025.pdf</t>
        </is>
      </c>
      <c r="N498" t="inlineStr">
        <is>
          <t>https://www.neoscapesmaldives.com/wp-content/uploads/OBLU-SELECT-Sangeli-BROCHURE-FEB-2025.pdf</t>
        </is>
      </c>
      <c r="O498" t="inlineStr">
        <is>
          <t>62c3a79e2df269a5c0f65d9e34be1f631da9882d7584b46e04b48ec5b0bdb906</t>
        </is>
      </c>
      <c r="P498" t="inlineStr">
        <is>
          <t>library/115_oblu-select-by-atmosphere-at-sangeli/brochure/2025_OBLU-SELECT-Sangeli-BROCHURE-FEB-2025.pdf</t>
        </is>
      </c>
      <c r="R498" t="inlineStr">
        <is>
          <t>current</t>
        </is>
      </c>
      <c r="S498" t="inlineStr">
        <is>
          <t>Y</t>
        </is>
      </c>
      <c r="T498" t="inlineStr">
        <is>
          <t>matched</t>
        </is>
      </c>
      <c r="U498" t="inlineStr">
        <is>
          <t>2026-10-04</t>
        </is>
      </c>
      <c r="V498" t="inlineStr"/>
    </row>
    <row r="499">
      <c r="A499" t="n">
        <v>115</v>
      </c>
      <c r="B499" t="inlineStr">
        <is>
          <t>Oblu Select by Atmosphere at Sangeli</t>
        </is>
      </c>
      <c r="C499" t="inlineStr">
        <is>
          <t>brochure</t>
        </is>
      </c>
      <c r="D499" t="inlineStr">
        <is>
          <t>2025_OBLU-SELECT-Lobigili-Brochure-MAY-2025-WEB.pdf</t>
        </is>
      </c>
      <c r="E499" t="n">
        <v>2025</v>
      </c>
      <c r="H499" t="n">
        <v>11</v>
      </c>
      <c r="I499" t="n">
        <v>8597</v>
      </c>
      <c r="J499" t="inlineStr">
        <is>
          <t>Y</t>
        </is>
      </c>
      <c r="K499" t="inlineStr">
        <is>
          <t>neoscapesmaldives.com</t>
        </is>
      </c>
      <c r="L499" t="inlineStr">
        <is>
          <t>dmc-agency</t>
        </is>
      </c>
      <c r="M499" t="inlineStr">
        <is>
          <t>https://www.neoscapesmaldives.com/wp-content/uploads/OBLU-SELECT-Lobigili-Brochure-MAY-2025-WEB.pdf</t>
        </is>
      </c>
      <c r="N499" t="inlineStr">
        <is>
          <t>https://www.neoscapesmaldives.com/wp-content/uploads/OBLU-SELECT-Lobigili-Brochure-MAY-2025-WEB.pdf</t>
        </is>
      </c>
      <c r="O499" t="inlineStr">
        <is>
          <t>294f2147fb9a5a401d3f9d7cd6b10e379097cfa2f8e8eff9d5d123a9030e9169</t>
        </is>
      </c>
      <c r="P499" t="inlineStr">
        <is>
          <t>library/115_oblu-select-by-atmosphere-at-sangeli/brochure/2025_OBLU-SELECT-Lobigili-Brochure-MAY-2025-WEB.pdf</t>
        </is>
      </c>
      <c r="R499" t="inlineStr">
        <is>
          <t>current</t>
        </is>
      </c>
      <c r="S499" t="inlineStr">
        <is>
          <t>N</t>
        </is>
      </c>
      <c r="T499" t="inlineStr">
        <is>
          <t>matched</t>
        </is>
      </c>
      <c r="U499" t="inlineStr">
        <is>
          <t>2026-10-04</t>
        </is>
      </c>
      <c r="V499" t="inlineStr"/>
    </row>
    <row r="500">
      <c r="A500" t="n">
        <v>116</v>
      </c>
      <c r="B500" t="inlineStr">
        <is>
          <t>Nova Maldives</t>
        </is>
      </c>
      <c r="C500" t="inlineStr">
        <is>
          <t>factsheet</t>
        </is>
      </c>
      <c r="D500" t="inlineStr">
        <is>
          <t>2022_Factsheet-Nova-Maldives-NEO.pdf</t>
        </is>
      </c>
      <c r="E500" t="n">
        <v>2022</v>
      </c>
      <c r="H500" t="n">
        <v>16</v>
      </c>
      <c r="I500" t="n">
        <v>4721</v>
      </c>
      <c r="J500" t="inlineStr">
        <is>
          <t>N</t>
        </is>
      </c>
      <c r="K500" t="inlineStr">
        <is>
          <t>neoscapesmaldives.com</t>
        </is>
      </c>
      <c r="L500" t="inlineStr">
        <is>
          <t>dmc-agency</t>
        </is>
      </c>
      <c r="M500" t="inlineStr">
        <is>
          <t>https://www.neoscapesmaldives.com/wp-content/uploads/Factsheet-Nova-Maldives-NEO.pdf</t>
        </is>
      </c>
      <c r="N500" t="inlineStr">
        <is>
          <t>https://www.neoscapesmaldives.com/wp-content/uploads/Factsheet-Nova-Maldives-NEO.pdf</t>
        </is>
      </c>
      <c r="O500" t="inlineStr">
        <is>
          <t>23eab33e6dc6600ab79a046e4a23e2eed969663dfdf8e8f1fd7adefaa0e29edd</t>
        </is>
      </c>
      <c r="P500" t="inlineStr">
        <is>
          <t>library/116_nova-maldives/factsheet/2022_Factsheet-Nova-Maldives-NEO.pdf</t>
        </is>
      </c>
      <c r="R500" t="inlineStr">
        <is>
          <t>outdated</t>
        </is>
      </c>
      <c r="S500" t="inlineStr">
        <is>
          <t>Y</t>
        </is>
      </c>
      <c r="T500" t="inlineStr">
        <is>
          <t>matched</t>
        </is>
      </c>
      <c r="U500" t="inlineStr">
        <is>
          <t>2026-10-04</t>
        </is>
      </c>
      <c r="V500" t="inlineStr"/>
    </row>
    <row r="501">
      <c r="A501" t="n">
        <v>116</v>
      </c>
      <c r="B501" t="inlineStr">
        <is>
          <t>Nova Maldives</t>
        </is>
      </c>
      <c r="C501" t="inlineStr">
        <is>
          <t>map</t>
        </is>
      </c>
      <c r="D501" t="inlineStr">
        <is>
          <t>2022_Resort-Map-Nova-Maldives.pdf</t>
        </is>
      </c>
      <c r="E501" t="n">
        <v>2022</v>
      </c>
      <c r="H501" t="n">
        <v>1</v>
      </c>
      <c r="I501" t="n">
        <v>557</v>
      </c>
      <c r="J501" t="inlineStr">
        <is>
          <t>N</t>
        </is>
      </c>
      <c r="K501" t="inlineStr">
        <is>
          <t>neoscapesmaldives.com</t>
        </is>
      </c>
      <c r="L501" t="inlineStr">
        <is>
          <t>dmc-agency</t>
        </is>
      </c>
      <c r="M501" t="inlineStr">
        <is>
          <t>https://www.neoscapesmaldives.com/wp-content/uploads/Resort-Map-Nova-Maldives.pdf</t>
        </is>
      </c>
      <c r="N501" t="inlineStr">
        <is>
          <t>https://www.neoscapesmaldives.com/wp-content/uploads/Resort-Map-Nova-Maldives.pdf</t>
        </is>
      </c>
      <c r="O501" t="inlineStr">
        <is>
          <t>8824de53661585c09aa740f5e0dba3b2a295b90b0e323c11a2b1bf20f09a5f16</t>
        </is>
      </c>
      <c r="P501" t="inlineStr">
        <is>
          <t>library/116_nova-maldives/map/2022_Resort-Map-Nova-Maldives.pdf</t>
        </is>
      </c>
      <c r="R501" t="inlineStr">
        <is>
          <t>outdated</t>
        </is>
      </c>
      <c r="S501" t="inlineStr">
        <is>
          <t>Y</t>
        </is>
      </c>
      <c r="T501" t="inlineStr">
        <is>
          <t>matched</t>
        </is>
      </c>
      <c r="U501" t="inlineStr">
        <is>
          <t>2026-10-04</t>
        </is>
      </c>
      <c r="V501" t="inlineStr"/>
    </row>
    <row r="502">
      <c r="A502" t="n">
        <v>117</v>
      </c>
      <c r="B502" t="inlineStr">
        <is>
          <t>Niyama Maldives</t>
        </is>
      </c>
      <c r="C502" t="inlineStr">
        <is>
          <t>factsheet</t>
        </is>
      </c>
      <c r="D502" t="inlineStr">
        <is>
          <t>2025_Niyama-Private-Islands-Maldives-Factsheet-2025.pdf</t>
        </is>
      </c>
      <c r="E502" t="n">
        <v>2025</v>
      </c>
      <c r="H502" t="n">
        <v>14</v>
      </c>
      <c r="I502" t="n">
        <v>8792</v>
      </c>
      <c r="J502" t="inlineStr">
        <is>
          <t>Y</t>
        </is>
      </c>
      <c r="K502" t="inlineStr">
        <is>
          <t>neoscapesmaldives.com</t>
        </is>
      </c>
      <c r="L502" t="inlineStr">
        <is>
          <t>dmc-agency</t>
        </is>
      </c>
      <c r="M502" t="inlineStr">
        <is>
          <t>https://www.neoscapesmaldives.com/wp-content/uploads/Niyama-Private-Islands-Maldives-Factsheet-2025.pdf</t>
        </is>
      </c>
      <c r="N502" t="inlineStr">
        <is>
          <t>https://www.neoscapesmaldives.com/wp-content/uploads/Niyama-Private-Islands-Maldives-Factsheet-2025.pdf</t>
        </is>
      </c>
      <c r="O502" t="inlineStr">
        <is>
          <t>9bd66a5f022e1acfb1f075b6b679eded15d7090536994f3a072329b49430994b</t>
        </is>
      </c>
      <c r="P502" t="inlineStr">
        <is>
          <t>library/117_niyama-maldives/factsheet/2025_Niyama-Private-Islands-Maldives-Factsheet-2025.pdf</t>
        </is>
      </c>
      <c r="R502" t="inlineStr">
        <is>
          <t>current</t>
        </is>
      </c>
      <c r="S502" t="inlineStr">
        <is>
          <t>Y</t>
        </is>
      </c>
      <c r="T502" t="inlineStr">
        <is>
          <t>matched</t>
        </is>
      </c>
      <c r="U502" t="inlineStr">
        <is>
          <t>2026-10-04</t>
        </is>
      </c>
      <c r="V502" t="inlineStr"/>
    </row>
    <row r="503">
      <c r="A503" t="n">
        <v>117</v>
      </c>
      <c r="B503" t="inlineStr">
        <is>
          <t>Niyama Maldives</t>
        </is>
      </c>
      <c r="C503" t="inlineStr">
        <is>
          <t>map</t>
        </is>
      </c>
      <c r="D503" t="inlineStr">
        <is>
          <t>2025_Niyama-Resort-Map.pdf</t>
        </is>
      </c>
      <c r="E503" t="n">
        <v>2025</v>
      </c>
      <c r="H503" t="n">
        <v>1</v>
      </c>
      <c r="I503" t="n">
        <v>14111</v>
      </c>
      <c r="J503" t="inlineStr">
        <is>
          <t>Y</t>
        </is>
      </c>
      <c r="K503" t="inlineStr">
        <is>
          <t>neoscapesmaldives.com</t>
        </is>
      </c>
      <c r="L503" t="inlineStr">
        <is>
          <t>dmc-agency</t>
        </is>
      </c>
      <c r="M503" t="inlineStr">
        <is>
          <t>https://www.neoscapesmaldives.com/wp-content/uploads/Niyama-Resort-Map.pdf</t>
        </is>
      </c>
      <c r="N503" t="inlineStr">
        <is>
          <t>https://www.neoscapesmaldives.com/wp-content/uploads/Niyama-Resort-Map.pdf</t>
        </is>
      </c>
      <c r="O503" t="inlineStr">
        <is>
          <t>418015ea746800659cd3118ed29365381e07510c6ee3581836ee1d5c1ff3b8e2</t>
        </is>
      </c>
      <c r="P503" t="inlineStr">
        <is>
          <t>library/117_niyama-maldives/map/2025_Niyama-Resort-Map.pdf</t>
        </is>
      </c>
      <c r="R503" t="inlineStr">
        <is>
          <t>current</t>
        </is>
      </c>
      <c r="S503" t="inlineStr">
        <is>
          <t>Y</t>
        </is>
      </c>
      <c r="T503" t="inlineStr">
        <is>
          <t>matched</t>
        </is>
      </c>
      <c r="U503" t="inlineStr">
        <is>
          <t>2026-10-04</t>
        </is>
      </c>
      <c r="V503" t="inlineStr"/>
    </row>
    <row r="504">
      <c r="A504" t="n">
        <v>118</v>
      </c>
      <c r="B504" t="inlineStr">
        <is>
          <t>Sun Siyam Iru Veli Maldives</t>
        </is>
      </c>
      <c r="C504" t="inlineStr">
        <is>
          <t>factsheet</t>
        </is>
      </c>
      <c r="D504" t="inlineStr">
        <is>
          <t>2021_Iru-Veli-Factsheet-EN.pdf</t>
        </is>
      </c>
      <c r="E504" t="n">
        <v>2021</v>
      </c>
      <c r="H504" t="n">
        <v>8</v>
      </c>
      <c r="I504" t="n">
        <v>6026</v>
      </c>
      <c r="J504" t="inlineStr">
        <is>
          <t>Y</t>
        </is>
      </c>
      <c r="K504" t="inlineStr">
        <is>
          <t>neoscapesmaldives.com</t>
        </is>
      </c>
      <c r="L504" t="inlineStr">
        <is>
          <t>dmc-agency</t>
        </is>
      </c>
      <c r="M504" t="inlineStr">
        <is>
          <t>https://www.neoscapesmaldives.com/wp-content/uploads/Iru-Veli-Factsheet-EN.pdf</t>
        </is>
      </c>
      <c r="N504" t="inlineStr">
        <is>
          <t>https://www.neoscapesmaldives.com/wp-content/uploads/Iru-Veli-Factsheet-EN.pdf</t>
        </is>
      </c>
      <c r="O504" t="inlineStr">
        <is>
          <t>2116d595e08769e966dcd6041bdcd7aa62512cf14599adeb6421bc0a876b564c</t>
        </is>
      </c>
      <c r="P504" t="inlineStr">
        <is>
          <t>library/118_sun-siyam-iru-veli-maldives/factsheet/2021_Iru-Veli-Factsheet-EN.pdf</t>
        </is>
      </c>
      <c r="R504" t="inlineStr">
        <is>
          <t>outdated</t>
        </is>
      </c>
      <c r="S504" t="inlineStr">
        <is>
          <t>Y</t>
        </is>
      </c>
      <c r="T504" t="inlineStr">
        <is>
          <t>matched</t>
        </is>
      </c>
      <c r="U504" t="inlineStr">
        <is>
          <t>2026-10-04</t>
        </is>
      </c>
      <c r="V504" t="inlineStr"/>
    </row>
    <row r="505">
      <c r="A505" t="n">
        <v>118</v>
      </c>
      <c r="B505" t="inlineStr">
        <is>
          <t>Sun Siyam Iru Veli Maldives</t>
        </is>
      </c>
      <c r="C505" t="inlineStr">
        <is>
          <t>map</t>
        </is>
      </c>
      <c r="D505" t="inlineStr">
        <is>
          <t>2018_Sun-Aqua-Iru-Veli-Island-Map.pdf</t>
        </is>
      </c>
      <c r="E505" t="n">
        <v>2018</v>
      </c>
      <c r="H505" t="n">
        <v>1</v>
      </c>
      <c r="I505" t="n">
        <v>9164</v>
      </c>
      <c r="J505" t="inlineStr">
        <is>
          <t>Y</t>
        </is>
      </c>
      <c r="K505" t="inlineStr">
        <is>
          <t>neoscapesmaldives.com</t>
        </is>
      </c>
      <c r="L505" t="inlineStr">
        <is>
          <t>dmc-agency</t>
        </is>
      </c>
      <c r="M505" t="inlineStr">
        <is>
          <t>https://www.neoscapesmaldives.com/wp-content/uploads/Sun-Aqua-Iru-Veli-Island-Map.pdf</t>
        </is>
      </c>
      <c r="N505" t="inlineStr">
        <is>
          <t>https://www.neoscapesmaldives.com/wp-content/uploads/Sun-Aqua-Iru-Veli-Island-Map.pdf</t>
        </is>
      </c>
      <c r="O505" t="inlineStr">
        <is>
          <t>65eab55c8cc1d0eb1d098d8185f4e5d21dab7db226cc2c47b86f720af75cc084</t>
        </is>
      </c>
      <c r="P505" t="inlineStr">
        <is>
          <t>library/118_sun-siyam-iru-veli-maldives/map/2018_Sun-Aqua-Iru-Veli-Island-Map.pdf</t>
        </is>
      </c>
      <c r="R505" t="inlineStr">
        <is>
          <t>outdated</t>
        </is>
      </c>
      <c r="S505" t="inlineStr">
        <is>
          <t>Y</t>
        </is>
      </c>
      <c r="T505" t="inlineStr">
        <is>
          <t>matched</t>
        </is>
      </c>
      <c r="U505" t="inlineStr">
        <is>
          <t>2026-10-04</t>
        </is>
      </c>
      <c r="V505" t="inlineStr"/>
    </row>
    <row r="506">
      <c r="A506" t="n">
        <v>119</v>
      </c>
      <c r="B506" t="inlineStr">
        <is>
          <t>Outrigger Maldives Maafushivaru Resort</t>
        </is>
      </c>
      <c r="C506" t="inlineStr">
        <is>
          <t>map</t>
        </is>
      </c>
      <c r="D506" t="inlineStr">
        <is>
          <t>2020_Lti-Maafushivaru-Map.pdf</t>
        </is>
      </c>
      <c r="E506" t="n">
        <v>2020</v>
      </c>
      <c r="H506" t="n">
        <v>1</v>
      </c>
      <c r="I506" t="n">
        <v>5087</v>
      </c>
      <c r="J506" t="inlineStr">
        <is>
          <t>Y</t>
        </is>
      </c>
      <c r="K506" t="inlineStr">
        <is>
          <t>neoscapesmaldives.com</t>
        </is>
      </c>
      <c r="L506" t="inlineStr">
        <is>
          <t>dmc-agency</t>
        </is>
      </c>
      <c r="M506" t="inlineStr">
        <is>
          <t>https://www.neoscapesmaldives.com/wp-content/uploads/Lti-Maafushivaru-Map.pdf</t>
        </is>
      </c>
      <c r="N506" t="inlineStr">
        <is>
          <t>https://www.neoscapesmaldives.com/wp-content/uploads/Lti-Maafushivaru-Map.pdf</t>
        </is>
      </c>
      <c r="O506" t="inlineStr">
        <is>
          <t>a6c65a296cb87ffee503484a150ca1eb4a0648a1771b0b1456027ef18e791be7</t>
        </is>
      </c>
      <c r="P506" t="inlineStr">
        <is>
          <t>library/119_outrigger-maldives-maafushivaru-resort/map/2020_Lti-Maafushivaru-Map.pdf</t>
        </is>
      </c>
      <c r="R506" t="inlineStr">
        <is>
          <t>outdated</t>
        </is>
      </c>
      <c r="S506" t="inlineStr">
        <is>
          <t>Y</t>
        </is>
      </c>
      <c r="T506" t="inlineStr">
        <is>
          <t>matched</t>
        </is>
      </c>
      <c r="U506" t="inlineStr">
        <is>
          <t>2026-10-04</t>
        </is>
      </c>
      <c r="V506" t="inlineStr"/>
    </row>
    <row r="507">
      <c r="A507" t="n">
        <v>119</v>
      </c>
      <c r="B507" t="inlineStr">
        <is>
          <t>Outrigger Maldives Maafushivaru Resort</t>
        </is>
      </c>
      <c r="C507" t="inlineStr">
        <is>
          <t>obsolete</t>
        </is>
      </c>
      <c r="D507" t="inlineStr">
        <is>
          <t>2020_LMP-1.14-COVID-19-Prevention-and-Protection-Policy_Lti-Maafushivaru-2020-1.pdf</t>
        </is>
      </c>
      <c r="E507" t="n">
        <v>2020</v>
      </c>
      <c r="H507" t="n">
        <v>2</v>
      </c>
      <c r="I507" t="n">
        <v>1355</v>
      </c>
      <c r="J507" t="inlineStr">
        <is>
          <t>N</t>
        </is>
      </c>
      <c r="K507" t="inlineStr">
        <is>
          <t>neoscapesmaldives.com</t>
        </is>
      </c>
      <c r="L507" t="inlineStr">
        <is>
          <t>dmc-agency</t>
        </is>
      </c>
      <c r="M507" t="inlineStr">
        <is>
          <t>https://www.neoscapesmaldives.com/wp-content/uploads/LMP-1.14-COVID-19-Prevention-and-Protection-Policy_Lti-Maafushivaru-2020-1.pdf</t>
        </is>
      </c>
      <c r="N507" t="inlineStr">
        <is>
          <t>https://www.neoscapesmaldives.com/wp-content/uploads/LMP-1.14-COVID-19-Prevention-and-Protection-Policy_Lti-Maafushivaru-2020-1.pdf</t>
        </is>
      </c>
      <c r="O507" t="inlineStr">
        <is>
          <t>45287f3ae0e52498ff15948b2f16ca2dcf8d50b0ff0c3dc0965ac0abcacac55b</t>
        </is>
      </c>
      <c r="P507" t="inlineStr">
        <is>
          <t>library/119_outrigger-maldives-maafushivaru-resort/obsolete/2020_LMP-1.14-COVID-19-Prevention-and-Protection-Policy_Lti-Maafushivaru-2020-1.pdf</t>
        </is>
      </c>
      <c r="R507" t="inlineStr">
        <is>
          <t>obsolete</t>
        </is>
      </c>
      <c r="S507" t="inlineStr">
        <is>
          <t>Y</t>
        </is>
      </c>
      <c r="T507" t="inlineStr">
        <is>
          <t>matched</t>
        </is>
      </c>
      <c r="U507" t="inlineStr">
        <is>
          <t>2026-10-04</t>
        </is>
      </c>
      <c r="V507" t="inlineStr"/>
    </row>
    <row r="508">
      <c r="A508" t="n">
        <v>119</v>
      </c>
      <c r="B508" t="inlineStr">
        <is>
          <t>Outrigger Maldives Maafushivaru Resort</t>
        </is>
      </c>
      <c r="C508" t="inlineStr">
        <is>
          <t>obsolete</t>
        </is>
      </c>
      <c r="D508" t="inlineStr">
        <is>
          <t>2020_COVID-19-Leaflets_English_Lti-Maafushivaru.pdf</t>
        </is>
      </c>
      <c r="E508" t="n">
        <v>2020</v>
      </c>
      <c r="H508" t="n">
        <v>2</v>
      </c>
      <c r="I508" t="n">
        <v>1022</v>
      </c>
      <c r="J508" t="inlineStr">
        <is>
          <t>Y</t>
        </is>
      </c>
      <c r="K508" t="inlineStr">
        <is>
          <t>neoscapesmaldives.com</t>
        </is>
      </c>
      <c r="L508" t="inlineStr">
        <is>
          <t>dmc-agency</t>
        </is>
      </c>
      <c r="M508" t="inlineStr">
        <is>
          <t>https://www.neoscapesmaldives.com/wp-content/uploads/COVID-19-Leaflets_English_Lti-Maafushivaru.pdf</t>
        </is>
      </c>
      <c r="N508" t="inlineStr">
        <is>
          <t>https://www.neoscapesmaldives.com/wp-content/uploads/COVID-19-Leaflets_English_Lti-Maafushivaru.pdf</t>
        </is>
      </c>
      <c r="O508" t="inlineStr">
        <is>
          <t>5e27fcff97aae47f2a4cf2bed092c65ebace196f59971e948ad915322c8a03a3</t>
        </is>
      </c>
      <c r="P508" t="inlineStr">
        <is>
          <t>library/119_outrigger-maldives-maafushivaru-resort/obsolete/2020_COVID-19-Leaflets_English_Lti-Maafushivaru.pdf</t>
        </is>
      </c>
      <c r="R508" t="inlineStr">
        <is>
          <t>obsolete</t>
        </is>
      </c>
      <c r="S508" t="inlineStr">
        <is>
          <t>N</t>
        </is>
      </c>
      <c r="T508" t="inlineStr">
        <is>
          <t>matched</t>
        </is>
      </c>
      <c r="U508" t="inlineStr">
        <is>
          <t>2026-10-04</t>
        </is>
      </c>
      <c r="V508" t="inlineStr"/>
    </row>
    <row r="509">
      <c r="A509" t="n">
        <v>120</v>
      </c>
      <c r="B509" t="inlineStr">
        <is>
          <t>Bandos Maldives</t>
        </is>
      </c>
      <c r="C509" t="inlineStr">
        <is>
          <t>factsheet</t>
        </is>
      </c>
      <c r="D509" t="inlineStr">
        <is>
          <t>2026_BM_Factsheet-2026.pdf</t>
        </is>
      </c>
      <c r="E509" t="n">
        <v>2026</v>
      </c>
      <c r="H509" t="n">
        <v>4</v>
      </c>
      <c r="I509" t="n">
        <v>12895</v>
      </c>
      <c r="J509" t="inlineStr">
        <is>
          <t>Y</t>
        </is>
      </c>
      <c r="K509" t="inlineStr">
        <is>
          <t>neoscapesmaldives.com</t>
        </is>
      </c>
      <c r="L509" t="inlineStr">
        <is>
          <t>dmc-agency</t>
        </is>
      </c>
      <c r="M509" t="inlineStr">
        <is>
          <t>https://www.neoscapesmaldives.com/wp-content/uploads/BM_Factsheet-2026.pdf</t>
        </is>
      </c>
      <c r="N509" t="inlineStr">
        <is>
          <t>https://www.neoscapesmaldives.com/wp-content/uploads/BM_Factsheet-2026.pdf</t>
        </is>
      </c>
      <c r="O509" t="inlineStr">
        <is>
          <t>44528f0319adc686f7a04604599154c8a547735e74ebdf41383ebdccc8b7e36c</t>
        </is>
      </c>
      <c r="P509" t="inlineStr">
        <is>
          <t>library/120_bandos-maldives/factsheet/2026_BM_Factsheet-2026.pdf</t>
        </is>
      </c>
      <c r="R509" t="inlineStr">
        <is>
          <t>current</t>
        </is>
      </c>
      <c r="S509" t="inlineStr">
        <is>
          <t>Y</t>
        </is>
      </c>
      <c r="T509" t="inlineStr">
        <is>
          <t>matched</t>
        </is>
      </c>
      <c r="U509" t="inlineStr">
        <is>
          <t>2026-10-04</t>
        </is>
      </c>
      <c r="V509" t="inlineStr"/>
    </row>
    <row r="510">
      <c r="A510" t="n">
        <v>120</v>
      </c>
      <c r="B510" t="inlineStr">
        <is>
          <t>Bandos Maldives</t>
        </is>
      </c>
      <c r="C510" t="inlineStr">
        <is>
          <t>map</t>
        </is>
      </c>
      <c r="D510" t="inlineStr">
        <is>
          <t>2024_BM-Resort-Map-2024.pdf</t>
        </is>
      </c>
      <c r="E510" t="n">
        <v>2024</v>
      </c>
      <c r="H510" t="n">
        <v>1</v>
      </c>
      <c r="I510" t="n">
        <v>556</v>
      </c>
      <c r="J510" t="inlineStr">
        <is>
          <t>Y</t>
        </is>
      </c>
      <c r="K510" t="inlineStr">
        <is>
          <t>neoscapesmaldives.com</t>
        </is>
      </c>
      <c r="L510" t="inlineStr">
        <is>
          <t>dmc-agency</t>
        </is>
      </c>
      <c r="M510" t="inlineStr">
        <is>
          <t>https://www.neoscapesmaldives.com/wp-content/uploads/BM-Resort-Map-2024.pdf</t>
        </is>
      </c>
      <c r="N510" t="inlineStr">
        <is>
          <t>https://www.neoscapesmaldives.com/wp-content/uploads/BM-Resort-Map-2024.pdf</t>
        </is>
      </c>
      <c r="O510" t="inlineStr">
        <is>
          <t>9694047c705c765914027aca25699a376d875cc6ab528697f0a5c37f30208a7f</t>
        </is>
      </c>
      <c r="P510" t="inlineStr">
        <is>
          <t>library/120_bandos-maldives/map/2024_BM-Resort-Map-2024.pdf</t>
        </is>
      </c>
      <c r="R510" t="inlineStr">
        <is>
          <t>outdated</t>
        </is>
      </c>
      <c r="S510" t="inlineStr">
        <is>
          <t>Y</t>
        </is>
      </c>
      <c r="T510" t="inlineStr">
        <is>
          <t>matched</t>
        </is>
      </c>
      <c r="U510" t="inlineStr">
        <is>
          <t>2026-10-04</t>
        </is>
      </c>
      <c r="V510" t="inlineStr"/>
    </row>
    <row r="511">
      <c r="A511" t="n">
        <v>121</v>
      </c>
      <c r="B511" t="inlineStr">
        <is>
          <t>Cocoa Island</t>
        </is>
      </c>
      <c r="C511" t="inlineStr">
        <is>
          <t>factsheet</t>
        </is>
      </c>
      <c r="D511" t="inlineStr">
        <is>
          <t>2019_COMO-Cocoa-Island-Fact-Sheet-2019.pdf</t>
        </is>
      </c>
      <c r="E511" t="n">
        <v>2019</v>
      </c>
      <c r="H511" t="n">
        <v>10</v>
      </c>
      <c r="I511" t="n">
        <v>5089</v>
      </c>
      <c r="J511" t="inlineStr">
        <is>
          <t>Y</t>
        </is>
      </c>
      <c r="K511" t="inlineStr">
        <is>
          <t>neoscapesmaldives.com</t>
        </is>
      </c>
      <c r="L511" t="inlineStr">
        <is>
          <t>dmc-agency</t>
        </is>
      </c>
      <c r="M511" t="inlineStr">
        <is>
          <t>https://neoscapesmaldives.com/wp-content/uploads/COMO-Cocoa-Island-Fact-Sheet-2019.pdf</t>
        </is>
      </c>
      <c r="N511" t="inlineStr">
        <is>
          <t>https://neoscapesmaldives.com/wp-content/uploads/COMO-Cocoa-Island-Fact-Sheet-2019.pdf</t>
        </is>
      </c>
      <c r="O511" t="inlineStr">
        <is>
          <t>2c67877cd86d950187c180900808a1504d7e6be3bcfcf1083c8513e72ffc3c85</t>
        </is>
      </c>
      <c r="P511" t="inlineStr">
        <is>
          <t>library/121_cocoa-island/factsheet/2019_COMO-Cocoa-Island-Fact-Sheet-2019.pdf</t>
        </is>
      </c>
      <c r="R511" t="inlineStr">
        <is>
          <t>outdated</t>
        </is>
      </c>
      <c r="S511" t="inlineStr">
        <is>
          <t>Y</t>
        </is>
      </c>
      <c r="T511" t="inlineStr">
        <is>
          <t>matched</t>
        </is>
      </c>
      <c r="U511" t="inlineStr">
        <is>
          <t>2026-10-04</t>
        </is>
      </c>
      <c r="V511" t="inlineStr"/>
    </row>
    <row r="512">
      <c r="A512" t="n">
        <v>121</v>
      </c>
      <c r="B512" t="inlineStr">
        <is>
          <t>Cocoa Island</t>
        </is>
      </c>
      <c r="C512" t="inlineStr">
        <is>
          <t>map</t>
        </is>
      </c>
      <c r="D512" t="inlineStr">
        <is>
          <t>2018_COMO-Cocoa-Island-Maldives-Resort-Map.pdf</t>
        </is>
      </c>
      <c r="E512" t="n">
        <v>2018</v>
      </c>
      <c r="H512" t="n">
        <v>1</v>
      </c>
      <c r="I512" t="n">
        <v>134</v>
      </c>
      <c r="J512" t="inlineStr">
        <is>
          <t>Y</t>
        </is>
      </c>
      <c r="K512" t="inlineStr">
        <is>
          <t>neoscapesmaldives.com</t>
        </is>
      </c>
      <c r="L512" t="inlineStr">
        <is>
          <t>dmc-agency</t>
        </is>
      </c>
      <c r="M512" t="inlineStr">
        <is>
          <t>https://neoscapesmaldives.com/wp-content/uploads/COMO-Cocoa-Island-Maldives-Resort-Map.pdf</t>
        </is>
      </c>
      <c r="N512" t="inlineStr">
        <is>
          <t>https://neoscapesmaldives.com/wp-content/uploads/COMO-Cocoa-Island-Maldives-Resort-Map.pdf</t>
        </is>
      </c>
      <c r="O512" t="inlineStr">
        <is>
          <t>99b6041af5882f81d4fd45687a989a511b8f0db01178d5f5095210e12dff70ec</t>
        </is>
      </c>
      <c r="P512" t="inlineStr">
        <is>
          <t>library/121_cocoa-island/map/2018_COMO-Cocoa-Island-Maldives-Resort-Map.pdf</t>
        </is>
      </c>
      <c r="R512" t="inlineStr">
        <is>
          <t>outdated</t>
        </is>
      </c>
      <c r="S512" t="inlineStr">
        <is>
          <t>Y</t>
        </is>
      </c>
      <c r="T512" t="inlineStr">
        <is>
          <t>matched</t>
        </is>
      </c>
      <c r="U512" t="inlineStr">
        <is>
          <t>2026-10-04</t>
        </is>
      </c>
      <c r="V512" t="inlineStr"/>
    </row>
    <row r="513">
      <c r="A513" t="n">
        <v>126</v>
      </c>
      <c r="B513" t="inlineStr">
        <is>
          <t>Centara Grand Island Resort &amp; Spa Maldives</t>
        </is>
      </c>
      <c r="C513" t="inlineStr">
        <is>
          <t>factsheet</t>
        </is>
      </c>
      <c r="D513" t="inlineStr">
        <is>
          <t>2019_cirm-factsheet-en.pdf</t>
        </is>
      </c>
      <c r="E513" t="n">
        <v>2019</v>
      </c>
      <c r="H513" t="n">
        <v>6</v>
      </c>
      <c r="I513" t="n">
        <v>453</v>
      </c>
      <c r="J513" t="inlineStr">
        <is>
          <t>Y</t>
        </is>
      </c>
      <c r="K513" t="inlineStr">
        <is>
          <t>neoscapesmaldives.com</t>
        </is>
      </c>
      <c r="L513" t="inlineStr">
        <is>
          <t>dmc-agency</t>
        </is>
      </c>
      <c r="M513" t="inlineStr">
        <is>
          <t>https://neoscapesmaldives.com/wp-content/uploads/cirm-factsheet-en.pdf</t>
        </is>
      </c>
      <c r="N513" t="inlineStr">
        <is>
          <t>https://neoscapesmaldives.com/wp-content/uploads/cirm-factsheet-en.pdf</t>
        </is>
      </c>
      <c r="O513" t="inlineStr">
        <is>
          <t>1bc9b29d36afb15b1778e4997a3542482207825306dbb720f87c7628382b9680</t>
        </is>
      </c>
      <c r="P513" t="inlineStr">
        <is>
          <t>library/126_centara-grand-island-resort-spa-maldives/factsheet/2019_cirm-factsheet-en.pdf</t>
        </is>
      </c>
      <c r="R513" t="inlineStr">
        <is>
          <t>outdated</t>
        </is>
      </c>
      <c r="S513" t="inlineStr">
        <is>
          <t>Y</t>
        </is>
      </c>
      <c r="T513" t="inlineStr">
        <is>
          <t>matched</t>
        </is>
      </c>
      <c r="U513" t="inlineStr">
        <is>
          <t>2026-10-04</t>
        </is>
      </c>
      <c r="V513" t="inlineStr"/>
    </row>
    <row r="514">
      <c r="A514" t="n">
        <v>128</v>
      </c>
      <c r="B514" t="inlineStr">
        <is>
          <t>One &amp; Only Reethi Rah, Maldives</t>
        </is>
      </c>
      <c r="C514" t="inlineStr">
        <is>
          <t>factsheet</t>
        </is>
      </c>
      <c r="D514" t="inlineStr">
        <is>
          <t>2019_Factsheet-OneOnly-Reethi-Rah.pdf</t>
        </is>
      </c>
      <c r="E514" t="n">
        <v>2019</v>
      </c>
      <c r="H514" t="n">
        <v>3</v>
      </c>
      <c r="I514" t="n">
        <v>6952</v>
      </c>
      <c r="J514" t="inlineStr">
        <is>
          <t>Y</t>
        </is>
      </c>
      <c r="K514" t="inlineStr">
        <is>
          <t>neoscapesmaldives.com</t>
        </is>
      </c>
      <c r="L514" t="inlineStr">
        <is>
          <t>dmc-agency</t>
        </is>
      </c>
      <c r="M514" t="inlineStr">
        <is>
          <t>https://www.neoscapesmaldives.com/wp-content/uploads/Factsheet-OneOnly-Reethi-Rah.pdf</t>
        </is>
      </c>
      <c r="N514" t="inlineStr">
        <is>
          <t>https://www.neoscapesmaldives.com/wp-content/uploads/Factsheet-OneOnly-Reethi-Rah.pdf</t>
        </is>
      </c>
      <c r="O514" t="inlineStr">
        <is>
          <t>0b4afb6fc36ed9fd21cca022a79dc8c59dce466dd2e9cd1de5da34bc1cf77786</t>
        </is>
      </c>
      <c r="P514" t="inlineStr">
        <is>
          <t>library/128_one-only-reethi-rah-maldives/factsheet/2019_Factsheet-OneOnly-Reethi-Rah.pdf</t>
        </is>
      </c>
      <c r="R514" t="inlineStr">
        <is>
          <t>outdated</t>
        </is>
      </c>
      <c r="S514" t="inlineStr">
        <is>
          <t>Y</t>
        </is>
      </c>
      <c r="T514" t="inlineStr">
        <is>
          <t>matched</t>
        </is>
      </c>
      <c r="U514" t="inlineStr">
        <is>
          <t>2026-10-04</t>
        </is>
      </c>
      <c r="V514" t="inlineStr"/>
    </row>
    <row r="515">
      <c r="A515" t="n">
        <v>128</v>
      </c>
      <c r="B515" t="inlineStr">
        <is>
          <t>One &amp; Only Reethi Rah, Maldives</t>
        </is>
      </c>
      <c r="C515" t="inlineStr">
        <is>
          <t>map</t>
        </is>
      </c>
      <c r="D515" t="inlineStr">
        <is>
          <t>2017_Map-OneOnly-Resort.pdf</t>
        </is>
      </c>
      <c r="E515" t="n">
        <v>2017</v>
      </c>
      <c r="H515" t="n">
        <v>1</v>
      </c>
      <c r="I515" t="n">
        <v>2626</v>
      </c>
      <c r="J515" t="inlineStr">
        <is>
          <t>Y</t>
        </is>
      </c>
      <c r="K515" t="inlineStr">
        <is>
          <t>neoscapesmaldives.com</t>
        </is>
      </c>
      <c r="L515" t="inlineStr">
        <is>
          <t>dmc-agency</t>
        </is>
      </c>
      <c r="M515" t="inlineStr">
        <is>
          <t>https://www.neoscapesmaldives.com/wp-content/uploads/Map-OneOnly-Resort.pdf</t>
        </is>
      </c>
      <c r="N515" t="inlineStr">
        <is>
          <t>https://www.neoscapesmaldives.com/wp-content/uploads/Map-OneOnly-Resort.pdf</t>
        </is>
      </c>
      <c r="O515" t="inlineStr">
        <is>
          <t>e5db7b3cbc5d0384e5c2067ca75e7fcefd6406e63aa8e29368221273cdbfbf41</t>
        </is>
      </c>
      <c r="P515" t="inlineStr">
        <is>
          <t>library/128_one-only-reethi-rah-maldives/map/2017_Map-OneOnly-Resort.pdf</t>
        </is>
      </c>
      <c r="R515" t="inlineStr">
        <is>
          <t>outdated</t>
        </is>
      </c>
      <c r="S515" t="inlineStr">
        <is>
          <t>Y</t>
        </is>
      </c>
      <c r="T515" t="inlineStr">
        <is>
          <t>needs-review</t>
        </is>
      </c>
      <c r="U515" t="inlineStr">
        <is>
          <t>2026-10-04</t>
        </is>
      </c>
      <c r="V515" t="inlineStr">
        <is>
          <t>ambiguous match [128]</t>
        </is>
      </c>
    </row>
    <row r="516">
      <c r="A516" t="n">
        <v>132</v>
      </c>
      <c r="B516" t="inlineStr">
        <is>
          <t>Noku Maldives</t>
        </is>
      </c>
      <c r="C516" t="inlineStr">
        <is>
          <t>factsheet</t>
        </is>
      </c>
      <c r="D516" t="inlineStr">
        <is>
          <t>2021_NM-Factsheet-July2021.pdf</t>
        </is>
      </c>
      <c r="E516" t="n">
        <v>2021</v>
      </c>
      <c r="H516" t="n">
        <v>4</v>
      </c>
      <c r="I516" t="n">
        <v>538</v>
      </c>
      <c r="J516" t="inlineStr">
        <is>
          <t>Y</t>
        </is>
      </c>
      <c r="K516" t="inlineStr">
        <is>
          <t>neoscapesmaldives.com</t>
        </is>
      </c>
      <c r="L516" t="inlineStr">
        <is>
          <t>dmc-agency</t>
        </is>
      </c>
      <c r="M516" t="inlineStr">
        <is>
          <t>https://www.neoscapesmaldives.com/wp-content/uploads/NM-Factsheet-July2021.pdf</t>
        </is>
      </c>
      <c r="N516" t="inlineStr">
        <is>
          <t>https://www.neoscapesmaldives.com/wp-content/uploads/NM-Factsheet-July2021.pdf</t>
        </is>
      </c>
      <c r="O516" t="inlineStr">
        <is>
          <t>250d4b6b10e846ecc11acfcb072ac3c0ede60c76ed492e35b4404e3312e6bbad</t>
        </is>
      </c>
      <c r="P516" t="inlineStr">
        <is>
          <t>library/132_noku-maldives/factsheet/2021_NM-Factsheet-July2021.pdf</t>
        </is>
      </c>
      <c r="R516" t="inlineStr">
        <is>
          <t>outdated</t>
        </is>
      </c>
      <c r="S516" t="inlineStr">
        <is>
          <t>Y</t>
        </is>
      </c>
      <c r="T516" t="inlineStr">
        <is>
          <t>matched</t>
        </is>
      </c>
      <c r="U516" t="inlineStr">
        <is>
          <t>2026-10-04</t>
        </is>
      </c>
      <c r="V516" t="inlineStr"/>
    </row>
    <row r="517">
      <c r="A517" t="n">
        <v>132</v>
      </c>
      <c r="B517" t="inlineStr">
        <is>
          <t>Noku Maldives</t>
        </is>
      </c>
      <c r="C517" t="inlineStr">
        <is>
          <t>map</t>
        </is>
      </c>
      <c r="D517" t="inlineStr">
        <is>
          <t>2020_Resort-Map-Noku-Maldives.pdf</t>
        </is>
      </c>
      <c r="E517" t="n">
        <v>2020</v>
      </c>
      <c r="H517" t="n">
        <v>1</v>
      </c>
      <c r="I517" t="n">
        <v>348</v>
      </c>
      <c r="J517" t="inlineStr">
        <is>
          <t>Y</t>
        </is>
      </c>
      <c r="K517" t="inlineStr">
        <is>
          <t>neoscapesmaldives.com</t>
        </is>
      </c>
      <c r="L517" t="inlineStr">
        <is>
          <t>dmc-agency</t>
        </is>
      </c>
      <c r="M517" t="inlineStr">
        <is>
          <t>https://www.neoscapesmaldives.com/wp-content/uploads/Resort-Map-Noku-Maldives.pdf</t>
        </is>
      </c>
      <c r="N517" t="inlineStr">
        <is>
          <t>https://www.neoscapesmaldives.com/wp-content/uploads/Resort-Map-Noku-Maldives.pdf</t>
        </is>
      </c>
      <c r="O517" t="inlineStr">
        <is>
          <t>5f11bfff7c843d202dff42469fd15e323e32a6ff5e5f26e587e6d575c885b019</t>
        </is>
      </c>
      <c r="P517" t="inlineStr">
        <is>
          <t>library/132_noku-maldives/map/2020_Resort-Map-Noku-Maldives.pdf</t>
        </is>
      </c>
      <c r="R517" t="inlineStr">
        <is>
          <t>outdated</t>
        </is>
      </c>
      <c r="S517" t="inlineStr">
        <is>
          <t>Y</t>
        </is>
      </c>
      <c r="T517" t="inlineStr">
        <is>
          <t>matched</t>
        </is>
      </c>
      <c r="U517" t="inlineStr">
        <is>
          <t>2026-10-04</t>
        </is>
      </c>
      <c r="V517" t="inlineStr"/>
    </row>
    <row r="518">
      <c r="A518" t="n">
        <v>133</v>
      </c>
      <c r="B518" t="inlineStr">
        <is>
          <t>Oblu By Atmosphere at Helengeli</t>
        </is>
      </c>
      <c r="C518" t="inlineStr">
        <is>
          <t>map</t>
        </is>
      </c>
      <c r="D518" t="inlineStr">
        <is>
          <t>2026_OBLU-Nature-Helengeli-by-Sentido-Island-Map-JULY-2026.pdf</t>
        </is>
      </c>
      <c r="E518" t="n">
        <v>2026</v>
      </c>
      <c r="H518" t="n">
        <v>1</v>
      </c>
      <c r="I518" t="n">
        <v>4799</v>
      </c>
      <c r="J518" t="inlineStr">
        <is>
          <t>Y</t>
        </is>
      </c>
      <c r="K518" t="inlineStr">
        <is>
          <t>neoscapesmaldives.com</t>
        </is>
      </c>
      <c r="L518" t="inlineStr">
        <is>
          <t>dmc-agency</t>
        </is>
      </c>
      <c r="M518" t="inlineStr">
        <is>
          <t>https://www.neoscapesmaldives.com/wp-content/uploads/OBLU-Nature-Helengeli-by-Sentido-Island-Map-JULY-2026.pdf</t>
        </is>
      </c>
      <c r="N518" t="inlineStr">
        <is>
          <t>https://www.neoscapesmaldives.com/wp-content/uploads/OBLU-Nature-Helengeli-by-Sentido-Island-Map-JULY-2026.pdf</t>
        </is>
      </c>
      <c r="O518" t="inlineStr">
        <is>
          <t>d0dde46a268dc2c6697dc95d309aec594b69dc84458e5372628d33222e1b7b02</t>
        </is>
      </c>
      <c r="P518" t="inlineStr">
        <is>
          <t>library/133_oblu-by-atmosphere-at-helengeli/map/2026_OBLU-Nature-Helengeli-by-Sentido-Island-Map-JULY-2026.pdf</t>
        </is>
      </c>
      <c r="R518" t="inlineStr">
        <is>
          <t>current</t>
        </is>
      </c>
      <c r="S518" t="inlineStr">
        <is>
          <t>Y</t>
        </is>
      </c>
      <c r="T518" t="inlineStr">
        <is>
          <t>matched</t>
        </is>
      </c>
      <c r="U518" t="inlineStr">
        <is>
          <t>2026-10-04</t>
        </is>
      </c>
      <c r="V518" t="inlineStr"/>
    </row>
    <row r="519">
      <c r="A519" t="n">
        <v>133</v>
      </c>
      <c r="B519" t="inlineStr">
        <is>
          <t>Oblu By Atmosphere at Helengeli</t>
        </is>
      </c>
      <c r="C519" t="inlineStr">
        <is>
          <t>brochure</t>
        </is>
      </c>
      <c r="D519" t="inlineStr">
        <is>
          <t>2026_OBLU-NATURE-Helengeli-by-SENTIDO-BROCHURE-JULY-2026-WEB.pdf</t>
        </is>
      </c>
      <c r="E519" t="n">
        <v>2026</v>
      </c>
      <c r="H519" t="n">
        <v>12</v>
      </c>
      <c r="I519" t="n">
        <v>6158</v>
      </c>
      <c r="J519" t="inlineStr">
        <is>
          <t>Y</t>
        </is>
      </c>
      <c r="K519" t="inlineStr">
        <is>
          <t>neoscapesmaldives.com</t>
        </is>
      </c>
      <c r="L519" t="inlineStr">
        <is>
          <t>dmc-agency</t>
        </is>
      </c>
      <c r="M519" t="inlineStr">
        <is>
          <t>https://www.neoscapesmaldives.com/wp-content/uploads/OBLU-NATURE-Helengeli-by-SENTIDO-BROCHURE-JULY-2026-WEB.pdf</t>
        </is>
      </c>
      <c r="N519" t="inlineStr">
        <is>
          <t>https://www.neoscapesmaldives.com/wp-content/uploads/OBLU-NATURE-Helengeli-by-SENTIDO-BROCHURE-JULY-2026-WEB.pdf</t>
        </is>
      </c>
      <c r="O519" t="inlineStr">
        <is>
          <t>5d5d1262bbccbf04cb263f8b854a4c32f486678aa7c04b8a8787380970810226</t>
        </is>
      </c>
      <c r="P519" t="inlineStr">
        <is>
          <t>library/133_oblu-by-atmosphere-at-helengeli/brochure/2026_OBLU-NATURE-Helengeli-by-SENTIDO-BROCHURE-JULY-2026-WEB.pdf</t>
        </is>
      </c>
      <c r="R519" t="inlineStr">
        <is>
          <t>current</t>
        </is>
      </c>
      <c r="S519" t="inlineStr">
        <is>
          <t>Y</t>
        </is>
      </c>
      <c r="T519" t="inlineStr">
        <is>
          <t>matched</t>
        </is>
      </c>
      <c r="U519" t="inlineStr">
        <is>
          <t>2026-10-04</t>
        </is>
      </c>
      <c r="V519" t="inlineStr"/>
    </row>
    <row r="520">
      <c r="A520" t="n">
        <v>134</v>
      </c>
      <c r="B520" t="inlineStr">
        <is>
          <t>The St. Regis Vommuli Resort, Maldives</t>
        </is>
      </c>
      <c r="C520" t="inlineStr">
        <is>
          <t>factsheet</t>
        </is>
      </c>
      <c r="D520" t="inlineStr">
        <is>
          <t>2021_The-St.-Regis-Maldives-Fact-Sheet.pdf</t>
        </is>
      </c>
      <c r="E520" t="n">
        <v>2021</v>
      </c>
      <c r="H520" t="n">
        <v>3</v>
      </c>
      <c r="I520" t="n">
        <v>2307</v>
      </c>
      <c r="J520" t="inlineStr">
        <is>
          <t>Y</t>
        </is>
      </c>
      <c r="K520" t="inlineStr">
        <is>
          <t>neoscapesmaldives.com</t>
        </is>
      </c>
      <c r="L520" t="inlineStr">
        <is>
          <t>dmc-agency</t>
        </is>
      </c>
      <c r="M520" t="inlineStr">
        <is>
          <t>https://www.neoscapesmaldives.com/wp-content/uploads/The-St.-Regis-Maldives-Fact-Sheet.pdf</t>
        </is>
      </c>
      <c r="N520" t="inlineStr">
        <is>
          <t>https://www.neoscapesmaldives.com/wp-content/uploads/The-St.-Regis-Maldives-Fact-Sheet.pdf</t>
        </is>
      </c>
      <c r="O520" t="inlineStr">
        <is>
          <t>0b20681c3a4d77351fabd77b99562b0bcdd6a9498564e313bdc20b98a607f024</t>
        </is>
      </c>
      <c r="P520" t="inlineStr">
        <is>
          <t>library/134_the-st-regis-vommuli-resort-maldives/factsheet/2021_The-St.-Regis-Maldives-Fact-Sheet.pdf</t>
        </is>
      </c>
      <c r="R520" t="inlineStr">
        <is>
          <t>outdated</t>
        </is>
      </c>
      <c r="S520" t="inlineStr">
        <is>
          <t>Y</t>
        </is>
      </c>
      <c r="T520" t="inlineStr">
        <is>
          <t>matched</t>
        </is>
      </c>
      <c r="U520" t="inlineStr">
        <is>
          <t>2026-10-04</t>
        </is>
      </c>
      <c r="V520" t="inlineStr"/>
    </row>
    <row r="521">
      <c r="A521" t="n">
        <v>135</v>
      </c>
      <c r="B521" t="inlineStr">
        <is>
          <t>Diamonds Thudufushi Beach and Water Villas</t>
        </is>
      </c>
      <c r="C521" t="inlineStr">
        <is>
          <t>factsheet</t>
        </is>
      </c>
      <c r="D521" t="inlineStr">
        <is>
          <t>2019_Diamonds-Thudufushi-Fact-Sheet-2019.pdf</t>
        </is>
      </c>
      <c r="E521" t="n">
        <v>2019</v>
      </c>
      <c r="H521" t="n">
        <v>5</v>
      </c>
      <c r="I521" t="n">
        <v>1098</v>
      </c>
      <c r="J521" t="inlineStr">
        <is>
          <t>Y</t>
        </is>
      </c>
      <c r="K521" t="inlineStr">
        <is>
          <t>neoscapesmaldives.com</t>
        </is>
      </c>
      <c r="L521" t="inlineStr">
        <is>
          <t>dmc-agency</t>
        </is>
      </c>
      <c r="M521" t="inlineStr">
        <is>
          <t>https://neoscapesmaldives.com/wp-content/uploads/Diamonds-Thudufushi-Fact-Sheet-2019.pdf</t>
        </is>
      </c>
      <c r="N521" t="inlineStr">
        <is>
          <t>https://neoscapesmaldives.com/wp-content/uploads/Diamonds-Thudufushi-Fact-Sheet-2019.pdf</t>
        </is>
      </c>
      <c r="O521" t="inlineStr">
        <is>
          <t>76c73332e09ac95d16e212235433411252de54c87528923371e4265a16493a53</t>
        </is>
      </c>
      <c r="P521" t="inlineStr">
        <is>
          <t>library/135_diamonds-thudufushi-beach-and-water-villas/factsheet/2019_Diamonds-Thudufushi-Fact-Sheet-2019.pdf</t>
        </is>
      </c>
      <c r="R521" t="inlineStr">
        <is>
          <t>outdated</t>
        </is>
      </c>
      <c r="S521" t="inlineStr">
        <is>
          <t>Y</t>
        </is>
      </c>
      <c r="T521" t="inlineStr">
        <is>
          <t>matched</t>
        </is>
      </c>
      <c r="U521" t="inlineStr">
        <is>
          <t>2026-10-04</t>
        </is>
      </c>
      <c r="V521" t="inlineStr"/>
    </row>
    <row r="522">
      <c r="A522" t="n">
        <v>135</v>
      </c>
      <c r="B522" t="inlineStr">
        <is>
          <t>Diamonds Thudufushi Beach and Water Villas</t>
        </is>
      </c>
      <c r="C522" t="inlineStr">
        <is>
          <t>map</t>
        </is>
      </c>
      <c r="D522" t="inlineStr">
        <is>
          <t>2020_Diamonds-Thudufushi-Map.pdf</t>
        </is>
      </c>
      <c r="E522" t="n">
        <v>2020</v>
      </c>
      <c r="H522" t="n">
        <v>1</v>
      </c>
      <c r="I522" t="n">
        <v>127</v>
      </c>
      <c r="J522" t="inlineStr">
        <is>
          <t>N</t>
        </is>
      </c>
      <c r="K522" t="inlineStr">
        <is>
          <t>neoscapesmaldives.com</t>
        </is>
      </c>
      <c r="L522" t="inlineStr">
        <is>
          <t>dmc-agency</t>
        </is>
      </c>
      <c r="M522" t="inlineStr">
        <is>
          <t>https://www.neoscapesmaldives.com/wp-content/uploads/Diamonds-Thudufushi-Map.pdf</t>
        </is>
      </c>
      <c r="N522" t="inlineStr">
        <is>
          <t>https://www.neoscapesmaldives.com/wp-content/uploads/Diamonds-Thudufushi-Map.pdf</t>
        </is>
      </c>
      <c r="O522" t="inlineStr">
        <is>
          <t>1886f544b9256a8bc8a9a42b26c3c86cc8256168cd3e20a6da1e278dcb87c57f</t>
        </is>
      </c>
      <c r="P522" t="inlineStr">
        <is>
          <t>library/135_diamonds-thudufushi-beach-and-water-villas/map/2020_Diamonds-Thudufushi-Map.pdf</t>
        </is>
      </c>
      <c r="R522" t="inlineStr">
        <is>
          <t>outdated</t>
        </is>
      </c>
      <c r="S522" t="inlineStr">
        <is>
          <t>Y</t>
        </is>
      </c>
      <c r="T522" t="inlineStr">
        <is>
          <t>matched</t>
        </is>
      </c>
      <c r="U522" t="inlineStr">
        <is>
          <t>2026-10-04</t>
        </is>
      </c>
      <c r="V522" t="inlineStr"/>
    </row>
    <row r="523">
      <c r="A523" t="n">
        <v>135</v>
      </c>
      <c r="B523" t="inlineStr">
        <is>
          <t>Diamonds Thudufushi Beach and Water Villas</t>
        </is>
      </c>
      <c r="C523" t="inlineStr">
        <is>
          <t>dining_menu</t>
        </is>
      </c>
      <c r="D523" t="inlineStr">
        <is>
          <t>2018_Diamonds-Resorts_Gentleman-Italia-Top-Hotels-Resorts_Nov-2018.pdf</t>
        </is>
      </c>
      <c r="E523" t="n">
        <v>2018</v>
      </c>
      <c r="H523" t="n">
        <v>3</v>
      </c>
      <c r="I523" t="n">
        <v>2305</v>
      </c>
      <c r="J523" t="inlineStr">
        <is>
          <t>Y</t>
        </is>
      </c>
      <c r="K523" t="inlineStr">
        <is>
          <t>planhotel.com</t>
        </is>
      </c>
      <c r="L523" t="inlineStr">
        <is>
          <t>official</t>
        </is>
      </c>
      <c r="M523" t="inlineStr">
        <is>
          <t>https://d1vp8nomjxwyf1.cloudfront.net/wp-content/uploads/sites/212/2017/07/21144133/Diamonds-Resorts_Gentleman-Italia-Top-Hotels-Resorts_Nov-2018.pdf</t>
        </is>
      </c>
      <c r="N523" t="inlineStr">
        <is>
          <t>https://d1vp8nomjxwyf1.cloudfront.net/wp-content/uploads/sites/212/2017/07/21144133/Diamonds-Resorts_Gentleman-Italia-Top-Hotels-Resorts_Nov-2018.pdf</t>
        </is>
      </c>
      <c r="O523" t="inlineStr">
        <is>
          <t>21b461beaa59c6df414dbb9bf811433df08382d394c864dfcedf011e0bd3ca71</t>
        </is>
      </c>
      <c r="P523" t="inlineStr">
        <is>
          <t>library/135_diamonds-thudufushi-beach-and-water-villas/dining_menu/2018_Diamonds-Resorts_Gentleman-Italia-Top-Hotels-Resorts_Nov-2018.pdf</t>
        </is>
      </c>
      <c r="R523" t="inlineStr">
        <is>
          <t>outdated</t>
        </is>
      </c>
      <c r="S523" t="inlineStr">
        <is>
          <t>N</t>
        </is>
      </c>
      <c r="T523" t="inlineStr">
        <is>
          <t>needs-review</t>
        </is>
      </c>
      <c r="U523" t="inlineStr">
        <is>
          <t>2026-10-04</t>
        </is>
      </c>
      <c r="V523" t="inlineStr">
        <is>
          <t>ambiguous match [135, 178]</t>
        </is>
      </c>
    </row>
    <row r="524">
      <c r="A524" t="n">
        <v>178</v>
      </c>
      <c r="B524" t="inlineStr">
        <is>
          <t>Diamonds Athuruga Beach &amp; Water Villas</t>
        </is>
      </c>
      <c r="C524" t="inlineStr">
        <is>
          <t>dining_menu</t>
        </is>
      </c>
      <c r="D524" t="inlineStr">
        <is>
          <t>2018_Diamonds-Resorts_Gentleman-Italia-Top-Hotels-Resorts_Nov-2018.pdf</t>
        </is>
      </c>
      <c r="E524" t="n">
        <v>2018</v>
      </c>
      <c r="H524" t="n">
        <v>3</v>
      </c>
      <c r="I524" t="n">
        <v>2305</v>
      </c>
      <c r="J524" t="inlineStr">
        <is>
          <t>Y</t>
        </is>
      </c>
      <c r="K524" t="inlineStr">
        <is>
          <t>planhotel.com</t>
        </is>
      </c>
      <c r="L524" t="inlineStr">
        <is>
          <t>official</t>
        </is>
      </c>
      <c r="M524" t="inlineStr">
        <is>
          <t>https://d1vp8nomjxwyf1.cloudfront.net/wp-content/uploads/sites/212/2017/07/21144133/Diamonds-Resorts_Gentleman-Italia-Top-Hotels-Resorts_Nov-2018.pdf</t>
        </is>
      </c>
      <c r="N524" t="inlineStr">
        <is>
          <t>https://d1vp8nomjxwyf1.cloudfront.net/wp-content/uploads/sites/212/2017/07/21144133/Diamonds-Resorts_Gentleman-Italia-Top-Hotels-Resorts_Nov-2018.pdf</t>
        </is>
      </c>
      <c r="O524" t="inlineStr">
        <is>
          <t>21b461beaa59c6df414dbb9bf811433df08382d394c864dfcedf011e0bd3ca71</t>
        </is>
      </c>
      <c r="P524" t="inlineStr">
        <is>
          <t>library/135_diamonds-thudufushi-beach-and-water-villas/dining_menu/2018_Diamonds-Resorts_Gentleman-Italia-Top-Hotels-Resorts_Nov-2018.pdf</t>
        </is>
      </c>
      <c r="R524" t="inlineStr">
        <is>
          <t>outdated</t>
        </is>
      </c>
      <c r="S524" t="inlineStr">
        <is>
          <t>N</t>
        </is>
      </c>
      <c r="T524" t="inlineStr">
        <is>
          <t>needs-review</t>
        </is>
      </c>
      <c r="U524" t="inlineStr">
        <is>
          <t>2026-10-04</t>
        </is>
      </c>
      <c r="V524" t="inlineStr">
        <is>
          <t>ambiguous match [135, 178]</t>
        </is>
      </c>
    </row>
    <row r="525">
      <c r="A525" t="n">
        <v>135</v>
      </c>
      <c r="B525" t="inlineStr">
        <is>
          <t>Diamonds Thudufushi Beach and Water Villas</t>
        </is>
      </c>
      <c r="C525" t="inlineStr">
        <is>
          <t>dive_prices</t>
        </is>
      </c>
      <c r="D525" t="inlineStr">
        <is>
          <t>2019_WALLSTREETITALIA_DIAMONDSRESORTS.pdf</t>
        </is>
      </c>
      <c r="E525" t="n">
        <v>2019</v>
      </c>
      <c r="H525" t="n">
        <v>3</v>
      </c>
      <c r="I525" t="n">
        <v>4248</v>
      </c>
      <c r="J525" t="inlineStr">
        <is>
          <t>Y</t>
        </is>
      </c>
      <c r="K525" t="inlineStr">
        <is>
          <t>planhotel.com</t>
        </is>
      </c>
      <c r="L525" t="inlineStr">
        <is>
          <t>official</t>
        </is>
      </c>
      <c r="M525" t="inlineStr">
        <is>
          <t>https://d1vp8nomjxwyf1.cloudfront.net/wp-content/uploads/sites/110/2017/03/17111448/WALLSTREETITALIA_DIAMONDSRESORTS.pdf</t>
        </is>
      </c>
      <c r="N525" t="inlineStr">
        <is>
          <t>https://d1vp8nomjxwyf1.cloudfront.net/wp-content/uploads/sites/110/2017/03/17111448/WALLSTREETITALIA_DIAMONDSRESORTS.pdf</t>
        </is>
      </c>
      <c r="O525" t="inlineStr">
        <is>
          <t>3361e2575fd3f83484eacf50a985b2439a693042b8a30f6d470f0ac15182bbbb</t>
        </is>
      </c>
      <c r="P525" t="inlineStr">
        <is>
          <t>library/135_diamonds-thudufushi-beach-and-water-villas/dive_prices/2019_WALLSTREETITALIA_DIAMONDSRESORTS.pdf</t>
        </is>
      </c>
      <c r="R525" t="inlineStr">
        <is>
          <t>outdated</t>
        </is>
      </c>
      <c r="S525" t="inlineStr">
        <is>
          <t>Y</t>
        </is>
      </c>
      <c r="T525" t="inlineStr">
        <is>
          <t>matched</t>
        </is>
      </c>
      <c r="U525" t="inlineStr">
        <is>
          <t>2026-10-04</t>
        </is>
      </c>
      <c r="V525" t="inlineStr"/>
    </row>
    <row r="526">
      <c r="A526" t="n">
        <v>135</v>
      </c>
      <c r="B526" t="inlineStr">
        <is>
          <t>Diamonds Thudufushi Beach and Water Villas</t>
        </is>
      </c>
      <c r="C526" t="inlineStr">
        <is>
          <t>dive_prices</t>
        </is>
      </c>
      <c r="D526" t="inlineStr">
        <is>
          <t>2017_Society-Magazine-2017-Diamonds-Resorts-5-2.pdf</t>
        </is>
      </c>
      <c r="E526" t="n">
        <v>2017</v>
      </c>
      <c r="H526" t="n">
        <v>4</v>
      </c>
      <c r="I526" t="n">
        <v>1116</v>
      </c>
      <c r="J526" t="inlineStr">
        <is>
          <t>Y</t>
        </is>
      </c>
      <c r="K526" t="inlineStr">
        <is>
          <t>planhotel.com</t>
        </is>
      </c>
      <c r="L526" t="inlineStr">
        <is>
          <t>official</t>
        </is>
      </c>
      <c r="M526" t="inlineStr">
        <is>
          <t>https://d1vp8nomjxwyf1.cloudfront.net/wp-content/uploads/sites/110/2017/03/13084012/Society-Magazine-2017-Diamonds-Resorts-5-2.pdf</t>
        </is>
      </c>
      <c r="N526" t="inlineStr">
        <is>
          <t>https://d1vp8nomjxwyf1.cloudfront.net/wp-content/uploads/sites/110/2017/03/13084012/Society-Magazine-2017-Diamonds-Resorts-5-2.pdf</t>
        </is>
      </c>
      <c r="O526" t="inlineStr">
        <is>
          <t>d1bffc8ebc1311d14b4f08bd9e2e022e4f4bb6733b262117f8146da9969a04e3</t>
        </is>
      </c>
      <c r="P526" t="inlineStr">
        <is>
          <t>library/135_diamonds-thudufushi-beach-and-water-villas/dive_prices/2017_Society-Magazine-2017-Diamonds-Resorts-5-2.pdf</t>
        </is>
      </c>
      <c r="R526" t="inlineStr">
        <is>
          <t>outdated</t>
        </is>
      </c>
      <c r="S526" t="inlineStr">
        <is>
          <t>Y</t>
        </is>
      </c>
      <c r="T526" t="inlineStr">
        <is>
          <t>needs-review</t>
        </is>
      </c>
      <c r="U526" t="inlineStr">
        <is>
          <t>2026-10-04</t>
        </is>
      </c>
      <c r="V526" t="inlineStr">
        <is>
          <t>ambiguous match [135, 178]</t>
        </is>
      </c>
    </row>
    <row r="527">
      <c r="A527" t="n">
        <v>178</v>
      </c>
      <c r="B527" t="inlineStr">
        <is>
          <t>Diamonds Athuruga Beach &amp; Water Villas</t>
        </is>
      </c>
      <c r="C527" t="inlineStr">
        <is>
          <t>dive_prices</t>
        </is>
      </c>
      <c r="D527" t="inlineStr">
        <is>
          <t>2017_Society-Magazine-2017-Diamonds-Resorts-5-2.pdf</t>
        </is>
      </c>
      <c r="E527" t="n">
        <v>2017</v>
      </c>
      <c r="H527" t="n">
        <v>4</v>
      </c>
      <c r="I527" t="n">
        <v>1116</v>
      </c>
      <c r="J527" t="inlineStr">
        <is>
          <t>Y</t>
        </is>
      </c>
      <c r="K527" t="inlineStr">
        <is>
          <t>planhotel.com</t>
        </is>
      </c>
      <c r="L527" t="inlineStr">
        <is>
          <t>official</t>
        </is>
      </c>
      <c r="M527" t="inlineStr">
        <is>
          <t>https://d1vp8nomjxwyf1.cloudfront.net/wp-content/uploads/sites/110/2017/03/13084012/Society-Magazine-2017-Diamonds-Resorts-5-2.pdf</t>
        </is>
      </c>
      <c r="N527" t="inlineStr">
        <is>
          <t>https://d1vp8nomjxwyf1.cloudfront.net/wp-content/uploads/sites/110/2017/03/13084012/Society-Magazine-2017-Diamonds-Resorts-5-2.pdf</t>
        </is>
      </c>
      <c r="O527" t="inlineStr">
        <is>
          <t>d1bffc8ebc1311d14b4f08bd9e2e022e4f4bb6733b262117f8146da9969a04e3</t>
        </is>
      </c>
      <c r="P527" t="inlineStr">
        <is>
          <t>library/135_diamonds-thudufushi-beach-and-water-villas/dive_prices/2017_Society-Magazine-2017-Diamonds-Resorts-5-2.pdf</t>
        </is>
      </c>
      <c r="R527" t="inlineStr">
        <is>
          <t>outdated</t>
        </is>
      </c>
      <c r="S527" t="inlineStr">
        <is>
          <t>Y</t>
        </is>
      </c>
      <c r="T527" t="inlineStr">
        <is>
          <t>needs-review</t>
        </is>
      </c>
      <c r="U527" t="inlineStr">
        <is>
          <t>2026-10-04</t>
        </is>
      </c>
      <c r="V527" t="inlineStr">
        <is>
          <t>ambiguous match [135, 178]</t>
        </is>
      </c>
    </row>
    <row r="528">
      <c r="A528" t="n">
        <v>135</v>
      </c>
      <c r="B528" t="inlineStr">
        <is>
          <t>Diamonds Thudufushi Beach and Water Villas</t>
        </is>
      </c>
      <c r="C528" t="inlineStr">
        <is>
          <t>villa_plans</t>
        </is>
      </c>
      <c r="D528" t="inlineStr">
        <is>
          <t>2019_VANITYFAIR.pdf</t>
        </is>
      </c>
      <c r="E528" t="n">
        <v>2019</v>
      </c>
      <c r="H528" t="n">
        <v>4</v>
      </c>
      <c r="I528" t="n">
        <v>1146</v>
      </c>
      <c r="J528" t="inlineStr">
        <is>
          <t>Y</t>
        </is>
      </c>
      <c r="K528" t="inlineStr">
        <is>
          <t>planhotel.com</t>
        </is>
      </c>
      <c r="L528" t="inlineStr">
        <is>
          <t>official</t>
        </is>
      </c>
      <c r="M528" t="inlineStr">
        <is>
          <t>https://d1vp8nomjxwyf1.cloudfront.net/wp-content/uploads/sites/110/2017/03/27134941/VANITYFAIR.pdf</t>
        </is>
      </c>
      <c r="N528" t="inlineStr">
        <is>
          <t>https://d1vp8nomjxwyf1.cloudfront.net/wp-content/uploads/sites/110/2017/03/27134941/VANITYFAIR.pdf</t>
        </is>
      </c>
      <c r="O528" t="inlineStr">
        <is>
          <t>3db8cb04cda2fd4221f3f723867c23e5f46b42e4afbe34b89983234a7781523e</t>
        </is>
      </c>
      <c r="P528" t="inlineStr">
        <is>
          <t>library/135_diamonds-thudufushi-beach-and-water-villas/villa_plans/2019_VANITYFAIR.pdf</t>
        </is>
      </c>
      <c r="R528" t="inlineStr">
        <is>
          <t>outdated</t>
        </is>
      </c>
      <c r="S528" t="inlineStr">
        <is>
          <t>Y</t>
        </is>
      </c>
      <c r="T528" t="inlineStr">
        <is>
          <t>needs-review</t>
        </is>
      </c>
      <c r="U528" t="inlineStr">
        <is>
          <t>2026-10-04</t>
        </is>
      </c>
      <c r="V528" t="inlineStr">
        <is>
          <t>ambiguous match [135, 178]</t>
        </is>
      </c>
    </row>
    <row r="529">
      <c r="A529" t="n">
        <v>178</v>
      </c>
      <c r="B529" t="inlineStr">
        <is>
          <t>Diamonds Athuruga Beach &amp; Water Villas</t>
        </is>
      </c>
      <c r="C529" t="inlineStr">
        <is>
          <t>villa_plans</t>
        </is>
      </c>
      <c r="D529" t="inlineStr">
        <is>
          <t>2019_VANITYFAIR.pdf</t>
        </is>
      </c>
      <c r="E529" t="n">
        <v>2019</v>
      </c>
      <c r="H529" t="n">
        <v>4</v>
      </c>
      <c r="I529" t="n">
        <v>1146</v>
      </c>
      <c r="J529" t="inlineStr">
        <is>
          <t>Y</t>
        </is>
      </c>
      <c r="K529" t="inlineStr">
        <is>
          <t>planhotel.com</t>
        </is>
      </c>
      <c r="L529" t="inlineStr">
        <is>
          <t>official</t>
        </is>
      </c>
      <c r="M529" t="inlineStr">
        <is>
          <t>https://d1vp8nomjxwyf1.cloudfront.net/wp-content/uploads/sites/110/2017/03/27134941/VANITYFAIR.pdf</t>
        </is>
      </c>
      <c r="N529" t="inlineStr">
        <is>
          <t>https://d1vp8nomjxwyf1.cloudfront.net/wp-content/uploads/sites/110/2017/03/27134941/VANITYFAIR.pdf</t>
        </is>
      </c>
      <c r="O529" t="inlineStr">
        <is>
          <t>3db8cb04cda2fd4221f3f723867c23e5f46b42e4afbe34b89983234a7781523e</t>
        </is>
      </c>
      <c r="P529" t="inlineStr">
        <is>
          <t>library/135_diamonds-thudufushi-beach-and-water-villas/villa_plans/2019_VANITYFAIR.pdf</t>
        </is>
      </c>
      <c r="R529" t="inlineStr">
        <is>
          <t>outdated</t>
        </is>
      </c>
      <c r="S529" t="inlineStr">
        <is>
          <t>Y</t>
        </is>
      </c>
      <c r="T529" t="inlineStr">
        <is>
          <t>needs-review</t>
        </is>
      </c>
      <c r="U529" t="inlineStr">
        <is>
          <t>2026-10-04</t>
        </is>
      </c>
      <c r="V529" t="inlineStr">
        <is>
          <t>ambiguous match [135, 178]</t>
        </is>
      </c>
    </row>
    <row r="530">
      <c r="A530" t="n">
        <v>135</v>
      </c>
      <c r="B530" t="inlineStr">
        <is>
          <t>Diamonds Thudufushi Beach and Water Villas</t>
        </is>
      </c>
      <c r="C530" t="inlineStr">
        <is>
          <t>villa_plans</t>
        </is>
      </c>
      <c r="D530" t="inlineStr">
        <is>
          <t>2018_Excellence-Magazine.pdf</t>
        </is>
      </c>
      <c r="E530" t="n">
        <v>2018</v>
      </c>
      <c r="H530" t="n">
        <v>7</v>
      </c>
      <c r="I530" t="n">
        <v>615</v>
      </c>
      <c r="J530" t="inlineStr">
        <is>
          <t>Y</t>
        </is>
      </c>
      <c r="K530" t="inlineStr">
        <is>
          <t>planhotel.com</t>
        </is>
      </c>
      <c r="L530" t="inlineStr">
        <is>
          <t>official</t>
        </is>
      </c>
      <c r="M530" t="inlineStr">
        <is>
          <t>https://d1vp8nomjxwyf1.cloudfront.net/wp-content/uploads/sites/110/2017/03/07095823/Excellence-Magazine.pdf</t>
        </is>
      </c>
      <c r="N530" t="inlineStr">
        <is>
          <t>https://d1vp8nomjxwyf1.cloudfront.net/wp-content/uploads/sites/110/2017/03/07095823/Excellence-Magazine.pdf | https://d1vp8nomjxwyf1.cloudfront.net/wp-content/uploads/sites/109/2017/03/07095342/Excellence-Magazine.pdf</t>
        </is>
      </c>
      <c r="O530" t="inlineStr">
        <is>
          <t>b3fe21622d28d99e4606c2ea4929601fd780374abb4710aa054f5ca8fb9ff837</t>
        </is>
      </c>
      <c r="P530" t="inlineStr">
        <is>
          <t>library/135_diamonds-thudufushi-beach-and-water-villas/villa_plans/2018_Excellence-Magazine.pdf</t>
        </is>
      </c>
      <c r="R530" t="inlineStr">
        <is>
          <t>outdated</t>
        </is>
      </c>
      <c r="S530" t="inlineStr">
        <is>
          <t>N</t>
        </is>
      </c>
      <c r="T530" t="inlineStr">
        <is>
          <t>needs-review</t>
        </is>
      </c>
      <c r="U530" t="inlineStr">
        <is>
          <t>2026-10-04</t>
        </is>
      </c>
      <c r="V530" t="inlineStr">
        <is>
          <t>ambiguous match [135, 178]</t>
        </is>
      </c>
    </row>
    <row r="531">
      <c r="A531" t="n">
        <v>178</v>
      </c>
      <c r="B531" t="inlineStr">
        <is>
          <t>Diamonds Athuruga Beach &amp; Water Villas</t>
        </is>
      </c>
      <c r="C531" t="inlineStr">
        <is>
          <t>villa_plans</t>
        </is>
      </c>
      <c r="D531" t="inlineStr">
        <is>
          <t>2018_Excellence-Magazine.pdf</t>
        </is>
      </c>
      <c r="E531" t="n">
        <v>2018</v>
      </c>
      <c r="H531" t="n">
        <v>7</v>
      </c>
      <c r="I531" t="n">
        <v>615</v>
      </c>
      <c r="J531" t="inlineStr">
        <is>
          <t>Y</t>
        </is>
      </c>
      <c r="K531" t="inlineStr">
        <is>
          <t>planhotel.com</t>
        </is>
      </c>
      <c r="L531" t="inlineStr">
        <is>
          <t>official</t>
        </is>
      </c>
      <c r="M531" t="inlineStr">
        <is>
          <t>https://d1vp8nomjxwyf1.cloudfront.net/wp-content/uploads/sites/110/2017/03/07095823/Excellence-Magazine.pdf</t>
        </is>
      </c>
      <c r="N531" t="inlineStr">
        <is>
          <t>https://d1vp8nomjxwyf1.cloudfront.net/wp-content/uploads/sites/110/2017/03/07095823/Excellence-Magazine.pdf | https://d1vp8nomjxwyf1.cloudfront.net/wp-content/uploads/sites/109/2017/03/07095342/Excellence-Magazine.pdf</t>
        </is>
      </c>
      <c r="O531" t="inlineStr">
        <is>
          <t>b3fe21622d28d99e4606c2ea4929601fd780374abb4710aa054f5ca8fb9ff837</t>
        </is>
      </c>
      <c r="P531" t="inlineStr">
        <is>
          <t>library/135_diamonds-thudufushi-beach-and-water-villas/villa_plans/2018_Excellence-Magazine.pdf</t>
        </is>
      </c>
      <c r="R531" t="inlineStr">
        <is>
          <t>outdated</t>
        </is>
      </c>
      <c r="S531" t="inlineStr">
        <is>
          <t>N</t>
        </is>
      </c>
      <c r="T531" t="inlineStr">
        <is>
          <t>needs-review</t>
        </is>
      </c>
      <c r="U531" t="inlineStr">
        <is>
          <t>2026-10-04</t>
        </is>
      </c>
      <c r="V531" t="inlineStr">
        <is>
          <t>ambiguous match [135, 178]</t>
        </is>
      </c>
    </row>
    <row r="532">
      <c r="A532" t="n">
        <v>135</v>
      </c>
      <c r="B532" t="inlineStr">
        <is>
          <t>Diamonds Thudufushi Beach and Water Villas</t>
        </is>
      </c>
      <c r="C532" t="inlineStr">
        <is>
          <t>other</t>
        </is>
      </c>
      <c r="D532" t="inlineStr">
        <is>
          <t>2019_Diamonds-Thudufushi.pdf</t>
        </is>
      </c>
      <c r="E532" t="n">
        <v>2019</v>
      </c>
      <c r="H532" t="n">
        <v>13</v>
      </c>
      <c r="I532" t="n">
        <v>6246</v>
      </c>
      <c r="J532" t="inlineStr">
        <is>
          <t>Y</t>
        </is>
      </c>
      <c r="K532" t="inlineStr">
        <is>
          <t>planhotel.com</t>
        </is>
      </c>
      <c r="L532" t="inlineStr">
        <is>
          <t>official</t>
        </is>
      </c>
      <c r="M532" t="inlineStr">
        <is>
          <t>https://d1vp8nomjxwyf1.cloudfront.net/wp-content/uploads/sites/212/2023/03/17095041/Diamonds-Thudufushi.pdf</t>
        </is>
      </c>
      <c r="N532" t="inlineStr">
        <is>
          <t>https://d1vp8nomjxwyf1.cloudfront.net/wp-content/uploads/sites/212/2023/03/17095041/Diamonds-Thudufushi.pdf</t>
        </is>
      </c>
      <c r="O532" t="inlineStr">
        <is>
          <t>b843867382b326348dcc03fd7e66a6f9b562a0fd8b05312007211a38c2d678c1</t>
        </is>
      </c>
      <c r="P532" t="inlineStr">
        <is>
          <t>library/135_diamonds-thudufushi-beach-and-water-villas/other/2019_Diamonds-Thudufushi.pdf</t>
        </is>
      </c>
      <c r="R532" t="inlineStr">
        <is>
          <t>outdated</t>
        </is>
      </c>
      <c r="S532" t="inlineStr">
        <is>
          <t>Y</t>
        </is>
      </c>
      <c r="T532" t="inlineStr">
        <is>
          <t>matched</t>
        </is>
      </c>
      <c r="U532" t="inlineStr">
        <is>
          <t>2026-10-04</t>
        </is>
      </c>
      <c r="V532" t="inlineStr"/>
    </row>
    <row r="533">
      <c r="A533" t="n">
        <v>136</v>
      </c>
      <c r="B533" t="inlineStr">
        <is>
          <t>Finolhu Baa Atoll Maldives</t>
        </is>
      </c>
      <c r="C533" t="inlineStr">
        <is>
          <t>factsheet</t>
        </is>
      </c>
      <c r="D533" t="inlineStr">
        <is>
          <t>2021_Finolhu-2021FactSheet_English-1.pdf</t>
        </is>
      </c>
      <c r="E533" t="n">
        <v>2021</v>
      </c>
      <c r="H533" t="n">
        <v>5</v>
      </c>
      <c r="I533" t="n">
        <v>2179</v>
      </c>
      <c r="J533" t="inlineStr">
        <is>
          <t>Y</t>
        </is>
      </c>
      <c r="K533" t="inlineStr">
        <is>
          <t>neoscapesmaldives.com</t>
        </is>
      </c>
      <c r="L533" t="inlineStr">
        <is>
          <t>dmc-agency</t>
        </is>
      </c>
      <c r="M533" t="inlineStr">
        <is>
          <t>https://www.neoscapesmaldives.com/wp-content/uploads/Finolhu-2021FactSheet_English-1.pdf</t>
        </is>
      </c>
      <c r="N533" t="inlineStr">
        <is>
          <t>https://www.neoscapesmaldives.com/wp-content/uploads/Finolhu-2021FactSheet_English-1.pdf</t>
        </is>
      </c>
      <c r="O533" t="inlineStr">
        <is>
          <t>9932bee26f4ecf0dc6f10e7f338456e138da75172e9b8690eb5733f226de0d74</t>
        </is>
      </c>
      <c r="P533" t="inlineStr">
        <is>
          <t>library/136_finolhu-baa-atoll-maldives/factsheet/2021_Finolhu-2021FactSheet_English-1.pdf</t>
        </is>
      </c>
      <c r="R533" t="inlineStr">
        <is>
          <t>outdated</t>
        </is>
      </c>
      <c r="S533" t="inlineStr">
        <is>
          <t>Y</t>
        </is>
      </c>
      <c r="T533" t="inlineStr">
        <is>
          <t>matched</t>
        </is>
      </c>
      <c r="U533" t="inlineStr">
        <is>
          <t>2026-10-04</t>
        </is>
      </c>
      <c r="V533" t="inlineStr"/>
    </row>
    <row r="534">
      <c r="A534" t="n">
        <v>136</v>
      </c>
      <c r="B534" t="inlineStr">
        <is>
          <t>Finolhu Baa Atoll Maldives</t>
        </is>
      </c>
      <c r="C534" t="inlineStr">
        <is>
          <t>events</t>
        </is>
      </c>
      <c r="D534" t="inlineStr">
        <is>
          <t>2025_D2MD-MICE-Brochure-2.pdf</t>
        </is>
      </c>
      <c r="E534" t="n">
        <v>2025</v>
      </c>
      <c r="H534" t="n">
        <v>10</v>
      </c>
      <c r="I534" t="n">
        <v>51530</v>
      </c>
      <c r="J534" t="inlineStr">
        <is>
          <t>Y</t>
        </is>
      </c>
      <c r="K534" t="inlineStr">
        <is>
          <t>neoscapesmaldives.com</t>
        </is>
      </c>
      <c r="L534" t="inlineStr">
        <is>
          <t>dmc-agency</t>
        </is>
      </c>
      <c r="M534" t="inlineStr">
        <is>
          <t>https://www.neoscapesmaldives.com/wp-content/uploads/D2MD-MICE-Brochure-2.pdf</t>
        </is>
      </c>
      <c r="N534" t="inlineStr">
        <is>
          <t>https://www.neoscapesmaldives.com/wp-content/uploads/D2MD-MICE-Brochure-2.pdf</t>
        </is>
      </c>
      <c r="O534" t="inlineStr">
        <is>
          <t>2323e90ccea92a222b1795398d8e00d37a74479a82d7a83c138cd865af0d73bf</t>
        </is>
      </c>
      <c r="P534" t="inlineStr">
        <is>
          <t>library/136_finolhu-baa-atoll-maldives/events/2025_D2MD-MICE-Brochure-2.pdf</t>
        </is>
      </c>
      <c r="R534" t="inlineStr">
        <is>
          <t>current</t>
        </is>
      </c>
      <c r="S534" t="inlineStr">
        <is>
          <t>Y</t>
        </is>
      </c>
      <c r="T534" t="inlineStr">
        <is>
          <t>matched</t>
        </is>
      </c>
      <c r="U534" t="inlineStr">
        <is>
          <t>2026-10-04</t>
        </is>
      </c>
      <c r="V534" t="inlineStr"/>
    </row>
    <row r="535">
      <c r="A535" t="n">
        <v>136</v>
      </c>
      <c r="B535" t="inlineStr">
        <is>
          <t>Finolhu Baa Atoll Maldives</t>
        </is>
      </c>
      <c r="C535" t="inlineStr">
        <is>
          <t>map</t>
        </is>
      </c>
      <c r="D535" t="inlineStr">
        <is>
          <t>2020_Island-Map-Portrait-Finolhu-Baa-Atoll.pdf</t>
        </is>
      </c>
      <c r="E535" t="n">
        <v>2020</v>
      </c>
      <c r="H535" t="n">
        <v>1</v>
      </c>
      <c r="I535" t="n">
        <v>3257</v>
      </c>
      <c r="J535" t="inlineStr">
        <is>
          <t>Y</t>
        </is>
      </c>
      <c r="K535" t="inlineStr">
        <is>
          <t>neoscapesmaldives.com</t>
        </is>
      </c>
      <c r="L535" t="inlineStr">
        <is>
          <t>dmc-agency</t>
        </is>
      </c>
      <c r="M535" t="inlineStr">
        <is>
          <t>https://www.neoscapesmaldives.com/wp-content/uploads/Island-Map-Portrait-Finolhu-Baa-Atoll.pdf</t>
        </is>
      </c>
      <c r="N535" t="inlineStr">
        <is>
          <t>https://www.neoscapesmaldives.com/wp-content/uploads/Island-Map-Portrait-Finolhu-Baa-Atoll.pdf</t>
        </is>
      </c>
      <c r="O535" t="inlineStr">
        <is>
          <t>45facad5532e2432c5e83b0277526c79f8dd5be694e802e572c36b359ebea0e1</t>
        </is>
      </c>
      <c r="P535" t="inlineStr">
        <is>
          <t>library/136_finolhu-baa-atoll-maldives/map/2020_Island-Map-Portrait-Finolhu-Baa-Atoll.pdf</t>
        </is>
      </c>
      <c r="R535" t="inlineStr">
        <is>
          <t>outdated</t>
        </is>
      </c>
      <c r="S535" t="inlineStr">
        <is>
          <t>Y</t>
        </is>
      </c>
      <c r="T535" t="inlineStr">
        <is>
          <t>matched</t>
        </is>
      </c>
      <c r="U535" t="inlineStr">
        <is>
          <t>2026-10-04</t>
        </is>
      </c>
      <c r="V535" t="inlineStr"/>
    </row>
    <row r="536">
      <c r="A536" t="n">
        <v>138</v>
      </c>
      <c r="B536" t="inlineStr">
        <is>
          <t>Varu Island Resort</t>
        </is>
      </c>
      <c r="C536" t="inlineStr">
        <is>
          <t>map</t>
        </is>
      </c>
      <c r="D536" t="inlineStr">
        <is>
          <t>2019_Map-VARU-by-Atmosphere.pdf</t>
        </is>
      </c>
      <c r="E536" t="n">
        <v>2019</v>
      </c>
      <c r="H536" t="n">
        <v>1</v>
      </c>
      <c r="I536" t="n">
        <v>4996</v>
      </c>
      <c r="J536" t="inlineStr">
        <is>
          <t>Y</t>
        </is>
      </c>
      <c r="K536" t="inlineStr">
        <is>
          <t>neoscapesmaldives.com</t>
        </is>
      </c>
      <c r="L536" t="inlineStr">
        <is>
          <t>dmc-agency</t>
        </is>
      </c>
      <c r="M536" t="inlineStr">
        <is>
          <t>https://www.neoscapesmaldives.com/wp-content/uploads/Map-VARU-by-Atmosphere.pdf</t>
        </is>
      </c>
      <c r="N536" t="inlineStr">
        <is>
          <t>https://www.neoscapesmaldives.com/wp-content/uploads/Map-VARU-by-Atmosphere.pdf</t>
        </is>
      </c>
      <c r="O536" t="inlineStr">
        <is>
          <t>9e32ec68b7389057754b97a809918151e202d723a72d09f8f31ab123fe8d8f6d</t>
        </is>
      </c>
      <c r="P536" t="inlineStr">
        <is>
          <t>library/138_varu-island-resort/map/2019_Map-VARU-by-Atmosphere.pdf</t>
        </is>
      </c>
      <c r="R536" t="inlineStr">
        <is>
          <t>outdated</t>
        </is>
      </c>
      <c r="S536" t="inlineStr">
        <is>
          <t>Y</t>
        </is>
      </c>
      <c r="T536" t="inlineStr">
        <is>
          <t>matched</t>
        </is>
      </c>
      <c r="U536" t="inlineStr">
        <is>
          <t>2026-10-04</t>
        </is>
      </c>
      <c r="V536" t="inlineStr"/>
    </row>
    <row r="537">
      <c r="A537" t="n">
        <v>138</v>
      </c>
      <c r="B537" t="inlineStr">
        <is>
          <t>Varu Island Resort</t>
        </is>
      </c>
      <c r="C537" t="inlineStr">
        <is>
          <t>brochure</t>
        </is>
      </c>
      <c r="D537" t="inlineStr">
        <is>
          <t>2019_VARU-BY-ATMOSPHERE-FLYER-DEC2019.pdf</t>
        </is>
      </c>
      <c r="E537" t="n">
        <v>2019</v>
      </c>
      <c r="H537" t="n">
        <v>4</v>
      </c>
      <c r="I537" t="n">
        <v>3392</v>
      </c>
      <c r="J537" t="inlineStr">
        <is>
          <t>Y</t>
        </is>
      </c>
      <c r="K537" t="inlineStr">
        <is>
          <t>neoscapesmaldives.com</t>
        </is>
      </c>
      <c r="L537" t="inlineStr">
        <is>
          <t>dmc-agency</t>
        </is>
      </c>
      <c r="M537" t="inlineStr">
        <is>
          <t>https://www.neoscapesmaldives.com/wp-content/uploads/VARU-BY-ATMOSPHERE-FLYER-DEC2019.pdf</t>
        </is>
      </c>
      <c r="N537" t="inlineStr">
        <is>
          <t>https://www.neoscapesmaldives.com/wp-content/uploads/VARU-BY-ATMOSPHERE-FLYER-DEC2019.pdf</t>
        </is>
      </c>
      <c r="O537" t="inlineStr">
        <is>
          <t>c37271744af63915c408a908faed6afa085db1a533b9d808dee9529518d44b10</t>
        </is>
      </c>
      <c r="P537" t="inlineStr">
        <is>
          <t>library/138_varu-island-resort/brochure/2019_VARU-BY-ATMOSPHERE-FLYER-DEC2019.pdf</t>
        </is>
      </c>
      <c r="R537" t="inlineStr">
        <is>
          <t>outdated</t>
        </is>
      </c>
      <c r="S537" t="inlineStr">
        <is>
          <t>Y</t>
        </is>
      </c>
      <c r="T537" t="inlineStr">
        <is>
          <t>matched</t>
        </is>
      </c>
      <c r="U537" t="inlineStr">
        <is>
          <t>2026-10-04</t>
        </is>
      </c>
      <c r="V537" t="inlineStr"/>
    </row>
    <row r="538">
      <c r="A538" t="n">
        <v>139</v>
      </c>
      <c r="B538" t="inlineStr">
        <is>
          <t>Kudafushi Resort &amp; Spa</t>
        </is>
      </c>
      <c r="C538" t="inlineStr">
        <is>
          <t>factsheet</t>
        </is>
      </c>
      <c r="D538" t="inlineStr">
        <is>
          <t>2019_KUDAFUSHI_FACTSHEET.pdf</t>
        </is>
      </c>
      <c r="E538" t="n">
        <v>2019</v>
      </c>
      <c r="H538" t="n">
        <v>11</v>
      </c>
      <c r="I538" t="n">
        <v>4332</v>
      </c>
      <c r="J538" t="inlineStr">
        <is>
          <t>Y</t>
        </is>
      </c>
      <c r="K538" t="inlineStr">
        <is>
          <t>neoscapesmaldives.com</t>
        </is>
      </c>
      <c r="L538" t="inlineStr">
        <is>
          <t>dmc-agency</t>
        </is>
      </c>
      <c r="M538" t="inlineStr">
        <is>
          <t>https://www.neoscapesmaldives.com/wp-content/uploads/KUDAFUSHI_FACTSHEET.pdf</t>
        </is>
      </c>
      <c r="N538" t="inlineStr">
        <is>
          <t>https://www.neoscapesmaldives.com/wp-content/uploads/KUDAFUSHI_FACTSHEET.pdf</t>
        </is>
      </c>
      <c r="O538" t="inlineStr">
        <is>
          <t>5ba1a050a7371fc86448c5566878e52b87ab1d2854f772ae42a662d44fd14de5</t>
        </is>
      </c>
      <c r="P538" t="inlineStr">
        <is>
          <t>library/139_kudafushi-resort-spa/factsheet/2019_KUDAFUSHI_FACTSHEET.pdf</t>
        </is>
      </c>
      <c r="R538" t="inlineStr">
        <is>
          <t>outdated</t>
        </is>
      </c>
      <c r="S538" t="inlineStr">
        <is>
          <t>Y</t>
        </is>
      </c>
      <c r="T538" t="inlineStr">
        <is>
          <t>matched</t>
        </is>
      </c>
      <c r="U538" t="inlineStr">
        <is>
          <t>2026-10-04</t>
        </is>
      </c>
      <c r="V538" t="inlineStr"/>
    </row>
    <row r="539">
      <c r="A539" t="n">
        <v>139</v>
      </c>
      <c r="B539" t="inlineStr">
        <is>
          <t>Kudafushi Resort &amp; Spa</t>
        </is>
      </c>
      <c r="C539" t="inlineStr">
        <is>
          <t>map</t>
        </is>
      </c>
      <c r="D539" t="inlineStr">
        <is>
          <t>2019_KUDAFUSHI_MAP.pdf</t>
        </is>
      </c>
      <c r="E539" t="n">
        <v>2019</v>
      </c>
      <c r="H539" t="n">
        <v>1</v>
      </c>
      <c r="I539" t="n">
        <v>253</v>
      </c>
      <c r="J539" t="inlineStr">
        <is>
          <t>N</t>
        </is>
      </c>
      <c r="K539" t="inlineStr">
        <is>
          <t>neoscapesmaldives.com</t>
        </is>
      </c>
      <c r="L539" t="inlineStr">
        <is>
          <t>dmc-agency</t>
        </is>
      </c>
      <c r="M539" t="inlineStr">
        <is>
          <t>https://www.neoscapesmaldives.com/wp-content/uploads/KUDAFUSHI_MAP.pdf</t>
        </is>
      </c>
      <c r="N539" t="inlineStr">
        <is>
          <t>https://www.neoscapesmaldives.com/wp-content/uploads/KUDAFUSHI_MAP.pdf</t>
        </is>
      </c>
      <c r="O539" t="inlineStr">
        <is>
          <t>aa3a08a224f7e3d7a2b582537a5e3d568a597c78a92c9e064f5252f7c1216102</t>
        </is>
      </c>
      <c r="P539" t="inlineStr">
        <is>
          <t>library/139_kudafushi-resort-spa/map/2019_KUDAFUSHI_MAP.pdf</t>
        </is>
      </c>
      <c r="R539" t="inlineStr">
        <is>
          <t>outdated</t>
        </is>
      </c>
      <c r="S539" t="inlineStr">
        <is>
          <t>Y</t>
        </is>
      </c>
      <c r="T539" t="inlineStr">
        <is>
          <t>matched</t>
        </is>
      </c>
      <c r="U539" t="inlineStr">
        <is>
          <t>2026-10-04</t>
        </is>
      </c>
      <c r="V539" t="inlineStr"/>
    </row>
    <row r="540">
      <c r="A540" t="n">
        <v>140</v>
      </c>
      <c r="B540" t="inlineStr">
        <is>
          <t>The Standard Huruvalhi Maldives</t>
        </is>
      </c>
      <c r="C540" t="inlineStr">
        <is>
          <t>factsheet</t>
        </is>
      </c>
      <c r="D540" t="inlineStr">
        <is>
          <t>2025_STMV_Factsheet__Eng-.pdf</t>
        </is>
      </c>
      <c r="E540" t="n">
        <v>2025</v>
      </c>
      <c r="H540" t="n">
        <v>4</v>
      </c>
      <c r="I540" t="n">
        <v>5012</v>
      </c>
      <c r="J540" t="inlineStr">
        <is>
          <t>Y</t>
        </is>
      </c>
      <c r="K540" t="inlineStr">
        <is>
          <t>neoscapesmaldives.com</t>
        </is>
      </c>
      <c r="L540" t="inlineStr">
        <is>
          <t>dmc-agency</t>
        </is>
      </c>
      <c r="M540" t="inlineStr">
        <is>
          <t>https://www.neoscapesmaldives.com/wp-content/uploads/STMV_Factsheet__Eng-.pdf</t>
        </is>
      </c>
      <c r="N540" t="inlineStr">
        <is>
          <t>https://www.neoscapesmaldives.com/wp-content/uploads/STMV_Factsheet__Eng-.pdf</t>
        </is>
      </c>
      <c r="O540" t="inlineStr">
        <is>
          <t>d6d895f93831c7caf321f37a9a84e6d7a3b8f103ad9f344e60cc5f4817fa912b</t>
        </is>
      </c>
      <c r="P540" t="inlineStr">
        <is>
          <t>library/140_the-standard-huruvalhi-maldives/factsheet/2025_STMV_Factsheet__Eng-.pdf</t>
        </is>
      </c>
      <c r="R540" t="inlineStr">
        <is>
          <t>current</t>
        </is>
      </c>
      <c r="S540" t="inlineStr">
        <is>
          <t>Y</t>
        </is>
      </c>
      <c r="T540" t="inlineStr">
        <is>
          <t>matched</t>
        </is>
      </c>
      <c r="U540" t="inlineStr">
        <is>
          <t>2026-10-04</t>
        </is>
      </c>
      <c r="V540" t="inlineStr"/>
    </row>
    <row r="541">
      <c r="A541" t="n">
        <v>140</v>
      </c>
      <c r="B541" t="inlineStr">
        <is>
          <t>The Standard Huruvalhi Maldives</t>
        </is>
      </c>
      <c r="C541" t="inlineStr">
        <is>
          <t>map</t>
        </is>
      </c>
      <c r="D541" t="inlineStr">
        <is>
          <t>2024_The-Standard-Huruvalhi-Maldives-RESORT-MAP.pdf</t>
        </is>
      </c>
      <c r="E541" t="n">
        <v>2024</v>
      </c>
      <c r="H541" t="n">
        <v>1</v>
      </c>
      <c r="I541" t="n">
        <v>1018</v>
      </c>
      <c r="J541" t="inlineStr">
        <is>
          <t>Y</t>
        </is>
      </c>
      <c r="K541" t="inlineStr">
        <is>
          <t>neoscapesmaldives.com</t>
        </is>
      </c>
      <c r="L541" t="inlineStr">
        <is>
          <t>dmc-agency</t>
        </is>
      </c>
      <c r="M541" t="inlineStr">
        <is>
          <t>https://www.neoscapesmaldives.com/wp-content/uploads/The-Standard-Huruvalhi-Maldives-RESORT-MAP.pdf</t>
        </is>
      </c>
      <c r="N541" t="inlineStr">
        <is>
          <t>https://www.neoscapesmaldives.com/wp-content/uploads/The-Standard-Huruvalhi-Maldives-RESORT-MAP.pdf</t>
        </is>
      </c>
      <c r="O541" t="inlineStr">
        <is>
          <t>76c1547c30de786b5381bafe71305276969fb4d01842790f19a4c4841561043a</t>
        </is>
      </c>
      <c r="P541" t="inlineStr">
        <is>
          <t>library/140_the-standard-huruvalhi-maldives/map/2024_The-Standard-Huruvalhi-Maldives-RESORT-MAP.pdf</t>
        </is>
      </c>
      <c r="R541" t="inlineStr">
        <is>
          <t>outdated</t>
        </is>
      </c>
      <c r="S541" t="inlineStr">
        <is>
          <t>Y</t>
        </is>
      </c>
      <c r="T541" t="inlineStr">
        <is>
          <t>matched</t>
        </is>
      </c>
      <c r="U541" t="inlineStr">
        <is>
          <t>2026-10-04</t>
        </is>
      </c>
      <c r="V541" t="inlineStr"/>
    </row>
    <row r="542">
      <c r="A542" t="n">
        <v>141</v>
      </c>
      <c r="B542" t="inlineStr">
        <is>
          <t>Soneva Fushi Resort</t>
        </is>
      </c>
      <c r="C542" t="inlineStr">
        <is>
          <t>factsheet</t>
        </is>
      </c>
      <c r="D542" t="inlineStr">
        <is>
          <t>2019_11747_Soneva-Fushi-Factsheet-2019.pdf</t>
        </is>
      </c>
      <c r="E542" t="n">
        <v>2019</v>
      </c>
      <c r="H542" t="n">
        <v>8</v>
      </c>
      <c r="I542" t="n">
        <v>1674</v>
      </c>
      <c r="J542" t="inlineStr">
        <is>
          <t>Y</t>
        </is>
      </c>
      <c r="K542" t="inlineStr">
        <is>
          <t>neoscapesmaldives.com</t>
        </is>
      </c>
      <c r="L542" t="inlineStr">
        <is>
          <t>dmc-agency</t>
        </is>
      </c>
      <c r="M542" t="inlineStr">
        <is>
          <t>https://neoscapesmaldives.com/wp-content/uploads/11747_Soneva-Fushi-Factsheet-2019.pdf</t>
        </is>
      </c>
      <c r="N542" t="inlineStr">
        <is>
          <t>https://neoscapesmaldives.com/wp-content/uploads/11747_Soneva-Fushi-Factsheet-2019.pdf</t>
        </is>
      </c>
      <c r="O542" t="inlineStr">
        <is>
          <t>5d53418e9dbde7fd635170172c87756b210913553477d6a0b08c34561990255a</t>
        </is>
      </c>
      <c r="P542" t="inlineStr">
        <is>
          <t>library/141_soneva-fushi-resort/factsheet/2019_11747_Soneva-Fushi-Factsheet-2019.pdf</t>
        </is>
      </c>
      <c r="R542" t="inlineStr">
        <is>
          <t>outdated</t>
        </is>
      </c>
      <c r="S542" t="inlineStr">
        <is>
          <t>Y</t>
        </is>
      </c>
      <c r="T542" t="inlineStr">
        <is>
          <t>needs-review</t>
        </is>
      </c>
      <c r="U542" t="inlineStr">
        <is>
          <t>2026-10-04</t>
        </is>
      </c>
      <c r="V542" t="inlineStr">
        <is>
          <t>ambiguous match [141, 143]</t>
        </is>
      </c>
    </row>
    <row r="543">
      <c r="A543" t="n">
        <v>143</v>
      </c>
      <c r="B543" t="inlineStr">
        <is>
          <t>Soneva Jani</t>
        </is>
      </c>
      <c r="C543" t="inlineStr">
        <is>
          <t>factsheet</t>
        </is>
      </c>
      <c r="D543" t="inlineStr">
        <is>
          <t>2019_11747_Soneva-Fushi-Factsheet-2019.pdf</t>
        </is>
      </c>
      <c r="E543" t="n">
        <v>2019</v>
      </c>
      <c r="H543" t="n">
        <v>8</v>
      </c>
      <c r="I543" t="n">
        <v>1674</v>
      </c>
      <c r="J543" t="inlineStr">
        <is>
          <t>Y</t>
        </is>
      </c>
      <c r="K543" t="inlineStr">
        <is>
          <t>neoscapesmaldives.com</t>
        </is>
      </c>
      <c r="L543" t="inlineStr">
        <is>
          <t>dmc-agency</t>
        </is>
      </c>
      <c r="M543" t="inlineStr">
        <is>
          <t>https://neoscapesmaldives.com/wp-content/uploads/11747_Soneva-Fushi-Factsheet-2019.pdf</t>
        </is>
      </c>
      <c r="N543" t="inlineStr">
        <is>
          <t>https://neoscapesmaldives.com/wp-content/uploads/11747_Soneva-Fushi-Factsheet-2019.pdf</t>
        </is>
      </c>
      <c r="O543" t="inlineStr">
        <is>
          <t>5d53418e9dbde7fd635170172c87756b210913553477d6a0b08c34561990255a</t>
        </is>
      </c>
      <c r="P543" t="inlineStr">
        <is>
          <t>library/141_soneva-fushi-resort/factsheet/2019_11747_Soneva-Fushi-Factsheet-2019.pdf</t>
        </is>
      </c>
      <c r="R543" t="inlineStr">
        <is>
          <t>outdated</t>
        </is>
      </c>
      <c r="S543" t="inlineStr">
        <is>
          <t>Y</t>
        </is>
      </c>
      <c r="T543" t="inlineStr">
        <is>
          <t>needs-review</t>
        </is>
      </c>
      <c r="U543" t="inlineStr">
        <is>
          <t>2026-10-04</t>
        </is>
      </c>
      <c r="V543" t="inlineStr">
        <is>
          <t>ambiguous match [141, 143]</t>
        </is>
      </c>
    </row>
    <row r="544">
      <c r="A544" t="n">
        <v>141</v>
      </c>
      <c r="B544" t="inlineStr">
        <is>
          <t>Soneva Fushi Resort</t>
        </is>
      </c>
      <c r="C544" t="inlineStr">
        <is>
          <t>map</t>
        </is>
      </c>
      <c r="D544" t="inlineStr">
        <is>
          <t>2019_11654_Soneva-Fushi-Resort-Features-Map.pdf</t>
        </is>
      </c>
      <c r="E544" t="n">
        <v>2019</v>
      </c>
      <c r="H544" t="n">
        <v>1</v>
      </c>
      <c r="I544" t="n">
        <v>2811</v>
      </c>
      <c r="J544" t="inlineStr">
        <is>
          <t>Y</t>
        </is>
      </c>
      <c r="K544" t="inlineStr">
        <is>
          <t>neoscapesmaldives.com</t>
        </is>
      </c>
      <c r="L544" t="inlineStr">
        <is>
          <t>dmc-agency</t>
        </is>
      </c>
      <c r="M544" t="inlineStr">
        <is>
          <t>https://neoscapesmaldives.com/wp-content/uploads/11654_Soneva-Fushi-Resort-Features-Map.pdf</t>
        </is>
      </c>
      <c r="N544" t="inlineStr">
        <is>
          <t>https://neoscapesmaldives.com/wp-content/uploads/11654_Soneva-Fushi-Resort-Features-Map.pdf</t>
        </is>
      </c>
      <c r="O544" t="inlineStr">
        <is>
          <t>8da7073bfa99c060152d2736d9cdc06eaf10c6904ea70c04db18c5ab060d716a</t>
        </is>
      </c>
      <c r="P544" t="inlineStr">
        <is>
          <t>library/141_soneva-fushi-resort/map/2019_11654_Soneva-Fushi-Resort-Features-Map.pdf</t>
        </is>
      </c>
      <c r="R544" t="inlineStr">
        <is>
          <t>outdated</t>
        </is>
      </c>
      <c r="S544" t="inlineStr">
        <is>
          <t>Y</t>
        </is>
      </c>
      <c r="T544" t="inlineStr">
        <is>
          <t>matched</t>
        </is>
      </c>
      <c r="U544" t="inlineStr">
        <is>
          <t>2026-10-04</t>
        </is>
      </c>
      <c r="V544" t="inlineStr"/>
    </row>
    <row r="545">
      <c r="A545" t="n">
        <v>142</v>
      </c>
      <c r="B545" t="inlineStr">
        <is>
          <t>Safari Island</t>
        </is>
      </c>
      <c r="C545" t="inlineStr">
        <is>
          <t>dive_prices</t>
        </is>
      </c>
      <c r="D545" t="inlineStr">
        <is>
          <t>2018_DREAMLAND-Diving-FAQs-English.pdf</t>
        </is>
      </c>
      <c r="E545" t="n">
        <v>2018</v>
      </c>
      <c r="H545" t="n">
        <v>2</v>
      </c>
      <c r="I545" t="n">
        <v>188</v>
      </c>
      <c r="J545" t="inlineStr">
        <is>
          <t>Y</t>
        </is>
      </c>
      <c r="K545" t="inlineStr">
        <is>
          <t>dreamland.com.mv</t>
        </is>
      </c>
      <c r="L545" t="inlineStr">
        <is>
          <t>official</t>
        </is>
      </c>
      <c r="M545" t="inlineStr">
        <is>
          <t>https://dreamland.com.mv/wp-content/uploads/2024/08/DREAMLAND-Diving-FAQs-English.pdf</t>
        </is>
      </c>
      <c r="N545" t="inlineStr">
        <is>
          <t>https://dreamland.com.mv/wp-content/uploads/2024/08/DREAMLAND-Diving-FAQs-English.pdf | https://dreamland.com.mv/wp-content/uploads/2023/08/DREAMLAND-Diving-FAQs-English.pdf</t>
        </is>
      </c>
      <c r="O545" t="inlineStr">
        <is>
          <t>4955258ce769ef96955c21001cd99712ad0585db81389e6f13d51382e4fd2d0b</t>
        </is>
      </c>
      <c r="P545" t="inlineStr">
        <is>
          <t>library/142_safari-island/dive_prices/2018_DREAMLAND-Diving-FAQs-English.pdf</t>
        </is>
      </c>
      <c r="R545" t="inlineStr">
        <is>
          <t>outdated</t>
        </is>
      </c>
      <c r="S545" t="inlineStr">
        <is>
          <t>Y</t>
        </is>
      </c>
      <c r="T545" t="inlineStr">
        <is>
          <t>needs-review</t>
        </is>
      </c>
      <c r="U545" t="inlineStr">
        <is>
          <t>2026-10-04</t>
        </is>
      </c>
      <c r="V545" t="inlineStr">
        <is>
          <t>ambiguous match [142, 10]</t>
        </is>
      </c>
    </row>
    <row r="546">
      <c r="A546" t="n">
        <v>10</v>
      </c>
      <c r="B546" t="inlineStr">
        <is>
          <t>Dreamland - The Unique Sea &amp; Lake Resort/Spa</t>
        </is>
      </c>
      <c r="C546" t="inlineStr">
        <is>
          <t>dive_prices</t>
        </is>
      </c>
      <c r="D546" t="inlineStr">
        <is>
          <t>2018_DREAMLAND-Diving-FAQs-English.pdf</t>
        </is>
      </c>
      <c r="E546" t="n">
        <v>2018</v>
      </c>
      <c r="H546" t="n">
        <v>2</v>
      </c>
      <c r="I546" t="n">
        <v>188</v>
      </c>
      <c r="J546" t="inlineStr">
        <is>
          <t>Y</t>
        </is>
      </c>
      <c r="K546" t="inlineStr">
        <is>
          <t>dreamland.com.mv</t>
        </is>
      </c>
      <c r="L546" t="inlineStr">
        <is>
          <t>official</t>
        </is>
      </c>
      <c r="M546" t="inlineStr">
        <is>
          <t>https://dreamland.com.mv/wp-content/uploads/2024/08/DREAMLAND-Diving-FAQs-English.pdf</t>
        </is>
      </c>
      <c r="N546" t="inlineStr">
        <is>
          <t>https://dreamland.com.mv/wp-content/uploads/2024/08/DREAMLAND-Diving-FAQs-English.pdf | https://dreamland.com.mv/wp-content/uploads/2023/08/DREAMLAND-Diving-FAQs-English.pdf</t>
        </is>
      </c>
      <c r="O546" t="inlineStr">
        <is>
          <t>4955258ce769ef96955c21001cd99712ad0585db81389e6f13d51382e4fd2d0b</t>
        </is>
      </c>
      <c r="P546" t="inlineStr">
        <is>
          <t>library/142_safari-island/dive_prices/2018_DREAMLAND-Diving-FAQs-English.pdf</t>
        </is>
      </c>
      <c r="R546" t="inlineStr">
        <is>
          <t>outdated</t>
        </is>
      </c>
      <c r="S546" t="inlineStr">
        <is>
          <t>Y</t>
        </is>
      </c>
      <c r="T546" t="inlineStr">
        <is>
          <t>needs-review</t>
        </is>
      </c>
      <c r="U546" t="inlineStr">
        <is>
          <t>2026-10-04</t>
        </is>
      </c>
      <c r="V546" t="inlineStr">
        <is>
          <t>ambiguous match [142, 10]</t>
        </is>
      </c>
    </row>
    <row r="547">
      <c r="A547" t="n">
        <v>143</v>
      </c>
      <c r="B547" t="inlineStr">
        <is>
          <t>Soneva Jani</t>
        </is>
      </c>
      <c r="C547" t="inlineStr">
        <is>
          <t>factsheet</t>
        </is>
      </c>
      <c r="D547" t="inlineStr">
        <is>
          <t>2019_12291_Soneva-Jani-Resort-Factesheet-NEO.pdf</t>
        </is>
      </c>
      <c r="E547" t="n">
        <v>2019</v>
      </c>
      <c r="H547" t="n">
        <v>7</v>
      </c>
      <c r="I547" t="n">
        <v>2829</v>
      </c>
      <c r="J547" t="inlineStr">
        <is>
          <t>Y</t>
        </is>
      </c>
      <c r="K547" t="inlineStr">
        <is>
          <t>neoscapesmaldives.com</t>
        </is>
      </c>
      <c r="L547" t="inlineStr">
        <is>
          <t>dmc-agency</t>
        </is>
      </c>
      <c r="M547" t="inlineStr">
        <is>
          <t>https://www.neoscapesmaldives.com/wp-content/uploads/12291_Soneva-Jani-Resort-Factesheet-NEO.pdf</t>
        </is>
      </c>
      <c r="N547" t="inlineStr">
        <is>
          <t>https://www.neoscapesmaldives.com/wp-content/uploads/12291_Soneva-Jani-Resort-Factesheet-NEO.pdf</t>
        </is>
      </c>
      <c r="O547" t="inlineStr">
        <is>
          <t>84cace796d3df921a612ed1b10bc0383d461b3571a85d7d6a727fdf3a7c22fd3</t>
        </is>
      </c>
      <c r="P547" t="inlineStr">
        <is>
          <t>library/143_soneva-jani/factsheet/2019_12291_Soneva-Jani-Resort-Factesheet-NEO.pdf</t>
        </is>
      </c>
      <c r="R547" t="inlineStr">
        <is>
          <t>outdated</t>
        </is>
      </c>
      <c r="S547" t="inlineStr">
        <is>
          <t>N</t>
        </is>
      </c>
      <c r="T547" t="inlineStr">
        <is>
          <t>matched</t>
        </is>
      </c>
      <c r="U547" t="inlineStr">
        <is>
          <t>2026-10-04</t>
        </is>
      </c>
      <c r="V547" t="inlineStr"/>
    </row>
    <row r="548">
      <c r="A548" t="n">
        <v>143</v>
      </c>
      <c r="B548" t="inlineStr">
        <is>
          <t>Soneva Jani</t>
        </is>
      </c>
      <c r="C548" t="inlineStr">
        <is>
          <t>map</t>
        </is>
      </c>
      <c r="D548" t="inlineStr">
        <is>
          <t>2019_12096_Soneva-Jani-Resort-Map-1.pdf</t>
        </is>
      </c>
      <c r="E548" t="n">
        <v>2019</v>
      </c>
      <c r="H548" t="n">
        <v>1</v>
      </c>
      <c r="I548" t="n">
        <v>292</v>
      </c>
      <c r="J548" t="inlineStr">
        <is>
          <t>Y</t>
        </is>
      </c>
      <c r="K548" t="inlineStr">
        <is>
          <t>neoscapesmaldives.com</t>
        </is>
      </c>
      <c r="L548" t="inlineStr">
        <is>
          <t>dmc-agency</t>
        </is>
      </c>
      <c r="M548" t="inlineStr">
        <is>
          <t>https://www.neoscapesmaldives.com/wp-content/uploads/12096_Soneva-Jani-Resort-Map-1.pdf</t>
        </is>
      </c>
      <c r="N548" t="inlineStr">
        <is>
          <t>https://www.neoscapesmaldives.com/wp-content/uploads/12096_Soneva-Jani-Resort-Map-1.pdf</t>
        </is>
      </c>
      <c r="O548" t="inlineStr">
        <is>
          <t>229239703f8996ad0554a9df5201f8f69ea4e5364b81cac55f770eb3fb815fc0</t>
        </is>
      </c>
      <c r="P548" t="inlineStr">
        <is>
          <t>library/143_soneva-jani/map/2019_12096_Soneva-Jani-Resort-Map-1.pdf</t>
        </is>
      </c>
      <c r="R548" t="inlineStr">
        <is>
          <t>outdated</t>
        </is>
      </c>
      <c r="S548" t="inlineStr">
        <is>
          <t>Y</t>
        </is>
      </c>
      <c r="T548" t="inlineStr">
        <is>
          <t>matched</t>
        </is>
      </c>
      <c r="U548" t="inlineStr">
        <is>
          <t>2026-10-04</t>
        </is>
      </c>
      <c r="V548" t="inlineStr"/>
    </row>
    <row r="549">
      <c r="A549" t="n">
        <v>145</v>
      </c>
      <c r="B549" t="inlineStr">
        <is>
          <t>Anantara Resort and Spa Maldives</t>
        </is>
      </c>
      <c r="C549" t="inlineStr">
        <is>
          <t>factsheet</t>
        </is>
      </c>
      <c r="D549" t="inlineStr">
        <is>
          <t>2023_Anantara_Dhigu_Maldives_Factsheet_January_2023.pdf</t>
        </is>
      </c>
      <c r="E549" t="n">
        <v>2023</v>
      </c>
      <c r="H549" t="n">
        <v>12</v>
      </c>
      <c r="I549" t="n">
        <v>2618</v>
      </c>
      <c r="J549" t="inlineStr">
        <is>
          <t>Y</t>
        </is>
      </c>
      <c r="K549" t="inlineStr">
        <is>
          <t>neoscapesmaldives.com</t>
        </is>
      </c>
      <c r="L549" t="inlineStr">
        <is>
          <t>dmc-agency</t>
        </is>
      </c>
      <c r="M549" t="inlineStr">
        <is>
          <t>https://www.neoscapesmaldives.com/wp-content/uploads/Anantara_Dhigu_Maldives_Factsheet_January_2023.pdf</t>
        </is>
      </c>
      <c r="N549" t="inlineStr">
        <is>
          <t>https://www.neoscapesmaldives.com/wp-content/uploads/Anantara_Dhigu_Maldives_Factsheet_January_2023.pdf</t>
        </is>
      </c>
      <c r="O549" t="inlineStr">
        <is>
          <t>517249b58dd75812e0e056bf0102ead43622f07fecfd45897d17c3d8dc4e118d</t>
        </is>
      </c>
      <c r="P549" t="inlineStr">
        <is>
          <t>library/145_anantara-resort-and-spa-maldives/factsheet/2023_Anantara_Dhigu_Maldives_Factsheet_January_2023.pdf</t>
        </is>
      </c>
      <c r="R549" t="inlineStr">
        <is>
          <t>outdated</t>
        </is>
      </c>
      <c r="S549" t="inlineStr">
        <is>
          <t>Y</t>
        </is>
      </c>
      <c r="T549" t="inlineStr">
        <is>
          <t>matched</t>
        </is>
      </c>
      <c r="U549" t="inlineStr">
        <is>
          <t>2026-10-04</t>
        </is>
      </c>
      <c r="V549" t="inlineStr"/>
    </row>
    <row r="550">
      <c r="A550" t="n">
        <v>145</v>
      </c>
      <c r="B550" t="inlineStr">
        <is>
          <t>Anantara Resort and Spa Maldives</t>
        </is>
      </c>
      <c r="C550" t="inlineStr">
        <is>
          <t>map</t>
        </is>
      </c>
      <c r="D550" t="inlineStr">
        <is>
          <t>2021_Anantara_Dhigu_Maldives_Island_Map_December_2021.pdf</t>
        </is>
      </c>
      <c r="E550" t="n">
        <v>2021</v>
      </c>
      <c r="H550" t="n">
        <v>1</v>
      </c>
      <c r="I550" t="n">
        <v>2400</v>
      </c>
      <c r="J550" t="inlineStr">
        <is>
          <t>Y</t>
        </is>
      </c>
      <c r="K550" t="inlineStr">
        <is>
          <t>neoscapesmaldives.com</t>
        </is>
      </c>
      <c r="L550" t="inlineStr">
        <is>
          <t>dmc-agency</t>
        </is>
      </c>
      <c r="M550" t="inlineStr">
        <is>
          <t>https://www.neoscapesmaldives.com/wp-content/uploads/Anantara_Dhigu_Maldives_Island_Map_December_2021.pdf</t>
        </is>
      </c>
      <c r="N550" t="inlineStr">
        <is>
          <t>https://www.neoscapesmaldives.com/wp-content/uploads/Anantara_Dhigu_Maldives_Island_Map_December_2021.pdf</t>
        </is>
      </c>
      <c r="O550" t="inlineStr">
        <is>
          <t>d3a4041ba26236e0b12371a6253274b830f937115573c64be98c7e8009dbb45c</t>
        </is>
      </c>
      <c r="P550" t="inlineStr">
        <is>
          <t>library/145_anantara-resort-and-spa-maldives/map/2021_Anantara_Dhigu_Maldives_Island_Map_December_2021.pdf</t>
        </is>
      </c>
      <c r="R550" t="inlineStr">
        <is>
          <t>outdated</t>
        </is>
      </c>
      <c r="S550" t="inlineStr">
        <is>
          <t>Y</t>
        </is>
      </c>
      <c r="T550" t="inlineStr">
        <is>
          <t>matched</t>
        </is>
      </c>
      <c r="U550" t="inlineStr">
        <is>
          <t>2026-10-04</t>
        </is>
      </c>
      <c r="V550" t="inlineStr"/>
    </row>
    <row r="551">
      <c r="A551" t="n">
        <v>146</v>
      </c>
      <c r="B551" t="inlineStr">
        <is>
          <t>Anantara Veli and Naladhu</t>
        </is>
      </c>
      <c r="C551" t="inlineStr">
        <is>
          <t>factsheet</t>
        </is>
      </c>
      <c r="D551" t="inlineStr">
        <is>
          <t>2023_Anantara_Veli_Maldives_Factsheet_January_2023.pdf</t>
        </is>
      </c>
      <c r="E551" t="n">
        <v>2023</v>
      </c>
      <c r="H551" t="n">
        <v>12</v>
      </c>
      <c r="I551" t="n">
        <v>2723</v>
      </c>
      <c r="J551" t="inlineStr">
        <is>
          <t>Y</t>
        </is>
      </c>
      <c r="K551" t="inlineStr">
        <is>
          <t>neoscapesmaldives.com</t>
        </is>
      </c>
      <c r="L551" t="inlineStr">
        <is>
          <t>dmc-agency</t>
        </is>
      </c>
      <c r="M551" t="inlineStr">
        <is>
          <t>https://www.neoscapesmaldives.com/wp-content/uploads/Anantara_Veli_Maldives_Factsheet_January_2023.pdf</t>
        </is>
      </c>
      <c r="N551" t="inlineStr">
        <is>
          <t>https://www.neoscapesmaldives.com/wp-content/uploads/Anantara_Veli_Maldives_Factsheet_January_2023.pdf</t>
        </is>
      </c>
      <c r="O551" t="inlineStr">
        <is>
          <t>612aa3fe2e0168c9a115ef485a3cd0938bacf1afe20f251ae8c7123a235826cd</t>
        </is>
      </c>
      <c r="P551" t="inlineStr">
        <is>
          <t>library/146_anantara-veli-and-naladhu/factsheet/2023_Anantara_Veli_Maldives_Factsheet_January_2023.pdf</t>
        </is>
      </c>
      <c r="R551" t="inlineStr">
        <is>
          <t>outdated</t>
        </is>
      </c>
      <c r="S551" t="inlineStr">
        <is>
          <t>Y</t>
        </is>
      </c>
      <c r="T551" t="inlineStr">
        <is>
          <t>matched</t>
        </is>
      </c>
      <c r="U551" t="inlineStr">
        <is>
          <t>2026-10-04</t>
        </is>
      </c>
      <c r="V551" t="inlineStr"/>
    </row>
    <row r="552">
      <c r="A552" t="n">
        <v>146</v>
      </c>
      <c r="B552" t="inlineStr">
        <is>
          <t>Anantara Veli and Naladhu</t>
        </is>
      </c>
      <c r="C552" t="inlineStr">
        <is>
          <t>map</t>
        </is>
      </c>
      <c r="D552" t="inlineStr">
        <is>
          <t>2023_Anantara_Veli_Maldives_Siteplan_January_2023.pdf</t>
        </is>
      </c>
      <c r="E552" t="n">
        <v>2023</v>
      </c>
      <c r="H552" t="n">
        <v>1</v>
      </c>
      <c r="I552" t="n">
        <v>872</v>
      </c>
      <c r="J552" t="inlineStr">
        <is>
          <t>Y</t>
        </is>
      </c>
      <c r="K552" t="inlineStr">
        <is>
          <t>neoscapesmaldives.com</t>
        </is>
      </c>
      <c r="L552" t="inlineStr">
        <is>
          <t>dmc-agency</t>
        </is>
      </c>
      <c r="M552" t="inlineStr">
        <is>
          <t>https://www.neoscapesmaldives.com/wp-content/uploads/Anantara_Veli_Maldives_Siteplan_January_2023.pdf</t>
        </is>
      </c>
      <c r="N552" t="inlineStr">
        <is>
          <t>https://www.neoscapesmaldives.com/wp-content/uploads/Anantara_Veli_Maldives_Siteplan_January_2023.pdf</t>
        </is>
      </c>
      <c r="O552" t="inlineStr">
        <is>
          <t>f04d4fab6af6b6810d8564b87544b7fef5026fd01bedcb2ad95f7e04cfec3fb3</t>
        </is>
      </c>
      <c r="P552" t="inlineStr">
        <is>
          <t>library/146_anantara-veli-and-naladhu/map/2023_Anantara_Veli_Maldives_Siteplan_January_2023.pdf</t>
        </is>
      </c>
      <c r="R552" t="inlineStr">
        <is>
          <t>outdated</t>
        </is>
      </c>
      <c r="S552" t="inlineStr">
        <is>
          <t>Y</t>
        </is>
      </c>
      <c r="T552" t="inlineStr">
        <is>
          <t>matched</t>
        </is>
      </c>
      <c r="U552" t="inlineStr">
        <is>
          <t>2026-10-04</t>
        </is>
      </c>
      <c r="V552" t="inlineStr"/>
    </row>
    <row r="553">
      <c r="A553" t="n">
        <v>147</v>
      </c>
      <c r="B553" t="inlineStr">
        <is>
          <t>Sun Siyam Vilu Reef Maldives</t>
        </is>
      </c>
      <c r="C553" t="inlineStr">
        <is>
          <t>factsheet</t>
        </is>
      </c>
      <c r="D553" t="inlineStr">
        <is>
          <t>2019_Fact-Sheet-2019.pdf</t>
        </is>
      </c>
      <c r="E553" t="n">
        <v>2019</v>
      </c>
      <c r="H553" t="n">
        <v>6</v>
      </c>
      <c r="I553" t="n">
        <v>3000</v>
      </c>
      <c r="J553" t="inlineStr">
        <is>
          <t>Y</t>
        </is>
      </c>
      <c r="K553" t="inlineStr">
        <is>
          <t>neoscapesmaldives.com</t>
        </is>
      </c>
      <c r="L553" t="inlineStr">
        <is>
          <t>dmc-agency</t>
        </is>
      </c>
      <c r="M553" t="inlineStr">
        <is>
          <t>https://www.neoscapesmaldives.com/wp-content/uploads/Fact-Sheet-2019.pdf</t>
        </is>
      </c>
      <c r="N553" t="inlineStr">
        <is>
          <t>https://www.neoscapesmaldives.com/wp-content/uploads/Fact-Sheet-2019.pdf</t>
        </is>
      </c>
      <c r="O553" t="inlineStr">
        <is>
          <t>2aca940ba91a9e21b72841aa510d4a2283b4caf422e30ee46954b6a9a1c24322</t>
        </is>
      </c>
      <c r="P553" t="inlineStr">
        <is>
          <t>library/147_sun-siyam-vilu-reef-maldives/factsheet/2019_Fact-Sheet-2019.pdf</t>
        </is>
      </c>
      <c r="R553" t="inlineStr">
        <is>
          <t>outdated</t>
        </is>
      </c>
      <c r="S553" t="inlineStr">
        <is>
          <t>Y</t>
        </is>
      </c>
      <c r="T553" t="inlineStr">
        <is>
          <t>matched</t>
        </is>
      </c>
      <c r="U553" t="inlineStr">
        <is>
          <t>2026-10-04</t>
        </is>
      </c>
      <c r="V553" t="inlineStr"/>
    </row>
    <row r="554">
      <c r="A554" t="n">
        <v>147</v>
      </c>
      <c r="B554" t="inlineStr">
        <is>
          <t>Sun Siyam Vilu Reef Maldives</t>
        </is>
      </c>
      <c r="C554" t="inlineStr">
        <is>
          <t>map</t>
        </is>
      </c>
      <c r="D554" t="inlineStr">
        <is>
          <t>2019_MAP.pdf</t>
        </is>
      </c>
      <c r="E554" t="n">
        <v>2019</v>
      </c>
      <c r="H554" t="n">
        <v>1</v>
      </c>
      <c r="I554" t="n">
        <v>4228</v>
      </c>
      <c r="J554" t="inlineStr">
        <is>
          <t>N</t>
        </is>
      </c>
      <c r="K554" t="inlineStr">
        <is>
          <t>neoscapesmaldives.com</t>
        </is>
      </c>
      <c r="L554" t="inlineStr">
        <is>
          <t>dmc-agency</t>
        </is>
      </c>
      <c r="M554" t="inlineStr">
        <is>
          <t>https://www.neoscapesmaldives.com/wp-content/uploads/MAP.pdf</t>
        </is>
      </c>
      <c r="N554" t="inlineStr">
        <is>
          <t>https://www.neoscapesmaldives.com/wp-content/uploads/MAP.pdf</t>
        </is>
      </c>
      <c r="O554" t="inlineStr">
        <is>
          <t>e888e4e5991eddac91c1b4bc69d2d17edfaf950952dbaf6a43b10d9d10a07d92</t>
        </is>
      </c>
      <c r="P554" t="inlineStr">
        <is>
          <t>library/147_sun-siyam-vilu-reef-maldives/map/2019_MAP.pdf</t>
        </is>
      </c>
      <c r="R554" t="inlineStr">
        <is>
          <t>outdated</t>
        </is>
      </c>
      <c r="S554" t="inlineStr">
        <is>
          <t>Y</t>
        </is>
      </c>
      <c r="T554" t="inlineStr">
        <is>
          <t>needs-review</t>
        </is>
      </c>
      <c r="U554" t="inlineStr">
        <is>
          <t>2026-10-04</t>
        </is>
      </c>
      <c r="V554" t="inlineStr">
        <is>
          <t>ambiguous match [147]</t>
        </is>
      </c>
    </row>
    <row r="555">
      <c r="A555" t="n">
        <v>148</v>
      </c>
      <c r="B555" t="inlineStr">
        <is>
          <t>Sun Siyam Iru Fushi Maldives</t>
        </is>
      </c>
      <c r="C555" t="inlineStr">
        <is>
          <t>factsheet</t>
        </is>
      </c>
      <c r="D555" t="inlineStr">
        <is>
          <t>2019_TSSI-Factsheet.pdf</t>
        </is>
      </c>
      <c r="E555" t="n">
        <v>2019</v>
      </c>
      <c r="H555" t="n">
        <v>8</v>
      </c>
      <c r="I555" t="n">
        <v>3258</v>
      </c>
      <c r="J555" t="inlineStr">
        <is>
          <t>Y</t>
        </is>
      </c>
      <c r="K555" t="inlineStr">
        <is>
          <t>neoscapesmaldives.com</t>
        </is>
      </c>
      <c r="L555" t="inlineStr">
        <is>
          <t>dmc-agency</t>
        </is>
      </c>
      <c r="M555" t="inlineStr">
        <is>
          <t>https://www.neoscapesmaldives.com/wp-content/uploads/TSSI-Factsheet.pdf</t>
        </is>
      </c>
      <c r="N555" t="inlineStr">
        <is>
          <t>https://www.neoscapesmaldives.com/wp-content/uploads/TSSI-Factsheet.pdf</t>
        </is>
      </c>
      <c r="O555" t="inlineStr">
        <is>
          <t>68fdbde2d08d5c31fabd0334f45ed3fa375f9b02bfdd1177348393a19b5be867</t>
        </is>
      </c>
      <c r="P555" t="inlineStr">
        <is>
          <t>library/148_sun-siyam-iru-fushi-maldives/factsheet/2019_TSSI-Factsheet.pdf</t>
        </is>
      </c>
      <c r="R555" t="inlineStr">
        <is>
          <t>outdated</t>
        </is>
      </c>
      <c r="S555" t="inlineStr">
        <is>
          <t>Y</t>
        </is>
      </c>
      <c r="T555" t="inlineStr">
        <is>
          <t>matched</t>
        </is>
      </c>
      <c r="U555" t="inlineStr">
        <is>
          <t>2026-10-04</t>
        </is>
      </c>
      <c r="V555" t="inlineStr"/>
    </row>
    <row r="556">
      <c r="A556" t="n">
        <v>148</v>
      </c>
      <c r="B556" t="inlineStr">
        <is>
          <t>Sun Siyam Iru Fushi Maldives</t>
        </is>
      </c>
      <c r="C556" t="inlineStr">
        <is>
          <t>map</t>
        </is>
      </c>
      <c r="D556" t="inlineStr">
        <is>
          <t>2019_TSSI-Island-Map.pdf</t>
        </is>
      </c>
      <c r="E556" t="n">
        <v>2019</v>
      </c>
      <c r="H556" t="n">
        <v>1</v>
      </c>
      <c r="I556" t="n">
        <v>1828</v>
      </c>
      <c r="J556" t="inlineStr">
        <is>
          <t>Y</t>
        </is>
      </c>
      <c r="K556" t="inlineStr">
        <is>
          <t>neoscapesmaldives.com</t>
        </is>
      </c>
      <c r="L556" t="inlineStr">
        <is>
          <t>dmc-agency</t>
        </is>
      </c>
      <c r="M556" t="inlineStr">
        <is>
          <t>https://www.neoscapesmaldives.com/wp-content/uploads/TSSI-Island-Map.pdf</t>
        </is>
      </c>
      <c r="N556" t="inlineStr">
        <is>
          <t>https://www.neoscapesmaldives.com/wp-content/uploads/TSSI-Island-Map.pdf</t>
        </is>
      </c>
      <c r="O556" t="inlineStr">
        <is>
          <t>6f5e4f25df19555ccfee60449a2c564a5d791ad64882b7c843eddd072014c80c</t>
        </is>
      </c>
      <c r="P556" t="inlineStr">
        <is>
          <t>library/148_sun-siyam-iru-fushi-maldives/map/2019_TSSI-Island-Map.pdf</t>
        </is>
      </c>
      <c r="R556" t="inlineStr">
        <is>
          <t>outdated</t>
        </is>
      </c>
      <c r="S556" t="inlineStr">
        <is>
          <t>Y</t>
        </is>
      </c>
      <c r="T556" t="inlineStr">
        <is>
          <t>matched</t>
        </is>
      </c>
      <c r="U556" t="inlineStr">
        <is>
          <t>2026-10-04</t>
        </is>
      </c>
      <c r="V556" t="inlineStr"/>
    </row>
    <row r="557">
      <c r="A557" t="n">
        <v>148</v>
      </c>
      <c r="B557" t="inlineStr">
        <is>
          <t>Sun Siyam Iru Fushi Maldives</t>
        </is>
      </c>
      <c r="C557" t="inlineStr">
        <is>
          <t>other</t>
        </is>
      </c>
      <c r="D557" t="inlineStr">
        <is>
          <t>2015_Proce_dure-de-re_servation.pdf</t>
        </is>
      </c>
      <c r="E557" t="n">
        <v>2015</v>
      </c>
      <c r="H557" t="n">
        <v>2</v>
      </c>
      <c r="I557" t="n">
        <v>689</v>
      </c>
      <c r="J557" t="inlineStr">
        <is>
          <t>Y</t>
        </is>
      </c>
      <c r="K557" t="inlineStr">
        <is>
          <t>planhotel.com</t>
        </is>
      </c>
      <c r="L557" t="inlineStr">
        <is>
          <t>official</t>
        </is>
      </c>
      <c r="M557" t="inlineStr">
        <is>
          <t>https://d1vp8nomjxwyf1.cloudfront.net/wp-content/uploads/sites/212/2017/08/08083505/Proce%CC%81dure-de-re%CC%81servation.pdf</t>
        </is>
      </c>
      <c r="N557" t="inlineStr">
        <is>
          <t>https://d1vp8nomjxwyf1.cloudfront.net/wp-content/uploads/sites/212/2017/08/08083505/Proce%CC%81dure-de-re%CC%81servation.pdf</t>
        </is>
      </c>
      <c r="O557" t="inlineStr">
        <is>
          <t>084855f3650af2b902fd46a79375910ad721a3ca7fe505204a88c9a71b986100</t>
        </is>
      </c>
      <c r="P557" t="inlineStr">
        <is>
          <t>library/148_sun-siyam-iru-fushi-maldives/other/2015_Proce_dure-de-re_servation.pdf</t>
        </is>
      </c>
      <c r="R557" t="inlineStr">
        <is>
          <t>outdated</t>
        </is>
      </c>
      <c r="S557" t="inlineStr">
        <is>
          <t>Y</t>
        </is>
      </c>
      <c r="T557" t="inlineStr">
        <is>
          <t>matched</t>
        </is>
      </c>
      <c r="U557" t="inlineStr">
        <is>
          <t>2026-10-04</t>
        </is>
      </c>
      <c r="V557" t="inlineStr"/>
    </row>
    <row r="558">
      <c r="A558" t="n">
        <v>150</v>
      </c>
      <c r="B558" t="inlineStr">
        <is>
          <t>Coco Bodu Hithi</t>
        </is>
      </c>
      <c r="C558" t="inlineStr">
        <is>
          <t>factsheet</t>
        </is>
      </c>
      <c r="D558" t="inlineStr">
        <is>
          <t>2020_02.-Coco-Bodu-Hithi-Factsheet.pdf</t>
        </is>
      </c>
      <c r="E558" t="n">
        <v>2020</v>
      </c>
      <c r="H558" t="n">
        <v>9</v>
      </c>
      <c r="I558" t="n">
        <v>1706</v>
      </c>
      <c r="J558" t="inlineStr">
        <is>
          <t>Y</t>
        </is>
      </c>
      <c r="K558" t="inlineStr">
        <is>
          <t>neoscapesmaldives.com</t>
        </is>
      </c>
      <c r="L558" t="inlineStr">
        <is>
          <t>dmc-agency</t>
        </is>
      </c>
      <c r="M558" t="inlineStr">
        <is>
          <t>https://www.neoscapesmaldives.com/wp-content/uploads/02.-Coco-Bodu-Hithi-Factsheet.pdf</t>
        </is>
      </c>
      <c r="N558" t="inlineStr">
        <is>
          <t>https://www.neoscapesmaldives.com/wp-content/uploads/02.-Coco-Bodu-Hithi-Factsheet.pdf</t>
        </is>
      </c>
      <c r="O558" t="inlineStr">
        <is>
          <t>191aa17012bc07d1117d94febd7ef68ced0e690ee9ee584a4d37cdb060e22c89</t>
        </is>
      </c>
      <c r="P558" t="inlineStr">
        <is>
          <t>library/150_coco-bodu-hithi/factsheet/2020_02.-Coco-Bodu-Hithi-Factsheet.pdf</t>
        </is>
      </c>
      <c r="R558" t="inlineStr">
        <is>
          <t>outdated</t>
        </is>
      </c>
      <c r="S558" t="inlineStr">
        <is>
          <t>Y</t>
        </is>
      </c>
      <c r="T558" t="inlineStr">
        <is>
          <t>matched</t>
        </is>
      </c>
      <c r="U558" t="inlineStr">
        <is>
          <t>2026-10-04</t>
        </is>
      </c>
      <c r="V558" t="inlineStr"/>
    </row>
    <row r="559">
      <c r="A559" t="n">
        <v>150</v>
      </c>
      <c r="B559" t="inlineStr">
        <is>
          <t>Coco Bodu Hithi</t>
        </is>
      </c>
      <c r="C559" t="inlineStr">
        <is>
          <t>map</t>
        </is>
      </c>
      <c r="D559" t="inlineStr">
        <is>
          <t>2025_03.-Coco-Bodu-Hithi-Map.pdf</t>
        </is>
      </c>
      <c r="E559" t="n">
        <v>2025</v>
      </c>
      <c r="H559" t="n">
        <v>1</v>
      </c>
      <c r="I559" t="n">
        <v>1662</v>
      </c>
      <c r="J559" t="inlineStr">
        <is>
          <t>Y</t>
        </is>
      </c>
      <c r="K559" t="inlineStr">
        <is>
          <t>neoscapesmaldives.com</t>
        </is>
      </c>
      <c r="L559" t="inlineStr">
        <is>
          <t>dmc-agency</t>
        </is>
      </c>
      <c r="M559" t="inlineStr">
        <is>
          <t>https://www.neoscapesmaldives.com/wp-content/uploads/03.-Coco-Bodu-Hithi-Map.pdf</t>
        </is>
      </c>
      <c r="N559" t="inlineStr">
        <is>
          <t>https://www.neoscapesmaldives.com/wp-content/uploads/03.-Coco-Bodu-Hithi-Map.pdf</t>
        </is>
      </c>
      <c r="O559" t="inlineStr">
        <is>
          <t>27143fd20a3a8e5ac36b6521edaf522725b9883a6b794e38577485600e5dc87b</t>
        </is>
      </c>
      <c r="P559" t="inlineStr">
        <is>
          <t>library/150_coco-bodu-hithi/map/2025_03.-Coco-Bodu-Hithi-Map.pdf</t>
        </is>
      </c>
      <c r="R559" t="inlineStr">
        <is>
          <t>current</t>
        </is>
      </c>
      <c r="S559" t="inlineStr">
        <is>
          <t>Y</t>
        </is>
      </c>
      <c r="T559" t="inlineStr">
        <is>
          <t>matched</t>
        </is>
      </c>
      <c r="U559" t="inlineStr">
        <is>
          <t>2026-10-04</t>
        </is>
      </c>
      <c r="V559" t="inlineStr"/>
    </row>
    <row r="560">
      <c r="A560" t="n">
        <v>153</v>
      </c>
      <c r="B560" t="inlineStr">
        <is>
          <t>Taj Coral Reef Resort and Spa</t>
        </is>
      </c>
      <c r="C560" t="inlineStr">
        <is>
          <t>factsheet</t>
        </is>
      </c>
      <c r="D560" t="inlineStr">
        <is>
          <t>2021_FactSheet-Taj-Coral-Reef-Maldives-NEO.pdf</t>
        </is>
      </c>
      <c r="E560" t="n">
        <v>2021</v>
      </c>
      <c r="H560" t="n">
        <v>7</v>
      </c>
      <c r="I560" t="n">
        <v>2675</v>
      </c>
      <c r="J560" t="inlineStr">
        <is>
          <t>N</t>
        </is>
      </c>
      <c r="K560" t="inlineStr">
        <is>
          <t>neoscapesmaldives.com</t>
        </is>
      </c>
      <c r="L560" t="inlineStr">
        <is>
          <t>dmc-agency</t>
        </is>
      </c>
      <c r="M560" t="inlineStr">
        <is>
          <t>https://www.neoscapesmaldives.com/wp-content/uploads/FactSheet-Taj-Coral-Reef-Maldives-NEO.pdf</t>
        </is>
      </c>
      <c r="N560" t="inlineStr">
        <is>
          <t>https://www.neoscapesmaldives.com/wp-content/uploads/FactSheet-Taj-Coral-Reef-Maldives-NEO.pdf</t>
        </is>
      </c>
      <c r="O560" t="inlineStr">
        <is>
          <t>b6a72fa0bec576dd8feaf3f1e9e59ccfd62315858c0325c3a679a3f9bf1457b6</t>
        </is>
      </c>
      <c r="P560" t="inlineStr">
        <is>
          <t>library/153_taj-coral-reef-resort-and-spa/factsheet/2021_FactSheet-Taj-Coral-Reef-Maldives-NEO.pdf</t>
        </is>
      </c>
      <c r="R560" t="inlineStr">
        <is>
          <t>outdated</t>
        </is>
      </c>
      <c r="S560" t="inlineStr">
        <is>
          <t>Y</t>
        </is>
      </c>
      <c r="T560" t="inlineStr">
        <is>
          <t>matched</t>
        </is>
      </c>
      <c r="U560" t="inlineStr">
        <is>
          <t>2026-10-04</t>
        </is>
      </c>
      <c r="V560" t="inlineStr"/>
    </row>
    <row r="561">
      <c r="A561" t="n">
        <v>153</v>
      </c>
      <c r="B561" t="inlineStr">
        <is>
          <t>Taj Coral Reef Resort and Spa</t>
        </is>
      </c>
      <c r="C561" t="inlineStr">
        <is>
          <t>map</t>
        </is>
      </c>
      <c r="D561" t="inlineStr">
        <is>
          <t>2021_Resort-Map-Taj-Coral-Reef-Resort-and-Spa-Maldives.pdf</t>
        </is>
      </c>
      <c r="E561" t="n">
        <v>2021</v>
      </c>
      <c r="H561" t="n">
        <v>1</v>
      </c>
      <c r="I561" t="n">
        <v>390</v>
      </c>
      <c r="J561" t="inlineStr">
        <is>
          <t>N</t>
        </is>
      </c>
      <c r="K561" t="inlineStr">
        <is>
          <t>neoscapesmaldives.com</t>
        </is>
      </c>
      <c r="L561" t="inlineStr">
        <is>
          <t>dmc-agency</t>
        </is>
      </c>
      <c r="M561" t="inlineStr">
        <is>
          <t>https://www.neoscapesmaldives.com/wp-content/uploads/Resort-Map-Taj-Coral-Reef-Resort-and-Spa-Maldives.pdf</t>
        </is>
      </c>
      <c r="N561" t="inlineStr">
        <is>
          <t>https://www.neoscapesmaldives.com/wp-content/uploads/Resort-Map-Taj-Coral-Reef-Resort-and-Spa-Maldives.pdf</t>
        </is>
      </c>
      <c r="O561" t="inlineStr">
        <is>
          <t>0d24980534e7851b96e1c6ab9802e8218af3a746778a2e75c5d91e6837bf9083</t>
        </is>
      </c>
      <c r="P561" t="inlineStr">
        <is>
          <t>library/153_taj-coral-reef-resort-and-spa/map/2021_Resort-Map-Taj-Coral-Reef-Resort-and-Spa-Maldives.pdf</t>
        </is>
      </c>
      <c r="R561" t="inlineStr">
        <is>
          <t>outdated</t>
        </is>
      </c>
      <c r="S561" t="inlineStr">
        <is>
          <t>Y</t>
        </is>
      </c>
      <c r="T561" t="inlineStr">
        <is>
          <t>matched</t>
        </is>
      </c>
      <c r="U561" t="inlineStr">
        <is>
          <t>2026-10-04</t>
        </is>
      </c>
      <c r="V561" t="inlineStr"/>
    </row>
    <row r="562">
      <c r="A562" t="n">
        <v>154</v>
      </c>
      <c r="B562" t="inlineStr">
        <is>
          <t>Taj Exotica Resort &amp; Spa Maldives</t>
        </is>
      </c>
      <c r="C562" t="inlineStr">
        <is>
          <t>factsheet</t>
        </is>
      </c>
      <c r="D562" t="inlineStr">
        <is>
          <t>2021_Factsheet-Taj-Exotica-Resort-Spa-_Maldives-NEO.pdf</t>
        </is>
      </c>
      <c r="E562" t="n">
        <v>2021</v>
      </c>
      <c r="H562" t="n">
        <v>7</v>
      </c>
      <c r="I562" t="n">
        <v>1961</v>
      </c>
      <c r="J562" t="inlineStr">
        <is>
          <t>N</t>
        </is>
      </c>
      <c r="K562" t="inlineStr">
        <is>
          <t>neoscapesmaldives.com</t>
        </is>
      </c>
      <c r="L562" t="inlineStr">
        <is>
          <t>dmc-agency</t>
        </is>
      </c>
      <c r="M562" t="inlineStr">
        <is>
          <t>https://www.neoscapesmaldives.com/wp-content/uploads/Factsheet-Taj-Exotica-Resort-Spa-_Maldives-NEO.pdf</t>
        </is>
      </c>
      <c r="N562" t="inlineStr">
        <is>
          <t>https://www.neoscapesmaldives.com/wp-content/uploads/Factsheet-Taj-Exotica-Resort-Spa-_Maldives-NEO.pdf</t>
        </is>
      </c>
      <c r="O562" t="inlineStr">
        <is>
          <t>61d840d9f7314e92a97615697f4b448248ca640e0af235058671d1ded9406c5b</t>
        </is>
      </c>
      <c r="P562" t="inlineStr">
        <is>
          <t>library/154_taj-exotica-resort-spa-maldives/factsheet/2021_Factsheet-Taj-Exotica-Resort-Spa-_Maldives-NEO.pdf</t>
        </is>
      </c>
      <c r="R562" t="inlineStr">
        <is>
          <t>outdated</t>
        </is>
      </c>
      <c r="S562" t="inlineStr">
        <is>
          <t>Y</t>
        </is>
      </c>
      <c r="T562" t="inlineStr">
        <is>
          <t>matched</t>
        </is>
      </c>
      <c r="U562" t="inlineStr">
        <is>
          <t>2026-10-04</t>
        </is>
      </c>
      <c r="V562" t="inlineStr"/>
    </row>
    <row r="563">
      <c r="A563" t="n">
        <v>154</v>
      </c>
      <c r="B563" t="inlineStr">
        <is>
          <t>Taj Exotica Resort &amp; Spa Maldives</t>
        </is>
      </c>
      <c r="C563" t="inlineStr">
        <is>
          <t>map</t>
        </is>
      </c>
      <c r="D563" t="inlineStr">
        <is>
          <t>2021_Taj-Exotica-Resort-Spa-Map.pdf</t>
        </is>
      </c>
      <c r="E563" t="n">
        <v>2021</v>
      </c>
      <c r="H563" t="n">
        <v>1</v>
      </c>
      <c r="I563" t="n">
        <v>309</v>
      </c>
      <c r="J563" t="inlineStr">
        <is>
          <t>N</t>
        </is>
      </c>
      <c r="K563" t="inlineStr">
        <is>
          <t>neoscapesmaldives.com</t>
        </is>
      </c>
      <c r="L563" t="inlineStr">
        <is>
          <t>dmc-agency</t>
        </is>
      </c>
      <c r="M563" t="inlineStr">
        <is>
          <t>https://www.neoscapesmaldives.com/wp-content/uploads/Taj-Exotica-Resort-Spa-Map.pdf</t>
        </is>
      </c>
      <c r="N563" t="inlineStr">
        <is>
          <t>https://www.neoscapesmaldives.com/wp-content/uploads/Taj-Exotica-Resort-Spa-Map.pdf</t>
        </is>
      </c>
      <c r="O563" t="inlineStr">
        <is>
          <t>99ee16c340dbfa6d663e957bcd6a10ac04d69a9aeb23a4fe5f58ea0c190f5fe7</t>
        </is>
      </c>
      <c r="P563" t="inlineStr">
        <is>
          <t>library/154_taj-exotica-resort-spa-maldives/map/2021_Taj-Exotica-Resort-Spa-Map.pdf</t>
        </is>
      </c>
      <c r="R563" t="inlineStr">
        <is>
          <t>outdated</t>
        </is>
      </c>
      <c r="S563" t="inlineStr">
        <is>
          <t>Y</t>
        </is>
      </c>
      <c r="T563" t="inlineStr">
        <is>
          <t>matched</t>
        </is>
      </c>
      <c r="U563" t="inlineStr">
        <is>
          <t>2026-10-04</t>
        </is>
      </c>
      <c r="V563" t="inlineStr"/>
    </row>
    <row r="564">
      <c r="A564" t="n">
        <v>155</v>
      </c>
      <c r="B564" t="inlineStr">
        <is>
          <t>Constance Halaveli Resort</t>
        </is>
      </c>
      <c r="C564" t="inlineStr">
        <is>
          <t>factsheet</t>
        </is>
      </c>
      <c r="D564" t="inlineStr">
        <is>
          <t>2023_halaveli-factsheet-en-24april2023.pdf</t>
        </is>
      </c>
      <c r="E564" t="n">
        <v>2023</v>
      </c>
      <c r="H564" t="n">
        <v>12</v>
      </c>
      <c r="I564" t="n">
        <v>2941</v>
      </c>
      <c r="J564" t="inlineStr">
        <is>
          <t>Y</t>
        </is>
      </c>
      <c r="K564" t="inlineStr">
        <is>
          <t>neoscapesmaldives.com</t>
        </is>
      </c>
      <c r="L564" t="inlineStr">
        <is>
          <t>dmc-agency</t>
        </is>
      </c>
      <c r="M564" t="inlineStr">
        <is>
          <t>https://www.neoscapesmaldives.com/wp-content/uploads/halaveli-factsheet-en-24april2023.pdf</t>
        </is>
      </c>
      <c r="N564" t="inlineStr">
        <is>
          <t>https://www.neoscapesmaldives.com/wp-content/uploads/halaveli-factsheet-en-24april2023.pdf</t>
        </is>
      </c>
      <c r="O564" t="inlineStr">
        <is>
          <t>a1c865b185d2a4b57b33ac0d4f10de89d20eff2f930d77fbcce123a885188ea7</t>
        </is>
      </c>
      <c r="P564" t="inlineStr">
        <is>
          <t>library/155_constance-halaveli-resort/factsheet/2023_halaveli-factsheet-en-24april2023.pdf</t>
        </is>
      </c>
      <c r="R564" t="inlineStr">
        <is>
          <t>outdated</t>
        </is>
      </c>
      <c r="S564" t="inlineStr">
        <is>
          <t>Y</t>
        </is>
      </c>
      <c r="T564" t="inlineStr">
        <is>
          <t>matched</t>
        </is>
      </c>
      <c r="U564" t="inlineStr">
        <is>
          <t>2026-10-04</t>
        </is>
      </c>
      <c r="V564" t="inlineStr"/>
    </row>
    <row r="565">
      <c r="A565" t="n">
        <v>155</v>
      </c>
      <c r="B565" t="inlineStr">
        <is>
          <t>Constance Halaveli Resort</t>
        </is>
      </c>
      <c r="C565" t="inlineStr">
        <is>
          <t>map</t>
        </is>
      </c>
      <c r="D565" t="inlineStr">
        <is>
          <t>2019_constance-halaveli-location-map.pdf</t>
        </is>
      </c>
      <c r="E565" t="n">
        <v>2019</v>
      </c>
      <c r="H565" t="n">
        <v>1</v>
      </c>
      <c r="I565" t="n">
        <v>59</v>
      </c>
      <c r="J565" t="inlineStr">
        <is>
          <t>N</t>
        </is>
      </c>
      <c r="K565" t="inlineStr">
        <is>
          <t>neoscapesmaldives.com</t>
        </is>
      </c>
      <c r="L565" t="inlineStr">
        <is>
          <t>dmc-agency</t>
        </is>
      </c>
      <c r="M565" t="inlineStr">
        <is>
          <t>https://www.neoscapesmaldives.com/wp-content/uploads/constance-halaveli-location-map.pdf</t>
        </is>
      </c>
      <c r="N565" t="inlineStr">
        <is>
          <t>https://www.neoscapesmaldives.com/wp-content/uploads/constance-halaveli-location-map.pdf</t>
        </is>
      </c>
      <c r="O565" t="inlineStr">
        <is>
          <t>9bb148c31e995e4d38846624cd6d80b62a38eef654643a29658e19b0efd5e297</t>
        </is>
      </c>
      <c r="P565" t="inlineStr">
        <is>
          <t>library/155_constance-halaveli-resort/map/2019_constance-halaveli-location-map.pdf</t>
        </is>
      </c>
      <c r="R565" t="inlineStr">
        <is>
          <t>outdated</t>
        </is>
      </c>
      <c r="S565" t="inlineStr">
        <is>
          <t>Y</t>
        </is>
      </c>
      <c r="T565" t="inlineStr">
        <is>
          <t>matched</t>
        </is>
      </c>
      <c r="U565" t="inlineStr">
        <is>
          <t>2026-10-04</t>
        </is>
      </c>
      <c r="V565" t="inlineStr"/>
    </row>
    <row r="566">
      <c r="A566" t="n">
        <v>158</v>
      </c>
      <c r="B566" t="inlineStr">
        <is>
          <t>Patina Maldives, Fari Islands</t>
        </is>
      </c>
      <c r="C566" t="inlineStr">
        <is>
          <t>factsheet</t>
        </is>
      </c>
      <c r="D566" t="inlineStr">
        <is>
          <t>2025_PAM_FACTSHEET_2025.pdf</t>
        </is>
      </c>
      <c r="E566" t="n">
        <v>2025</v>
      </c>
      <c r="H566" t="n">
        <v>2</v>
      </c>
      <c r="I566" t="n">
        <v>1131</v>
      </c>
      <c r="J566" t="inlineStr">
        <is>
          <t>Y</t>
        </is>
      </c>
      <c r="K566" t="inlineStr">
        <is>
          <t>neoscapesmaldives.com</t>
        </is>
      </c>
      <c r="L566" t="inlineStr">
        <is>
          <t>dmc-agency</t>
        </is>
      </c>
      <c r="M566" t="inlineStr">
        <is>
          <t>https://www.neoscapesmaldives.com/wp-content/uploads/PAM_FACTSHEET_2025.pdf</t>
        </is>
      </c>
      <c r="N566" t="inlineStr">
        <is>
          <t>https://www.neoscapesmaldives.com/wp-content/uploads/PAM_FACTSHEET_2025.pdf</t>
        </is>
      </c>
      <c r="O566" t="inlineStr">
        <is>
          <t>a062c799005cfe80776baa56e390c74f64a80983dd3c9dc661f96073e6057aeb</t>
        </is>
      </c>
      <c r="P566" t="inlineStr">
        <is>
          <t>library/158_patina-maldives-fari-islands/factsheet/2025_PAM_FACTSHEET_2025.pdf</t>
        </is>
      </c>
      <c r="R566" t="inlineStr">
        <is>
          <t>current</t>
        </is>
      </c>
      <c r="S566" t="inlineStr">
        <is>
          <t>Y</t>
        </is>
      </c>
      <c r="T566" t="inlineStr">
        <is>
          <t>matched</t>
        </is>
      </c>
      <c r="U566" t="inlineStr">
        <is>
          <t>2026-10-04</t>
        </is>
      </c>
      <c r="V566" t="inlineStr"/>
    </row>
    <row r="567">
      <c r="A567" t="n">
        <v>158</v>
      </c>
      <c r="B567" t="inlineStr">
        <is>
          <t>Patina Maldives, Fari Islands</t>
        </is>
      </c>
      <c r="C567" t="inlineStr">
        <is>
          <t>map</t>
        </is>
      </c>
      <c r="D567" t="inlineStr">
        <is>
          <t>2021_Patina-Maldives-Fari-Islands_-Resort_Map.pdf</t>
        </is>
      </c>
      <c r="E567" t="n">
        <v>2021</v>
      </c>
      <c r="H567" t="n">
        <v>1</v>
      </c>
      <c r="I567" t="n">
        <v>1472</v>
      </c>
      <c r="J567" t="inlineStr">
        <is>
          <t>N</t>
        </is>
      </c>
      <c r="K567" t="inlineStr">
        <is>
          <t>neoscapesmaldives.com</t>
        </is>
      </c>
      <c r="L567" t="inlineStr">
        <is>
          <t>dmc-agency</t>
        </is>
      </c>
      <c r="M567" t="inlineStr">
        <is>
          <t>https://www.neoscapesmaldives.com/wp-content/uploads/Patina-Maldives-Fari-Islands_-Resort_Map.pdf</t>
        </is>
      </c>
      <c r="N567" t="inlineStr">
        <is>
          <t>https://www.neoscapesmaldives.com/wp-content/uploads/Patina-Maldives-Fari-Islands_-Resort_Map.pdf</t>
        </is>
      </c>
      <c r="O567" t="inlineStr">
        <is>
          <t>6df387c12704fcfcf5734c6e26dce40519aa52ce063ddd42a3229504e39cb4ba</t>
        </is>
      </c>
      <c r="P567" t="inlineStr">
        <is>
          <t>library/158_patina-maldives-fari-islands/map/2021_Patina-Maldives-Fari-Islands_-Resort_Map.pdf</t>
        </is>
      </c>
      <c r="R567" t="inlineStr">
        <is>
          <t>outdated</t>
        </is>
      </c>
      <c r="S567" t="inlineStr">
        <is>
          <t>Y</t>
        </is>
      </c>
      <c r="T567" t="inlineStr">
        <is>
          <t>matched</t>
        </is>
      </c>
      <c r="U567" t="inlineStr">
        <is>
          <t>2026-10-04</t>
        </is>
      </c>
      <c r="V567" t="inlineStr"/>
    </row>
    <row r="568">
      <c r="A568" t="n">
        <v>159</v>
      </c>
      <c r="B568" t="inlineStr">
        <is>
          <t>Cinnamon Dhonveli Maldives</t>
        </is>
      </c>
      <c r="C568" t="inlineStr">
        <is>
          <t>factsheet</t>
        </is>
      </c>
      <c r="D568" t="inlineStr">
        <is>
          <t>2023_Fact-sheet-Dhonveli.pdf</t>
        </is>
      </c>
      <c r="E568" t="n">
        <v>2023</v>
      </c>
      <c r="H568" t="n">
        <v>9</v>
      </c>
      <c r="I568" t="n">
        <v>6526</v>
      </c>
      <c r="J568" t="inlineStr">
        <is>
          <t>Y</t>
        </is>
      </c>
      <c r="K568" t="inlineStr">
        <is>
          <t>neoscapesmaldives.com</t>
        </is>
      </c>
      <c r="L568" t="inlineStr">
        <is>
          <t>dmc-agency</t>
        </is>
      </c>
      <c r="M568" t="inlineStr">
        <is>
          <t>https://www.neoscapesmaldives.com/wp-content/uploads/Fact-sheet-Dhonveli.pdf</t>
        </is>
      </c>
      <c r="N568" t="inlineStr">
        <is>
          <t>https://www.neoscapesmaldives.com/wp-content/uploads/Fact-sheet-Dhonveli.pdf</t>
        </is>
      </c>
      <c r="O568" t="inlineStr">
        <is>
          <t>ad81e04892dd1c982557189db18d42b78d69ced7b733f574d77063055b890be5</t>
        </is>
      </c>
      <c r="P568" t="inlineStr">
        <is>
          <t>library/159_cinnamon-dhonveli-maldives/factsheet/2023_Fact-sheet-Dhonveli.pdf</t>
        </is>
      </c>
      <c r="R568" t="inlineStr">
        <is>
          <t>outdated</t>
        </is>
      </c>
      <c r="S568" t="inlineStr">
        <is>
          <t>Y</t>
        </is>
      </c>
      <c r="T568" t="inlineStr">
        <is>
          <t>matched</t>
        </is>
      </c>
      <c r="U568" t="inlineStr">
        <is>
          <t>2026-10-04</t>
        </is>
      </c>
      <c r="V568" t="inlineStr"/>
    </row>
    <row r="569">
      <c r="A569" t="n">
        <v>159</v>
      </c>
      <c r="B569" t="inlineStr">
        <is>
          <t>Cinnamon Dhonveli Maldives</t>
        </is>
      </c>
      <c r="C569" t="inlineStr">
        <is>
          <t>map</t>
        </is>
      </c>
      <c r="D569" t="inlineStr">
        <is>
          <t>2025_Resort-Map_English.pdf</t>
        </is>
      </c>
      <c r="E569" t="n">
        <v>2025</v>
      </c>
      <c r="H569" t="n">
        <v>1</v>
      </c>
      <c r="I569" t="n">
        <v>680</v>
      </c>
      <c r="J569" t="inlineStr">
        <is>
          <t>N</t>
        </is>
      </c>
      <c r="K569" t="inlineStr">
        <is>
          <t>neoscapesmaldives.com</t>
        </is>
      </c>
      <c r="L569" t="inlineStr">
        <is>
          <t>dmc-agency</t>
        </is>
      </c>
      <c r="M569" t="inlineStr">
        <is>
          <t>https://www.neoscapesmaldives.com/wp-content/uploads/Resort-Map_English.pdf</t>
        </is>
      </c>
      <c r="N569" t="inlineStr">
        <is>
          <t>https://www.neoscapesmaldives.com/wp-content/uploads/Resort-Map_English.pdf</t>
        </is>
      </c>
      <c r="O569" t="inlineStr">
        <is>
          <t>3438a6f4d446f465c0e74ac436e585ab079790bff7265aefec03c9c43506e416</t>
        </is>
      </c>
      <c r="P569" t="inlineStr">
        <is>
          <t>library/159_cinnamon-dhonveli-maldives/map/2025_Resort-Map_English.pdf</t>
        </is>
      </c>
      <c r="R569" t="inlineStr">
        <is>
          <t>current</t>
        </is>
      </c>
      <c r="S569" t="inlineStr">
        <is>
          <t>Y</t>
        </is>
      </c>
      <c r="T569" t="inlineStr">
        <is>
          <t>needs-review</t>
        </is>
      </c>
      <c r="U569" t="inlineStr">
        <is>
          <t>2026-10-04</t>
        </is>
      </c>
      <c r="V569" t="inlineStr">
        <is>
          <t>ambiguous match [159]</t>
        </is>
      </c>
    </row>
    <row r="570">
      <c r="A570" t="n">
        <v>160</v>
      </c>
      <c r="B570" t="inlineStr">
        <is>
          <t>Cinnamon Velifushi Maldives</t>
        </is>
      </c>
      <c r="C570" t="inlineStr">
        <is>
          <t>factsheet</t>
        </is>
      </c>
      <c r="D570" t="inlineStr">
        <is>
          <t>2023_Fact-sheet-Velifushi.pdf</t>
        </is>
      </c>
      <c r="E570" t="n">
        <v>2023</v>
      </c>
      <c r="H570" t="n">
        <v>9</v>
      </c>
      <c r="I570" t="n">
        <v>4253</v>
      </c>
      <c r="J570" t="inlineStr">
        <is>
          <t>Y</t>
        </is>
      </c>
      <c r="K570" t="inlineStr">
        <is>
          <t>neoscapesmaldives.com</t>
        </is>
      </c>
      <c r="L570" t="inlineStr">
        <is>
          <t>dmc-agency</t>
        </is>
      </c>
      <c r="M570" t="inlineStr">
        <is>
          <t>https://www.neoscapesmaldives.com/wp-content/uploads/Fact-sheet-Velifushi.pdf</t>
        </is>
      </c>
      <c r="N570" t="inlineStr">
        <is>
          <t>https://www.neoscapesmaldives.com/wp-content/uploads/Fact-sheet-Velifushi.pdf</t>
        </is>
      </c>
      <c r="O570" t="inlineStr">
        <is>
          <t>11eb0b8a2629b413371f35dedd359d0ad669e83b5dfa691619e70f88905e3388</t>
        </is>
      </c>
      <c r="P570" t="inlineStr">
        <is>
          <t>library/160_cinnamon-velifushi-maldives/factsheet/2023_Fact-sheet-Velifushi.pdf</t>
        </is>
      </c>
      <c r="R570" t="inlineStr">
        <is>
          <t>outdated</t>
        </is>
      </c>
      <c r="S570" t="inlineStr">
        <is>
          <t>Y</t>
        </is>
      </c>
      <c r="T570" t="inlineStr">
        <is>
          <t>matched</t>
        </is>
      </c>
      <c r="U570" t="inlineStr">
        <is>
          <t>2026-10-04</t>
        </is>
      </c>
      <c r="V570" t="inlineStr"/>
    </row>
    <row r="571">
      <c r="A571" t="n">
        <v>160</v>
      </c>
      <c r="B571" t="inlineStr">
        <is>
          <t>Cinnamon Velifushi Maldives</t>
        </is>
      </c>
      <c r="C571" t="inlineStr">
        <is>
          <t>map</t>
        </is>
      </c>
      <c r="D571" t="inlineStr">
        <is>
          <t>2025_English_Hotel-Map_.Velifushi.pdf</t>
        </is>
      </c>
      <c r="E571" t="n">
        <v>2025</v>
      </c>
      <c r="H571" t="n">
        <v>1</v>
      </c>
      <c r="I571" t="n">
        <v>2393</v>
      </c>
      <c r="J571" t="inlineStr">
        <is>
          <t>N</t>
        </is>
      </c>
      <c r="K571" t="inlineStr">
        <is>
          <t>neoscapesmaldives.com</t>
        </is>
      </c>
      <c r="L571" t="inlineStr">
        <is>
          <t>dmc-agency</t>
        </is>
      </c>
      <c r="M571" t="inlineStr">
        <is>
          <t>https://www.neoscapesmaldives.com/wp-content/uploads/English_Hotel-Map_.Velifushi.pdf</t>
        </is>
      </c>
      <c r="N571" t="inlineStr">
        <is>
          <t>https://www.neoscapesmaldives.com/wp-content/uploads/English_Hotel-Map_.Velifushi.pdf</t>
        </is>
      </c>
      <c r="O571" t="inlineStr">
        <is>
          <t>e606031ce3f0b7e0914a39c517cf43661bb97ba3190b60529413868aab45cb43</t>
        </is>
      </c>
      <c r="P571" t="inlineStr">
        <is>
          <t>library/160_cinnamon-velifushi-maldives/map/2025_English_Hotel-Map_.Velifushi.pdf</t>
        </is>
      </c>
      <c r="R571" t="inlineStr">
        <is>
          <t>current</t>
        </is>
      </c>
      <c r="S571" t="inlineStr">
        <is>
          <t>Y</t>
        </is>
      </c>
      <c r="T571" t="inlineStr">
        <is>
          <t>matched</t>
        </is>
      </c>
      <c r="U571" t="inlineStr">
        <is>
          <t>2026-10-04</t>
        </is>
      </c>
      <c r="V571" t="inlineStr"/>
    </row>
    <row r="572">
      <c r="A572" t="n">
        <v>162</v>
      </c>
      <c r="B572" t="inlineStr">
        <is>
          <t>The Marina at Crossroads Maldives</t>
        </is>
      </c>
      <c r="C572" t="inlineStr">
        <is>
          <t>map</t>
        </is>
      </c>
      <c r="D572" t="inlineStr">
        <is>
          <t>2023_Hard-Rock-Hotel-Resort-Map-2023.pdf</t>
        </is>
      </c>
      <c r="E572" t="n">
        <v>2023</v>
      </c>
      <c r="H572" t="n">
        <v>1</v>
      </c>
      <c r="I572" t="n">
        <v>4950</v>
      </c>
      <c r="J572" t="inlineStr">
        <is>
          <t>Y</t>
        </is>
      </c>
      <c r="K572" t="inlineStr">
        <is>
          <t>neoscapesmaldives.com</t>
        </is>
      </c>
      <c r="L572" t="inlineStr">
        <is>
          <t>dmc-agency</t>
        </is>
      </c>
      <c r="M572" t="inlineStr">
        <is>
          <t>https://www.neoscapesmaldives.com/wp-content/uploads/Hard-Rock-Hotel-Resort-Map-2023.pdf</t>
        </is>
      </c>
      <c r="N572" t="inlineStr">
        <is>
          <t>https://www.neoscapesmaldives.com/wp-content/uploads/Hard-Rock-Hotel-Resort-Map-2023.pdf</t>
        </is>
      </c>
      <c r="O572" t="inlineStr">
        <is>
          <t>61ddb7b5a8c09338981be92f4512ee7f957c22b6727095a9a680452fe6d5441f</t>
        </is>
      </c>
      <c r="P572" t="inlineStr">
        <is>
          <t>library/162_the-marina-at-crossroads-maldives/map/2023_Hard-Rock-Hotel-Resort-Map-2023.pdf</t>
        </is>
      </c>
      <c r="R572" t="inlineStr">
        <is>
          <t>outdated</t>
        </is>
      </c>
      <c r="S572" t="inlineStr">
        <is>
          <t>Y</t>
        </is>
      </c>
      <c r="T572" t="inlineStr">
        <is>
          <t>matched</t>
        </is>
      </c>
      <c r="U572" t="inlineStr">
        <is>
          <t>2026-10-04</t>
        </is>
      </c>
      <c r="V572" t="inlineStr"/>
    </row>
    <row r="573">
      <c r="A573" t="n">
        <v>163</v>
      </c>
      <c r="B573" t="inlineStr">
        <is>
          <t>Adaaran Prestige Vadoo</t>
        </is>
      </c>
      <c r="C573" t="inlineStr">
        <is>
          <t>factsheet</t>
        </is>
      </c>
      <c r="D573" t="inlineStr">
        <is>
          <t>2023_Fact-Sheet-Adaara-Prestige-Vadoo.pdf</t>
        </is>
      </c>
      <c r="E573" t="n">
        <v>2023</v>
      </c>
      <c r="H573" t="n">
        <v>5</v>
      </c>
      <c r="I573" t="n">
        <v>1517</v>
      </c>
      <c r="J573" t="inlineStr">
        <is>
          <t>Y</t>
        </is>
      </c>
      <c r="K573" t="inlineStr">
        <is>
          <t>neoscapesmaldives.com</t>
        </is>
      </c>
      <c r="L573" t="inlineStr">
        <is>
          <t>dmc-agency</t>
        </is>
      </c>
      <c r="M573" t="inlineStr">
        <is>
          <t>https://www.neoscapesmaldives.com/wp-content/uploads/Fact-Sheet-Adaara-Prestige-Vadoo.pdf</t>
        </is>
      </c>
      <c r="N573" t="inlineStr">
        <is>
          <t>https://www.neoscapesmaldives.com/wp-content/uploads/Fact-Sheet-Adaara-Prestige-Vadoo.pdf</t>
        </is>
      </c>
      <c r="O573" t="inlineStr">
        <is>
          <t>b01f2b07821b4c316c0bbd7d9f36bc17c88477bcdcc1020a9ecc9bfcef53fa1e</t>
        </is>
      </c>
      <c r="P573" t="inlineStr">
        <is>
          <t>library/163_adaaran-prestige-vadoo/factsheet/2023_Fact-Sheet-Adaara-Prestige-Vadoo.pdf</t>
        </is>
      </c>
      <c r="R573" t="inlineStr">
        <is>
          <t>outdated</t>
        </is>
      </c>
      <c r="S573" t="inlineStr">
        <is>
          <t>Y</t>
        </is>
      </c>
      <c r="T573" t="inlineStr">
        <is>
          <t>matched</t>
        </is>
      </c>
      <c r="U573" t="inlineStr">
        <is>
          <t>2026-10-04</t>
        </is>
      </c>
      <c r="V573" t="inlineStr"/>
    </row>
    <row r="574">
      <c r="A574" t="n">
        <v>163</v>
      </c>
      <c r="B574" t="inlineStr">
        <is>
          <t>Adaaran Prestige Vadoo</t>
        </is>
      </c>
      <c r="C574" t="inlineStr">
        <is>
          <t>map</t>
        </is>
      </c>
      <c r="D574" t="inlineStr">
        <is>
          <t>2023_Resort-Map-Adaara-Prestige-Vadoo.pdf</t>
        </is>
      </c>
      <c r="E574" t="n">
        <v>2023</v>
      </c>
      <c r="H574" t="n">
        <v>1</v>
      </c>
      <c r="I574" t="n">
        <v>2012</v>
      </c>
      <c r="J574" t="inlineStr">
        <is>
          <t>N</t>
        </is>
      </c>
      <c r="K574" t="inlineStr">
        <is>
          <t>neoscapesmaldives.com</t>
        </is>
      </c>
      <c r="L574" t="inlineStr">
        <is>
          <t>dmc-agency</t>
        </is>
      </c>
      <c r="M574" t="inlineStr">
        <is>
          <t>https://www.neoscapesmaldives.com/wp-content/uploads/Resort-Map-Adaara-Prestige-Vadoo.pdf</t>
        </is>
      </c>
      <c r="N574" t="inlineStr">
        <is>
          <t>https://www.neoscapesmaldives.com/wp-content/uploads/Resort-Map-Adaara-Prestige-Vadoo.pdf</t>
        </is>
      </c>
      <c r="O574" t="inlineStr">
        <is>
          <t>dc6798236195c4bd885bf35481d88b4cbf1c2c27d312d7b00fe6f0e99b81d77d</t>
        </is>
      </c>
      <c r="P574" t="inlineStr">
        <is>
          <t>library/163_adaaran-prestige-vadoo/map/2023_Resort-Map-Adaara-Prestige-Vadoo.pdf</t>
        </is>
      </c>
      <c r="R574" t="inlineStr">
        <is>
          <t>outdated</t>
        </is>
      </c>
      <c r="S574" t="inlineStr">
        <is>
          <t>Y</t>
        </is>
      </c>
      <c r="T574" t="inlineStr">
        <is>
          <t>matched</t>
        </is>
      </c>
      <c r="U574" t="inlineStr">
        <is>
          <t>2026-10-04</t>
        </is>
      </c>
      <c r="V574" t="inlineStr"/>
    </row>
    <row r="575">
      <c r="A575" t="n">
        <v>163</v>
      </c>
      <c r="B575" t="inlineStr">
        <is>
          <t>Adaaran Prestige Vadoo</t>
        </is>
      </c>
      <c r="C575" t="inlineStr">
        <is>
          <t>sustainability</t>
        </is>
      </c>
      <c r="D575" t="inlineStr">
        <is>
          <t>2025_Sustainabilty-Report-APV-2025-26_compressed.pdf</t>
        </is>
      </c>
      <c r="E575" t="n">
        <v>2025</v>
      </c>
      <c r="H575" t="n">
        <v>21</v>
      </c>
      <c r="I575" t="n">
        <v>2057</v>
      </c>
      <c r="J575" t="inlineStr">
        <is>
          <t>Y</t>
        </is>
      </c>
      <c r="K575" t="inlineStr">
        <is>
          <t>adaaran.com</t>
        </is>
      </c>
      <c r="L575" t="inlineStr">
        <is>
          <t>official</t>
        </is>
      </c>
      <c r="M575" t="inlineStr">
        <is>
          <t>https://adaaran.eme-devops.com/2026/05/Sustainabilty-Report-APV-2025-26_compressed.pdf</t>
        </is>
      </c>
      <c r="N575" t="inlineStr">
        <is>
          <t>https://adaaran.eme-devops.com/2026/05/Sustainabilty-Report-APV-2025-26_compressed.pdf</t>
        </is>
      </c>
      <c r="O575" t="inlineStr">
        <is>
          <t>d3bfd9878e80ae4c8ee5ae57401863aaac2bd4d35ad3f45d5f799928d5fbbf3b</t>
        </is>
      </c>
      <c r="P575" t="inlineStr">
        <is>
          <t>library/163_adaaran-prestige-vadoo/sustainability/2025_Sustainabilty-Report-APV-2025-26_compressed.pdf</t>
        </is>
      </c>
      <c r="R575" t="inlineStr">
        <is>
          <t>current</t>
        </is>
      </c>
      <c r="S575" t="inlineStr">
        <is>
          <t>Y</t>
        </is>
      </c>
      <c r="T575" t="inlineStr">
        <is>
          <t>matched</t>
        </is>
      </c>
      <c r="U575" t="inlineStr">
        <is>
          <t>2026-10-04</t>
        </is>
      </c>
      <c r="V575" t="inlineStr"/>
    </row>
    <row r="576">
      <c r="A576" t="n">
        <v>163</v>
      </c>
      <c r="B576" t="inlineStr">
        <is>
          <t>Adaaran Prestige Vadoo</t>
        </is>
      </c>
      <c r="C576" t="inlineStr">
        <is>
          <t>sustainability</t>
        </is>
      </c>
      <c r="D576" t="inlineStr">
        <is>
          <t>2024_Adaaran-Prestige-Vadoo-_-Sustainability-Report-20242025.pdf</t>
        </is>
      </c>
      <c r="E576" t="n">
        <v>2024</v>
      </c>
      <c r="H576" t="n">
        <v>19</v>
      </c>
      <c r="I576" t="n">
        <v>2980</v>
      </c>
      <c r="J576" t="inlineStr">
        <is>
          <t>Y</t>
        </is>
      </c>
      <c r="K576" t="inlineStr">
        <is>
          <t>adaaran.com</t>
        </is>
      </c>
      <c r="L576" t="inlineStr">
        <is>
          <t>official</t>
        </is>
      </c>
      <c r="M576" t="inlineStr">
        <is>
          <t>https://adaaran.eme-devops.com/2025/08/Adaaran-Prestige-Vadoo-%E2%80%93-Sustainability-Report-20242025.pdf</t>
        </is>
      </c>
      <c r="N576" t="inlineStr">
        <is>
          <t>https://adaaran.eme-devops.com/2025/08/Adaaran-Prestige-Vadoo-%E2%80%93-Sustainability-Report-20242025.pdf</t>
        </is>
      </c>
      <c r="O576" t="inlineStr">
        <is>
          <t>42f2348038408ebed202c6e362ade2125747d3ecdcf48c91078b0204b7e8a473</t>
        </is>
      </c>
      <c r="P576" t="inlineStr">
        <is>
          <t>library/163_adaaran-prestige-vadoo/sustainability/2024_Adaaran-Prestige-Vadoo-_-Sustainability-Report-20242025.pdf</t>
        </is>
      </c>
      <c r="R576" t="inlineStr">
        <is>
          <t>outdated</t>
        </is>
      </c>
      <c r="S576" t="inlineStr">
        <is>
          <t>N</t>
        </is>
      </c>
      <c r="T576" t="inlineStr">
        <is>
          <t>matched</t>
        </is>
      </c>
      <c r="U576" t="inlineStr">
        <is>
          <t>2026-10-04</t>
        </is>
      </c>
      <c r="V576" t="inlineStr"/>
    </row>
    <row r="577">
      <c r="A577" t="n">
        <v>163</v>
      </c>
      <c r="B577" t="inlineStr">
        <is>
          <t>Adaaran Prestige Vadoo</t>
        </is>
      </c>
      <c r="C577" t="inlineStr">
        <is>
          <t>sustainability</t>
        </is>
      </c>
      <c r="D577" t="inlineStr">
        <is>
          <t>2023_Adaaran-Prestige-Vadoo-Sustainability-Report-2023-24.pdf</t>
        </is>
      </c>
      <c r="E577" t="n">
        <v>2023</v>
      </c>
      <c r="H577" t="n">
        <v>16</v>
      </c>
      <c r="I577" t="n">
        <v>2292</v>
      </c>
      <c r="J577" t="inlineStr">
        <is>
          <t>Y</t>
        </is>
      </c>
      <c r="K577" t="inlineStr">
        <is>
          <t>adaaran.com</t>
        </is>
      </c>
      <c r="L577" t="inlineStr">
        <is>
          <t>official</t>
        </is>
      </c>
      <c r="M577" t="inlineStr">
        <is>
          <t>https://adaaran.eme-devops.com/2025/08/Adaaran-Prestige-Vadoo-Sustainability-Report-2023-24.pdf</t>
        </is>
      </c>
      <c r="N577" t="inlineStr">
        <is>
          <t>https://adaaran.eme-devops.com/2025/08/Adaaran-Prestige-Vadoo-Sustainability-Report-2023-24.pdf</t>
        </is>
      </c>
      <c r="O577" t="inlineStr">
        <is>
          <t>1a3591724065ff4b8b83d8e6e234e3c5eae21855cc060991d4abd3d9a548af8b</t>
        </is>
      </c>
      <c r="P577" t="inlineStr">
        <is>
          <t>library/163_adaaran-prestige-vadoo/sustainability/2023_Adaaran-Prestige-Vadoo-Sustainability-Report-2023-24.pdf</t>
        </is>
      </c>
      <c r="R577" t="inlineStr">
        <is>
          <t>outdated</t>
        </is>
      </c>
      <c r="S577" t="inlineStr">
        <is>
          <t>N</t>
        </is>
      </c>
      <c r="T577" t="inlineStr">
        <is>
          <t>matched</t>
        </is>
      </c>
      <c r="U577" t="inlineStr">
        <is>
          <t>2026-10-04</t>
        </is>
      </c>
      <c r="V577" t="inlineStr"/>
    </row>
    <row r="578">
      <c r="A578" t="n">
        <v>163</v>
      </c>
      <c r="B578" t="inlineStr">
        <is>
          <t>Adaaran Prestige Vadoo</t>
        </is>
      </c>
      <c r="C578" t="inlineStr">
        <is>
          <t>sustainability</t>
        </is>
      </c>
      <c r="D578" t="inlineStr">
        <is>
          <t>2022_Adaaran-Prestige-Vadoo-Sustainability-Report-2022-23.pdf</t>
        </is>
      </c>
      <c r="E578" t="n">
        <v>2022</v>
      </c>
      <c r="H578" t="n">
        <v>16</v>
      </c>
      <c r="I578" t="n">
        <v>4062</v>
      </c>
      <c r="J578" t="inlineStr">
        <is>
          <t>Y</t>
        </is>
      </c>
      <c r="K578" t="inlineStr">
        <is>
          <t>adaaran.com</t>
        </is>
      </c>
      <c r="L578" t="inlineStr">
        <is>
          <t>official</t>
        </is>
      </c>
      <c r="M578" t="inlineStr">
        <is>
          <t>https://adaaran.eme-devops.com/2025/08/Adaaran-Prestige-Vadoo-Sustainability-Report-2022-23.pdf</t>
        </is>
      </c>
      <c r="N578" t="inlineStr">
        <is>
          <t>https://adaaran.eme-devops.com/2025/08/Adaaran-Prestige-Vadoo-Sustainability-Report-2022-23.pdf</t>
        </is>
      </c>
      <c r="O578" t="inlineStr">
        <is>
          <t>ca950cf98e698ec2e180670be0a31e71be3545a650f89489ea14962ca7fd0f98</t>
        </is>
      </c>
      <c r="P578" t="inlineStr">
        <is>
          <t>library/163_adaaran-prestige-vadoo/sustainability/2022_Adaaran-Prestige-Vadoo-Sustainability-Report-2022-23.pdf</t>
        </is>
      </c>
      <c r="R578" t="inlineStr">
        <is>
          <t>outdated</t>
        </is>
      </c>
      <c r="S578" t="inlineStr">
        <is>
          <t>N</t>
        </is>
      </c>
      <c r="T578" t="inlineStr">
        <is>
          <t>matched</t>
        </is>
      </c>
      <c r="U578" t="inlineStr">
        <is>
          <t>2026-10-04</t>
        </is>
      </c>
      <c r="V578" t="inlineStr"/>
    </row>
    <row r="579">
      <c r="A579" t="n">
        <v>163</v>
      </c>
      <c r="B579" t="inlineStr">
        <is>
          <t>Adaaran Prestige Vadoo</t>
        </is>
      </c>
      <c r="C579" t="inlineStr">
        <is>
          <t>sustainability</t>
        </is>
      </c>
      <c r="D579" t="inlineStr">
        <is>
          <t>2021_Adaaran-Prestige-Vadoo-Sustainability-Report-2021-22.pdf</t>
        </is>
      </c>
      <c r="E579" t="n">
        <v>2021</v>
      </c>
      <c r="H579" t="n">
        <v>18</v>
      </c>
      <c r="I579" t="n">
        <v>4923</v>
      </c>
      <c r="J579" t="inlineStr">
        <is>
          <t>Y</t>
        </is>
      </c>
      <c r="K579" t="inlineStr">
        <is>
          <t>adaaran.com</t>
        </is>
      </c>
      <c r="L579" t="inlineStr">
        <is>
          <t>official</t>
        </is>
      </c>
      <c r="M579" t="inlineStr">
        <is>
          <t>https://adaaran.eme-devops.com/2025/08/Adaaran-Prestige-Vadoo-Sustainability-Report-2021-22.pdf</t>
        </is>
      </c>
      <c r="N579" t="inlineStr">
        <is>
          <t>https://adaaran.eme-devops.com/2025/08/Adaaran-Prestige-Vadoo-Sustainability-Report-2021-22.pdf</t>
        </is>
      </c>
      <c r="O579" t="inlineStr">
        <is>
          <t>9936a7b21e8bd9fcf264a8e22b6a0b2e2c949f82c2fa7e68ac3669e92771ffae</t>
        </is>
      </c>
      <c r="P579" t="inlineStr">
        <is>
          <t>library/163_adaaran-prestige-vadoo/sustainability/2021_Adaaran-Prestige-Vadoo-Sustainability-Report-2021-22.pdf</t>
        </is>
      </c>
      <c r="R579" t="inlineStr">
        <is>
          <t>outdated</t>
        </is>
      </c>
      <c r="S579" t="inlineStr">
        <is>
          <t>N</t>
        </is>
      </c>
      <c r="T579" t="inlineStr">
        <is>
          <t>matched</t>
        </is>
      </c>
      <c r="U579" t="inlineStr">
        <is>
          <t>2026-10-04</t>
        </is>
      </c>
      <c r="V579" t="inlineStr"/>
    </row>
    <row r="580">
      <c r="A580" t="n">
        <v>163</v>
      </c>
      <c r="B580" t="inlineStr">
        <is>
          <t>Adaaran Prestige Vadoo</t>
        </is>
      </c>
      <c r="C580" t="inlineStr">
        <is>
          <t>sustainability</t>
        </is>
      </c>
      <c r="D580" t="inlineStr">
        <is>
          <t>2019_Adaaran-Prestige-Vadoo-Sustainability-Report-2019-20-21.pdf</t>
        </is>
      </c>
      <c r="E580" t="n">
        <v>2019</v>
      </c>
      <c r="H580" t="n">
        <v>16</v>
      </c>
      <c r="I580" t="n">
        <v>3724</v>
      </c>
      <c r="J580" t="inlineStr">
        <is>
          <t>N</t>
        </is>
      </c>
      <c r="K580" t="inlineStr">
        <is>
          <t>adaaran.com</t>
        </is>
      </c>
      <c r="L580" t="inlineStr">
        <is>
          <t>official</t>
        </is>
      </c>
      <c r="M580" t="inlineStr">
        <is>
          <t>https://adaaran.eme-devops.com/2025/08/Adaaran-Prestige-Vadoo-Sustainability-Report-2019-20-21.pdf</t>
        </is>
      </c>
      <c r="N580" t="inlineStr">
        <is>
          <t>https://adaaran.eme-devops.com/2025/08/Adaaran-Prestige-Vadoo-Sustainability-Report-2019-20-21.pdf</t>
        </is>
      </c>
      <c r="O580" t="inlineStr">
        <is>
          <t>592507131e46d8412ae8194301ceb311e91ff1006ad1d80cc9ded64a9a113cce</t>
        </is>
      </c>
      <c r="P580" t="inlineStr">
        <is>
          <t>library/163_adaaran-prestige-vadoo/sustainability/2019_Adaaran-Prestige-Vadoo-Sustainability-Report-2019-20-21.pdf</t>
        </is>
      </c>
      <c r="R580" t="inlineStr">
        <is>
          <t>outdated</t>
        </is>
      </c>
      <c r="S580" t="inlineStr">
        <is>
          <t>N</t>
        </is>
      </c>
      <c r="T580" t="inlineStr">
        <is>
          <t>matched</t>
        </is>
      </c>
      <c r="U580" t="inlineStr">
        <is>
          <t>2026-10-04</t>
        </is>
      </c>
      <c r="V580" t="inlineStr"/>
    </row>
    <row r="581">
      <c r="A581" t="n">
        <v>164</v>
      </c>
      <c r="B581" t="inlineStr">
        <is>
          <t>Baros Maldives</t>
        </is>
      </c>
      <c r="C581" t="inlineStr">
        <is>
          <t>factsheet</t>
        </is>
      </c>
      <c r="D581" t="inlineStr">
        <is>
          <t>2022_Factsheet-Baros-Maldives.pdf</t>
        </is>
      </c>
      <c r="E581" t="n">
        <v>2022</v>
      </c>
      <c r="H581" t="n">
        <v>8</v>
      </c>
      <c r="I581" t="n">
        <v>1757</v>
      </c>
      <c r="J581" t="inlineStr">
        <is>
          <t>Y</t>
        </is>
      </c>
      <c r="K581" t="inlineStr">
        <is>
          <t>neoscapesmaldives.com</t>
        </is>
      </c>
      <c r="L581" t="inlineStr">
        <is>
          <t>dmc-agency</t>
        </is>
      </c>
      <c r="M581" t="inlineStr">
        <is>
          <t>https://www.neoscapesmaldives.com/wp-content/uploads/Factsheet-Baros-Maldives.pdf</t>
        </is>
      </c>
      <c r="N581" t="inlineStr">
        <is>
          <t>https://www.neoscapesmaldives.com/wp-content/uploads/Factsheet-Baros-Maldives.pdf</t>
        </is>
      </c>
      <c r="O581" t="inlineStr">
        <is>
          <t>edb0616684f53c50c3a2ea0b72a1651aaf12e0047b97609807ef40e8faeaf82d</t>
        </is>
      </c>
      <c r="P581" t="inlineStr">
        <is>
          <t>library/164_baros-maldives/factsheet/2022_Factsheet-Baros-Maldives.pdf</t>
        </is>
      </c>
      <c r="R581" t="inlineStr">
        <is>
          <t>outdated</t>
        </is>
      </c>
      <c r="S581" t="inlineStr">
        <is>
          <t>Y</t>
        </is>
      </c>
      <c r="T581" t="inlineStr">
        <is>
          <t>matched</t>
        </is>
      </c>
      <c r="U581" t="inlineStr">
        <is>
          <t>2026-10-04</t>
        </is>
      </c>
      <c r="V581" t="inlineStr"/>
    </row>
    <row r="582">
      <c r="A582" t="n">
        <v>164</v>
      </c>
      <c r="B582" t="inlineStr">
        <is>
          <t>Baros Maldives</t>
        </is>
      </c>
      <c r="C582" t="inlineStr">
        <is>
          <t>map</t>
        </is>
      </c>
      <c r="D582" t="inlineStr">
        <is>
          <t>2022_Resort-Map-Baros-Maldives.pdf</t>
        </is>
      </c>
      <c r="E582" t="n">
        <v>2022</v>
      </c>
      <c r="H582" t="n">
        <v>1</v>
      </c>
      <c r="I582" t="n">
        <v>127</v>
      </c>
      <c r="J582" t="inlineStr">
        <is>
          <t>N</t>
        </is>
      </c>
      <c r="K582" t="inlineStr">
        <is>
          <t>neoscapesmaldives.com</t>
        </is>
      </c>
      <c r="L582" t="inlineStr">
        <is>
          <t>dmc-agency</t>
        </is>
      </c>
      <c r="M582" t="inlineStr">
        <is>
          <t>https://www.neoscapesmaldives.com/wp-content/uploads/Resort-Map-Baros-Maldives.pdf</t>
        </is>
      </c>
      <c r="N582" t="inlineStr">
        <is>
          <t>https://www.neoscapesmaldives.com/wp-content/uploads/Resort-Map-Baros-Maldives.pdf</t>
        </is>
      </c>
      <c r="O582" t="inlineStr">
        <is>
          <t>9be45d273b3f1b76847b108a463a995384009a63eff1951c3b963d9b4c7108a8</t>
        </is>
      </c>
      <c r="P582" t="inlineStr">
        <is>
          <t>library/164_baros-maldives/map/2022_Resort-Map-Baros-Maldives.pdf</t>
        </is>
      </c>
      <c r="R582" t="inlineStr">
        <is>
          <t>outdated</t>
        </is>
      </c>
      <c r="S582" t="inlineStr">
        <is>
          <t>Y</t>
        </is>
      </c>
      <c r="T582" t="inlineStr">
        <is>
          <t>matched</t>
        </is>
      </c>
      <c r="U582" t="inlineStr">
        <is>
          <t>2026-10-04</t>
        </is>
      </c>
      <c r="V582" t="inlineStr"/>
    </row>
    <row r="583">
      <c r="A583" t="n">
        <v>165</v>
      </c>
      <c r="B583" t="inlineStr">
        <is>
          <t>Velassaru Maldives</t>
        </is>
      </c>
      <c r="C583" t="inlineStr">
        <is>
          <t>factsheet</t>
        </is>
      </c>
      <c r="D583" t="inlineStr">
        <is>
          <t>2020_velasaru_resort_factsheet_rdc.pdf</t>
        </is>
      </c>
      <c r="E583" t="n">
        <v>2020</v>
      </c>
      <c r="H583" t="n">
        <v>6</v>
      </c>
      <c r="I583" t="n">
        <v>2193</v>
      </c>
      <c r="J583" t="inlineStr">
        <is>
          <t>Y</t>
        </is>
      </c>
      <c r="K583" t="inlineStr">
        <is>
          <t>neoscapesmaldives.com</t>
        </is>
      </c>
      <c r="L583" t="inlineStr">
        <is>
          <t>dmc-agency</t>
        </is>
      </c>
      <c r="M583" t="inlineStr">
        <is>
          <t>https://www.neoscapesmaldives.com/wp-content/uploads/velasaru_resort_factsheet_rdc.pdf</t>
        </is>
      </c>
      <c r="N583" t="inlineStr">
        <is>
          <t>https://www.neoscapesmaldives.com/wp-content/uploads/velasaru_resort_factsheet_rdc.pdf</t>
        </is>
      </c>
      <c r="O583" t="inlineStr">
        <is>
          <t>8c947b6e3b36b70b092fc63906fca51ddeb8c2d2b10d91b6d9665b4e5d5a140d</t>
        </is>
      </c>
      <c r="P583" t="inlineStr">
        <is>
          <t>library/165_velassaru-maldives/factsheet/2020_velasaru_resort_factsheet_rdc.pdf</t>
        </is>
      </c>
      <c r="R583" t="inlineStr">
        <is>
          <t>outdated</t>
        </is>
      </c>
      <c r="S583" t="inlineStr">
        <is>
          <t>Y</t>
        </is>
      </c>
      <c r="T583" t="inlineStr">
        <is>
          <t>matched</t>
        </is>
      </c>
      <c r="U583" t="inlineStr">
        <is>
          <t>2026-10-04</t>
        </is>
      </c>
      <c r="V583" t="inlineStr"/>
    </row>
    <row r="584">
      <c r="A584" t="n">
        <v>165</v>
      </c>
      <c r="B584" t="inlineStr">
        <is>
          <t>Velassaru Maldives</t>
        </is>
      </c>
      <c r="C584" t="inlineStr">
        <is>
          <t>dive_map</t>
        </is>
      </c>
      <c r="D584" t="inlineStr">
        <is>
          <t>2019_Velassaru_Resort__Snorkeling_Map.pdf</t>
        </is>
      </c>
      <c r="E584" t="n">
        <v>2019</v>
      </c>
      <c r="H584" t="n">
        <v>1</v>
      </c>
      <c r="I584" t="n">
        <v>490</v>
      </c>
      <c r="J584" t="inlineStr">
        <is>
          <t>Y</t>
        </is>
      </c>
      <c r="K584" t="inlineStr">
        <is>
          <t>neoscapesmaldives.com</t>
        </is>
      </c>
      <c r="L584" t="inlineStr">
        <is>
          <t>dmc-agency</t>
        </is>
      </c>
      <c r="M584" t="inlineStr">
        <is>
          <t>https://www.neoscapesmaldives.com/wp-content/uploads/Velassaru_Resort__Snorkeling_Map.pdf</t>
        </is>
      </c>
      <c r="N584" t="inlineStr">
        <is>
          <t>https://www.neoscapesmaldives.com/wp-content/uploads/Velassaru_Resort__Snorkeling_Map.pdf</t>
        </is>
      </c>
      <c r="O584" t="inlineStr">
        <is>
          <t>b405f99de864afdc3bdc1d203ad43439aee582913c321220b78107bbe585b1b8</t>
        </is>
      </c>
      <c r="P584" t="inlineStr">
        <is>
          <t>library/165_velassaru-maldives/dive_map/2019_Velassaru_Resort__Snorkeling_Map.pdf</t>
        </is>
      </c>
      <c r="R584" t="inlineStr">
        <is>
          <t>outdated</t>
        </is>
      </c>
      <c r="S584" t="inlineStr">
        <is>
          <t>Y</t>
        </is>
      </c>
      <c r="T584" t="inlineStr">
        <is>
          <t>matched</t>
        </is>
      </c>
      <c r="U584" t="inlineStr">
        <is>
          <t>2026-10-04</t>
        </is>
      </c>
      <c r="V584" t="inlineStr"/>
    </row>
    <row r="585">
      <c r="A585" t="n">
        <v>166</v>
      </c>
      <c r="B585" t="inlineStr">
        <is>
          <t>Kuramathi Maldives</t>
        </is>
      </c>
      <c r="C585" t="inlineStr">
        <is>
          <t>factsheet</t>
        </is>
      </c>
      <c r="D585" t="inlineStr">
        <is>
          <t>2019_Factsheet-Kuramathi-Maldives.pdf</t>
        </is>
      </c>
      <c r="E585" t="n">
        <v>2019</v>
      </c>
      <c r="H585" t="n">
        <v>8</v>
      </c>
      <c r="I585" t="n">
        <v>2913</v>
      </c>
      <c r="J585" t="inlineStr">
        <is>
          <t>Y</t>
        </is>
      </c>
      <c r="K585" t="inlineStr">
        <is>
          <t>neoscapesmaldives.com</t>
        </is>
      </c>
      <c r="L585" t="inlineStr">
        <is>
          <t>dmc-agency</t>
        </is>
      </c>
      <c r="M585" t="inlineStr">
        <is>
          <t>https://www.neoscapesmaldives.com/wp-content/uploads/Factsheet-Kuramathi-Maldives.pdf</t>
        </is>
      </c>
      <c r="N585" t="inlineStr">
        <is>
          <t>https://www.neoscapesmaldives.com/wp-content/uploads/Factsheet-Kuramathi-Maldives.pdf</t>
        </is>
      </c>
      <c r="O585" t="inlineStr">
        <is>
          <t>cb548e25cfc841f705da5aa845f504735cad56a0c1d3137f5697a9528524fcc8</t>
        </is>
      </c>
      <c r="P585" t="inlineStr">
        <is>
          <t>library/166_kuramathi-maldives/factsheet/2019_Factsheet-Kuramathi-Maldives.pdf</t>
        </is>
      </c>
      <c r="R585" t="inlineStr">
        <is>
          <t>outdated</t>
        </is>
      </c>
      <c r="S585" t="inlineStr">
        <is>
          <t>Y</t>
        </is>
      </c>
      <c r="T585" t="inlineStr">
        <is>
          <t>matched</t>
        </is>
      </c>
      <c r="U585" t="inlineStr">
        <is>
          <t>2026-10-04</t>
        </is>
      </c>
      <c r="V585" t="inlineStr"/>
    </row>
    <row r="586">
      <c r="A586" t="n">
        <v>166</v>
      </c>
      <c r="B586" t="inlineStr">
        <is>
          <t>Kuramathi Maldives</t>
        </is>
      </c>
      <c r="C586" t="inlineStr">
        <is>
          <t>map</t>
        </is>
      </c>
      <c r="D586" t="inlineStr">
        <is>
          <t>2019_Map-Kuramathi-Maldives.pdf</t>
        </is>
      </c>
      <c r="E586" t="n">
        <v>2019</v>
      </c>
      <c r="H586" t="n">
        <v>1</v>
      </c>
      <c r="I586" t="n">
        <v>616</v>
      </c>
      <c r="J586" t="inlineStr">
        <is>
          <t>N</t>
        </is>
      </c>
      <c r="K586" t="inlineStr">
        <is>
          <t>neoscapesmaldives.com</t>
        </is>
      </c>
      <c r="L586" t="inlineStr">
        <is>
          <t>dmc-agency</t>
        </is>
      </c>
      <c r="M586" t="inlineStr">
        <is>
          <t>https://www.neoscapesmaldives.com/wp-content/uploads/Map-Kuramathi-Maldives.pdf</t>
        </is>
      </c>
      <c r="N586" t="inlineStr">
        <is>
          <t>https://www.neoscapesmaldives.com/wp-content/uploads/Map-Kuramathi-Maldives.pdf</t>
        </is>
      </c>
      <c r="O586" t="inlineStr">
        <is>
          <t>481838ccc965131ac463060448738934f72592299a286298a050c5f35cf63896</t>
        </is>
      </c>
      <c r="P586" t="inlineStr">
        <is>
          <t>library/166_kuramathi-maldives/map/2019_Map-Kuramathi-Maldives.pdf</t>
        </is>
      </c>
      <c r="R586" t="inlineStr">
        <is>
          <t>outdated</t>
        </is>
      </c>
      <c r="S586" t="inlineStr">
        <is>
          <t>Y</t>
        </is>
      </c>
      <c r="T586" t="inlineStr">
        <is>
          <t>matched</t>
        </is>
      </c>
      <c r="U586" t="inlineStr">
        <is>
          <t>2026-10-04</t>
        </is>
      </c>
      <c r="V586" t="inlineStr"/>
    </row>
    <row r="587">
      <c r="A587" t="n">
        <v>167</v>
      </c>
      <c r="B587" t="inlineStr">
        <is>
          <t>Milaidhoo Island Maldives</t>
        </is>
      </c>
      <c r="C587" t="inlineStr">
        <is>
          <t>map</t>
        </is>
      </c>
      <c r="D587" t="inlineStr">
        <is>
          <t>2020_Island-Map-Milaidhoo-Island-Maldives.pdf</t>
        </is>
      </c>
      <c r="E587" t="n">
        <v>2020</v>
      </c>
      <c r="H587" t="n">
        <v>1</v>
      </c>
      <c r="I587" t="n">
        <v>844</v>
      </c>
      <c r="J587" t="inlineStr">
        <is>
          <t>N</t>
        </is>
      </c>
      <c r="K587" t="inlineStr">
        <is>
          <t>neoscapesmaldives.com</t>
        </is>
      </c>
      <c r="L587" t="inlineStr">
        <is>
          <t>dmc-agency</t>
        </is>
      </c>
      <c r="M587" t="inlineStr">
        <is>
          <t>https://www.neoscapesmaldives.com/wp-content/uploads/Island-Map-Milaidhoo-Island-Maldives.pdf</t>
        </is>
      </c>
      <c r="N587" t="inlineStr">
        <is>
          <t>https://www.neoscapesmaldives.com/wp-content/uploads/Island-Map-Milaidhoo-Island-Maldives.pdf</t>
        </is>
      </c>
      <c r="O587" t="inlineStr">
        <is>
          <t>9af009a0bf4da4605392629f6a9e3d8f0398fd722bda81b57204692b97117590</t>
        </is>
      </c>
      <c r="P587" t="inlineStr">
        <is>
          <t>library/167_milaidhoo-island-maldives/map/2020_Island-Map-Milaidhoo-Island-Maldives.pdf</t>
        </is>
      </c>
      <c r="R587" t="inlineStr">
        <is>
          <t>outdated</t>
        </is>
      </c>
      <c r="S587" t="inlineStr">
        <is>
          <t>Y</t>
        </is>
      </c>
      <c r="T587" t="inlineStr">
        <is>
          <t>matched</t>
        </is>
      </c>
      <c r="U587" t="inlineStr">
        <is>
          <t>2026-10-04</t>
        </is>
      </c>
      <c r="V587" t="inlineStr"/>
    </row>
    <row r="588">
      <c r="A588" t="n">
        <v>168</v>
      </c>
      <c r="B588" t="inlineStr">
        <is>
          <t>You &amp; Me Maldives</t>
        </is>
      </c>
      <c r="C588" t="inlineStr">
        <is>
          <t>factsheet</t>
        </is>
      </c>
      <c r="D588" t="inlineStr">
        <is>
          <t>2026_GB-_-You-_-Me-Maldives-_-Fact-Sheet-2026.pdf</t>
        </is>
      </c>
      <c r="E588" t="n">
        <v>2026</v>
      </c>
      <c r="H588" t="n">
        <v>7</v>
      </c>
      <c r="I588" t="n">
        <v>4764</v>
      </c>
      <c r="J588" t="inlineStr">
        <is>
          <t>Y</t>
        </is>
      </c>
      <c r="K588" t="inlineStr">
        <is>
          <t>neoscapesmaldives.com</t>
        </is>
      </c>
      <c r="L588" t="inlineStr">
        <is>
          <t>dmc-agency</t>
        </is>
      </c>
      <c r="M588" t="inlineStr">
        <is>
          <t>https://www.neoscapesmaldives.com/wp-content/uploads/GB-_-You-_-Me-Maldives-_-Fact-Sheet-2026.pdf</t>
        </is>
      </c>
      <c r="N588" t="inlineStr">
        <is>
          <t>https://www.neoscapesmaldives.com/wp-content/uploads/GB-_-You-_-Me-Maldives-_-Fact-Sheet-2026.pdf</t>
        </is>
      </c>
      <c r="O588" t="inlineStr">
        <is>
          <t>ffd0c1d5ffb2e5fad5bc5044660e00f1a5b9abe24419a846b08da917ca008de6</t>
        </is>
      </c>
      <c r="P588" t="inlineStr">
        <is>
          <t>library/168_you-me-maldives/factsheet/2026_GB-_-You-_-Me-Maldives-_-Fact-Sheet-2026.pdf</t>
        </is>
      </c>
      <c r="R588" t="inlineStr">
        <is>
          <t>current</t>
        </is>
      </c>
      <c r="S588" t="inlineStr">
        <is>
          <t>Y</t>
        </is>
      </c>
      <c r="T588" t="inlineStr">
        <is>
          <t>matched</t>
        </is>
      </c>
      <c r="U588" t="inlineStr">
        <is>
          <t>2026-10-04</t>
        </is>
      </c>
      <c r="V588" t="inlineStr"/>
    </row>
    <row r="589">
      <c r="A589" t="n">
        <v>168</v>
      </c>
      <c r="B589" t="inlineStr">
        <is>
          <t>You &amp; Me Maldives</t>
        </is>
      </c>
      <c r="C589" t="inlineStr">
        <is>
          <t>map</t>
        </is>
      </c>
      <c r="D589" t="inlineStr">
        <is>
          <t>2025_You-Me-Maldives-_-Resort-Map.pdf</t>
        </is>
      </c>
      <c r="E589" t="n">
        <v>2025</v>
      </c>
      <c r="H589" t="n">
        <v>1</v>
      </c>
      <c r="I589" t="n">
        <v>470</v>
      </c>
      <c r="J589" t="inlineStr">
        <is>
          <t>N</t>
        </is>
      </c>
      <c r="K589" t="inlineStr">
        <is>
          <t>neoscapesmaldives.com</t>
        </is>
      </c>
      <c r="L589" t="inlineStr">
        <is>
          <t>dmc-agency</t>
        </is>
      </c>
      <c r="M589" t="inlineStr">
        <is>
          <t>https://www.neoscapesmaldives.com/wp-content/uploads/You-Me-Maldives-_-Resort-Map.pdf</t>
        </is>
      </c>
      <c r="N589" t="inlineStr">
        <is>
          <t>https://www.neoscapesmaldives.com/wp-content/uploads/You-Me-Maldives-_-Resort-Map.pdf</t>
        </is>
      </c>
      <c r="O589" t="inlineStr">
        <is>
          <t>a1c75c48502080bf5798a40bdb0d3625490f665de6f9654439c96355dd742b18</t>
        </is>
      </c>
      <c r="P589" t="inlineStr">
        <is>
          <t>library/168_you-me-maldives/map/2025_You-Me-Maldives-_-Resort-Map.pdf</t>
        </is>
      </c>
      <c r="R589" t="inlineStr">
        <is>
          <t>current</t>
        </is>
      </c>
      <c r="S589" t="inlineStr">
        <is>
          <t>Y</t>
        </is>
      </c>
      <c r="T589" t="inlineStr">
        <is>
          <t>matched</t>
        </is>
      </c>
      <c r="U589" t="inlineStr">
        <is>
          <t>2026-10-04</t>
        </is>
      </c>
      <c r="V589" t="inlineStr"/>
    </row>
    <row r="590">
      <c r="A590" t="n">
        <v>169</v>
      </c>
      <c r="B590" t="inlineStr">
        <is>
          <t>Banyan Tree Maldives Vabbinfaru</t>
        </is>
      </c>
      <c r="C590" t="inlineStr">
        <is>
          <t>factsheet</t>
        </is>
      </c>
      <c r="D590" t="inlineStr">
        <is>
          <t>2025_Factsheet-Banyan-Tree-Vabbinfaru-compressed.pdf</t>
        </is>
      </c>
      <c r="E590" t="n">
        <v>2025</v>
      </c>
      <c r="H590" t="n">
        <v>6</v>
      </c>
      <c r="I590" t="n">
        <v>1340</v>
      </c>
      <c r="J590" t="inlineStr">
        <is>
          <t>Y</t>
        </is>
      </c>
      <c r="K590" t="inlineStr">
        <is>
          <t>neoscapesmaldives.com</t>
        </is>
      </c>
      <c r="L590" t="inlineStr">
        <is>
          <t>dmc-agency</t>
        </is>
      </c>
      <c r="M590" t="inlineStr">
        <is>
          <t>https://www.neoscapesmaldives.com/wp-content/uploads/Factsheet-Banyan-Tree-Vabbinfaru-compressed.pdf</t>
        </is>
      </c>
      <c r="N590" t="inlineStr">
        <is>
          <t>https://www.neoscapesmaldives.com/wp-content/uploads/Factsheet-Banyan-Tree-Vabbinfaru-compressed.pdf</t>
        </is>
      </c>
      <c r="O590" t="inlineStr">
        <is>
          <t>47522d2729a0bbbe284ee5a4b60ec6a3160a342e1627d0bafdf3cac2c822246f</t>
        </is>
      </c>
      <c r="P590" t="inlineStr">
        <is>
          <t>library/169_banyan-tree-maldives-vabbinfaru/factsheet/2025_Factsheet-Banyan-Tree-Vabbinfaru-compressed.pdf</t>
        </is>
      </c>
      <c r="R590" t="inlineStr">
        <is>
          <t>current</t>
        </is>
      </c>
      <c r="S590" t="inlineStr">
        <is>
          <t>Y</t>
        </is>
      </c>
      <c r="T590" t="inlineStr">
        <is>
          <t>matched</t>
        </is>
      </c>
      <c r="U590" t="inlineStr">
        <is>
          <t>2026-10-04</t>
        </is>
      </c>
      <c r="V590" t="inlineStr"/>
    </row>
    <row r="591">
      <c r="A591" t="n">
        <v>169</v>
      </c>
      <c r="B591" t="inlineStr">
        <is>
          <t>Banyan Tree Maldives Vabbinfaru</t>
        </is>
      </c>
      <c r="C591" t="inlineStr">
        <is>
          <t>map</t>
        </is>
      </c>
      <c r="D591" t="inlineStr">
        <is>
          <t>2024_BTMVMV-Resort-Map-5.0-1.pdf</t>
        </is>
      </c>
      <c r="E591" t="n">
        <v>2024</v>
      </c>
      <c r="H591" t="n">
        <v>1</v>
      </c>
      <c r="I591" t="n">
        <v>2206</v>
      </c>
      <c r="J591" t="inlineStr">
        <is>
          <t>Y</t>
        </is>
      </c>
      <c r="K591" t="inlineStr">
        <is>
          <t>neoscapesmaldives.com</t>
        </is>
      </c>
      <c r="L591" t="inlineStr">
        <is>
          <t>dmc-agency</t>
        </is>
      </c>
      <c r="M591" t="inlineStr">
        <is>
          <t>https://www.neoscapesmaldives.com/wp-content/uploads/BTMVMV-Resort-Map-5.0-1.pdf</t>
        </is>
      </c>
      <c r="N591" t="inlineStr">
        <is>
          <t>https://www.neoscapesmaldives.com/wp-content/uploads/BTMVMV-Resort-Map-5.0-1.pdf</t>
        </is>
      </c>
      <c r="O591" t="inlineStr">
        <is>
          <t>cbea9f658b85c9dae64824dee9b00fde80f64e60b697e16cdafdb3119cf2cc16</t>
        </is>
      </c>
      <c r="P591" t="inlineStr">
        <is>
          <t>library/169_banyan-tree-maldives-vabbinfaru/map/2024_BTMVMV-Resort-Map-5.0-1.pdf</t>
        </is>
      </c>
      <c r="R591" t="inlineStr">
        <is>
          <t>outdated</t>
        </is>
      </c>
      <c r="S591" t="inlineStr">
        <is>
          <t>Y</t>
        </is>
      </c>
      <c r="T591" t="inlineStr">
        <is>
          <t>needs-review</t>
        </is>
      </c>
      <c r="U591" t="inlineStr">
        <is>
          <t>2026-10-04</t>
        </is>
      </c>
      <c r="V591" t="inlineStr">
        <is>
          <t>ambiguous match [169]</t>
        </is>
      </c>
    </row>
    <row r="592">
      <c r="A592" t="n">
        <v>171</v>
      </c>
      <c r="B592" t="inlineStr">
        <is>
          <t>Velaa Private Island Maldives</t>
        </is>
      </c>
      <c r="C592" t="inlineStr">
        <is>
          <t>factsheet</t>
        </is>
      </c>
      <c r="D592" t="inlineStr">
        <is>
          <t>2019_Velaa-Private-Island-Fact-Sheet.pdf</t>
        </is>
      </c>
      <c r="E592" t="n">
        <v>2019</v>
      </c>
      <c r="H592" t="n">
        <v>11</v>
      </c>
      <c r="I592" t="n">
        <v>436</v>
      </c>
      <c r="J592" t="inlineStr">
        <is>
          <t>Y</t>
        </is>
      </c>
      <c r="K592" t="inlineStr">
        <is>
          <t>neoscapesmaldives.com</t>
        </is>
      </c>
      <c r="L592" t="inlineStr">
        <is>
          <t>dmc-agency</t>
        </is>
      </c>
      <c r="M592" t="inlineStr">
        <is>
          <t>https://neoscapesmaldives.com/wp-content/uploads/Velaa-Private-Island-Fact-Sheet.pdf</t>
        </is>
      </c>
      <c r="N592" t="inlineStr">
        <is>
          <t>https://neoscapesmaldives.com/wp-content/uploads/Velaa-Private-Island-Fact-Sheet.pdf</t>
        </is>
      </c>
      <c r="O592" t="inlineStr">
        <is>
          <t>ca58c0f475b7b8b5f4214d6b18d1a7cbe184e3bd8aba390bcf459cbf1f75d5d3</t>
        </is>
      </c>
      <c r="P592" t="inlineStr">
        <is>
          <t>library/171_velaa-private-island-maldives/factsheet/2019_Velaa-Private-Island-Fact-Sheet.pdf</t>
        </is>
      </c>
      <c r="R592" t="inlineStr">
        <is>
          <t>outdated</t>
        </is>
      </c>
      <c r="S592" t="inlineStr">
        <is>
          <t>Y</t>
        </is>
      </c>
      <c r="T592" t="inlineStr">
        <is>
          <t>matched</t>
        </is>
      </c>
      <c r="U592" t="inlineStr">
        <is>
          <t>2026-10-04</t>
        </is>
      </c>
      <c r="V592" t="inlineStr"/>
    </row>
    <row r="593">
      <c r="A593" t="n">
        <v>171</v>
      </c>
      <c r="B593" t="inlineStr">
        <is>
          <t>Velaa Private Island Maldives</t>
        </is>
      </c>
      <c r="C593" t="inlineStr">
        <is>
          <t>map</t>
        </is>
      </c>
      <c r="D593" t="inlineStr">
        <is>
          <t>2024_Dhawa-Resort-Map.pdf</t>
        </is>
      </c>
      <c r="E593" t="n">
        <v>2024</v>
      </c>
      <c r="H593" t="n">
        <v>1</v>
      </c>
      <c r="I593" t="n">
        <v>3735</v>
      </c>
      <c r="J593" t="inlineStr">
        <is>
          <t>Y</t>
        </is>
      </c>
      <c r="K593" t="inlineStr">
        <is>
          <t>neoscapesmaldives.com</t>
        </is>
      </c>
      <c r="L593" t="inlineStr">
        <is>
          <t>dmc-agency</t>
        </is>
      </c>
      <c r="M593" t="inlineStr">
        <is>
          <t>https://www.neoscapesmaldives.com/wp-content/uploads/Dhawa-Resort-Map.pdf</t>
        </is>
      </c>
      <c r="N593" t="inlineStr">
        <is>
          <t>https://www.neoscapesmaldives.com/wp-content/uploads/Dhawa-Resort-Map.pdf</t>
        </is>
      </c>
      <c r="O593" t="inlineStr">
        <is>
          <t>8389d98df4d35066d3973adc70a7192e673ca04047951196320b9636388820d5</t>
        </is>
      </c>
      <c r="P593" t="inlineStr">
        <is>
          <t>library/171_velaa-private-island-maldives/map/2024_Dhawa-Resort-Map.pdf</t>
        </is>
      </c>
      <c r="R593" t="inlineStr">
        <is>
          <t>outdated</t>
        </is>
      </c>
      <c r="S593" t="inlineStr">
        <is>
          <t>Y</t>
        </is>
      </c>
      <c r="T593" t="inlineStr">
        <is>
          <t>matched</t>
        </is>
      </c>
      <c r="U593" t="inlineStr">
        <is>
          <t>2026-10-04</t>
        </is>
      </c>
      <c r="V593" t="inlineStr"/>
    </row>
    <row r="594">
      <c r="A594" t="n">
        <v>171</v>
      </c>
      <c r="B594" t="inlineStr">
        <is>
          <t>Velaa Private Island Maldives</t>
        </is>
      </c>
      <c r="C594" t="inlineStr">
        <is>
          <t>map</t>
        </is>
      </c>
      <c r="D594" t="inlineStr">
        <is>
          <t>2020_Velaa-Private-Island-Map.pdf</t>
        </is>
      </c>
      <c r="E594" t="n">
        <v>2020</v>
      </c>
      <c r="H594" t="n">
        <v>1</v>
      </c>
      <c r="I594" t="n">
        <v>69</v>
      </c>
      <c r="J594" t="inlineStr">
        <is>
          <t>N</t>
        </is>
      </c>
      <c r="K594" t="inlineStr">
        <is>
          <t>neoscapesmaldives.com</t>
        </is>
      </c>
      <c r="L594" t="inlineStr">
        <is>
          <t>dmc-agency</t>
        </is>
      </c>
      <c r="M594" t="inlineStr">
        <is>
          <t>https://www.neoscapesmaldives.com/wp-content/uploads/Velaa-Private-Island-Map.pdf</t>
        </is>
      </c>
      <c r="N594" t="inlineStr">
        <is>
          <t>https://www.neoscapesmaldives.com/wp-content/uploads/Velaa-Private-Island-Map.pdf</t>
        </is>
      </c>
      <c r="O594" t="inlineStr">
        <is>
          <t>5065bde0c30f252cd386004e79bf7e1ad1f6babed8e1efa4a16f80af01cc7c44</t>
        </is>
      </c>
      <c r="P594" t="inlineStr">
        <is>
          <t>library/171_velaa-private-island-maldives/map/2020_Velaa-Private-Island-Map.pdf</t>
        </is>
      </c>
      <c r="R594" t="inlineStr">
        <is>
          <t>outdated</t>
        </is>
      </c>
      <c r="S594" t="inlineStr">
        <is>
          <t>N</t>
        </is>
      </c>
      <c r="T594" t="inlineStr">
        <is>
          <t>matched</t>
        </is>
      </c>
      <c r="U594" t="inlineStr">
        <is>
          <t>2026-10-04</t>
        </is>
      </c>
      <c r="V594" t="inlineStr"/>
    </row>
    <row r="595">
      <c r="A595" t="n">
        <v>172</v>
      </c>
      <c r="B595" t="inlineStr">
        <is>
          <t>Mirihi Island Resort</t>
        </is>
      </c>
      <c r="C595" t="inlineStr">
        <is>
          <t>factsheet</t>
        </is>
      </c>
      <c r="D595" t="inlineStr">
        <is>
          <t>2017_mirihi_fact_sheet.pdf</t>
        </is>
      </c>
      <c r="E595" t="n">
        <v>2017</v>
      </c>
      <c r="H595" t="n">
        <v>4</v>
      </c>
      <c r="I595" t="n">
        <v>1320</v>
      </c>
      <c r="J595" t="inlineStr">
        <is>
          <t>N</t>
        </is>
      </c>
      <c r="K595" t="inlineStr">
        <is>
          <t>sales.crownandchamparesorts.com</t>
        </is>
      </c>
      <c r="L595" t="inlineStr">
        <is>
          <t>brand-cdn</t>
        </is>
      </c>
      <c r="M595" t="inlineStr">
        <is>
          <t>https://sales.crownandchamparesorts.com/wp-content/uploads/2018/04/mirihi_fact_sheet.pdf</t>
        </is>
      </c>
      <c r="N595" t="inlineStr">
        <is>
          <t>https://sales.crownandchamparesorts.com/wp-content/uploads/2018/04/mirihi_fact_sheet.pdf</t>
        </is>
      </c>
      <c r="O595" t="inlineStr">
        <is>
          <t>184f3245eb4f5c4b81499add073d2dbdaed0953b6004163974f25ef6653a2e18</t>
        </is>
      </c>
      <c r="P595" t="inlineStr">
        <is>
          <t>library/172_mirihi-island-resort/factsheet/2017_mirihi_fact_sheet.pdf</t>
        </is>
      </c>
      <c r="R595" t="inlineStr">
        <is>
          <t>outdated</t>
        </is>
      </c>
      <c r="S595" t="inlineStr">
        <is>
          <t>Y</t>
        </is>
      </c>
      <c r="T595" t="inlineStr">
        <is>
          <t>matched</t>
        </is>
      </c>
      <c r="U595" t="inlineStr">
        <is>
          <t>2026-10-04</t>
        </is>
      </c>
      <c r="V595" t="inlineStr"/>
    </row>
    <row r="596">
      <c r="A596" t="n">
        <v>172</v>
      </c>
      <c r="B596" t="inlineStr">
        <is>
          <t>Mirihi Island Resort</t>
        </is>
      </c>
      <c r="C596" t="inlineStr">
        <is>
          <t>factsheet</t>
        </is>
      </c>
      <c r="D596" t="inlineStr">
        <is>
          <t>2014_MirihiFactSheet_EnglishRev170818-NEW.pdf</t>
        </is>
      </c>
      <c r="E596" t="n">
        <v>2014</v>
      </c>
      <c r="H596" t="n">
        <v>4</v>
      </c>
      <c r="I596" t="n">
        <v>626</v>
      </c>
      <c r="J596" t="inlineStr">
        <is>
          <t>Y</t>
        </is>
      </c>
      <c r="K596" t="inlineStr">
        <is>
          <t>sales.crownandchamparesorts.com</t>
        </is>
      </c>
      <c r="L596" t="inlineStr">
        <is>
          <t>brand-cdn</t>
        </is>
      </c>
      <c r="M596" t="inlineStr">
        <is>
          <t>https://sales.crownandchamparesorts.com/wp-content/uploads/2018/10/MirihiFactSheet_EnglishRev170818-NEW.pdf</t>
        </is>
      </c>
      <c r="N596" t="inlineStr">
        <is>
          <t>https://sales.crownandchamparesorts.com/wp-content/uploads/2018/10/MirihiFactSheet_EnglishRev170818-NEW.pdf</t>
        </is>
      </c>
      <c r="O596" t="inlineStr">
        <is>
          <t>94e636ed5ba881f34ff402d9f40094a00c58ce3911096e30ad4566974d7d7811</t>
        </is>
      </c>
      <c r="P596" t="inlineStr">
        <is>
          <t>library/172_mirihi-island-resort/factsheet/2014_MirihiFactSheet_EnglishRev170818-NEW.pdf</t>
        </is>
      </c>
      <c r="R596" t="inlineStr">
        <is>
          <t>outdated</t>
        </is>
      </c>
      <c r="S596" t="inlineStr">
        <is>
          <t>N</t>
        </is>
      </c>
      <c r="T596" t="inlineStr">
        <is>
          <t>matched</t>
        </is>
      </c>
      <c r="U596" t="inlineStr">
        <is>
          <t>2026-10-04</t>
        </is>
      </c>
      <c r="V596" t="inlineStr"/>
    </row>
    <row r="597">
      <c r="A597" t="n">
        <v>173</v>
      </c>
      <c r="B597" t="inlineStr">
        <is>
          <t>Kurumba Maldives</t>
        </is>
      </c>
      <c r="C597" t="inlineStr">
        <is>
          <t>factsheet</t>
        </is>
      </c>
      <c r="D597" t="inlineStr">
        <is>
          <t>2019_Factsheet-Kurumba-Maldives.pdf</t>
        </is>
      </c>
      <c r="E597" t="n">
        <v>2019</v>
      </c>
      <c r="H597" t="n">
        <v>2</v>
      </c>
      <c r="I597" t="n">
        <v>907</v>
      </c>
      <c r="J597" t="inlineStr">
        <is>
          <t>Y</t>
        </is>
      </c>
      <c r="K597" t="inlineStr">
        <is>
          <t>neoscapesmaldives.com</t>
        </is>
      </c>
      <c r="L597" t="inlineStr">
        <is>
          <t>dmc-agency</t>
        </is>
      </c>
      <c r="M597" t="inlineStr">
        <is>
          <t>https://www.neoscapesmaldives.com/wp-content/uploads/Factsheet-Kurumba-Maldives.pdf</t>
        </is>
      </c>
      <c r="N597" t="inlineStr">
        <is>
          <t>https://www.neoscapesmaldives.com/wp-content/uploads/Factsheet-Kurumba-Maldives.pdf</t>
        </is>
      </c>
      <c r="O597" t="inlineStr">
        <is>
          <t>8e3fc4068e31f0aa86241f995fc7457c435294b457b44dd574fb7dc2b869b98f</t>
        </is>
      </c>
      <c r="P597" t="inlineStr">
        <is>
          <t>library/173_kurumba-maldives/factsheet/2019_Factsheet-Kurumba-Maldives.pdf</t>
        </is>
      </c>
      <c r="R597" t="inlineStr">
        <is>
          <t>outdated</t>
        </is>
      </c>
      <c r="S597" t="inlineStr">
        <is>
          <t>Y</t>
        </is>
      </c>
      <c r="T597" t="inlineStr">
        <is>
          <t>matched</t>
        </is>
      </c>
      <c r="U597" t="inlineStr">
        <is>
          <t>2026-10-04</t>
        </is>
      </c>
      <c r="V597" t="inlineStr"/>
    </row>
    <row r="598">
      <c r="A598" t="n">
        <v>173</v>
      </c>
      <c r="B598" t="inlineStr">
        <is>
          <t>Kurumba Maldives</t>
        </is>
      </c>
      <c r="C598" t="inlineStr">
        <is>
          <t>map</t>
        </is>
      </c>
      <c r="D598" t="inlineStr">
        <is>
          <t>2019_Map-Kurumba-Maldives.pdf</t>
        </is>
      </c>
      <c r="E598" t="n">
        <v>2019</v>
      </c>
      <c r="H598" t="n">
        <v>1</v>
      </c>
      <c r="I598" t="n">
        <v>1128</v>
      </c>
      <c r="J598" t="inlineStr">
        <is>
          <t>Y</t>
        </is>
      </c>
      <c r="K598" t="inlineStr">
        <is>
          <t>neoscapesmaldives.com</t>
        </is>
      </c>
      <c r="L598" t="inlineStr">
        <is>
          <t>dmc-agency</t>
        </is>
      </c>
      <c r="M598" t="inlineStr">
        <is>
          <t>https://www.neoscapesmaldives.com/wp-content/uploads/Map-Kurumba-Maldives.pdf</t>
        </is>
      </c>
      <c r="N598" t="inlineStr">
        <is>
          <t>https://www.neoscapesmaldives.com/wp-content/uploads/Map-Kurumba-Maldives.pdf</t>
        </is>
      </c>
      <c r="O598" t="inlineStr">
        <is>
          <t>d3b0bd5f663f7049f3dff951dde2fcef467a332538e29ce6dab09393cd14eb6e</t>
        </is>
      </c>
      <c r="P598" t="inlineStr">
        <is>
          <t>library/173_kurumba-maldives/map/2019_Map-Kurumba-Maldives.pdf</t>
        </is>
      </c>
      <c r="R598" t="inlineStr">
        <is>
          <t>outdated</t>
        </is>
      </c>
      <c r="S598" t="inlineStr">
        <is>
          <t>Y</t>
        </is>
      </c>
      <c r="T598" t="inlineStr">
        <is>
          <t>matched</t>
        </is>
      </c>
      <c r="U598" t="inlineStr">
        <is>
          <t>2026-10-04</t>
        </is>
      </c>
      <c r="V598" t="inlineStr"/>
    </row>
    <row r="599">
      <c r="A599" t="n">
        <v>174</v>
      </c>
      <c r="B599" t="inlineStr">
        <is>
          <t>Vilamendhoo Island Resort</t>
        </is>
      </c>
      <c r="C599" t="inlineStr">
        <is>
          <t>factsheet</t>
        </is>
      </c>
      <c r="D599" t="inlineStr">
        <is>
          <t>2025_FactSheetVilamendhoo110125103126Ver260425.pdf</t>
        </is>
      </c>
      <c r="E599" t="n">
        <v>2025</v>
      </c>
      <c r="F599" t="inlineStr">
        <is>
          <t>2025-11-01</t>
        </is>
      </c>
      <c r="G599" t="inlineStr">
        <is>
          <t>2026-10-31</t>
        </is>
      </c>
      <c r="H599" t="n">
        <v>3</v>
      </c>
      <c r="I599" t="n">
        <v>400</v>
      </c>
      <c r="J599" t="inlineStr">
        <is>
          <t>Y</t>
        </is>
      </c>
      <c r="K599" t="inlineStr">
        <is>
          <t>sales.crownandchamparesorts.com</t>
        </is>
      </c>
      <c r="L599" t="inlineStr">
        <is>
          <t>brand-cdn</t>
        </is>
      </c>
      <c r="M599" t="inlineStr">
        <is>
          <t>https://sales.crownandchamparesorts.com/wp-content/uploads/2025/12/FactSheetVilamendhoo110125103126Ver260425.pdf</t>
        </is>
      </c>
      <c r="N599" t="inlineStr">
        <is>
          <t>https://sales.crownandchamparesorts.com/wp-content/uploads/2025/12/FactSheetVilamendhoo110125103126Ver260425.pdf</t>
        </is>
      </c>
      <c r="O599" t="inlineStr">
        <is>
          <t>315c4ecaa34cef3212a795ca7c40dd540afa001f94b0b99c3253f080c83bde76</t>
        </is>
      </c>
      <c r="P599" t="inlineStr">
        <is>
          <t>library/174_vilamendhoo-island-resort/factsheet/2025_FactSheetVilamendhoo110125103126Ver260425.pdf</t>
        </is>
      </c>
      <c r="R599" t="inlineStr">
        <is>
          <t>current</t>
        </is>
      </c>
      <c r="S599" t="inlineStr">
        <is>
          <t>Y</t>
        </is>
      </c>
      <c r="T599" t="inlineStr">
        <is>
          <t>matched</t>
        </is>
      </c>
      <c r="U599" t="inlineStr">
        <is>
          <t>2026-10-04</t>
        </is>
      </c>
      <c r="V599" t="inlineStr"/>
    </row>
    <row r="600">
      <c r="A600" t="n">
        <v>174</v>
      </c>
      <c r="B600" t="inlineStr">
        <is>
          <t>Vilamendhoo Island Resort</t>
        </is>
      </c>
      <c r="C600" t="inlineStr">
        <is>
          <t>factsheet</t>
        </is>
      </c>
      <c r="D600" t="inlineStr">
        <is>
          <t>2021_FactSheetVilamendhoo110121103122Ver110121.pdf</t>
        </is>
      </c>
      <c r="E600" t="n">
        <v>2021</v>
      </c>
      <c r="F600" t="inlineStr">
        <is>
          <t>2021-11-01</t>
        </is>
      </c>
      <c r="G600" t="inlineStr">
        <is>
          <t>2022-10-31</t>
        </is>
      </c>
      <c r="H600" t="n">
        <v>3</v>
      </c>
      <c r="I600" t="n">
        <v>1095</v>
      </c>
      <c r="J600" t="inlineStr">
        <is>
          <t>Y</t>
        </is>
      </c>
      <c r="K600" t="inlineStr">
        <is>
          <t>sales.crownandchamparesorts.com</t>
        </is>
      </c>
      <c r="L600" t="inlineStr">
        <is>
          <t>brand-cdn</t>
        </is>
      </c>
      <c r="M600" t="inlineStr">
        <is>
          <t>https://sales.crownandchamparesorts.com/wp-content/uploads/2023/08/FactSheetVilamendhoo110121103122Ver110121.pdf</t>
        </is>
      </c>
      <c r="N600" t="inlineStr">
        <is>
          <t>https://sales.crownandchamparesorts.com/wp-content/uploads/2023/08/FactSheetVilamendhoo110121103122Ver110121.pdf</t>
        </is>
      </c>
      <c r="O600" t="inlineStr">
        <is>
          <t>6671ba49d7716e12338b5e8703952f262059aefd7a7ee463e66c948b5ead1e99</t>
        </is>
      </c>
      <c r="P600" t="inlineStr">
        <is>
          <t>library/174_vilamendhoo-island-resort/factsheet/2021_FactSheetVilamendhoo110121103122Ver110121.pdf</t>
        </is>
      </c>
      <c r="R600" t="inlineStr">
        <is>
          <t>outdated</t>
        </is>
      </c>
      <c r="S600" t="inlineStr">
        <is>
          <t>N</t>
        </is>
      </c>
      <c r="T600" t="inlineStr">
        <is>
          <t>matched</t>
        </is>
      </c>
      <c r="U600" t="inlineStr">
        <is>
          <t>2026-10-04</t>
        </is>
      </c>
      <c r="V600" t="inlineStr"/>
    </row>
    <row r="601">
      <c r="A601" t="n">
        <v>174</v>
      </c>
      <c r="B601" t="inlineStr">
        <is>
          <t>Vilamendhoo Island Resort</t>
        </is>
      </c>
      <c r="C601" t="inlineStr">
        <is>
          <t>factsheet</t>
        </is>
      </c>
      <c r="D601" t="inlineStr">
        <is>
          <t>2020_FactSheetVilamendhoo110120103121Ver092220.pdf</t>
        </is>
      </c>
      <c r="E601" t="n">
        <v>2020</v>
      </c>
      <c r="F601" t="inlineStr">
        <is>
          <t>2020-11-01</t>
        </is>
      </c>
      <c r="G601" t="inlineStr">
        <is>
          <t>2021-10-31</t>
        </is>
      </c>
      <c r="H601" t="n">
        <v>3</v>
      </c>
      <c r="I601" t="n">
        <v>1042</v>
      </c>
      <c r="J601" t="inlineStr">
        <is>
          <t>Y</t>
        </is>
      </c>
      <c r="K601" t="inlineStr">
        <is>
          <t>sales.crownandchamparesorts.com</t>
        </is>
      </c>
      <c r="L601" t="inlineStr">
        <is>
          <t>brand-cdn</t>
        </is>
      </c>
      <c r="M601" t="inlineStr">
        <is>
          <t>https://sales.crownandchamparesorts.com/wp-content/uploads/2018/10/FactSheetVilamendhoo110120103121Ver092220.pdf</t>
        </is>
      </c>
      <c r="N601" t="inlineStr">
        <is>
          <t>https://sales.crownandchamparesorts.com/wp-content/uploads/2018/10/FactSheetVilamendhoo110120103121Ver092220.pdf</t>
        </is>
      </c>
      <c r="O601" t="inlineStr">
        <is>
          <t>090d77f017ea3fe26f4fc55fc63f43139c041d85bbe5dc520b359f4943e34e6f</t>
        </is>
      </c>
      <c r="P601" t="inlineStr">
        <is>
          <t>library/174_vilamendhoo-island-resort/factsheet/2020_FactSheetVilamendhoo110120103121Ver092220.pdf</t>
        </is>
      </c>
      <c r="R601" t="inlineStr">
        <is>
          <t>outdated</t>
        </is>
      </c>
      <c r="S601" t="inlineStr">
        <is>
          <t>N</t>
        </is>
      </c>
      <c r="T601" t="inlineStr">
        <is>
          <t>matched</t>
        </is>
      </c>
      <c r="U601" t="inlineStr">
        <is>
          <t>2026-10-04</t>
        </is>
      </c>
      <c r="V601" t="inlineStr"/>
    </row>
    <row r="602">
      <c r="A602" t="n">
        <v>174</v>
      </c>
      <c r="B602" t="inlineStr">
        <is>
          <t>Vilamendhoo Island Resort</t>
        </is>
      </c>
      <c r="C602" t="inlineStr">
        <is>
          <t>map</t>
        </is>
      </c>
      <c r="D602" t="inlineStr">
        <is>
          <t>2025_Vilamendhoo_IslandMapExitSigns-Apr25.pdf</t>
        </is>
      </c>
      <c r="E602" t="n">
        <v>2025</v>
      </c>
      <c r="H602" t="n">
        <v>1</v>
      </c>
      <c r="I602" t="n">
        <v>1295</v>
      </c>
      <c r="J602" t="inlineStr">
        <is>
          <t>N</t>
        </is>
      </c>
      <c r="K602" t="inlineStr">
        <is>
          <t>sales.crownandchamparesorts.com</t>
        </is>
      </c>
      <c r="L602" t="inlineStr">
        <is>
          <t>brand-cdn</t>
        </is>
      </c>
      <c r="M602" t="inlineStr">
        <is>
          <t>https://sales.crownandchamparesorts.com/wp-content/uploads/2025/08/Vilamendhoo_IslandMapExitSigns-Apr25.pdf</t>
        </is>
      </c>
      <c r="N602" t="inlineStr">
        <is>
          <t>https://sales.crownandchamparesorts.com/wp-content/uploads/2025/08/Vilamendhoo_IslandMapExitSigns-Apr25.pdf</t>
        </is>
      </c>
      <c r="O602" t="inlineStr">
        <is>
          <t>814ebed6dce4b6cab096745a7f427ff0428898c7545124cb1ce705db7d0c1f98</t>
        </is>
      </c>
      <c r="P602" t="inlineStr">
        <is>
          <t>library/174_vilamendhoo-island-resort/map/2025_Vilamendhoo_IslandMapExitSigns-Apr25.pdf</t>
        </is>
      </c>
      <c r="R602" t="inlineStr">
        <is>
          <t>current</t>
        </is>
      </c>
      <c r="S602" t="inlineStr">
        <is>
          <t>Y</t>
        </is>
      </c>
      <c r="T602" t="inlineStr">
        <is>
          <t>matched</t>
        </is>
      </c>
      <c r="U602" t="inlineStr">
        <is>
          <t>2026-10-04</t>
        </is>
      </c>
      <c r="V602" t="inlineStr"/>
    </row>
    <row r="603">
      <c r="A603" t="n">
        <v>174</v>
      </c>
      <c r="B603" t="inlineStr">
        <is>
          <t>Vilamendhoo Island Resort</t>
        </is>
      </c>
      <c r="C603" t="inlineStr">
        <is>
          <t>map</t>
        </is>
      </c>
      <c r="D603" t="inlineStr">
        <is>
          <t>2018_MapVilamendhoo120418ColorEnglish.pdf</t>
        </is>
      </c>
      <c r="E603" t="n">
        <v>2018</v>
      </c>
      <c r="H603" t="n">
        <v>1</v>
      </c>
      <c r="I603" t="n">
        <v>520</v>
      </c>
      <c r="J603" t="inlineStr">
        <is>
          <t>Y</t>
        </is>
      </c>
      <c r="K603" t="inlineStr">
        <is>
          <t>sales.crownandchamparesorts.com</t>
        </is>
      </c>
      <c r="L603" t="inlineStr">
        <is>
          <t>brand-cdn</t>
        </is>
      </c>
      <c r="M603" t="inlineStr">
        <is>
          <t>https://sales.crownandchamparesorts.com/wp-content/uploads/2019/05/MapVilamendhoo120418ColorEnglish.pdf</t>
        </is>
      </c>
      <c r="N603" t="inlineStr">
        <is>
          <t>https://sales.crownandchamparesorts.com/wp-content/uploads/2019/05/MapVilamendhoo120418ColorEnglish.pdf | https://sales.crownandchamparesorts.com/wp-content/uploads/2018/04/MapVilamendhoo120418ColorEnglish.pdf</t>
        </is>
      </c>
      <c r="O603" t="inlineStr">
        <is>
          <t>058ab616db8d5fde05398b011bbcb70ec2ca1596422e8ad1dcd704fdf38d6643</t>
        </is>
      </c>
      <c r="P603" t="inlineStr">
        <is>
          <t>library/174_vilamendhoo-island-resort/map/2018_MapVilamendhoo120418ColorEnglish.pdf</t>
        </is>
      </c>
      <c r="R603" t="inlineStr">
        <is>
          <t>outdated</t>
        </is>
      </c>
      <c r="S603" t="inlineStr">
        <is>
          <t>N</t>
        </is>
      </c>
      <c r="T603" t="inlineStr">
        <is>
          <t>matched</t>
        </is>
      </c>
      <c r="U603" t="inlineStr">
        <is>
          <t>2026-10-04</t>
        </is>
      </c>
      <c r="V603" t="inlineStr"/>
    </row>
    <row r="604">
      <c r="A604" t="n">
        <v>175</v>
      </c>
      <c r="B604" t="inlineStr">
        <is>
          <t>Villa Nautica Paradise Island</t>
        </is>
      </c>
      <c r="C604" t="inlineStr">
        <is>
          <t>factsheet</t>
        </is>
      </c>
      <c r="D604" t="inlineStr">
        <is>
          <t>2025_Villa-Nautica-Factsheet-August.pdf</t>
        </is>
      </c>
      <c r="E604" t="n">
        <v>2025</v>
      </c>
      <c r="H604" t="n">
        <v>6</v>
      </c>
      <c r="I604" t="n">
        <v>6677</v>
      </c>
      <c r="J604" t="inlineStr">
        <is>
          <t>Y</t>
        </is>
      </c>
      <c r="K604" t="inlineStr">
        <is>
          <t>neoscapesmaldives.com</t>
        </is>
      </c>
      <c r="L604" t="inlineStr">
        <is>
          <t>dmc-agency</t>
        </is>
      </c>
      <c r="M604" t="inlineStr">
        <is>
          <t>https://www.neoscapesmaldives.com/wp-content/uploads/Villa-Nautica-Factsheet-August.pdf</t>
        </is>
      </c>
      <c r="N604" t="inlineStr">
        <is>
          <t>https://www.neoscapesmaldives.com/wp-content/uploads/Villa-Nautica-Factsheet-August.pdf</t>
        </is>
      </c>
      <c r="O604" t="inlineStr">
        <is>
          <t>c680db52a337bd2638ab0d4274d18853575435277c9dec86c7ded1168ec3be0f</t>
        </is>
      </c>
      <c r="P604" t="inlineStr">
        <is>
          <t>library/175_villa-nautica-paradise-island/factsheet/2025_Villa-Nautica-Factsheet-August.pdf</t>
        </is>
      </c>
      <c r="R604" t="inlineStr">
        <is>
          <t>current</t>
        </is>
      </c>
      <c r="S604" t="inlineStr">
        <is>
          <t>Y</t>
        </is>
      </c>
      <c r="T604" t="inlineStr">
        <is>
          <t>matched</t>
        </is>
      </c>
      <c r="U604" t="inlineStr">
        <is>
          <t>2026-10-04</t>
        </is>
      </c>
      <c r="V604" t="inlineStr"/>
    </row>
    <row r="605">
      <c r="A605" t="n">
        <v>175</v>
      </c>
      <c r="B605" t="inlineStr">
        <is>
          <t>Villa Nautica Paradise Island</t>
        </is>
      </c>
      <c r="C605" t="inlineStr">
        <is>
          <t>map</t>
        </is>
      </c>
      <c r="D605" t="inlineStr">
        <is>
          <t>2025_Villa-Nautica-Map-Feb-2025.pdf</t>
        </is>
      </c>
      <c r="E605" t="n">
        <v>2025</v>
      </c>
      <c r="H605" t="n">
        <v>1</v>
      </c>
      <c r="I605" t="n">
        <v>1646</v>
      </c>
      <c r="J605" t="inlineStr">
        <is>
          <t>Y</t>
        </is>
      </c>
      <c r="K605" t="inlineStr">
        <is>
          <t>neoscapesmaldives.com</t>
        </is>
      </c>
      <c r="L605" t="inlineStr">
        <is>
          <t>dmc-agency</t>
        </is>
      </c>
      <c r="M605" t="inlineStr">
        <is>
          <t>https://www.neoscapesmaldives.com/wp-content/uploads/Villa-Nautica-Map-Feb-2025.pdf</t>
        </is>
      </c>
      <c r="N605" t="inlineStr">
        <is>
          <t>https://www.neoscapesmaldives.com/wp-content/uploads/Villa-Nautica-Map-Feb-2025.pdf</t>
        </is>
      </c>
      <c r="O605" t="inlineStr">
        <is>
          <t>8235be68b75b5eb5e3b6856cc6fd68d0b40d841d7e34f423b75b11b34ad4520a</t>
        </is>
      </c>
      <c r="P605" t="inlineStr">
        <is>
          <t>library/175_villa-nautica-paradise-island/map/2025_Villa-Nautica-Map-Feb-2025.pdf</t>
        </is>
      </c>
      <c r="R605" t="inlineStr">
        <is>
          <t>current</t>
        </is>
      </c>
      <c r="S605" t="inlineStr">
        <is>
          <t>Y</t>
        </is>
      </c>
      <c r="T605" t="inlineStr">
        <is>
          <t>matched</t>
        </is>
      </c>
      <c r="U605" t="inlineStr">
        <is>
          <t>2026-10-04</t>
        </is>
      </c>
      <c r="V605" t="inlineStr"/>
    </row>
    <row r="606">
      <c r="A606" t="n">
        <v>178</v>
      </c>
      <c r="B606" t="inlineStr">
        <is>
          <t>Diamonds Athuruga Beach &amp; Water Villas</t>
        </is>
      </c>
      <c r="C606" t="inlineStr">
        <is>
          <t>factsheet</t>
        </is>
      </c>
      <c r="D606" t="inlineStr">
        <is>
          <t>2019_Diamonds-Athuruga-Fact-Sheet-2019.pdf</t>
        </is>
      </c>
      <c r="E606" t="n">
        <v>2019</v>
      </c>
      <c r="H606" t="n">
        <v>5</v>
      </c>
      <c r="I606" t="n">
        <v>823</v>
      </c>
      <c r="J606" t="inlineStr">
        <is>
          <t>Y</t>
        </is>
      </c>
      <c r="K606" t="inlineStr">
        <is>
          <t>neoscapesmaldives.com</t>
        </is>
      </c>
      <c r="L606" t="inlineStr">
        <is>
          <t>dmc-agency</t>
        </is>
      </c>
      <c r="M606" t="inlineStr">
        <is>
          <t>https://neoscapesmaldives.com/wp-content/uploads/Diamonds-Athuruga-Fact-Sheet-2019.pdf</t>
        </is>
      </c>
      <c r="N606" t="inlineStr">
        <is>
          <t>https://neoscapesmaldives.com/wp-content/uploads/Diamonds-Athuruga-Fact-Sheet-2019.pdf</t>
        </is>
      </c>
      <c r="O606" t="inlineStr">
        <is>
          <t>9eb37a3f4c7b4d3470fc83d51d7e20e717c8077d23d9d64daeee5496391acf44</t>
        </is>
      </c>
      <c r="P606" t="inlineStr">
        <is>
          <t>library/178_diamonds-athuruga-beach-water-villas/factsheet/2019_Diamonds-Athuruga-Fact-Sheet-2019.pdf</t>
        </is>
      </c>
      <c r="R606" t="inlineStr">
        <is>
          <t>outdated</t>
        </is>
      </c>
      <c r="S606" t="inlineStr">
        <is>
          <t>Y</t>
        </is>
      </c>
      <c r="T606" t="inlineStr">
        <is>
          <t>matched</t>
        </is>
      </c>
      <c r="U606" t="inlineStr">
        <is>
          <t>2026-10-04</t>
        </is>
      </c>
      <c r="V606" t="inlineStr"/>
    </row>
    <row r="607">
      <c r="A607" t="n">
        <v>178</v>
      </c>
      <c r="B607" t="inlineStr">
        <is>
          <t>Diamonds Athuruga Beach &amp; Water Villas</t>
        </is>
      </c>
      <c r="C607" t="inlineStr">
        <is>
          <t>map</t>
        </is>
      </c>
      <c r="D607" t="inlineStr">
        <is>
          <t>2020_Diamonds-Athuruga_map.pdf</t>
        </is>
      </c>
      <c r="E607" t="n">
        <v>2020</v>
      </c>
      <c r="H607" t="n">
        <v>1</v>
      </c>
      <c r="I607" t="n">
        <v>98</v>
      </c>
      <c r="J607" t="inlineStr">
        <is>
          <t>N</t>
        </is>
      </c>
      <c r="K607" t="inlineStr">
        <is>
          <t>neoscapesmaldives.com</t>
        </is>
      </c>
      <c r="L607" t="inlineStr">
        <is>
          <t>dmc-agency</t>
        </is>
      </c>
      <c r="M607" t="inlineStr">
        <is>
          <t>https://www.neoscapesmaldives.com/wp-content/uploads/Diamonds-Athuruga_map.pdf</t>
        </is>
      </c>
      <c r="N607" t="inlineStr">
        <is>
          <t>https://www.neoscapesmaldives.com/wp-content/uploads/Diamonds-Athuruga_map.pdf</t>
        </is>
      </c>
      <c r="O607" t="inlineStr">
        <is>
          <t>2c203ac7713b79f8def9019ba3d85ab48c9a861a899a98c38a62dfc61902c9f5</t>
        </is>
      </c>
      <c r="P607" t="inlineStr">
        <is>
          <t>library/178_diamonds-athuruga-beach-water-villas/map/2020_Diamonds-Athuruga_map.pdf</t>
        </is>
      </c>
      <c r="R607" t="inlineStr">
        <is>
          <t>outdated</t>
        </is>
      </c>
      <c r="S607" t="inlineStr">
        <is>
          <t>Y</t>
        </is>
      </c>
      <c r="T607" t="inlineStr">
        <is>
          <t>matched</t>
        </is>
      </c>
      <c r="U607" t="inlineStr">
        <is>
          <t>2026-10-04</t>
        </is>
      </c>
      <c r="V607" t="inlineStr"/>
    </row>
    <row r="608">
      <c r="A608" t="n">
        <v>178</v>
      </c>
      <c r="B608" t="inlineStr">
        <is>
          <t>Diamonds Athuruga Beach &amp; Water Villas</t>
        </is>
      </c>
      <c r="C608" t="inlineStr">
        <is>
          <t>spa_menu</t>
        </is>
      </c>
      <c r="D608" t="inlineStr">
        <is>
          <t>2018_mc05-maldive.pdf</t>
        </is>
      </c>
      <c r="E608" t="n">
        <v>2018</v>
      </c>
      <c r="H608" t="n">
        <v>4</v>
      </c>
      <c r="I608" t="n">
        <v>847</v>
      </c>
      <c r="J608" t="inlineStr">
        <is>
          <t>Y</t>
        </is>
      </c>
      <c r="K608" t="inlineStr">
        <is>
          <t>planhotel.com</t>
        </is>
      </c>
      <c r="L608" t="inlineStr">
        <is>
          <t>official</t>
        </is>
      </c>
      <c r="M608" t="inlineStr">
        <is>
          <t>https://d1vp8nomjxwyf1.cloudfront.net/wp-content/uploads/sites/109/2017/03/03070503/mc05-maldive.pdf</t>
        </is>
      </c>
      <c r="N608" t="inlineStr">
        <is>
          <t>https://d1vp8nomjxwyf1.cloudfront.net/wp-content/uploads/sites/109/2017/03/03070503/mc05-maldive.pdf</t>
        </is>
      </c>
      <c r="O608" t="inlineStr">
        <is>
          <t>b7967146877bf23ba6c55d09f4651d9f79220b77716342b7dd61fa873dfe3afa</t>
        </is>
      </c>
      <c r="P608" t="inlineStr">
        <is>
          <t>library/178_diamonds-athuruga-beach-water-villas/spa_menu/2018_mc05-maldive.pdf</t>
        </is>
      </c>
      <c r="R608" t="inlineStr">
        <is>
          <t>outdated</t>
        </is>
      </c>
      <c r="S608" t="inlineStr">
        <is>
          <t>Y</t>
        </is>
      </c>
      <c r="T608" t="inlineStr">
        <is>
          <t>matched</t>
        </is>
      </c>
      <c r="U608" t="inlineStr">
        <is>
          <t>2026-10-04</t>
        </is>
      </c>
      <c r="V608" t="inlineStr"/>
    </row>
    <row r="609">
      <c r="A609" t="n">
        <v>178</v>
      </c>
      <c r="B609" t="inlineStr">
        <is>
          <t>Diamonds Athuruga Beach &amp; Water Villas</t>
        </is>
      </c>
      <c r="C609" t="inlineStr">
        <is>
          <t>dining_menu</t>
        </is>
      </c>
      <c r="D609" t="inlineStr">
        <is>
          <t>2019_Diamonds-Resorts_Gastronomie-e-Turisme_MarchApril-2019.pdf</t>
        </is>
      </c>
      <c r="E609" t="n">
        <v>2019</v>
      </c>
      <c r="H609" t="n">
        <v>4</v>
      </c>
      <c r="I609" t="n">
        <v>1958</v>
      </c>
      <c r="J609" t="inlineStr">
        <is>
          <t>Y</t>
        </is>
      </c>
      <c r="K609" t="inlineStr">
        <is>
          <t>planhotel.com</t>
        </is>
      </c>
      <c r="L609" t="inlineStr">
        <is>
          <t>official</t>
        </is>
      </c>
      <c r="M609" t="inlineStr">
        <is>
          <t>https://d1vp8nomjxwyf1.cloudfront.net/wp-content/uploads/sites/109/2017/03/29131429/Diamonds-Resorts_Gastronomie-e-Turisme_MarchApril-2019.pdf</t>
        </is>
      </c>
      <c r="N609" t="inlineStr">
        <is>
          <t>https://d1vp8nomjxwyf1.cloudfront.net/wp-content/uploads/sites/109/2017/03/29131429/Diamonds-Resorts_Gastronomie-e-Turisme_MarchApril-2019.pdf</t>
        </is>
      </c>
      <c r="O609" t="inlineStr">
        <is>
          <t>01fa404b6ef0aa66cb8d9d1dd6b65f0a8cae65bc1dc078e767adbe010b324cb2</t>
        </is>
      </c>
      <c r="P609" t="inlineStr">
        <is>
          <t>library/178_diamonds-athuruga-beach-water-villas/dining_menu/2019_Diamonds-Resorts_Gastronomie-e-Turisme_MarchApril-2019.pdf</t>
        </is>
      </c>
      <c r="R609" t="inlineStr">
        <is>
          <t>outdated</t>
        </is>
      </c>
      <c r="S609" t="inlineStr">
        <is>
          <t>Y</t>
        </is>
      </c>
      <c r="T609" t="inlineStr">
        <is>
          <t>needs-review</t>
        </is>
      </c>
      <c r="U609" t="inlineStr">
        <is>
          <t>2026-10-04</t>
        </is>
      </c>
      <c r="V609" t="inlineStr">
        <is>
          <t>ambiguous match [178, 135]</t>
        </is>
      </c>
    </row>
    <row r="610">
      <c r="A610" t="n">
        <v>135</v>
      </c>
      <c r="B610" t="inlineStr">
        <is>
          <t>Diamonds Thudufushi Beach and Water Villas</t>
        </is>
      </c>
      <c r="C610" t="inlineStr">
        <is>
          <t>dining_menu</t>
        </is>
      </c>
      <c r="D610" t="inlineStr">
        <is>
          <t>2019_Diamonds-Resorts_Gastronomie-e-Turisme_MarchApril-2019.pdf</t>
        </is>
      </c>
      <c r="E610" t="n">
        <v>2019</v>
      </c>
      <c r="H610" t="n">
        <v>4</v>
      </c>
      <c r="I610" t="n">
        <v>1958</v>
      </c>
      <c r="J610" t="inlineStr">
        <is>
          <t>Y</t>
        </is>
      </c>
      <c r="K610" t="inlineStr">
        <is>
          <t>planhotel.com</t>
        </is>
      </c>
      <c r="L610" t="inlineStr">
        <is>
          <t>official</t>
        </is>
      </c>
      <c r="M610" t="inlineStr">
        <is>
          <t>https://d1vp8nomjxwyf1.cloudfront.net/wp-content/uploads/sites/109/2017/03/29131429/Diamonds-Resorts_Gastronomie-e-Turisme_MarchApril-2019.pdf</t>
        </is>
      </c>
      <c r="N610" t="inlineStr">
        <is>
          <t>https://d1vp8nomjxwyf1.cloudfront.net/wp-content/uploads/sites/109/2017/03/29131429/Diamonds-Resorts_Gastronomie-e-Turisme_MarchApril-2019.pdf</t>
        </is>
      </c>
      <c r="O610" t="inlineStr">
        <is>
          <t>01fa404b6ef0aa66cb8d9d1dd6b65f0a8cae65bc1dc078e767adbe010b324cb2</t>
        </is>
      </c>
      <c r="P610" t="inlineStr">
        <is>
          <t>library/178_diamonds-athuruga-beach-water-villas/dining_menu/2019_Diamonds-Resorts_Gastronomie-e-Turisme_MarchApril-2019.pdf</t>
        </is>
      </c>
      <c r="R610" t="inlineStr">
        <is>
          <t>outdated</t>
        </is>
      </c>
      <c r="S610" t="inlineStr">
        <is>
          <t>Y</t>
        </is>
      </c>
      <c r="T610" t="inlineStr">
        <is>
          <t>needs-review</t>
        </is>
      </c>
      <c r="U610" t="inlineStr">
        <is>
          <t>2026-10-04</t>
        </is>
      </c>
      <c r="V610" t="inlineStr">
        <is>
          <t>ambiguous match [178, 135]</t>
        </is>
      </c>
    </row>
    <row r="611">
      <c r="A611" t="n">
        <v>178</v>
      </c>
      <c r="B611" t="inlineStr">
        <is>
          <t>Diamonds Athuruga Beach &amp; Water Villas</t>
        </is>
      </c>
      <c r="C611" t="inlineStr">
        <is>
          <t>other</t>
        </is>
      </c>
      <c r="D611" t="inlineStr">
        <is>
          <t>2019_Diamonds-Athuruga.pdf</t>
        </is>
      </c>
      <c r="E611" t="n">
        <v>2019</v>
      </c>
      <c r="H611" t="n">
        <v>13</v>
      </c>
      <c r="I611" t="n">
        <v>5770</v>
      </c>
      <c r="J611" t="inlineStr">
        <is>
          <t>Y</t>
        </is>
      </c>
      <c r="K611" t="inlineStr">
        <is>
          <t>planhotel.com</t>
        </is>
      </c>
      <c r="L611" t="inlineStr">
        <is>
          <t>official</t>
        </is>
      </c>
      <c r="M611" t="inlineStr">
        <is>
          <t>https://d1vp8nomjxwyf1.cloudfront.net/wp-content/uploads/sites/212/2023/03/17094933/Diamonds-Athuruga.pdf</t>
        </is>
      </c>
      <c r="N611" t="inlineStr">
        <is>
          <t>https://d1vp8nomjxwyf1.cloudfront.net/wp-content/uploads/sites/212/2023/03/17094933/Diamonds-Athuruga.pdf</t>
        </is>
      </c>
      <c r="O611" t="inlineStr">
        <is>
          <t>451bef3be72dffd7248c020cef69959199902a98f505dfc1be90d495e34e25fa</t>
        </is>
      </c>
      <c r="P611" t="inlineStr">
        <is>
          <t>library/178_diamonds-athuruga-beach-water-villas/other/2019_Diamonds-Athuruga.pdf</t>
        </is>
      </c>
      <c r="R611" t="inlineStr">
        <is>
          <t>outdated</t>
        </is>
      </c>
      <c r="S611" t="inlineStr">
        <is>
          <t>Y</t>
        </is>
      </c>
      <c r="T611" t="inlineStr">
        <is>
          <t>matched</t>
        </is>
      </c>
      <c r="U611" t="inlineStr">
        <is>
          <t>2026-10-04</t>
        </is>
      </c>
      <c r="V611" t="inlineStr"/>
    </row>
    <row r="612">
      <c r="A612" t="n">
        <v>178</v>
      </c>
      <c r="B612" t="inlineStr">
        <is>
          <t>Diamonds Athuruga Beach &amp; Water Villas</t>
        </is>
      </c>
      <c r="C612" t="inlineStr">
        <is>
          <t>other</t>
        </is>
      </c>
      <c r="D612" t="inlineStr">
        <is>
          <t>2015_DiamondsMaldives_TMA-Inflight_01_2015.pdf</t>
        </is>
      </c>
      <c r="E612" t="n">
        <v>2015</v>
      </c>
      <c r="H612" t="n">
        <v>2</v>
      </c>
      <c r="I612" t="n">
        <v>947</v>
      </c>
      <c r="J612" t="inlineStr">
        <is>
          <t>Y</t>
        </is>
      </c>
      <c r="K612" t="inlineStr">
        <is>
          <t>planhotel.com</t>
        </is>
      </c>
      <c r="L612" t="inlineStr">
        <is>
          <t>official</t>
        </is>
      </c>
      <c r="M612" t="inlineStr">
        <is>
          <t>https://d1vp8nomjxwyf1.cloudfront.net/wp-content/uploads/sites/110/2017/03/10145405/DiamondsMaldives_TMA-Inflight_01_2015.pdf</t>
        </is>
      </c>
      <c r="N612" t="inlineStr">
        <is>
          <t>https://d1vp8nomjxwyf1.cloudfront.net/wp-content/uploads/sites/110/2017/03/10145405/DiamondsMaldives_TMA-Inflight_01_2015.pdf | https://d1vp8nomjxwyf1.cloudfront.net/wp-content/uploads/sites/109/2017/03/10144945/DiamondsMaldives_TMA-Inflight_01_2015.pdf</t>
        </is>
      </c>
      <c r="O612" t="inlineStr">
        <is>
          <t>360d9d045a7f7c87369f123896b66839bea1a2d0a70f2b74156ef29d886a0216</t>
        </is>
      </c>
      <c r="P612" t="inlineStr">
        <is>
          <t>library/178_diamonds-athuruga-beach-water-villas/other/2015_DiamondsMaldives_TMA-Inflight_01_2015.pdf</t>
        </is>
      </c>
      <c r="R612" t="inlineStr">
        <is>
          <t>outdated</t>
        </is>
      </c>
      <c r="S612" t="inlineStr">
        <is>
          <t>N</t>
        </is>
      </c>
      <c r="T612" t="inlineStr">
        <is>
          <t>needs-review</t>
        </is>
      </c>
      <c r="U612" t="inlineStr">
        <is>
          <t>2026-10-04</t>
        </is>
      </c>
      <c r="V612" t="inlineStr">
        <is>
          <t>ambiguous match [178, 135]</t>
        </is>
      </c>
    </row>
    <row r="613">
      <c r="A613" t="n">
        <v>135</v>
      </c>
      <c r="B613" t="inlineStr">
        <is>
          <t>Diamonds Thudufushi Beach and Water Villas</t>
        </is>
      </c>
      <c r="C613" t="inlineStr">
        <is>
          <t>other</t>
        </is>
      </c>
      <c r="D613" t="inlineStr">
        <is>
          <t>2015_DiamondsMaldives_TMA-Inflight_01_2015.pdf</t>
        </is>
      </c>
      <c r="E613" t="n">
        <v>2015</v>
      </c>
      <c r="H613" t="n">
        <v>2</v>
      </c>
      <c r="I613" t="n">
        <v>947</v>
      </c>
      <c r="J613" t="inlineStr">
        <is>
          <t>Y</t>
        </is>
      </c>
      <c r="K613" t="inlineStr">
        <is>
          <t>planhotel.com</t>
        </is>
      </c>
      <c r="L613" t="inlineStr">
        <is>
          <t>official</t>
        </is>
      </c>
      <c r="M613" t="inlineStr">
        <is>
          <t>https://d1vp8nomjxwyf1.cloudfront.net/wp-content/uploads/sites/110/2017/03/10145405/DiamondsMaldives_TMA-Inflight_01_2015.pdf</t>
        </is>
      </c>
      <c r="N613" t="inlineStr">
        <is>
          <t>https://d1vp8nomjxwyf1.cloudfront.net/wp-content/uploads/sites/110/2017/03/10145405/DiamondsMaldives_TMA-Inflight_01_2015.pdf | https://d1vp8nomjxwyf1.cloudfront.net/wp-content/uploads/sites/109/2017/03/10144945/DiamondsMaldives_TMA-Inflight_01_2015.pdf</t>
        </is>
      </c>
      <c r="O613" t="inlineStr">
        <is>
          <t>360d9d045a7f7c87369f123896b66839bea1a2d0a70f2b74156ef29d886a0216</t>
        </is>
      </c>
      <c r="P613" t="inlineStr">
        <is>
          <t>library/178_diamonds-athuruga-beach-water-villas/other/2015_DiamondsMaldives_TMA-Inflight_01_2015.pdf</t>
        </is>
      </c>
      <c r="R613" t="inlineStr">
        <is>
          <t>outdated</t>
        </is>
      </c>
      <c r="S613" t="inlineStr">
        <is>
          <t>N</t>
        </is>
      </c>
      <c r="T613" t="inlineStr">
        <is>
          <t>needs-review</t>
        </is>
      </c>
      <c r="U613" t="inlineStr">
        <is>
          <t>2026-10-04</t>
        </is>
      </c>
      <c r="V613" t="inlineStr">
        <is>
          <t>ambiguous match [178, 135]</t>
        </is>
      </c>
    </row>
    <row r="614">
      <c r="A614" t="n">
        <v>178</v>
      </c>
      <c r="B614" t="inlineStr">
        <is>
          <t>Diamonds Athuruga Beach &amp; Water Villas</t>
        </is>
      </c>
      <c r="C614" t="inlineStr">
        <is>
          <t>other</t>
        </is>
      </c>
      <c r="D614" t="inlineStr">
        <is>
          <t>2015_DiamondsAthuruga_Aurum-9999_Winter-2015.pdf</t>
        </is>
      </c>
      <c r="E614" t="n">
        <v>2015</v>
      </c>
      <c r="H614" t="n">
        <v>2</v>
      </c>
      <c r="I614" t="n">
        <v>1518</v>
      </c>
      <c r="J614" t="inlineStr">
        <is>
          <t>N</t>
        </is>
      </c>
      <c r="K614" t="inlineStr">
        <is>
          <t>planhotel.com</t>
        </is>
      </c>
      <c r="L614" t="inlineStr">
        <is>
          <t>official</t>
        </is>
      </c>
      <c r="M614" t="inlineStr">
        <is>
          <t>https://d1vp8nomjxwyf1.cloudfront.net/wp-content/uploads/sites/109/2017/03/10144057/DiamondsAthuruga_Aurum-9999_Winter-2015.pdf</t>
        </is>
      </c>
      <c r="N614" t="inlineStr">
        <is>
          <t>https://d1vp8nomjxwyf1.cloudfront.net/wp-content/uploads/sites/109/2017/03/10144057/DiamondsAthuruga_Aurum-9999_Winter-2015.pdf</t>
        </is>
      </c>
      <c r="O614" t="inlineStr">
        <is>
          <t>3f981060770603408bb1db8baf1e0376cf087e802358e76f0dfb71c04a32aa07</t>
        </is>
      </c>
      <c r="P614" t="inlineStr">
        <is>
          <t>library/178_diamonds-athuruga-beach-water-villas/other/2015_DiamondsAthuruga_Aurum-9999_Winter-2015.pdf</t>
        </is>
      </c>
      <c r="R614" t="inlineStr">
        <is>
          <t>outdated</t>
        </is>
      </c>
      <c r="S614" t="inlineStr">
        <is>
          <t>N</t>
        </is>
      </c>
      <c r="T614" t="inlineStr">
        <is>
          <t>matched</t>
        </is>
      </c>
      <c r="U614" t="inlineStr">
        <is>
          <t>2026-10-04</t>
        </is>
      </c>
      <c r="V614" t="inlineStr"/>
    </row>
    <row r="615">
      <c r="A615" t="n">
        <v>179</v>
      </c>
      <c r="B615" t="inlineStr">
        <is>
          <t>Siyam World Maldives</t>
        </is>
      </c>
      <c r="C615" t="inlineStr">
        <is>
          <t>factsheet</t>
        </is>
      </c>
      <c r="D615" t="inlineStr">
        <is>
          <t>2024_Siyam-World-Factsheet_02-Nov-2024-31-Oct-25.pdf</t>
        </is>
      </c>
      <c r="E615" t="n">
        <v>2024</v>
      </c>
      <c r="H615" t="n">
        <v>17</v>
      </c>
      <c r="I615" t="n">
        <v>21214</v>
      </c>
      <c r="J615" t="inlineStr">
        <is>
          <t>Y</t>
        </is>
      </c>
      <c r="K615" t="inlineStr">
        <is>
          <t>neoscapesmaldives.com</t>
        </is>
      </c>
      <c r="L615" t="inlineStr">
        <is>
          <t>dmc-agency</t>
        </is>
      </c>
      <c r="M615" t="inlineStr">
        <is>
          <t>https://www.neoscapesmaldives.com/wp-content/uploads/Siyam-World-Factsheet_02-Nov-2024-31-Oct-25.pdf</t>
        </is>
      </c>
      <c r="N615" t="inlineStr">
        <is>
          <t>https://www.neoscapesmaldives.com/wp-content/uploads/Siyam-World-Factsheet_02-Nov-2024-31-Oct-25.pdf</t>
        </is>
      </c>
      <c r="O615" t="inlineStr">
        <is>
          <t>032865e409dd84d74d33523489a8d14b68f4c796884310c93381b150c1682de1</t>
        </is>
      </c>
      <c r="P615" t="inlineStr">
        <is>
          <t>library/179_siyam-world-maldives/factsheet/2024_Siyam-World-Factsheet_02-Nov-2024-31-Oct-25.pdf</t>
        </is>
      </c>
      <c r="R615" t="inlineStr">
        <is>
          <t>outdated</t>
        </is>
      </c>
      <c r="S615" t="inlineStr">
        <is>
          <t>Y</t>
        </is>
      </c>
      <c r="T615" t="inlineStr">
        <is>
          <t>matched</t>
        </is>
      </c>
      <c r="U615" t="inlineStr">
        <is>
          <t>2026-10-04</t>
        </is>
      </c>
      <c r="V615" t="inlineStr"/>
    </row>
    <row r="616">
      <c r="A616" t="n">
        <v>179</v>
      </c>
      <c r="B616" t="inlineStr">
        <is>
          <t>Siyam World Maldives</t>
        </is>
      </c>
      <c r="C616" t="inlineStr">
        <is>
          <t>map</t>
        </is>
      </c>
      <c r="D616" t="inlineStr">
        <is>
          <t>2025_SW-main-map-with-categories.pdf</t>
        </is>
      </c>
      <c r="E616" t="n">
        <v>2025</v>
      </c>
      <c r="H616" t="n">
        <v>1</v>
      </c>
      <c r="I616" t="n">
        <v>5715</v>
      </c>
      <c r="J616" t="inlineStr">
        <is>
          <t>Y</t>
        </is>
      </c>
      <c r="K616" t="inlineStr">
        <is>
          <t>neoscapesmaldives.com</t>
        </is>
      </c>
      <c r="L616" t="inlineStr">
        <is>
          <t>dmc-agency</t>
        </is>
      </c>
      <c r="M616" t="inlineStr">
        <is>
          <t>https://www.neoscapesmaldives.com/wp-content/uploads/SW-main-map-with-categories.pdf</t>
        </is>
      </c>
      <c r="N616" t="inlineStr">
        <is>
          <t>https://www.neoscapesmaldives.com/wp-content/uploads/SW-main-map-with-categories.pdf</t>
        </is>
      </c>
      <c r="O616" t="inlineStr">
        <is>
          <t>e29f89009e8370a7f0ca53d67c026a1d459aeac7935ad4a1f74f429c1f3edaf6</t>
        </is>
      </c>
      <c r="P616" t="inlineStr">
        <is>
          <t>library/179_siyam-world-maldives/map/2025_SW-main-map-with-categories.pdf</t>
        </is>
      </c>
      <c r="R616" t="inlineStr">
        <is>
          <t>current</t>
        </is>
      </c>
      <c r="S616" t="inlineStr">
        <is>
          <t>Y</t>
        </is>
      </c>
      <c r="T616" t="inlineStr">
        <is>
          <t>needs-review</t>
        </is>
      </c>
      <c r="U616" t="inlineStr">
        <is>
          <t>2026-10-04</t>
        </is>
      </c>
      <c r="V616" t="inlineStr">
        <is>
          <t>ambiguous match [179]</t>
        </is>
      </c>
    </row>
    <row r="617">
      <c r="A617" t="n">
        <v>180</v>
      </c>
      <c r="B617" t="inlineStr">
        <is>
          <t>Lux* South Ari Atoll, Maldives</t>
        </is>
      </c>
      <c r="C617" t="inlineStr">
        <is>
          <t>factsheet</t>
        </is>
      </c>
      <c r="D617" t="inlineStr">
        <is>
          <t>2025_LUX_-South-Ari-Atoll-Factsheet-ENG.pdf</t>
        </is>
      </c>
      <c r="E617" t="n">
        <v>2025</v>
      </c>
      <c r="H617" t="n">
        <v>19</v>
      </c>
      <c r="I617" t="n">
        <v>2054</v>
      </c>
      <c r="J617" t="inlineStr">
        <is>
          <t>Y</t>
        </is>
      </c>
      <c r="K617" t="inlineStr">
        <is>
          <t>neoscapesmaldives.com</t>
        </is>
      </c>
      <c r="L617" t="inlineStr">
        <is>
          <t>dmc-agency</t>
        </is>
      </c>
      <c r="M617" t="inlineStr">
        <is>
          <t>https://www.neoscapesmaldives.com/wp-content/uploads/LUX_-South-Ari-Atoll-Factsheet-ENG.pdf</t>
        </is>
      </c>
      <c r="N617" t="inlineStr">
        <is>
          <t>https://www.neoscapesmaldives.com/wp-content/uploads/LUX_-South-Ari-Atoll-Factsheet-ENG.pdf</t>
        </is>
      </c>
      <c r="O617" t="inlineStr">
        <is>
          <t>d2ce1f2aed0e1be425211fa5e31e99de185b81e658c5bbb0223f6ed6cb71dc34</t>
        </is>
      </c>
      <c r="P617" t="inlineStr">
        <is>
          <t>library/180_lux-south-ari-atoll-maldives/factsheet/2025_LUX_-South-Ari-Atoll-Factsheet-ENG.pdf</t>
        </is>
      </c>
      <c r="R617" t="inlineStr">
        <is>
          <t>current</t>
        </is>
      </c>
      <c r="S617" t="inlineStr">
        <is>
          <t>Y</t>
        </is>
      </c>
      <c r="T617" t="inlineStr">
        <is>
          <t>matched</t>
        </is>
      </c>
      <c r="U617" t="inlineStr">
        <is>
          <t>2026-10-04</t>
        </is>
      </c>
      <c r="V617" t="inlineStr"/>
    </row>
    <row r="618">
      <c r="A618" t="n">
        <v>180</v>
      </c>
      <c r="B618" t="inlineStr">
        <is>
          <t>Lux* South Ari Atoll, Maldives</t>
        </is>
      </c>
      <c r="C618" t="inlineStr">
        <is>
          <t>map</t>
        </is>
      </c>
      <c r="D618" t="inlineStr">
        <is>
          <t>2019_Map-LUX-South-Ari-Atoll.pdf</t>
        </is>
      </c>
      <c r="E618" t="n">
        <v>2019</v>
      </c>
      <c r="H618" t="n">
        <v>1</v>
      </c>
      <c r="I618" t="n">
        <v>217</v>
      </c>
      <c r="J618" t="inlineStr">
        <is>
          <t>N</t>
        </is>
      </c>
      <c r="K618" t="inlineStr">
        <is>
          <t>neoscapesmaldives.com</t>
        </is>
      </c>
      <c r="L618" t="inlineStr">
        <is>
          <t>dmc-agency</t>
        </is>
      </c>
      <c r="M618" t="inlineStr">
        <is>
          <t>https://www.neoscapesmaldives.com/wp-content/uploads/Map-LUX-South-Ari-Atoll.pdf</t>
        </is>
      </c>
      <c r="N618" t="inlineStr">
        <is>
          <t>https://www.neoscapesmaldives.com/wp-content/uploads/Map-LUX-South-Ari-Atoll.pdf</t>
        </is>
      </c>
      <c r="O618" t="inlineStr">
        <is>
          <t>fdf5bf4ad3319a00ee9286119aef61e143abdc1ab44ff5c0d0572cc4fbdc1612</t>
        </is>
      </c>
      <c r="P618" t="inlineStr">
        <is>
          <t>library/180_lux-south-ari-atoll-maldives/map/2019_Map-LUX-South-Ari-Atoll.pdf</t>
        </is>
      </c>
      <c r="R618" t="inlineStr">
        <is>
          <t>outdated</t>
        </is>
      </c>
      <c r="S618" t="inlineStr">
        <is>
          <t>Y</t>
        </is>
      </c>
      <c r="T618" t="inlineStr">
        <is>
          <t>matched</t>
        </is>
      </c>
      <c r="U618" t="inlineStr">
        <is>
          <t>2026-10-04</t>
        </is>
      </c>
      <c r="V618" t="inlineStr"/>
    </row>
    <row r="619">
      <c r="A619" t="n">
        <v>182</v>
      </c>
      <c r="B619" t="inlineStr">
        <is>
          <t>Kuredhivaru Resort and Spa</t>
        </is>
      </c>
      <c r="C619" t="inlineStr">
        <is>
          <t>factsheet</t>
        </is>
      </c>
      <c r="D619" t="inlineStr">
        <is>
          <t>2025_Kuredhivaru-Resort-And-Spa-Factsheet-ENG.pdf</t>
        </is>
      </c>
      <c r="E619" t="n">
        <v>2025</v>
      </c>
      <c r="H619" t="n">
        <v>2</v>
      </c>
      <c r="I619" t="n">
        <v>9554</v>
      </c>
      <c r="J619" t="inlineStr">
        <is>
          <t>N</t>
        </is>
      </c>
      <c r="K619" t="inlineStr">
        <is>
          <t>neoscapesmaldives.com</t>
        </is>
      </c>
      <c r="L619" t="inlineStr">
        <is>
          <t>dmc-agency</t>
        </is>
      </c>
      <c r="M619" t="inlineStr">
        <is>
          <t>https://www.neoscapesmaldives.com/wp-content/uploads/Kuredhivaru-Resort-And-Spa-Factsheet-ENG.pdf</t>
        </is>
      </c>
      <c r="N619" t="inlineStr">
        <is>
          <t>https://www.neoscapesmaldives.com/wp-content/uploads/Kuredhivaru-Resort-And-Spa-Factsheet-ENG.pdf</t>
        </is>
      </c>
      <c r="O619" t="inlineStr">
        <is>
          <t>83f5a3d498950bd18837fa3976c7f3ed7bb56de6396e31f122ec55b137768b62</t>
        </is>
      </c>
      <c r="P619" t="inlineStr">
        <is>
          <t>library/182_kuredhivaru-resort-and-spa/factsheet/2025_Kuredhivaru-Resort-And-Spa-Factsheet-ENG.pdf</t>
        </is>
      </c>
      <c r="R619" t="inlineStr">
        <is>
          <t>current</t>
        </is>
      </c>
      <c r="S619" t="inlineStr">
        <is>
          <t>Y</t>
        </is>
      </c>
      <c r="T619" t="inlineStr">
        <is>
          <t>matched</t>
        </is>
      </c>
      <c r="U619" t="inlineStr">
        <is>
          <t>2026-10-04</t>
        </is>
      </c>
      <c r="V619" t="inlineStr"/>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61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60" customWidth="1" min="2" max="2"/>
    <col width="60" customWidth="1" min="3" max="3"/>
    <col width="11" customWidth="1" min="4" max="4"/>
    <col width="60" customWidth="1" min="5" max="5"/>
    <col width="8" customWidth="1" min="6" max="6"/>
    <col width="12" customWidth="1" min="7" max="7"/>
    <col width="13" customWidth="1" min="8" max="8"/>
    <col width="60" customWidth="1" min="9" max="9"/>
  </cols>
  <sheetData>
    <row r="1">
      <c r="A1" s="1" t="inlineStr">
        <is>
          <t>resort_id</t>
        </is>
      </c>
      <c r="B1" s="1" t="inlineStr">
        <is>
          <t>resort</t>
        </is>
      </c>
      <c r="C1" s="1" t="inlineStr">
        <is>
          <t>url</t>
        </is>
      </c>
      <c r="D1" s="1" t="inlineStr">
        <is>
          <t>page_type</t>
        </is>
      </c>
      <c r="E1" s="1" t="inlineStr">
        <is>
          <t>title</t>
        </is>
      </c>
      <c r="F1" s="1" t="inlineStr">
        <is>
          <t>chars</t>
        </is>
      </c>
      <c r="G1" s="1" t="inlineStr">
        <is>
          <t>scraped_on</t>
        </is>
      </c>
      <c r="H1" s="1" t="inlineStr">
        <is>
          <t>source_type</t>
        </is>
      </c>
      <c r="I1" s="1" t="inlineStr">
        <is>
          <t>path</t>
        </is>
      </c>
    </row>
    <row r="2">
      <c r="A2" t="n">
        <v>69</v>
      </c>
      <c r="B2" t="inlineStr">
        <is>
          <t>Adaaran Club Rannalhi</t>
        </is>
      </c>
      <c r="C2" t="inlineStr">
        <is>
          <t>https://www.neoscapesmaldives.com/resort/adaaran-club-rannalhi/</t>
        </is>
      </c>
      <c r="D2" t="inlineStr">
        <is>
          <t>overview</t>
        </is>
      </c>
      <c r="E2" t="inlineStr">
        <is>
          <t>Adaaran Club Rannalhi | Neoscapes Maldives</t>
        </is>
      </c>
      <c r="F2" t="n">
        <v>22314</v>
      </c>
      <c r="G2" t="inlineStr">
        <is>
          <t>2026-10-04</t>
        </is>
      </c>
      <c r="H2" t="inlineStr">
        <is>
          <t>dmc-agency</t>
        </is>
      </c>
      <c r="I2" t="inlineStr">
        <is>
          <t>output/pages/069_adaaran-club-rannalhi/overview__neoscapesmaldives.com__resort-adaaran-club-rannalhi.md</t>
        </is>
      </c>
    </row>
    <row r="3">
      <c r="A3" t="n">
        <v>3</v>
      </c>
      <c r="B3" t="inlineStr">
        <is>
          <t>Adaaran Select Hudhuranfushi</t>
        </is>
      </c>
      <c r="C3" t="inlineStr">
        <is>
          <t>https://www.neoscapesmaldives.com/resort/adaaran-hudhuran-fushi/</t>
        </is>
      </c>
      <c r="D3" t="inlineStr">
        <is>
          <t>overview</t>
        </is>
      </c>
      <c r="E3" t="inlineStr">
        <is>
          <t>Adaaran Select Hudhuranfushi | Neoscapes Maldives</t>
        </is>
      </c>
      <c r="F3" t="n">
        <v>27259</v>
      </c>
      <c r="G3" t="inlineStr">
        <is>
          <t>2026-10-04</t>
        </is>
      </c>
      <c r="H3" t="inlineStr">
        <is>
          <t>dmc-agency</t>
        </is>
      </c>
      <c r="I3" t="inlineStr">
        <is>
          <t>output/pages/003_adaaran-select-hudhuranfushi/overview__neoscapesmaldives.com__resort-adaaran-hudhuran-fushi.md</t>
        </is>
      </c>
    </row>
    <row r="4">
      <c r="A4" t="n">
        <v>163</v>
      </c>
      <c r="B4" t="inlineStr">
        <is>
          <t>Adaaran Prestige Vadoo</t>
        </is>
      </c>
      <c r="C4" t="inlineStr">
        <is>
          <t>https://www.neoscapesmaldives.com/resort/adaaran-prestige-vadoo/</t>
        </is>
      </c>
      <c r="D4" t="inlineStr">
        <is>
          <t>overview</t>
        </is>
      </c>
      <c r="E4" t="inlineStr">
        <is>
          <t>Adaaran Prestige Vadoo | Neoscapes Maldives</t>
        </is>
      </c>
      <c r="F4" t="n">
        <v>24006</v>
      </c>
      <c r="G4" t="inlineStr">
        <is>
          <t>2026-10-04</t>
        </is>
      </c>
      <c r="H4" t="inlineStr">
        <is>
          <t>dmc-agency</t>
        </is>
      </c>
      <c r="I4" t="inlineStr">
        <is>
          <t>output/pages/163_adaaran-prestige-vadoo/overview__neoscapesmaldives.com__resort-adaaran-prestige-vadoo.md</t>
        </is>
      </c>
    </row>
    <row r="5">
      <c r="A5" t="n">
        <v>15</v>
      </c>
      <c r="B5" t="inlineStr">
        <is>
          <t>Alila Kothaifaru Maldives</t>
        </is>
      </c>
      <c r="C5" t="inlineStr">
        <is>
          <t>https://www.neoscapesmaldives.com/resort/alila-kothaifaru-maldives/</t>
        </is>
      </c>
      <c r="D5" t="inlineStr">
        <is>
          <t>overview</t>
        </is>
      </c>
      <c r="E5" t="inlineStr">
        <is>
          <t>Alila Kothaifaru Maldives | Neoscapes Maldives</t>
        </is>
      </c>
      <c r="F5" t="n">
        <v>24170</v>
      </c>
      <c r="G5" t="inlineStr">
        <is>
          <t>2026-10-04</t>
        </is>
      </c>
      <c r="H5" t="inlineStr">
        <is>
          <t>dmc-agency</t>
        </is>
      </c>
      <c r="I5" t="inlineStr">
        <is>
          <t>output/pages/015_alila-kothaifaru-maldives/overview__neoscapesmaldives.com__resort-alila-kothaifaru-maldives.md</t>
        </is>
      </c>
    </row>
    <row r="6">
      <c r="A6" t="n">
        <v>39</v>
      </c>
      <c r="B6" t="inlineStr">
        <is>
          <t>NH Collection Maldives Havodda Resort</t>
        </is>
      </c>
      <c r="C6" t="inlineStr">
        <is>
          <t>https://www.neoscapesmaldives.com/resort/amari-havodda-maldives/</t>
        </is>
      </c>
      <c r="D6" t="inlineStr">
        <is>
          <t>overview</t>
        </is>
      </c>
      <c r="E6" t="inlineStr">
        <is>
          <t>Amari Havodda Maldives | Neoscapes Maldives</t>
        </is>
      </c>
      <c r="F6" t="n">
        <v>29585</v>
      </c>
      <c r="G6" t="inlineStr">
        <is>
          <t>2026-10-04</t>
        </is>
      </c>
      <c r="H6" t="inlineStr">
        <is>
          <t>dmc-agency</t>
        </is>
      </c>
      <c r="I6" t="inlineStr">
        <is>
          <t>output/pages/039_nh-collection-maldives-havodda-resort/overview__neoscapesmaldives.com__resort-amari-havodda-maldives.md</t>
        </is>
      </c>
    </row>
    <row r="7">
      <c r="A7" t="n">
        <v>9</v>
      </c>
      <c r="B7" t="inlineStr">
        <is>
          <t>Amilla Fushi</t>
        </is>
      </c>
      <c r="C7" t="inlineStr">
        <is>
          <t>https://www.neoscapesmaldives.com/resort/amilla-fushi-resort/</t>
        </is>
      </c>
      <c r="D7" t="inlineStr">
        <is>
          <t>overview</t>
        </is>
      </c>
      <c r="E7" t="inlineStr">
        <is>
          <t>Amilla Maldives Resort and Residences | Neoscapes Maldives</t>
        </is>
      </c>
      <c r="F7" t="n">
        <v>27314</v>
      </c>
      <c r="G7" t="inlineStr">
        <is>
          <t>2026-10-04</t>
        </is>
      </c>
      <c r="H7" t="inlineStr">
        <is>
          <t>dmc-agency</t>
        </is>
      </c>
      <c r="I7" t="inlineStr">
        <is>
          <t>output/pages/009_amilla-fushi/overview__neoscapesmaldives.com__resort-amilla-fushi-resort.md</t>
        </is>
      </c>
    </row>
    <row r="8">
      <c r="A8" t="n">
        <v>145</v>
      </c>
      <c r="B8" t="inlineStr">
        <is>
          <t>Anantara Resort and Spa Maldives</t>
        </is>
      </c>
      <c r="C8" t="inlineStr">
        <is>
          <t>https://www.neoscapesmaldives.com/resort/anantara-dhigu-resort/</t>
        </is>
      </c>
      <c r="D8" t="inlineStr">
        <is>
          <t>overview</t>
        </is>
      </c>
      <c r="E8" t="inlineStr">
        <is>
          <t>Anantara Dhigu Maldives Resort | Neoscapes Maldives</t>
        </is>
      </c>
      <c r="F8" t="n">
        <v>25304</v>
      </c>
      <c r="G8" t="inlineStr">
        <is>
          <t>2026-10-04</t>
        </is>
      </c>
      <c r="H8" t="inlineStr">
        <is>
          <t>dmc-agency</t>
        </is>
      </c>
      <c r="I8" t="inlineStr">
        <is>
          <t>output/pages/145_anantara-resort-and-spa-maldives/overview__neoscapesmaldives.com__resort-anantara-dhigu-resort.md</t>
        </is>
      </c>
    </row>
    <row r="9">
      <c r="A9" t="n">
        <v>106</v>
      </c>
      <c r="B9" t="inlineStr">
        <is>
          <t>Anantara Kihavah Villas</t>
        </is>
      </c>
      <c r="C9" t="inlineStr">
        <is>
          <t>https://www.neoscapesmaldives.com/resort/anantara-kihavah-villas/</t>
        </is>
      </c>
      <c r="D9" t="inlineStr">
        <is>
          <t>overview</t>
        </is>
      </c>
      <c r="E9" t="inlineStr">
        <is>
          <t>Anantara Kihavah Maldives Villas | Neoscapes Maldives</t>
        </is>
      </c>
      <c r="F9" t="n">
        <v>24814</v>
      </c>
      <c r="G9" t="inlineStr">
        <is>
          <t>2026-10-04</t>
        </is>
      </c>
      <c r="H9" t="inlineStr">
        <is>
          <t>dmc-agency</t>
        </is>
      </c>
      <c r="I9" t="inlineStr">
        <is>
          <t>output/pages/106_anantara-kihavah-villas/overview__neoscapesmaldives.com__resort-anantara-kihavah-villas.md</t>
        </is>
      </c>
    </row>
    <row r="10">
      <c r="A10" t="n">
        <v>146</v>
      </c>
      <c r="B10" t="inlineStr">
        <is>
          <t>Anantara Veli and Naladhu</t>
        </is>
      </c>
      <c r="C10" t="inlineStr">
        <is>
          <t>https://www.neoscapesmaldives.com/resort/anantara-veli-maldives-resort/</t>
        </is>
      </c>
      <c r="D10" t="inlineStr">
        <is>
          <t>overview</t>
        </is>
      </c>
      <c r="E10" t="inlineStr">
        <is>
          <t>Anantara Veli Maldives Resort | Neoscapes Maldives</t>
        </is>
      </c>
      <c r="F10" t="n">
        <v>24192</v>
      </c>
      <c r="G10" t="inlineStr">
        <is>
          <t>2026-10-04</t>
        </is>
      </c>
      <c r="H10" t="inlineStr">
        <is>
          <t>dmc-agency</t>
        </is>
      </c>
      <c r="I10" t="inlineStr">
        <is>
          <t>output/pages/146_anantara-veli-and-naladhu/overview__neoscapesmaldives.com__resort-anantara-veli-maldives-resort.md</t>
        </is>
      </c>
    </row>
    <row r="11">
      <c r="A11" t="n">
        <v>96</v>
      </c>
      <c r="B11" t="inlineStr">
        <is>
          <t>Dhawa Ihuru</t>
        </is>
      </c>
      <c r="C11" t="inlineStr">
        <is>
          <t>https://www.neoscapesmaldives.com/resort/angsana-ihuru/</t>
        </is>
      </c>
      <c r="D11" t="inlineStr">
        <is>
          <t>overview</t>
        </is>
      </c>
      <c r="E11" t="inlineStr">
        <is>
          <t>Dhawa Ihuru | Neoscapes Maldives</t>
        </is>
      </c>
      <c r="F11" t="n">
        <v>23566</v>
      </c>
      <c r="G11" t="inlineStr">
        <is>
          <t>2026-10-04</t>
        </is>
      </c>
      <c r="H11" t="inlineStr">
        <is>
          <t>dmc-agency</t>
        </is>
      </c>
      <c r="I11" t="inlineStr">
        <is>
          <t>output/pages/096_dhawa-ihuru/overview__neoscapesmaldives.com__resort-angsana-ihuru.md</t>
        </is>
      </c>
    </row>
    <row r="12">
      <c r="A12" t="n">
        <v>97</v>
      </c>
      <c r="B12" t="inlineStr">
        <is>
          <t>Angsana Resort &amp; Spa Maldives - Velavaru</t>
        </is>
      </c>
      <c r="C12" t="inlineStr">
        <is>
          <t>https://www.neoscapesmaldives.com/resort/angsana-velavaru/</t>
        </is>
      </c>
      <c r="D12" t="inlineStr">
        <is>
          <t>overview</t>
        </is>
      </c>
      <c r="E12" t="inlineStr">
        <is>
          <t>Angsana Velavaru | Neoscapes Maldives</t>
        </is>
      </c>
      <c r="F12" t="n">
        <v>23209</v>
      </c>
      <c r="G12" t="inlineStr">
        <is>
          <t>2026-10-04</t>
        </is>
      </c>
      <c r="H12" t="inlineStr">
        <is>
          <t>dmc-agency</t>
        </is>
      </c>
      <c r="I12" t="inlineStr">
        <is>
          <t>output/pages/097_angsana-resort-spa-maldives-velavaru/overview__neoscapesmaldives.com__resort-angsana-velavaru.md</t>
        </is>
      </c>
    </row>
    <row r="13">
      <c r="A13" t="n">
        <v>77</v>
      </c>
      <c r="B13" t="inlineStr">
        <is>
          <t>Atmosphere Kanifushi Maldives</t>
        </is>
      </c>
      <c r="C13" t="inlineStr">
        <is>
          <t>https://www.neoscapesmaldives.com/resort/atmosphere-kanifushi-maldives/</t>
        </is>
      </c>
      <c r="D13" t="inlineStr">
        <is>
          <t>overview</t>
        </is>
      </c>
      <c r="E13" t="inlineStr">
        <is>
          <t>Atmosphere Kanifushi | Neoscapes Maldives</t>
        </is>
      </c>
      <c r="F13" t="n">
        <v>29894</v>
      </c>
      <c r="G13" t="inlineStr">
        <is>
          <t>2026-10-04</t>
        </is>
      </c>
      <c r="H13" t="inlineStr">
        <is>
          <t>dmc-agency</t>
        </is>
      </c>
      <c r="I13" t="inlineStr">
        <is>
          <t>output/pages/077_atmosphere-kanifushi-maldives/overview__neoscapesmaldives.com__resort-atmosphere-kanifushi-maldives.md</t>
        </is>
      </c>
    </row>
    <row r="14">
      <c r="A14" t="n">
        <v>4</v>
      </c>
      <c r="B14" t="inlineStr">
        <is>
          <t>Ayada Maldives</t>
        </is>
      </c>
      <c r="C14" t="inlineStr">
        <is>
          <t>https://www.neoscapesmaldives.com/resort/ayada-maldives/</t>
        </is>
      </c>
      <c r="D14" t="inlineStr">
        <is>
          <t>overview</t>
        </is>
      </c>
      <c r="E14" t="inlineStr">
        <is>
          <t>Ayada Maldives | Neoscapes Maldives</t>
        </is>
      </c>
      <c r="F14" t="n">
        <v>24539</v>
      </c>
      <c r="G14" t="inlineStr">
        <is>
          <t>2026-10-04</t>
        </is>
      </c>
      <c r="H14" t="inlineStr">
        <is>
          <t>dmc-agency</t>
        </is>
      </c>
      <c r="I14" t="inlineStr">
        <is>
          <t>output/pages/004_ayada-maldives/overview__neoscapesmaldives.com__resort-ayada-maldives.md</t>
        </is>
      </c>
    </row>
    <row r="15">
      <c r="A15" t="n">
        <v>120</v>
      </c>
      <c r="B15" t="inlineStr">
        <is>
          <t>Bandos Maldives</t>
        </is>
      </c>
      <c r="C15" t="inlineStr">
        <is>
          <t>https://www.neoscapesmaldives.com/resort/bandos-maldives/</t>
        </is>
      </c>
      <c r="D15" t="inlineStr">
        <is>
          <t>overview</t>
        </is>
      </c>
      <c r="E15" t="inlineStr">
        <is>
          <t>Bandos Maldives | Neoscapes Maldives</t>
        </is>
      </c>
      <c r="F15" t="n">
        <v>27488</v>
      </c>
      <c r="G15" t="inlineStr">
        <is>
          <t>2026-10-04</t>
        </is>
      </c>
      <c r="H15" t="inlineStr">
        <is>
          <t>dmc-agency</t>
        </is>
      </c>
      <c r="I15" t="inlineStr">
        <is>
          <t>output/pages/120_bandos-maldives/overview__neoscapesmaldives.com__resort-bandos-maldives.md</t>
        </is>
      </c>
    </row>
    <row r="16">
      <c r="A16" t="n">
        <v>169</v>
      </c>
      <c r="B16" t="inlineStr">
        <is>
          <t>Banyan Tree Maldives Vabbinfaru</t>
        </is>
      </c>
      <c r="C16" t="inlineStr">
        <is>
          <t>https://www.neoscapesmaldives.com/resort/banyan-tree-vabbinfaru/</t>
        </is>
      </c>
      <c r="D16" t="inlineStr">
        <is>
          <t>overview</t>
        </is>
      </c>
      <c r="E16" t="inlineStr">
        <is>
          <t>Banyan Tree Vabbinfaru | Neoscapes Maldives</t>
        </is>
      </c>
      <c r="F16" t="n">
        <v>25520</v>
      </c>
      <c r="G16" t="inlineStr">
        <is>
          <t>2026-10-04</t>
        </is>
      </c>
      <c r="H16" t="inlineStr">
        <is>
          <t>dmc-agency</t>
        </is>
      </c>
      <c r="I16" t="inlineStr">
        <is>
          <t>output/pages/169_banyan-tree-maldives-vabbinfaru/overview__neoscapesmaldives.com__resort-banyan-tree-vabbinfaru.md</t>
        </is>
      </c>
    </row>
    <row r="17">
      <c r="A17" t="n">
        <v>164</v>
      </c>
      <c r="B17" t="inlineStr">
        <is>
          <t>Baros Maldives</t>
        </is>
      </c>
      <c r="C17" t="inlineStr">
        <is>
          <t>https://www.neoscapesmaldives.com/resort/baros-maldives/</t>
        </is>
      </c>
      <c r="D17" t="inlineStr">
        <is>
          <t>overview</t>
        </is>
      </c>
      <c r="E17" t="inlineStr">
        <is>
          <t>Baros Maldives | Neoscapes Maldives</t>
        </is>
      </c>
      <c r="F17" t="n">
        <v>35087</v>
      </c>
      <c r="G17" t="inlineStr">
        <is>
          <t>2026-10-04</t>
        </is>
      </c>
      <c r="H17" t="inlineStr">
        <is>
          <t>dmc-agency</t>
        </is>
      </c>
      <c r="I17" t="inlineStr">
        <is>
          <t>output/pages/164_baros-maldives/overview__neoscapesmaldives.com__resort-baros-maldives.md</t>
        </is>
      </c>
    </row>
    <row r="18">
      <c r="A18" t="n">
        <v>21</v>
      </c>
      <c r="B18" t="inlineStr">
        <is>
          <t>Brennia Kottefaru</t>
        </is>
      </c>
      <c r="C18" t="inlineStr">
        <is>
          <t>https://www.neoscapesmaldives.com/resort/brennia-kottefaru-maldives/</t>
        </is>
      </c>
      <c r="D18" t="inlineStr">
        <is>
          <t>overview</t>
        </is>
      </c>
      <c r="E18" t="inlineStr">
        <is>
          <t>Brennia Kottefaru Maldives | Neoscapes Maldives</t>
        </is>
      </c>
      <c r="F18" t="n">
        <v>25582</v>
      </c>
      <c r="G18" t="inlineStr">
        <is>
          <t>2026-10-04</t>
        </is>
      </c>
      <c r="H18" t="inlineStr">
        <is>
          <t>dmc-agency</t>
        </is>
      </c>
      <c r="I18" t="inlineStr">
        <is>
          <t>output/pages/021_brennia-kottefaru/overview__neoscapesmaldives.com__resort-brennia-kottefaru-maldives.md</t>
        </is>
      </c>
    </row>
    <row r="19">
      <c r="A19" t="n">
        <v>126</v>
      </c>
      <c r="B19" t="inlineStr">
        <is>
          <t>Centara Grand Island Resort &amp; Spa Maldives</t>
        </is>
      </c>
      <c r="C19" t="inlineStr">
        <is>
          <t>https://www.neoscapesmaldives.com/resort/centara-grand-island-resort/</t>
        </is>
      </c>
      <c r="D19" t="inlineStr">
        <is>
          <t>overview</t>
        </is>
      </c>
      <c r="E19" t="inlineStr">
        <is>
          <t>Machchafushi Island Resort and Spa | Neoscapes Maldives</t>
        </is>
      </c>
      <c r="F19" t="n">
        <v>32674</v>
      </c>
      <c r="G19" t="inlineStr">
        <is>
          <t>2026-10-04</t>
        </is>
      </c>
      <c r="H19" t="inlineStr">
        <is>
          <t>dmc-agency</t>
        </is>
      </c>
      <c r="I19" t="inlineStr">
        <is>
          <t>output/pages/126_centara-grand-island-resort-spa-maldives/overview__neoscapesmaldives.com__resort-centara-grand-island-resort.md</t>
        </is>
      </c>
    </row>
    <row r="20">
      <c r="A20" t="n">
        <v>85</v>
      </c>
      <c r="B20" t="inlineStr">
        <is>
          <t>Centara Mirage Lagoon Maldives &amp; Centara Grand Lagoon Maldives</t>
        </is>
      </c>
      <c r="C20" t="inlineStr">
        <is>
          <t>https://www.neoscapesmaldives.com/resort/centara-grand-lagoon</t>
        </is>
      </c>
      <c r="D20" t="inlineStr">
        <is>
          <t>overview</t>
        </is>
      </c>
      <c r="E20" t="inlineStr">
        <is>
          <t>Centara Grand Lagoon | Neoscapes Maldives</t>
        </is>
      </c>
      <c r="F20" t="n">
        <v>26754</v>
      </c>
      <c r="G20" t="inlineStr">
        <is>
          <t>2026-10-04</t>
        </is>
      </c>
      <c r="H20" t="inlineStr">
        <is>
          <t>dmc-agency</t>
        </is>
      </c>
      <c r="I20" t="inlineStr">
        <is>
          <t>output/pages/085_centara-mirage-lagoon-maldives-centara-grand-lagoo/overview__neoscapesmaldives.com__resort-centara-grand-lagoon.md</t>
        </is>
      </c>
    </row>
    <row r="21">
      <c r="A21" t="n">
        <v>85</v>
      </c>
      <c r="B21" t="inlineStr">
        <is>
          <t>Centara Mirage Lagoon Maldives &amp; Centara Grand Lagoon Maldives</t>
        </is>
      </c>
      <c r="C21" t="inlineStr">
        <is>
          <t>https://www.neoscapesmaldives.com/resort/centara-mirage-lagoon/</t>
        </is>
      </c>
      <c r="D21" t="inlineStr">
        <is>
          <t>overview</t>
        </is>
      </c>
      <c r="E21" t="inlineStr">
        <is>
          <t>Centara Mirage Lagoon | Neoscapes Maldives</t>
        </is>
      </c>
      <c r="F21" t="n">
        <v>28098</v>
      </c>
      <c r="G21" t="inlineStr">
        <is>
          <t>2026-10-04</t>
        </is>
      </c>
      <c r="H21" t="inlineStr">
        <is>
          <t>dmc-agency</t>
        </is>
      </c>
      <c r="I21" t="inlineStr">
        <is>
          <t>output/pages/085_centara-mirage-lagoon-maldives-centara-grand-lagoo/overview__neoscapesmaldives.com__resort-centara-mirage-lagoon.md</t>
        </is>
      </c>
    </row>
    <row r="22">
      <c r="A22" t="n">
        <v>26</v>
      </c>
      <c r="B22" t="inlineStr">
        <is>
          <t>Centara Ras Fushi Resort &amp; Spa</t>
        </is>
      </c>
      <c r="C22" t="inlineStr">
        <is>
          <t>https://www.neoscapesmaldives.com/resort/centara-ras-fushi-resort/</t>
        </is>
      </c>
      <c r="D22" t="inlineStr">
        <is>
          <t>overview</t>
        </is>
      </c>
      <c r="E22" t="inlineStr">
        <is>
          <t>Centara Ras Fushi Island Resort &amp; Spa Maldives | Neoscapes Maldives</t>
        </is>
      </c>
      <c r="F22" t="n">
        <v>28972</v>
      </c>
      <c r="G22" t="inlineStr">
        <is>
          <t>2026-10-04</t>
        </is>
      </c>
      <c r="H22" t="inlineStr">
        <is>
          <t>dmc-agency</t>
        </is>
      </c>
      <c r="I22" t="inlineStr">
        <is>
          <t>output/pages/026_centara-ras-fushi-resort-spa/overview__neoscapesmaldives.com__resort-centara-ras-fushi-resort.md</t>
        </is>
      </c>
    </row>
    <row r="23">
      <c r="A23" t="n">
        <v>65</v>
      </c>
      <c r="B23" t="inlineStr">
        <is>
          <t>Cheval Blanc Randheli</t>
        </is>
      </c>
      <c r="C23" t="inlineStr">
        <is>
          <t>https://www.neoscapesmaldives.com/resort/cheval-blanc-randheli/</t>
        </is>
      </c>
      <c r="D23" t="inlineStr">
        <is>
          <t>overview</t>
        </is>
      </c>
      <c r="E23" t="inlineStr">
        <is>
          <t>Cheval Blanc Randheli | Neoscapes Maldives</t>
        </is>
      </c>
      <c r="F23" t="n">
        <v>29576</v>
      </c>
      <c r="G23" t="inlineStr">
        <is>
          <t>2026-10-04</t>
        </is>
      </c>
      <c r="H23" t="inlineStr">
        <is>
          <t>dmc-agency</t>
        </is>
      </c>
      <c r="I23" t="inlineStr">
        <is>
          <t>output/pages/065_cheval-blanc-randheli/overview__neoscapesmaldives.com__resort-cheval-blanc-randheli.md</t>
        </is>
      </c>
    </row>
    <row r="24">
      <c r="A24" t="n">
        <v>159</v>
      </c>
      <c r="B24" t="inlineStr">
        <is>
          <t>Cinnamon Dhonveli Maldives</t>
        </is>
      </c>
      <c r="C24" t="inlineStr">
        <is>
          <t>https://www.neoscapesmaldives.com/resort/cinnamon-dhonveli-maldives/</t>
        </is>
      </c>
      <c r="D24" t="inlineStr">
        <is>
          <t>overview</t>
        </is>
      </c>
      <c r="E24" t="inlineStr">
        <is>
          <t>Cinnamon Dhonveli Maldives | Neoscapes Maldives</t>
        </is>
      </c>
      <c r="F24" t="n">
        <v>23651</v>
      </c>
      <c r="G24" t="inlineStr">
        <is>
          <t>2026-10-04</t>
        </is>
      </c>
      <c r="H24" t="inlineStr">
        <is>
          <t>dmc-agency</t>
        </is>
      </c>
      <c r="I24" t="inlineStr">
        <is>
          <t>output/pages/159_cinnamon-dhonveli-maldives/overview__neoscapesmaldives.com__resort-cinnamon-dhonveli-maldives.md</t>
        </is>
      </c>
    </row>
    <row r="25">
      <c r="A25" t="n">
        <v>160</v>
      </c>
      <c r="B25" t="inlineStr">
        <is>
          <t>Cinnamon Velifushi Maldives</t>
        </is>
      </c>
      <c r="C25" t="inlineStr">
        <is>
          <t>https://www.neoscapesmaldives.com/resort/cinnamon-velifushi-maldives/</t>
        </is>
      </c>
      <c r="D25" t="inlineStr">
        <is>
          <t>overview</t>
        </is>
      </c>
      <c r="E25" t="inlineStr">
        <is>
          <t>Cinnamon Velifushi Maldives | Neoscapes Maldives</t>
        </is>
      </c>
      <c r="F25" t="n">
        <v>22869</v>
      </c>
      <c r="G25" t="inlineStr">
        <is>
          <t>2026-10-04</t>
        </is>
      </c>
      <c r="H25" t="inlineStr">
        <is>
          <t>dmc-agency</t>
        </is>
      </c>
      <c r="I25" t="inlineStr">
        <is>
          <t>output/pages/160_cinnamon-velifushi-maldives/overview__neoscapesmaldives.com__resort-cinnamon-velifushi-maldives.md</t>
        </is>
      </c>
    </row>
    <row r="26">
      <c r="A26" t="n">
        <v>150</v>
      </c>
      <c r="B26" t="inlineStr">
        <is>
          <t>Coco Bodu Hithi</t>
        </is>
      </c>
      <c r="C26" t="inlineStr">
        <is>
          <t>https://www.neoscapesmaldives.com/resort/coco-palm-bodu-hithi/</t>
        </is>
      </c>
      <c r="D26" t="inlineStr">
        <is>
          <t>overview</t>
        </is>
      </c>
      <c r="E26" t="inlineStr">
        <is>
          <t>Coco Bodu Hithi | Neoscapes Maldives</t>
        </is>
      </c>
      <c r="F26" t="n">
        <v>28608</v>
      </c>
      <c r="G26" t="inlineStr">
        <is>
          <t>2026-10-04</t>
        </is>
      </c>
      <c r="H26" t="inlineStr">
        <is>
          <t>dmc-agency</t>
        </is>
      </c>
      <c r="I26" t="inlineStr">
        <is>
          <t>output/pages/150_coco-bodu-hithi/overview__neoscapesmaldives.com__resort-coco-palm-bodu-hithi.md</t>
        </is>
      </c>
    </row>
    <row r="27">
      <c r="A27" t="n">
        <v>32</v>
      </c>
      <c r="B27" t="inlineStr">
        <is>
          <t>Cocoon Maldives</t>
        </is>
      </c>
      <c r="C27" t="inlineStr">
        <is>
          <t>https://www.neoscapesmaldives.com/resort/cocoon-maldives/</t>
        </is>
      </c>
      <c r="D27" t="inlineStr">
        <is>
          <t>overview</t>
        </is>
      </c>
      <c r="E27" t="inlineStr">
        <is>
          <t>Cocoon Maldives | Neoscapes Maldives</t>
        </is>
      </c>
      <c r="F27" t="n">
        <v>28029</v>
      </c>
      <c r="G27" t="inlineStr">
        <is>
          <t>2026-10-04</t>
        </is>
      </c>
      <c r="H27" t="inlineStr">
        <is>
          <t>dmc-agency</t>
        </is>
      </c>
      <c r="I27" t="inlineStr">
        <is>
          <t>output/pages/032_cocoon-maldives/overview__neoscapesmaldives.com__resort-cocoon-maldives.md</t>
        </is>
      </c>
    </row>
    <row r="28">
      <c r="A28" t="n">
        <v>121</v>
      </c>
      <c r="B28" t="inlineStr">
        <is>
          <t>Cocoa Island</t>
        </is>
      </c>
      <c r="C28" t="inlineStr">
        <is>
          <t>https://www.neoscapesmaldives.com/resort/como-cocoa-island/</t>
        </is>
      </c>
      <c r="D28" t="inlineStr">
        <is>
          <t>overview</t>
        </is>
      </c>
      <c r="E28" t="inlineStr">
        <is>
          <t>COMO Cocoa Island | Neoscapes Maldives</t>
        </is>
      </c>
      <c r="F28" t="n">
        <v>28318</v>
      </c>
      <c r="G28" t="inlineStr">
        <is>
          <t>2026-10-04</t>
        </is>
      </c>
      <c r="H28" t="inlineStr">
        <is>
          <t>dmc-agency</t>
        </is>
      </c>
      <c r="I28" t="inlineStr">
        <is>
          <t>output/pages/121_cocoa-island/overview__neoscapesmaldives.com__resort-como-cocoa-island.md</t>
        </is>
      </c>
    </row>
    <row r="29">
      <c r="A29" t="n">
        <v>66</v>
      </c>
      <c r="B29" t="inlineStr">
        <is>
          <t>Como Maalifushi</t>
        </is>
      </c>
      <c r="C29" t="inlineStr">
        <is>
          <t>https://www.neoscapesmaldives.com/resort/como-maalifushi/</t>
        </is>
      </c>
      <c r="D29" t="inlineStr">
        <is>
          <t>overview</t>
        </is>
      </c>
      <c r="E29" t="inlineStr">
        <is>
          <t>COMO Maalifushi | Neoscapes Maldives</t>
        </is>
      </c>
      <c r="F29" t="n">
        <v>33854</v>
      </c>
      <c r="G29" t="inlineStr">
        <is>
          <t>2026-10-04</t>
        </is>
      </c>
      <c r="H29" t="inlineStr">
        <is>
          <t>dmc-agency</t>
        </is>
      </c>
      <c r="I29" t="inlineStr">
        <is>
          <t>output/pages/066_como-maalifushi/overview__neoscapesmaldives.com__resort-como-maalifushi.md</t>
        </is>
      </c>
    </row>
    <row r="30">
      <c r="A30" t="n">
        <v>99</v>
      </c>
      <c r="B30" t="inlineStr">
        <is>
          <t>Conrad Maldives Rangali Island</t>
        </is>
      </c>
      <c r="C30" t="inlineStr">
        <is>
          <t>https://www.neoscapesmaldives.com/resort/conrad-maldives-rangali-island/</t>
        </is>
      </c>
      <c r="D30" t="inlineStr">
        <is>
          <t>overview</t>
        </is>
      </c>
      <c r="E30" t="inlineStr">
        <is>
          <t>Conrad Maldives Rangali Island | Neoscapes Maldives</t>
        </is>
      </c>
      <c r="F30" t="n">
        <v>34226</v>
      </c>
      <c r="G30" t="inlineStr">
        <is>
          <t>2026-10-04</t>
        </is>
      </c>
      <c r="H30" t="inlineStr">
        <is>
          <t>dmc-agency</t>
        </is>
      </c>
      <c r="I30" t="inlineStr">
        <is>
          <t>output/pages/099_conrad-maldives-rangali-island/overview__neoscapesmaldives.com__resort-conrad-maldives-rangali-island.md</t>
        </is>
      </c>
    </row>
    <row r="31">
      <c r="A31" t="n">
        <v>155</v>
      </c>
      <c r="B31" t="inlineStr">
        <is>
          <t>Constance Halaveli Resort</t>
        </is>
      </c>
      <c r="C31" t="inlineStr">
        <is>
          <t>https://www.neoscapesmaldives.com/resort/constance-halaveli-maldives/</t>
        </is>
      </c>
      <c r="D31" t="inlineStr">
        <is>
          <t>overview</t>
        </is>
      </c>
      <c r="E31" t="inlineStr">
        <is>
          <t>Constance Halaveli Maldives | Neoscapes Maldives</t>
        </is>
      </c>
      <c r="F31" t="n">
        <v>25583</v>
      </c>
      <c r="G31" t="inlineStr">
        <is>
          <t>2026-10-04</t>
        </is>
      </c>
      <c r="H31" t="inlineStr">
        <is>
          <t>dmc-agency</t>
        </is>
      </c>
      <c r="I31" t="inlineStr">
        <is>
          <t>output/pages/155_constance-halaveli-resort/overview__neoscapesmaldives.com__resort-constance-halaveli-maldives.md</t>
        </is>
      </c>
    </row>
    <row r="32">
      <c r="A32" t="n">
        <v>109</v>
      </c>
      <c r="B32" t="inlineStr">
        <is>
          <t>Constance Moofushi Resort</t>
        </is>
      </c>
      <c r="C32" t="inlineStr">
        <is>
          <t>https://www.neoscapesmaldives.com/resort/constance-moofushi-resort/</t>
        </is>
      </c>
      <c r="D32" t="inlineStr">
        <is>
          <t>overview</t>
        </is>
      </c>
      <c r="E32" t="inlineStr">
        <is>
          <t>Constance Moofushi Maldives | Neoscapes Maldives</t>
        </is>
      </c>
      <c r="F32" t="n">
        <v>25334</v>
      </c>
      <c r="G32" t="inlineStr">
        <is>
          <t>2026-10-04</t>
        </is>
      </c>
      <c r="H32" t="inlineStr">
        <is>
          <t>dmc-agency</t>
        </is>
      </c>
      <c r="I32" t="inlineStr">
        <is>
          <t>output/pages/109_constance-moofushi-resort/overview__neoscapesmaldives.com__resort-constance-moofushi-resort.md</t>
        </is>
      </c>
    </row>
    <row r="33">
      <c r="A33" t="n">
        <v>62</v>
      </c>
      <c r="B33" t="inlineStr">
        <is>
          <t>Cora Cora Maldives</t>
        </is>
      </c>
      <c r="C33" t="inlineStr">
        <is>
          <t>https://www.neoscapesmaldives.com/resort/cora-cora-maldives/</t>
        </is>
      </c>
      <c r="D33" t="inlineStr">
        <is>
          <t>overview</t>
        </is>
      </c>
      <c r="E33" t="inlineStr">
        <is>
          <t>Cora Cora Maldives | Neoscapes Maldives</t>
        </is>
      </c>
      <c r="F33" t="n">
        <v>27632</v>
      </c>
      <c r="G33" t="inlineStr">
        <is>
          <t>2026-10-04</t>
        </is>
      </c>
      <c r="H33" t="inlineStr">
        <is>
          <t>dmc-agency</t>
        </is>
      </c>
      <c r="I33" t="inlineStr">
        <is>
          <t>output/pages/062_cora-cora-maldives/overview__neoscapesmaldives.com__resort-cora-cora-maldives.md</t>
        </is>
      </c>
    </row>
    <row r="34">
      <c r="A34" t="n">
        <v>33</v>
      </c>
      <c r="B34" t="inlineStr">
        <is>
          <t>Dhigali Maldives</t>
        </is>
      </c>
      <c r="C34" t="inlineStr">
        <is>
          <t>https://www.neoscapesmaldives.com/resort/dhigali-maldives/</t>
        </is>
      </c>
      <c r="D34" t="inlineStr">
        <is>
          <t>overview</t>
        </is>
      </c>
      <c r="E34" t="inlineStr">
        <is>
          <t>Niva Dhigali Maldives | Neoscapes Maldives</t>
        </is>
      </c>
      <c r="F34" t="n">
        <v>25852</v>
      </c>
      <c r="G34" t="inlineStr">
        <is>
          <t>2026-10-04</t>
        </is>
      </c>
      <c r="H34" t="inlineStr">
        <is>
          <t>dmc-agency</t>
        </is>
      </c>
      <c r="I34" t="inlineStr">
        <is>
          <t>output/pages/033_dhigali-maldives/overview__neoscapesmaldives.com__resort-dhigali-maldives.md</t>
        </is>
      </c>
    </row>
    <row r="35">
      <c r="A35" t="n">
        <v>178</v>
      </c>
      <c r="B35" t="inlineStr">
        <is>
          <t>Diamonds Athuruga Beach &amp; Water Villas</t>
        </is>
      </c>
      <c r="C35" t="inlineStr">
        <is>
          <t>https://www.neoscapesmaldives.com/resort/diamonds-athuruga-villas/</t>
        </is>
      </c>
      <c r="D35" t="inlineStr">
        <is>
          <t>overview</t>
        </is>
      </c>
      <c r="E35" t="inlineStr">
        <is>
          <t>Diamonds Athuruga Maldives | Neoscapes Maldives</t>
        </is>
      </c>
      <c r="F35" t="n">
        <v>26858</v>
      </c>
      <c r="G35" t="inlineStr">
        <is>
          <t>2026-10-04</t>
        </is>
      </c>
      <c r="H35" t="inlineStr">
        <is>
          <t>dmc-agency</t>
        </is>
      </c>
      <c r="I35" t="inlineStr">
        <is>
          <t>output/pages/178_diamonds-athuruga-beach-water-villas/overview__neoscapesmaldives.com__resort-diamonds-athuruga-villas.md</t>
        </is>
      </c>
    </row>
    <row r="36">
      <c r="A36" t="n">
        <v>135</v>
      </c>
      <c r="B36" t="inlineStr">
        <is>
          <t>Diamonds Thudufushi Beach and Water Villas</t>
        </is>
      </c>
      <c r="C36" t="inlineStr">
        <is>
          <t>https://www.neoscapesmaldives.com/resort/diamonds-thudufushi-villas/</t>
        </is>
      </c>
      <c r="D36" t="inlineStr">
        <is>
          <t>overview</t>
        </is>
      </c>
      <c r="E36" t="inlineStr">
        <is>
          <t>Diamonds Thudufushi Maldives | Neoscapes Maldives</t>
        </is>
      </c>
      <c r="F36" t="n">
        <v>28066</v>
      </c>
      <c r="G36" t="inlineStr">
        <is>
          <t>2026-10-04</t>
        </is>
      </c>
      <c r="H36" t="inlineStr">
        <is>
          <t>dmc-agency</t>
        </is>
      </c>
      <c r="I36" t="inlineStr">
        <is>
          <t>output/pages/135_diamonds-thudufushi-beach-and-water-villas/overview__neoscapesmaldives.com__resort-diamonds-thudufushi-villas.md</t>
        </is>
      </c>
    </row>
    <row r="37">
      <c r="A37" t="n">
        <v>48</v>
      </c>
      <c r="B37" t="inlineStr">
        <is>
          <t>Dusit Thani Maldives</t>
        </is>
      </c>
      <c r="C37" t="inlineStr">
        <is>
          <t>https://www.neoscapesmaldives.com/resort/dusit-thani-maldives/</t>
        </is>
      </c>
      <c r="D37" t="inlineStr">
        <is>
          <t>overview</t>
        </is>
      </c>
      <c r="E37" t="inlineStr">
        <is>
          <t>Dusit Thani Maldives | Neoscapes Maldives</t>
        </is>
      </c>
      <c r="F37" t="n">
        <v>29269</v>
      </c>
      <c r="G37" t="inlineStr">
        <is>
          <t>2026-10-04</t>
        </is>
      </c>
      <c r="H37" t="inlineStr">
        <is>
          <t>dmc-agency</t>
        </is>
      </c>
      <c r="I37" t="inlineStr">
        <is>
          <t>output/pages/048_dusit-thani-maldives/overview__neoscapesmaldives.com__resort-dusit-thani-maldives.md</t>
        </is>
      </c>
    </row>
    <row r="38">
      <c r="A38" t="n">
        <v>54</v>
      </c>
      <c r="B38" t="inlineStr">
        <is>
          <t>Emerald Faarufushi Resort &amp; Spa</t>
        </is>
      </c>
      <c r="C38" t="inlineStr">
        <is>
          <t>https://www.neoscapesmaldives.com/resort/emerald-faarufushi-resort-spa/</t>
        </is>
      </c>
      <c r="D38" t="inlineStr">
        <is>
          <t>overview</t>
        </is>
      </c>
      <c r="E38" t="inlineStr">
        <is>
          <t>Emerald Faarufushi Resort &amp; Spa | Neoscapes Maldives</t>
        </is>
      </c>
      <c r="F38" t="n">
        <v>26664</v>
      </c>
      <c r="G38" t="inlineStr">
        <is>
          <t>2026-10-04</t>
        </is>
      </c>
      <c r="H38" t="inlineStr">
        <is>
          <t>dmc-agency</t>
        </is>
      </c>
      <c r="I38" t="inlineStr">
        <is>
          <t>output/pages/054_emerald-faarufushi-resort-spa/overview__neoscapesmaldives.com__resort-emerald-faarufushi-resort-spa.md</t>
        </is>
      </c>
    </row>
    <row r="39">
      <c r="A39" t="n">
        <v>51</v>
      </c>
      <c r="B39" t="inlineStr">
        <is>
          <t>Emerald Maldives Resort &amp; Spa Fasmendho</t>
        </is>
      </c>
      <c r="C39" t="inlineStr">
        <is>
          <t>https://www.neoscapesmaldives.com/resort/emerald-maldives-resort-spa/</t>
        </is>
      </c>
      <c r="D39" t="inlineStr">
        <is>
          <t>overview</t>
        </is>
      </c>
      <c r="E39" t="inlineStr">
        <is>
          <t>Emerald Maldives Resort &amp; Spa | Neoscapes Maldives Holidays</t>
        </is>
      </c>
      <c r="F39" t="n">
        <v>29956</v>
      </c>
      <c r="G39" t="inlineStr">
        <is>
          <t>2026-10-04</t>
        </is>
      </c>
      <c r="H39" t="inlineStr">
        <is>
          <t>dmc-agency</t>
        </is>
      </c>
      <c r="I39" t="inlineStr">
        <is>
          <t>output/pages/051_emerald-maldives-resort-spa-fasmendho/overview__neoscapesmaldives.com__resort-emerald-maldives-resort-spa.md</t>
        </is>
      </c>
    </row>
    <row r="40">
      <c r="A40" t="n">
        <v>58</v>
      </c>
      <c r="B40" t="inlineStr">
        <is>
          <t>Sirru Fen Fushi</t>
        </is>
      </c>
      <c r="C40" t="inlineStr">
        <is>
          <t>https://www.neoscapesmaldives.com/resort/fairmont-maldives-sirru-fen-fushi/</t>
        </is>
      </c>
      <c r="D40" t="inlineStr">
        <is>
          <t>overview</t>
        </is>
      </c>
      <c r="E40" t="inlineStr">
        <is>
          <t>Sirru Fen Fushi | Neoscapes Maldives</t>
        </is>
      </c>
      <c r="F40" t="n">
        <v>32326</v>
      </c>
      <c r="G40" t="inlineStr">
        <is>
          <t>2026-10-04</t>
        </is>
      </c>
      <c r="H40" t="inlineStr">
        <is>
          <t>dmc-agency</t>
        </is>
      </c>
      <c r="I40" t="inlineStr">
        <is>
          <t>output/pages/058_sirru-fen-fushi/overview__neoscapesmaldives.com__resort-fairmont-maldives-sirru-fen-fushi.md</t>
        </is>
      </c>
    </row>
    <row r="41">
      <c r="A41" t="n">
        <v>136</v>
      </c>
      <c r="B41" t="inlineStr">
        <is>
          <t>Finolhu Baa Atoll Maldives</t>
        </is>
      </c>
      <c r="C41" t="inlineStr">
        <is>
          <t>https://www.neoscapesmaldives.com/resort/finolhu-maldives/</t>
        </is>
      </c>
      <c r="D41" t="inlineStr">
        <is>
          <t>overview</t>
        </is>
      </c>
      <c r="E41" t="inlineStr">
        <is>
          <t>Finolhu Baa Atoll Maldives | Neoscapes Maldives</t>
        </is>
      </c>
      <c r="F41" t="n">
        <v>33000</v>
      </c>
      <c r="G41" t="inlineStr">
        <is>
          <t>2026-10-04</t>
        </is>
      </c>
      <c r="H41" t="inlineStr">
        <is>
          <t>dmc-agency</t>
        </is>
      </c>
      <c r="I41" t="inlineStr">
        <is>
          <t>output/pages/136_finolhu-baa-atoll-maldives/overview__neoscapesmaldives.com__resort-finolhu-maldives.md</t>
        </is>
      </c>
    </row>
    <row r="42">
      <c r="A42" t="n">
        <v>56</v>
      </c>
      <c r="B42" t="inlineStr">
        <is>
          <t>Four Seasons Resort Maldives at Kuda Huraa</t>
        </is>
      </c>
      <c r="C42" t="inlineStr">
        <is>
          <t>https://www.neoscapesmaldives.com/resort/four-seasons-kuda-huraa-maldives/</t>
        </is>
      </c>
      <c r="D42" t="inlineStr">
        <is>
          <t>overview</t>
        </is>
      </c>
      <c r="E42" t="inlineStr">
        <is>
          <t>Four Seasons Resort Maldives at Kuda Huraa | Neoscapes Maldives</t>
        </is>
      </c>
      <c r="F42" t="n">
        <v>29310</v>
      </c>
      <c r="G42" t="inlineStr">
        <is>
          <t>2026-10-04</t>
        </is>
      </c>
      <c r="H42" t="inlineStr">
        <is>
          <t>dmc-agency</t>
        </is>
      </c>
      <c r="I42" t="inlineStr">
        <is>
          <t>output/pages/056_four-seasons-resort-maldives-at-kuda-huraa/overview__neoscapesmaldives.com__resort-four-seasons-kuda-huraa-maldives.md</t>
        </is>
      </c>
    </row>
    <row r="43">
      <c r="A43" t="n">
        <v>52</v>
      </c>
      <c r="B43" t="inlineStr">
        <is>
          <t>Eri Maldives</t>
        </is>
      </c>
      <c r="C43" t="inlineStr">
        <is>
          <t>https://www.neoscapesmaldives.com/resort/furaveri-island-resort/</t>
        </is>
      </c>
      <c r="D43" t="inlineStr">
        <is>
          <t>overview</t>
        </is>
      </c>
      <c r="E43" t="inlineStr">
        <is>
          <t>Furaveri Maldives | Neoscapes Maldives</t>
        </is>
      </c>
      <c r="F43" t="n">
        <v>29132</v>
      </c>
      <c r="G43" t="inlineStr">
        <is>
          <t>2026-10-04</t>
        </is>
      </c>
      <c r="H43" t="inlineStr">
        <is>
          <t>dmc-agency</t>
        </is>
      </c>
      <c r="I43" t="inlineStr">
        <is>
          <t>output/pages/052_eri-maldives/overview__neoscapesmaldives.com__resort-furaveri-island-resort.md</t>
        </is>
      </c>
    </row>
    <row r="44">
      <c r="A44" t="n">
        <v>27</v>
      </c>
      <c r="B44" t="inlineStr">
        <is>
          <t>Grand Park Kodhipparu Maldives</t>
        </is>
      </c>
      <c r="C44" t="inlineStr">
        <is>
          <t>https://www.neoscapesmaldives.com/resort/grand-park-kodhipparu-resort/</t>
        </is>
      </c>
      <c r="D44" t="inlineStr">
        <is>
          <t>overview</t>
        </is>
      </c>
      <c r="E44" t="inlineStr">
        <is>
          <t>Grand Park Kodhipparu Resort | Neoscapes Maldives</t>
        </is>
      </c>
      <c r="F44" t="n">
        <v>25810</v>
      </c>
      <c r="G44" t="inlineStr">
        <is>
          <t>2026-10-04</t>
        </is>
      </c>
      <c r="H44" t="inlineStr">
        <is>
          <t>dmc-agency</t>
        </is>
      </c>
      <c r="I44" t="inlineStr">
        <is>
          <t>output/pages/027_grand-park-kodhipparu-maldives/overview__neoscapesmaldives.com__resort-grand-park-kodhipparu-resort.md</t>
        </is>
      </c>
    </row>
    <row r="45">
      <c r="A45" t="n">
        <v>44</v>
      </c>
      <c r="B45" t="inlineStr">
        <is>
          <t>Hard Rock Hotel Maldives</t>
        </is>
      </c>
      <c r="C45" t="inlineStr">
        <is>
          <t>https://www.neoscapesmaldives.com/resort/hard-rock-hotel-maldives/</t>
        </is>
      </c>
      <c r="D45" t="inlineStr">
        <is>
          <t>overview</t>
        </is>
      </c>
      <c r="E45" t="inlineStr">
        <is>
          <t>Hard Rock Hotel Maldives | Neoscapes Maldives</t>
        </is>
      </c>
      <c r="F45" t="n">
        <v>28552</v>
      </c>
      <c r="G45" t="inlineStr">
        <is>
          <t>2026-10-04</t>
        </is>
      </c>
      <c r="H45" t="inlineStr">
        <is>
          <t>dmc-agency</t>
        </is>
      </c>
      <c r="I45" t="inlineStr">
        <is>
          <t>output/pages/044_hard-rock-hotel-maldives/overview__neoscapesmaldives.com__resort-hard-rock-hotel-maldives.md</t>
        </is>
      </c>
    </row>
    <row r="46">
      <c r="A46" t="n">
        <v>35</v>
      </c>
      <c r="B46" t="inlineStr">
        <is>
          <t>Heritance Aarah</t>
        </is>
      </c>
      <c r="C46" t="inlineStr">
        <is>
          <t>https://www.neoscapesmaldives.com/resort/heritance-aarah/</t>
        </is>
      </c>
      <c r="D46" t="inlineStr">
        <is>
          <t>overview</t>
        </is>
      </c>
      <c r="E46" t="inlineStr">
        <is>
          <t>Heritance Aarah | Neoscapes Maldives</t>
        </is>
      </c>
      <c r="F46" t="n">
        <v>23759</v>
      </c>
      <c r="G46" t="inlineStr">
        <is>
          <t>2026-10-04</t>
        </is>
      </c>
      <c r="H46" t="inlineStr">
        <is>
          <t>dmc-agency</t>
        </is>
      </c>
      <c r="I46" t="inlineStr">
        <is>
          <t>output/pages/035_heritance-aarah/overview__neoscapesmaldives.com__resort-heritance-aarah.md</t>
        </is>
      </c>
    </row>
    <row r="47">
      <c r="A47" t="n">
        <v>76</v>
      </c>
      <c r="B47" t="inlineStr">
        <is>
          <t>Hideaway Beach Resort and Spa at Dhonakulhi Island Maldives</t>
        </is>
      </c>
      <c r="C47" t="inlineStr">
        <is>
          <t>https://www.neoscapesmaldives.com/resort/hideaway-beach-resort-spa/</t>
        </is>
      </c>
      <c r="D47" t="inlineStr">
        <is>
          <t>overview</t>
        </is>
      </c>
      <c r="E47" t="inlineStr">
        <is>
          <t>Hideaway Beach Resort &amp; Spa | Neoscapes Maldives</t>
        </is>
      </c>
      <c r="F47" t="n">
        <v>33215</v>
      </c>
      <c r="G47" t="inlineStr">
        <is>
          <t>2026-10-04</t>
        </is>
      </c>
      <c r="H47" t="inlineStr">
        <is>
          <t>dmc-agency</t>
        </is>
      </c>
      <c r="I47" t="inlineStr">
        <is>
          <t>output/pages/076_hideaway-beach-resort-and-spa-at-dhonakulhi-island/overview__neoscapesmaldives.com__resort-hideaway-beach-resort-spa.md</t>
        </is>
      </c>
    </row>
    <row r="48">
      <c r="A48" t="n">
        <v>8</v>
      </c>
      <c r="B48" t="inlineStr">
        <is>
          <t>Hilton Maldives Amingiri Resort &amp; Spa</t>
        </is>
      </c>
      <c r="C48" t="inlineStr">
        <is>
          <t>https://www.neoscapesmaldives.com/resort/hilton-maldives-amingiri-resort-spa/</t>
        </is>
      </c>
      <c r="D48" t="inlineStr">
        <is>
          <t>overview</t>
        </is>
      </c>
      <c r="E48" t="inlineStr">
        <is>
          <t>Hilton Maldives Amingiri Resort &amp; Spa | Neoscapes Maldives</t>
        </is>
      </c>
      <c r="F48" t="n">
        <v>27863</v>
      </c>
      <c r="G48" t="inlineStr">
        <is>
          <t>2026-10-04</t>
        </is>
      </c>
      <c r="H48" t="inlineStr">
        <is>
          <t>dmc-agency</t>
        </is>
      </c>
      <c r="I48" t="inlineStr">
        <is>
          <t>output/pages/008_hilton-maldives-amingiri-resort-spa/overview__neoscapesmaldives.com__resort-hilton-maldives-amingiri-resort-spa.md</t>
        </is>
      </c>
    </row>
    <row r="49">
      <c r="A49" t="n">
        <v>30</v>
      </c>
      <c r="B49" t="inlineStr">
        <is>
          <t>Hurawalhi Island Resort</t>
        </is>
      </c>
      <c r="C49" t="inlineStr">
        <is>
          <t>https://www.neoscapesmaldives.com/resort/hurawalhi-island-resort/</t>
        </is>
      </c>
      <c r="D49" t="inlineStr">
        <is>
          <t>overview</t>
        </is>
      </c>
      <c r="E49" t="inlineStr">
        <is>
          <t>Hurawalhi Island Resort | Neoscapes Maldives</t>
        </is>
      </c>
      <c r="F49" t="n">
        <v>37059</v>
      </c>
      <c r="G49" t="inlineStr">
        <is>
          <t>2026-10-04</t>
        </is>
      </c>
      <c r="H49" t="inlineStr">
        <is>
          <t>dmc-agency</t>
        </is>
      </c>
      <c r="I49" t="inlineStr">
        <is>
          <t>output/pages/030_hurawalhi-island-resort/overview__neoscapesmaldives.com__resort-hurawalhi-island-resort.md</t>
        </is>
      </c>
    </row>
    <row r="50">
      <c r="A50" t="n">
        <v>111</v>
      </c>
      <c r="B50" t="inlineStr">
        <is>
          <t>Huvafenfushi Maldives</t>
        </is>
      </c>
      <c r="C50" t="inlineStr">
        <is>
          <t>https://www.neoscapesmaldives.com/resort/huvafen-fushi-maldives/</t>
        </is>
      </c>
      <c r="D50" t="inlineStr">
        <is>
          <t>overview</t>
        </is>
      </c>
      <c r="E50" t="inlineStr">
        <is>
          <t>Huvafen Fushi Maldives | Neoscapes Maldives</t>
        </is>
      </c>
      <c r="F50" t="n">
        <v>30379</v>
      </c>
      <c r="G50" t="inlineStr">
        <is>
          <t>2026-10-04</t>
        </is>
      </c>
      <c r="H50" t="inlineStr">
        <is>
          <t>dmc-agency</t>
        </is>
      </c>
      <c r="I50" t="inlineStr">
        <is>
          <t>output/pages/111_huvafenfushi-maldives/overview__neoscapesmaldives.com__resort-huvafen-fushi-maldives.md</t>
        </is>
      </c>
    </row>
    <row r="51">
      <c r="A51" t="n">
        <v>82</v>
      </c>
      <c r="B51" t="inlineStr">
        <is>
          <t>Ifuru Island Maldives</t>
        </is>
      </c>
      <c r="C51" t="inlineStr">
        <is>
          <t>https://www.neoscapesmaldives.com/resort/ifuru-island-maldives</t>
        </is>
      </c>
      <c r="D51" t="inlineStr">
        <is>
          <t>overview</t>
        </is>
      </c>
      <c r="E51" t="inlineStr">
        <is>
          <t>Ifuru Island Maldives | Neoscapes Maldives</t>
        </is>
      </c>
      <c r="F51" t="n">
        <v>29258</v>
      </c>
      <c r="G51" t="inlineStr">
        <is>
          <t>2026-10-04</t>
        </is>
      </c>
      <c r="H51" t="inlineStr">
        <is>
          <t>dmc-agency</t>
        </is>
      </c>
      <c r="I51" t="inlineStr">
        <is>
          <t>output/pages/082_ifuru-island-maldives/overview__neoscapesmaldives.com__resort-ifuru-island-maldives.md</t>
        </is>
      </c>
    </row>
    <row r="52">
      <c r="A52" t="n">
        <v>89</v>
      </c>
      <c r="B52" t="inlineStr">
        <is>
          <t>Inter Continental Maldives Maamunagau</t>
        </is>
      </c>
      <c r="C52" t="inlineStr">
        <is>
          <t>https://www.neoscapesmaldives.com/resort/intercontinental-maldives-2/</t>
        </is>
      </c>
      <c r="D52" t="inlineStr">
        <is>
          <t>overview</t>
        </is>
      </c>
      <c r="E52" t="inlineStr">
        <is>
          <t>Intercontinental Maldives Resort | Neoscapes Maldives</t>
        </is>
      </c>
      <c r="F52" t="n">
        <v>642</v>
      </c>
      <c r="G52" t="inlineStr">
        <is>
          <t>2026-10-04</t>
        </is>
      </c>
      <c r="H52" t="inlineStr">
        <is>
          <t>dmc-agency</t>
        </is>
      </c>
      <c r="I52" t="inlineStr">
        <is>
          <t>output/pages/089_inter-continental-maldives-maamunagau/overview__neoscapesmaldives.com__resort-intercontinental-maldives-2.md</t>
        </is>
      </c>
    </row>
    <row r="53">
      <c r="A53" t="n">
        <v>68</v>
      </c>
      <c r="B53" t="inlineStr">
        <is>
          <t>JA Manafaru</t>
        </is>
      </c>
      <c r="C53" t="inlineStr">
        <is>
          <t>https://www.neoscapesmaldives.com/resort/ja-manafaru-resort/</t>
        </is>
      </c>
      <c r="D53" t="inlineStr">
        <is>
          <t>overview</t>
        </is>
      </c>
      <c r="E53" t="inlineStr">
        <is>
          <t>JA Manafaru Resort | Neoscapes Maldives</t>
        </is>
      </c>
      <c r="F53" t="n">
        <v>30804</v>
      </c>
      <c r="G53" t="inlineStr">
        <is>
          <t>2026-10-04</t>
        </is>
      </c>
      <c r="H53" t="inlineStr">
        <is>
          <t>dmc-agency</t>
        </is>
      </c>
      <c r="I53" t="inlineStr">
        <is>
          <t>output/pages/068_ja-manafaru/overview__neoscapesmaldives.com__resort-ja-manafaru-resort.md</t>
        </is>
      </c>
    </row>
    <row r="54">
      <c r="A54" t="n">
        <v>6</v>
      </c>
      <c r="B54" t="inlineStr">
        <is>
          <t>Joali Being Bodufushi</t>
        </is>
      </c>
      <c r="C54" t="inlineStr">
        <is>
          <t>https://www.neoscapesmaldives.com/resort/joali-being/</t>
        </is>
      </c>
      <c r="D54" t="inlineStr">
        <is>
          <t>overview</t>
        </is>
      </c>
      <c r="E54" t="inlineStr">
        <is>
          <t>Joali Being Bodufushi | Neoscapes Maldives</t>
        </is>
      </c>
      <c r="F54" t="n">
        <v>28625</v>
      </c>
      <c r="G54" t="inlineStr">
        <is>
          <t>2026-10-04</t>
        </is>
      </c>
      <c r="H54" t="inlineStr">
        <is>
          <t>dmc-agency</t>
        </is>
      </c>
      <c r="I54" t="inlineStr">
        <is>
          <t>output/pages/006_joali-being-bodufushi/overview__neoscapesmaldives.com__resort-joali-being.md</t>
        </is>
      </c>
    </row>
    <row r="55">
      <c r="A55" t="n">
        <v>7</v>
      </c>
      <c r="B55" t="inlineStr">
        <is>
          <t>Joali Muravandhoo</t>
        </is>
      </c>
      <c r="C55" t="inlineStr">
        <is>
          <t>https://www.neoscapesmaldives.com/resort/joali-maldives/</t>
        </is>
      </c>
      <c r="D55" t="inlineStr">
        <is>
          <t>overview</t>
        </is>
      </c>
      <c r="E55" t="inlineStr">
        <is>
          <t>Joali Maldives | Neoscapes Maldives</t>
        </is>
      </c>
      <c r="F55" t="n">
        <v>29068</v>
      </c>
      <c r="G55" t="inlineStr">
        <is>
          <t>2026-10-04</t>
        </is>
      </c>
      <c r="H55" t="inlineStr">
        <is>
          <t>dmc-agency</t>
        </is>
      </c>
      <c r="I55" t="inlineStr">
        <is>
          <t>output/pages/007_joali-muravandhoo/overview__neoscapesmaldives.com__resort-joali-maldives.md</t>
        </is>
      </c>
    </row>
    <row r="56">
      <c r="A56" t="n">
        <v>70</v>
      </c>
      <c r="B56" t="inlineStr">
        <is>
          <t>Joy Island</t>
        </is>
      </c>
      <c r="C56" t="inlineStr">
        <is>
          <t>https://www.neoscapesmaldives.com/resort/joy-island-maldives</t>
        </is>
      </c>
      <c r="D56" t="inlineStr">
        <is>
          <t>overview</t>
        </is>
      </c>
      <c r="E56" t="inlineStr">
        <is>
          <t>Joy Island Maldives by The Cocoon Collection | Neoscapes Maldives</t>
        </is>
      </c>
      <c r="F56" t="n">
        <v>26393</v>
      </c>
      <c r="G56" t="inlineStr">
        <is>
          <t>2026-10-04</t>
        </is>
      </c>
      <c r="H56" t="inlineStr">
        <is>
          <t>dmc-agency</t>
        </is>
      </c>
      <c r="I56" t="inlineStr">
        <is>
          <t>output/pages/070_joy-island/overview__neoscapesmaldives.com__resort-joy-island-maldives.md</t>
        </is>
      </c>
    </row>
    <row r="57">
      <c r="A57" t="n">
        <v>59</v>
      </c>
      <c r="B57" t="inlineStr">
        <is>
          <t>Jumeirah Maldives Olhahali Island</t>
        </is>
      </c>
      <c r="C57" t="inlineStr">
        <is>
          <t>https://www.neoscapesmaldives.com/resort/jumeirah-maldives-olhahali/</t>
        </is>
      </c>
      <c r="D57" t="inlineStr">
        <is>
          <t>overview</t>
        </is>
      </c>
      <c r="E57" t="inlineStr">
        <is>
          <t>Jumeirah Maldives Olhahali Island | Neoscapes Maldives</t>
        </is>
      </c>
      <c r="F57" t="n">
        <v>27150</v>
      </c>
      <c r="G57" t="inlineStr">
        <is>
          <t>2026-10-04</t>
        </is>
      </c>
      <c r="H57" t="inlineStr">
        <is>
          <t>dmc-agency</t>
        </is>
      </c>
      <c r="I57" t="inlineStr">
        <is>
          <t>output/pages/059_jumeirah-maldives-olhahali-island/overview__neoscapesmaldives.com__resort-jumeirah-maldives-olhahali.md</t>
        </is>
      </c>
    </row>
    <row r="58">
      <c r="A58" t="n">
        <v>16</v>
      </c>
      <c r="B58" t="inlineStr">
        <is>
          <t>JW Marriott Kaafu Atoll Island Resort</t>
        </is>
      </c>
      <c r="C58" t="inlineStr">
        <is>
          <t>https://www.neoscapesmaldives.com/resort/jw-marriott-kaafu-atoll-island-resort/</t>
        </is>
      </c>
      <c r="D58" t="inlineStr">
        <is>
          <t>overview</t>
        </is>
      </c>
      <c r="E58" t="inlineStr">
        <is>
          <t>JW Marriott Kaafu Atoll Island Resort | Neoscapes Maldives</t>
        </is>
      </c>
      <c r="F58" t="n">
        <v>23597</v>
      </c>
      <c r="G58" t="inlineStr">
        <is>
          <t>2026-10-04</t>
        </is>
      </c>
      <c r="H58" t="inlineStr">
        <is>
          <t>dmc-agency</t>
        </is>
      </c>
      <c r="I58" t="inlineStr">
        <is>
          <t>output/pages/016_jw-marriott-kaafu-atoll-island-resort/overview__neoscapesmaldives.com__resort-jw-marriott-kaafu-atoll-island-resort.md</t>
        </is>
      </c>
    </row>
    <row r="59">
      <c r="A59" t="n">
        <v>18</v>
      </c>
      <c r="B59" t="inlineStr">
        <is>
          <t>JW Marriott Maldives Resort &amp; Spa</t>
        </is>
      </c>
      <c r="C59" t="inlineStr">
        <is>
          <t>https://www.neoscapesmaldives.com/resort/jw-marriott-maldives/</t>
        </is>
      </c>
      <c r="D59" t="inlineStr">
        <is>
          <t>overview</t>
        </is>
      </c>
      <c r="E59" t="inlineStr">
        <is>
          <t>JW Marriott Maldives Resort &amp; Spa | Neoscapes Maldives</t>
        </is>
      </c>
      <c r="F59" t="n">
        <v>29275</v>
      </c>
      <c r="G59" t="inlineStr">
        <is>
          <t>2026-10-04</t>
        </is>
      </c>
      <c r="H59" t="inlineStr">
        <is>
          <t>dmc-agency</t>
        </is>
      </c>
      <c r="I59" t="inlineStr">
        <is>
          <t>output/pages/018_jw-marriott-maldives-resort-spa/overview__neoscapesmaldives.com__resort-jw-marriott-maldives.md</t>
        </is>
      </c>
    </row>
    <row r="60">
      <c r="A60" t="n">
        <v>75</v>
      </c>
      <c r="B60" t="inlineStr">
        <is>
          <t>Kandima Maldives</t>
        </is>
      </c>
      <c r="C60" t="inlineStr">
        <is>
          <t>https://www.neoscapesmaldives.com/resort/kandima-maldives/</t>
        </is>
      </c>
      <c r="D60" t="inlineStr">
        <is>
          <t>overview</t>
        </is>
      </c>
      <c r="E60" t="inlineStr">
        <is>
          <t>Kandima Maldives | Neoscapes Maldives</t>
        </is>
      </c>
      <c r="F60" t="n">
        <v>28235</v>
      </c>
      <c r="G60" t="inlineStr">
        <is>
          <t>2026-10-04</t>
        </is>
      </c>
      <c r="H60" t="inlineStr">
        <is>
          <t>dmc-agency</t>
        </is>
      </c>
      <c r="I60" t="inlineStr">
        <is>
          <t>output/pages/075_kandima-maldives/overview__neoscapesmaldives.com__resort-kandima-maldives.md</t>
        </is>
      </c>
    </row>
    <row r="61">
      <c r="A61" t="n">
        <v>74</v>
      </c>
      <c r="B61" t="inlineStr">
        <is>
          <t>Kandolhu Island Maldives</t>
        </is>
      </c>
      <c r="C61" t="inlineStr">
        <is>
          <t>https://www.neoscapesmaldives.com/resort/kandolhu-maldives/</t>
        </is>
      </c>
      <c r="D61" t="inlineStr">
        <is>
          <t>overview</t>
        </is>
      </c>
      <c r="E61" t="inlineStr">
        <is>
          <t>Kandolhu Maldives | Neoscapes Maldives</t>
        </is>
      </c>
      <c r="F61" t="n">
        <v>27872</v>
      </c>
      <c r="G61" t="inlineStr">
        <is>
          <t>2026-10-04</t>
        </is>
      </c>
      <c r="H61" t="inlineStr">
        <is>
          <t>dmc-agency</t>
        </is>
      </c>
      <c r="I61" t="inlineStr">
        <is>
          <t>output/pages/074_kandolhu-island-maldives/overview__neoscapesmaldives.com__resort-kandolhu-maldives.md</t>
        </is>
      </c>
    </row>
    <row r="62">
      <c r="A62" t="n">
        <v>90</v>
      </c>
      <c r="B62" t="inlineStr">
        <is>
          <t>Six Senses Kanuhura</t>
        </is>
      </c>
      <c r="C62" t="inlineStr">
        <is>
          <t>https://www.neoscapesmaldives.com/resort/kanuhura-maldives/</t>
        </is>
      </c>
      <c r="D62" t="inlineStr">
        <is>
          <t>overview</t>
        </is>
      </c>
      <c r="E62" t="inlineStr">
        <is>
          <t>Six Senses Kanuhura | Neoscapes Maldives</t>
        </is>
      </c>
      <c r="F62" t="n">
        <v>45087</v>
      </c>
      <c r="G62" t="inlineStr">
        <is>
          <t>2026-10-04</t>
        </is>
      </c>
      <c r="H62" t="inlineStr">
        <is>
          <t>dmc-agency</t>
        </is>
      </c>
      <c r="I62" t="inlineStr">
        <is>
          <t>output/pages/090_six-senses-kanuhura/overview__neoscapesmaldives.com__resort-kanuhura-maldives.md</t>
        </is>
      </c>
    </row>
    <row r="63">
      <c r="A63" t="n">
        <v>105</v>
      </c>
      <c r="B63" t="inlineStr">
        <is>
          <t>Kuda Villingili Resort Maldives</t>
        </is>
      </c>
      <c r="C63" t="inlineStr">
        <is>
          <t>https://www.neoscapesmaldives.com/resort/kuda-villingili-resort-maldives/</t>
        </is>
      </c>
      <c r="D63" t="inlineStr">
        <is>
          <t>overview</t>
        </is>
      </c>
      <c r="E63" t="inlineStr">
        <is>
          <t>Kuda Villingili Resort Maldives | Neoscapes Maldives</t>
        </is>
      </c>
      <c r="F63" t="n">
        <v>28555</v>
      </c>
      <c r="G63" t="inlineStr">
        <is>
          <t>2026-10-04</t>
        </is>
      </c>
      <c r="H63" t="inlineStr">
        <is>
          <t>dmc-agency</t>
        </is>
      </c>
      <c r="I63" t="inlineStr">
        <is>
          <t>output/pages/105_kuda-villingili-resort-maldives/overview__neoscapesmaldives.com__resort-kuda-villingili-resort-maldives.md</t>
        </is>
      </c>
    </row>
    <row r="64">
      <c r="A64" t="n">
        <v>139</v>
      </c>
      <c r="B64" t="inlineStr">
        <is>
          <t>Kudafushi Resort &amp; Spa</t>
        </is>
      </c>
      <c r="C64" t="inlineStr">
        <is>
          <t>https://www.neoscapesmaldives.com/resort/kudafushi-maldives/</t>
        </is>
      </c>
      <c r="D64" t="inlineStr">
        <is>
          <t>overview</t>
        </is>
      </c>
      <c r="E64" t="inlineStr">
        <is>
          <t>Kudafushi Maldives | Neoscapes Maldives</t>
        </is>
      </c>
      <c r="F64" t="n">
        <v>23924</v>
      </c>
      <c r="G64" t="inlineStr">
        <is>
          <t>2026-10-04</t>
        </is>
      </c>
      <c r="H64" t="inlineStr">
        <is>
          <t>dmc-agency</t>
        </is>
      </c>
      <c r="I64" t="inlineStr">
        <is>
          <t>output/pages/139_kudafushi-resort-spa/overview__neoscapesmaldives.com__resort-kudafushi-maldives.md</t>
        </is>
      </c>
    </row>
    <row r="65">
      <c r="A65" t="n">
        <v>166</v>
      </c>
      <c r="B65" t="inlineStr">
        <is>
          <t>Kuramathi Maldives</t>
        </is>
      </c>
      <c r="C65" t="inlineStr">
        <is>
          <t>https://www.neoscapesmaldives.com/resort/kuramathi-island-resort/</t>
        </is>
      </c>
      <c r="D65" t="inlineStr">
        <is>
          <t>overview</t>
        </is>
      </c>
      <c r="E65" t="inlineStr">
        <is>
          <t>Niva Kuramathi Maldives | Neoscapes Maldives</t>
        </is>
      </c>
      <c r="F65" t="n">
        <v>41041</v>
      </c>
      <c r="G65" t="inlineStr">
        <is>
          <t>2026-10-04</t>
        </is>
      </c>
      <c r="H65" t="inlineStr">
        <is>
          <t>dmc-agency</t>
        </is>
      </c>
      <c r="I65" t="inlineStr">
        <is>
          <t>output/pages/166_kuramathi-maldives/overview__neoscapesmaldives.com__resort-kuramathi-island-resort.md</t>
        </is>
      </c>
    </row>
    <row r="66">
      <c r="A66" t="n">
        <v>182</v>
      </c>
      <c r="B66" t="inlineStr">
        <is>
          <t>Kuredhivaru Resort and Spa</t>
        </is>
      </c>
      <c r="C66" t="inlineStr">
        <is>
          <t>https://www.neoscapesmaldives.com/resort/kuredhivaru-resort-and-spa/</t>
        </is>
      </c>
      <c r="D66" t="inlineStr">
        <is>
          <t>overview</t>
        </is>
      </c>
      <c r="E66" t="inlineStr">
        <is>
          <t>Kuredhivaru Resort and Spa | Neoscapes Maldives</t>
        </is>
      </c>
      <c r="F66" t="n">
        <v>27407</v>
      </c>
      <c r="G66" t="inlineStr">
        <is>
          <t>2026-10-04</t>
        </is>
      </c>
      <c r="H66" t="inlineStr">
        <is>
          <t>dmc-agency</t>
        </is>
      </c>
      <c r="I66" t="inlineStr">
        <is>
          <t>output/pages/182_kuredhivaru-resort-and-spa/overview__neoscapesmaldives.com__resort-kuredhivaru-resort-and-spa.md</t>
        </is>
      </c>
    </row>
    <row r="67">
      <c r="A67" t="n">
        <v>173</v>
      </c>
      <c r="B67" t="inlineStr">
        <is>
          <t>Kurumba Maldives</t>
        </is>
      </c>
      <c r="C67" t="inlineStr">
        <is>
          <t>https://www.neoscapesmaldives.com/resort/kurumba-maldives/</t>
        </is>
      </c>
      <c r="D67" t="inlineStr">
        <is>
          <t>overview</t>
        </is>
      </c>
      <c r="E67" t="inlineStr">
        <is>
          <t>Niva Kurumba Maldives | Neoscapes Maldives</t>
        </is>
      </c>
      <c r="F67" t="n">
        <v>34215</v>
      </c>
      <c r="G67" t="inlineStr">
        <is>
          <t>2026-10-04</t>
        </is>
      </c>
      <c r="H67" t="inlineStr">
        <is>
          <t>dmc-agency</t>
        </is>
      </c>
      <c r="I67" t="inlineStr">
        <is>
          <t>output/pages/173_kurumba-maldives/overview__neoscapesmaldives.com__resort-kurumba-maldives.md</t>
        </is>
      </c>
    </row>
    <row r="68">
      <c r="A68" t="n">
        <v>87</v>
      </c>
      <c r="B68" t="inlineStr">
        <is>
          <t>Four Seasons Resort Maldives at Landaa Giraavaru</t>
        </is>
      </c>
      <c r="C68" t="inlineStr">
        <is>
          <t>https://www.neoscapesmaldives.com/resort/landaa-giraavaru-four-seasons/</t>
        </is>
      </c>
      <c r="D68" t="inlineStr">
        <is>
          <t>overview</t>
        </is>
      </c>
      <c r="E68" t="inlineStr">
        <is>
          <t>Four Seasons Resort Maldives at Landaa Giraavaru | Neoscapes Maldives</t>
        </is>
      </c>
      <c r="F68" t="n">
        <v>36656</v>
      </c>
      <c r="G68" t="inlineStr">
        <is>
          <t>2026-10-04</t>
        </is>
      </c>
      <c r="H68" t="inlineStr">
        <is>
          <t>dmc-agency</t>
        </is>
      </c>
      <c r="I68" t="inlineStr">
        <is>
          <t>output/pages/087_four-seasons-resort-maldives-at-landaa-giraavaru/overview__neoscapesmaldives.com__resort-landaa-giraavaru-four-seasons.md</t>
        </is>
      </c>
    </row>
    <row r="69">
      <c r="A69" t="n">
        <v>40</v>
      </c>
      <c r="B69" t="inlineStr">
        <is>
          <t>Le Méridien Maldives Resort and Spa</t>
        </is>
      </c>
      <c r="C69" t="inlineStr">
        <is>
          <t>https://www.neoscapesmaldives.com/resort/le-meridien-maldives/</t>
        </is>
      </c>
      <c r="D69" t="inlineStr">
        <is>
          <t>overview</t>
        </is>
      </c>
      <c r="E69" t="inlineStr">
        <is>
          <t>Le Meridien Maldives | Neoscapes Maldives</t>
        </is>
      </c>
      <c r="F69" t="n">
        <v>30960</v>
      </c>
      <c r="G69" t="inlineStr">
        <is>
          <t>2026-10-04</t>
        </is>
      </c>
      <c r="H69" t="inlineStr">
        <is>
          <t>dmc-agency</t>
        </is>
      </c>
      <c r="I69" t="inlineStr">
        <is>
          <t>output/pages/040_le-meridien-maldives-resort-and-spa/overview__neoscapesmaldives.com__resort-le-meridien-maldives.md</t>
        </is>
      </c>
    </row>
    <row r="70">
      <c r="A70" t="n">
        <v>91</v>
      </c>
      <c r="B70" t="inlineStr">
        <is>
          <t>Lily Beach Resort</t>
        </is>
      </c>
      <c r="C70" t="inlineStr">
        <is>
          <t>https://www.neoscapesmaldives.com/resort/lily-beach-resort-spa/</t>
        </is>
      </c>
      <c r="D70" t="inlineStr">
        <is>
          <t>overview</t>
        </is>
      </c>
      <c r="E70" t="inlineStr">
        <is>
          <t>Lily Beach Resort &amp; Spa | Neoscapes Maldives</t>
        </is>
      </c>
      <c r="F70" t="n">
        <v>41219</v>
      </c>
      <c r="G70" t="inlineStr">
        <is>
          <t>2026-10-04</t>
        </is>
      </c>
      <c r="H70" t="inlineStr">
        <is>
          <t>dmc-agency</t>
        </is>
      </c>
      <c r="I70" t="inlineStr">
        <is>
          <t>output/pages/091_lily-beach-resort/overview__neoscapesmaldives.com__resort-lily-beach-resort-spa.md</t>
        </is>
      </c>
    </row>
    <row r="71">
      <c r="A71" t="n">
        <v>180</v>
      </c>
      <c r="B71" t="inlineStr">
        <is>
          <t>Lux* South Ari Atoll, Maldives</t>
        </is>
      </c>
      <c r="C71" t="inlineStr">
        <is>
          <t>https://www.neoscapesmaldives.com/resort/lux-maldives/</t>
        </is>
      </c>
      <c r="D71" t="inlineStr">
        <is>
          <t>overview</t>
        </is>
      </c>
      <c r="E71" t="inlineStr">
        <is>
          <t>LUX* South Ari Atoll | Neoscapes Maldives</t>
        </is>
      </c>
      <c r="F71" t="n">
        <v>33251</v>
      </c>
      <c r="G71" t="inlineStr">
        <is>
          <t>2026-10-04</t>
        </is>
      </c>
      <c r="H71" t="inlineStr">
        <is>
          <t>dmc-agency</t>
        </is>
      </c>
      <c r="I71" t="inlineStr">
        <is>
          <t>output/pages/180_lux-south-ari-atoll-maldives/overview__neoscapesmaldives.com__resort-lux-maldives.md</t>
        </is>
      </c>
    </row>
    <row r="72">
      <c r="A72" t="n">
        <v>119</v>
      </c>
      <c r="B72" t="inlineStr">
        <is>
          <t>Outrigger Maldives Maafushivaru Resort</t>
        </is>
      </c>
      <c r="C72" t="inlineStr">
        <is>
          <t>https://www.neoscapesmaldives.com/resort/maafushivaru-maldives/</t>
        </is>
      </c>
      <c r="D72" t="inlineStr">
        <is>
          <t>overview</t>
        </is>
      </c>
      <c r="E72" t="inlineStr">
        <is>
          <t>Outrigger Maldives Maafushivaru Resort | Neoscapes</t>
        </is>
      </c>
      <c r="F72" t="n">
        <v>26827</v>
      </c>
      <c r="G72" t="inlineStr">
        <is>
          <t>2026-10-04</t>
        </is>
      </c>
      <c r="H72" t="inlineStr">
        <is>
          <t>dmc-agency</t>
        </is>
      </c>
      <c r="I72" t="inlineStr">
        <is>
          <t>output/pages/119_outrigger-maldives-maafushivaru-resort/overview__neoscapesmaldives.com__resort-maafushivaru-maldives.md</t>
        </is>
      </c>
    </row>
    <row r="73">
      <c r="A73" t="n">
        <v>95</v>
      </c>
      <c r="B73" t="inlineStr">
        <is>
          <t>Malahini Kuda Bandos</t>
        </is>
      </c>
      <c r="C73" t="inlineStr">
        <is>
          <t>https://www.neoscapesmaldives.com/resort/malahini-kuda-bandos/</t>
        </is>
      </c>
      <c r="D73" t="inlineStr">
        <is>
          <t>overview</t>
        </is>
      </c>
      <c r="E73" t="inlineStr">
        <is>
          <t>Malahini Kuda Bandos | Neoscapes Maldives</t>
        </is>
      </c>
      <c r="F73" t="n">
        <v>25742</v>
      </c>
      <c r="G73" t="inlineStr">
        <is>
          <t>2026-10-04</t>
        </is>
      </c>
      <c r="H73" t="inlineStr">
        <is>
          <t>dmc-agency</t>
        </is>
      </c>
      <c r="I73" t="inlineStr">
        <is>
          <t>output/pages/095_malahini-kuda-bandos/overview__neoscapesmaldives.com__resort-malahini-kuda-bandos.md</t>
        </is>
      </c>
    </row>
    <row r="74">
      <c r="A74" t="n">
        <v>22</v>
      </c>
      <c r="B74" t="inlineStr">
        <is>
          <t>Barceló Whale Lagoon Maldives</t>
        </is>
      </c>
      <c r="C74" t="inlineStr">
        <is>
          <t>https://www.neoscapesmaldives.com/resort/melia-whale-lagoon-maldives</t>
        </is>
      </c>
      <c r="D74" t="inlineStr">
        <is>
          <t>overview</t>
        </is>
      </c>
      <c r="E74" t="inlineStr">
        <is>
          <t>Meliá Whale Lagoon Maldives | Neoscapes Maldives</t>
        </is>
      </c>
      <c r="F74" t="n">
        <v>22931</v>
      </c>
      <c r="G74" t="inlineStr">
        <is>
          <t>2026-10-04</t>
        </is>
      </c>
      <c r="H74" t="inlineStr">
        <is>
          <t>dmc-agency</t>
        </is>
      </c>
      <c r="I74" t="inlineStr">
        <is>
          <t>output/pages/022_barcelo-whale-lagoon-maldives/overview__neoscapesmaldives.com__resort-melia-whale-lagoon-maldives.md</t>
        </is>
      </c>
    </row>
    <row r="75">
      <c r="A75" t="n">
        <v>167</v>
      </c>
      <c r="B75" t="inlineStr">
        <is>
          <t>Milaidhoo Island Maldives</t>
        </is>
      </c>
      <c r="C75" t="inlineStr">
        <is>
          <t>https://www.neoscapesmaldives.com/resort/milaidhoo-island-maldives/</t>
        </is>
      </c>
      <c r="D75" t="inlineStr">
        <is>
          <t>overview</t>
        </is>
      </c>
      <c r="E75" t="inlineStr">
        <is>
          <t>Milaidhoo Island Maldives | Neoscapes Maldives</t>
        </is>
      </c>
      <c r="F75" t="n">
        <v>37097</v>
      </c>
      <c r="G75" t="inlineStr">
        <is>
          <t>2026-10-04</t>
        </is>
      </c>
      <c r="H75" t="inlineStr">
        <is>
          <t>dmc-agency</t>
        </is>
      </c>
      <c r="I75" t="inlineStr">
        <is>
          <t>output/pages/167_milaidhoo-island-maldives/overview__neoscapesmaldives.com__resort-milaidhoo-island-maldives.md</t>
        </is>
      </c>
    </row>
    <row r="76">
      <c r="A76" t="n">
        <v>92</v>
      </c>
      <c r="B76" t="inlineStr">
        <is>
          <t>Amaya Kuda Rah Maldives</t>
        </is>
      </c>
      <c r="C76" t="inlineStr">
        <is>
          <t>https://www.neoscapesmaldives.com/resort/nh-maldives-kuda-rah/</t>
        </is>
      </c>
      <c r="D76" t="inlineStr">
        <is>
          <t>overview</t>
        </is>
      </c>
      <c r="E76" t="inlineStr">
        <is>
          <t>NH Maldives Kuda Rah | Neoscapes Maldives</t>
        </is>
      </c>
      <c r="F76" t="n">
        <v>26444</v>
      </c>
      <c r="G76" t="inlineStr">
        <is>
          <t>2026-10-04</t>
        </is>
      </c>
      <c r="H76" t="inlineStr">
        <is>
          <t>dmc-agency</t>
        </is>
      </c>
      <c r="I76" t="inlineStr">
        <is>
          <t>output/pages/092_amaya-kuda-rah-maldives/overview__neoscapesmaldives.com__resort-nh-maldives-kuda-rah.md</t>
        </is>
      </c>
    </row>
    <row r="77">
      <c r="A77" t="n">
        <v>112</v>
      </c>
      <c r="B77" t="inlineStr">
        <is>
          <t>Nika Island Resort and Spa</t>
        </is>
      </c>
      <c r="C77" t="inlineStr">
        <is>
          <t>https://www.neoscapesmaldives.com/resort/nika-island-resort/</t>
        </is>
      </c>
      <c r="D77" t="inlineStr">
        <is>
          <t>overview</t>
        </is>
      </c>
      <c r="E77" t="inlineStr">
        <is>
          <t>Nika Island Resort &amp; Spa | Neoscapes Maldives</t>
        </is>
      </c>
      <c r="F77" t="n">
        <v>34009</v>
      </c>
      <c r="G77" t="inlineStr">
        <is>
          <t>2026-10-04</t>
        </is>
      </c>
      <c r="H77" t="inlineStr">
        <is>
          <t>dmc-agency</t>
        </is>
      </c>
      <c r="I77" t="inlineStr">
        <is>
          <t>output/pages/112_nika-island-resort-and-spa/overview__neoscapesmaldives.com__resort-nika-island-resort.md</t>
        </is>
      </c>
    </row>
    <row r="78">
      <c r="A78" t="n">
        <v>117</v>
      </c>
      <c r="B78" t="inlineStr">
        <is>
          <t>Niyama Maldives</t>
        </is>
      </c>
      <c r="C78" t="inlineStr">
        <is>
          <t>https://www.neoscapesmaldives.com/resort/niyama-private-islands-maldives/</t>
        </is>
      </c>
      <c r="D78" t="inlineStr">
        <is>
          <t>overview</t>
        </is>
      </c>
      <c r="E78" t="inlineStr">
        <is>
          <t>Niyama Private Islands Maldives | Neoscapes Maldives</t>
        </is>
      </c>
      <c r="F78" t="n">
        <v>36488</v>
      </c>
      <c r="G78" t="inlineStr">
        <is>
          <t>2026-10-04</t>
        </is>
      </c>
      <c r="H78" t="inlineStr">
        <is>
          <t>dmc-agency</t>
        </is>
      </c>
      <c r="I78" t="inlineStr">
        <is>
          <t>output/pages/117_niyama-maldives/overview__neoscapesmaldives.com__resort-niyama-private-islands-maldives.md</t>
        </is>
      </c>
    </row>
    <row r="79">
      <c r="A79" t="n">
        <v>132</v>
      </c>
      <c r="B79" t="inlineStr">
        <is>
          <t>Noku Maldives</t>
        </is>
      </c>
      <c r="C79" t="inlineStr">
        <is>
          <t>https://www.neoscapesmaldives.com/resort/noku-maldives-resort/</t>
        </is>
      </c>
      <c r="D79" t="inlineStr">
        <is>
          <t>overview</t>
        </is>
      </c>
      <c r="E79" t="inlineStr">
        <is>
          <t>Noku Maldives Resort | Neoscapes Maldives</t>
        </is>
      </c>
      <c r="F79" t="n">
        <v>26548</v>
      </c>
      <c r="G79" t="inlineStr">
        <is>
          <t>2026-10-04</t>
        </is>
      </c>
      <c r="H79" t="inlineStr">
        <is>
          <t>dmc-agency</t>
        </is>
      </c>
      <c r="I79" t="inlineStr">
        <is>
          <t>output/pages/132_noku-maldives/overview__neoscapesmaldives.com__resort-noku-maldives-resort.md</t>
        </is>
      </c>
    </row>
    <row r="80">
      <c r="A80" t="n">
        <v>23</v>
      </c>
      <c r="B80" t="inlineStr">
        <is>
          <t>Nooe Maldives Kunavashi</t>
        </is>
      </c>
      <c r="C80" t="inlineStr">
        <is>
          <t>https://www.neoscapesmaldives.com/resort/nooe-maldives-kunaavashi/</t>
        </is>
      </c>
      <c r="D80" t="inlineStr">
        <is>
          <t>overview</t>
        </is>
      </c>
      <c r="E80" t="inlineStr">
        <is>
          <t>NOOE Maldives Kunaavashi | Neoscapes Maldives</t>
        </is>
      </c>
      <c r="F80" t="n">
        <v>25906</v>
      </c>
      <c r="G80" t="inlineStr">
        <is>
          <t>2026-10-04</t>
        </is>
      </c>
      <c r="H80" t="inlineStr">
        <is>
          <t>dmc-agency</t>
        </is>
      </c>
      <c r="I80" t="inlineStr">
        <is>
          <t>output/pages/023_nooe-maldives-kunavashi/overview__neoscapesmaldives.com__resort-nooe-maldives-kunaavashi.md</t>
        </is>
      </c>
    </row>
    <row r="81">
      <c r="A81" t="n">
        <v>116</v>
      </c>
      <c r="B81" t="inlineStr">
        <is>
          <t>Nova Maldives</t>
        </is>
      </c>
      <c r="C81" t="inlineStr">
        <is>
          <t>https://www.neoscapesmaldives.com/resort/nova-maldives/</t>
        </is>
      </c>
      <c r="D81" t="inlineStr">
        <is>
          <t>overview</t>
        </is>
      </c>
      <c r="E81" t="inlineStr">
        <is>
          <t>Nova Maldives | Neoscapes Maldives</t>
        </is>
      </c>
      <c r="F81" t="n">
        <v>27397</v>
      </c>
      <c r="G81" t="inlineStr">
        <is>
          <t>2026-10-04</t>
        </is>
      </c>
      <c r="H81" t="inlineStr">
        <is>
          <t>dmc-agency</t>
        </is>
      </c>
      <c r="I81" t="inlineStr">
        <is>
          <t>output/pages/116_nova-maldives/overview__neoscapesmaldives.com__resort-nova-maldives.md</t>
        </is>
      </c>
    </row>
    <row r="82">
      <c r="A82" t="n">
        <v>133</v>
      </c>
      <c r="B82" t="inlineStr">
        <is>
          <t>Oblu By Atmosphere at Helengeli</t>
        </is>
      </c>
      <c r="C82" t="inlineStr">
        <is>
          <t>https://www.neoscapesmaldives.com/resort/oblu-nature-helengeli/</t>
        </is>
      </c>
      <c r="D82" t="inlineStr">
        <is>
          <t>overview</t>
        </is>
      </c>
      <c r="E82" t="inlineStr">
        <is>
          <t>OBLU NATURE Helengeli by SENTIDO | Neoscapes Maldives</t>
        </is>
      </c>
      <c r="F82" t="n">
        <v>29130</v>
      </c>
      <c r="G82" t="inlineStr">
        <is>
          <t>2026-10-04</t>
        </is>
      </c>
      <c r="H82" t="inlineStr">
        <is>
          <t>dmc-agency</t>
        </is>
      </c>
      <c r="I82" t="inlineStr">
        <is>
          <t>output/pages/133_oblu-by-atmosphere-at-helengeli/overview__neoscapesmaldives.com__resort-oblu-nature-helengeli.md</t>
        </is>
      </c>
    </row>
    <row r="83">
      <c r="A83" t="n">
        <v>115</v>
      </c>
      <c r="B83" t="inlineStr">
        <is>
          <t>Oblu Select by Atmosphere at Sangeli</t>
        </is>
      </c>
      <c r="C83" t="inlineStr">
        <is>
          <t>https://www.neoscapesmaldives.com/resort/oblu-select-at-sangeli/</t>
        </is>
      </c>
      <c r="D83" t="inlineStr">
        <is>
          <t>overview</t>
        </is>
      </c>
      <c r="E83" t="inlineStr">
        <is>
          <t>OBLU Select Sangeli | Neoscapes Maldives</t>
        </is>
      </c>
      <c r="F83" t="n">
        <v>26740</v>
      </c>
      <c r="G83" t="inlineStr">
        <is>
          <t>2026-10-04</t>
        </is>
      </c>
      <c r="H83" t="inlineStr">
        <is>
          <t>dmc-agency</t>
        </is>
      </c>
      <c r="I83" t="inlineStr">
        <is>
          <t>output/pages/115_oblu-select-by-atmosphere-at-sangeli/overview__neoscapesmaldives.com__resort-oblu-select-at-sangeli.md</t>
        </is>
      </c>
    </row>
    <row r="84">
      <c r="A84" t="n">
        <v>115</v>
      </c>
      <c r="B84" t="inlineStr">
        <is>
          <t>Oblu Select by Atmosphere at Sangeli</t>
        </is>
      </c>
      <c r="C84" t="inlineStr">
        <is>
          <t>https://www.neoscapesmaldives.com/resort/oblu-select-lobigili/</t>
        </is>
      </c>
      <c r="D84" t="inlineStr">
        <is>
          <t>overview</t>
        </is>
      </c>
      <c r="E84" t="inlineStr">
        <is>
          <t>OBLU SELECT Lobigili | Neoscapes Maldives</t>
        </is>
      </c>
      <c r="F84" t="n">
        <v>26891</v>
      </c>
      <c r="G84" t="inlineStr">
        <is>
          <t>2026-10-04</t>
        </is>
      </c>
      <c r="H84" t="inlineStr">
        <is>
          <t>dmc-agency</t>
        </is>
      </c>
      <c r="I84" t="inlineStr">
        <is>
          <t>output/pages/115_oblu-select-by-atmosphere-at-sangeli/overview__neoscapesmaldives.com__resort-oblu-select-lobigili.md</t>
        </is>
      </c>
    </row>
    <row r="85">
      <c r="A85" t="n">
        <v>50</v>
      </c>
      <c r="B85" t="inlineStr">
        <is>
          <t>Sun Siyam Olhuveli Maldives</t>
        </is>
      </c>
      <c r="C85" t="inlineStr">
        <is>
          <t>https://www.neoscapesmaldives.com/resort/olhuveli-beach-spa-maldives/</t>
        </is>
      </c>
      <c r="D85" t="inlineStr">
        <is>
          <t>overview</t>
        </is>
      </c>
      <c r="E85" t="inlineStr">
        <is>
          <t>Sun Siyam Olhuveli | Neoscapes Maldives</t>
        </is>
      </c>
      <c r="F85" t="n">
        <v>34777</v>
      </c>
      <c r="G85" t="inlineStr">
        <is>
          <t>2026-10-04</t>
        </is>
      </c>
      <c r="H85" t="inlineStr">
        <is>
          <t>dmc-agency</t>
        </is>
      </c>
      <c r="I85" t="inlineStr">
        <is>
          <t>output/pages/050_sun-siyam-olhuveli-maldives/overview__neoscapesmaldives.com__resort-olhuveli-beach-spa-maldives.md</t>
        </is>
      </c>
    </row>
    <row r="86">
      <c r="A86" t="n">
        <v>128</v>
      </c>
      <c r="B86" t="inlineStr">
        <is>
          <t>One &amp; Only Reethi Rah, Maldives</t>
        </is>
      </c>
      <c r="C86" t="inlineStr">
        <is>
          <t>https://www.neoscapesmaldives.com/resort/one-only-reethi-rah-resort/</t>
        </is>
      </c>
      <c r="D86" t="inlineStr">
        <is>
          <t>overview</t>
        </is>
      </c>
      <c r="E86" t="inlineStr">
        <is>
          <t>One &amp; Only Reethi Rah | Neoscapes Maldives</t>
        </is>
      </c>
      <c r="F86" t="n">
        <v>43679</v>
      </c>
      <c r="G86" t="inlineStr">
        <is>
          <t>2026-10-04</t>
        </is>
      </c>
      <c r="H86" t="inlineStr">
        <is>
          <t>dmc-agency</t>
        </is>
      </c>
      <c r="I86" t="inlineStr">
        <is>
          <t>output/pages/128_one-only-reethi-rah-maldives/overview__neoscapesmaldives.com__resort-one-only-reethi-rah-resort.md</t>
        </is>
      </c>
    </row>
    <row r="87">
      <c r="A87" t="n">
        <v>41</v>
      </c>
      <c r="B87" t="inlineStr">
        <is>
          <t>Ozen By Atmosphere At Maadhoo</t>
        </is>
      </c>
      <c r="C87" t="inlineStr">
        <is>
          <t>https://www.neoscapesmaldives.com/resort/ozen-life-maadhoo</t>
        </is>
      </c>
      <c r="D87" t="inlineStr">
        <is>
          <t>overview</t>
        </is>
      </c>
      <c r="E87" t="inlineStr">
        <is>
          <t>OZEN Life Maadhoo | Neoscapes Maldives</t>
        </is>
      </c>
      <c r="F87" t="n">
        <v>27486</v>
      </c>
      <c r="G87" t="inlineStr">
        <is>
          <t>2026-10-04</t>
        </is>
      </c>
      <c r="H87" t="inlineStr">
        <is>
          <t>dmc-agency</t>
        </is>
      </c>
      <c r="I87" t="inlineStr">
        <is>
          <t>output/pages/041_ozen-by-atmosphere-at-maadhoo/overview__neoscapesmaldives.com__resort-ozen-life-maadhoo.md</t>
        </is>
      </c>
    </row>
    <row r="88">
      <c r="A88" t="n">
        <v>5</v>
      </c>
      <c r="B88" t="inlineStr">
        <is>
          <t>Bolifushi Island Resort</t>
        </is>
      </c>
      <c r="C88" t="inlineStr">
        <is>
          <t>https://www.neoscapesmaldives.com/resort/ozen-reserve-bolifushi/</t>
        </is>
      </c>
      <c r="D88" t="inlineStr">
        <is>
          <t>overview</t>
        </is>
      </c>
      <c r="E88" t="inlineStr">
        <is>
          <t>OZEN Reserve Bolifushi | Neoscapes Maldives</t>
        </is>
      </c>
      <c r="F88" t="n">
        <v>30792</v>
      </c>
      <c r="G88" t="inlineStr">
        <is>
          <t>2026-10-04</t>
        </is>
      </c>
      <c r="H88" t="inlineStr">
        <is>
          <t>dmc-agency</t>
        </is>
      </c>
      <c r="I88" t="inlineStr">
        <is>
          <t>output/pages/005_bolifushi-island-resort/overview__neoscapesmaldives.com__resort-ozen-reserve-bolifushi.md</t>
        </is>
      </c>
    </row>
    <row r="89">
      <c r="A89" t="n">
        <v>175</v>
      </c>
      <c r="B89" t="inlineStr">
        <is>
          <t>Villa Nautica Paradise Island</t>
        </is>
      </c>
      <c r="C89" t="inlineStr">
        <is>
          <t>https://www.neoscapesmaldives.com/resort/paradise-island-resort/</t>
        </is>
      </c>
      <c r="D89" t="inlineStr">
        <is>
          <t>overview</t>
        </is>
      </c>
      <c r="E89" t="inlineStr">
        <is>
          <t>Villa Nautica Maldives Resort | Neoscapes Maldives</t>
        </is>
      </c>
      <c r="F89" t="n">
        <v>29901</v>
      </c>
      <c r="G89" t="inlineStr">
        <is>
          <t>2026-10-04</t>
        </is>
      </c>
      <c r="H89" t="inlineStr">
        <is>
          <t>dmc-agency</t>
        </is>
      </c>
      <c r="I89" t="inlineStr">
        <is>
          <t>output/pages/175_villa-nautica-paradise-island/overview__neoscapesmaldives.com__resort-paradise-island-resort.md</t>
        </is>
      </c>
    </row>
    <row r="90">
      <c r="A90" t="n">
        <v>158</v>
      </c>
      <c r="B90" t="inlineStr">
        <is>
          <t>Patina Maldives, Fari Islands</t>
        </is>
      </c>
      <c r="C90" t="inlineStr">
        <is>
          <t>https://www.neoscapesmaldives.com/resort/patina-maldives/</t>
        </is>
      </c>
      <c r="D90" t="inlineStr">
        <is>
          <t>overview</t>
        </is>
      </c>
      <c r="E90" t="inlineStr">
        <is>
          <t>Patina Maldives | Neoscapes Maldives</t>
        </is>
      </c>
      <c r="F90" t="n">
        <v>32922</v>
      </c>
      <c r="G90" t="inlineStr">
        <is>
          <t>2026-10-04</t>
        </is>
      </c>
      <c r="H90" t="inlineStr">
        <is>
          <t>dmc-agency</t>
        </is>
      </c>
      <c r="I90" t="inlineStr">
        <is>
          <t>output/pages/158_patina-maldives-fari-islands/overview__neoscapesmaldives.com__resort-patina-maldives.md</t>
        </is>
      </c>
    </row>
    <row r="91">
      <c r="A91" t="n">
        <v>80</v>
      </c>
      <c r="B91" t="inlineStr">
        <is>
          <t>Raaya by Atmosphere</t>
        </is>
      </c>
      <c r="C91" t="inlineStr">
        <is>
          <t>https://www.neoscapesmaldives.com/resort/raaya-by-atmosphere/</t>
        </is>
      </c>
      <c r="D91" t="inlineStr">
        <is>
          <t>overview</t>
        </is>
      </c>
      <c r="E91" t="inlineStr">
        <is>
          <t>RAAYA By Atmosphere | Neoscapes Maldives</t>
        </is>
      </c>
      <c r="F91" t="n">
        <v>28436</v>
      </c>
      <c r="G91" t="inlineStr">
        <is>
          <t>2026-10-04</t>
        </is>
      </c>
      <c r="H91" t="inlineStr">
        <is>
          <t>dmc-agency</t>
        </is>
      </c>
      <c r="I91" t="inlineStr">
        <is>
          <t>output/pages/080_raaya-by-atmosphere/overview__neoscapesmaldives.com__resort-raaya-by-atmosphere.md</t>
        </is>
      </c>
    </row>
    <row r="92">
      <c r="A92" t="n">
        <v>64</v>
      </c>
      <c r="B92" t="inlineStr">
        <is>
          <t>Radisson Blu Resort Maldives</t>
        </is>
      </c>
      <c r="C92" t="inlineStr">
        <is>
          <t>https://www.neoscapesmaldives.com/resort/radisson-blu-resort-maldives/</t>
        </is>
      </c>
      <c r="D92" t="inlineStr">
        <is>
          <t>overview</t>
        </is>
      </c>
      <c r="E92" t="inlineStr">
        <is>
          <t>Radisson Blu Resort Maldives | Neoscapes Maldives</t>
        </is>
      </c>
      <c r="F92" t="n">
        <v>30270</v>
      </c>
      <c r="G92" t="inlineStr">
        <is>
          <t>2026-10-04</t>
        </is>
      </c>
      <c r="H92" t="inlineStr">
        <is>
          <t>dmc-agency</t>
        </is>
      </c>
      <c r="I92" t="inlineStr">
        <is>
          <t>output/pages/064_radisson-blu-resort-maldives/overview__neoscapesmaldives.com__resort-radisson-blu-resort-maldives.md</t>
        </is>
      </c>
    </row>
    <row r="93">
      <c r="A93" t="n">
        <v>25</v>
      </c>
      <c r="B93" t="inlineStr">
        <is>
          <t>Raffles Maldives Meradhoo Resort</t>
        </is>
      </c>
      <c r="C93" t="inlineStr">
        <is>
          <t>https://www.neoscapesmaldives.com/resort/raffles-maldives-meradhoo-resort/</t>
        </is>
      </c>
      <c r="D93" t="inlineStr">
        <is>
          <t>overview</t>
        </is>
      </c>
      <c r="E93" t="inlineStr">
        <is>
          <t>The Halcyon Private Isles Maldives, Autograph Collection | Neoscapes Maldives</t>
        </is>
      </c>
      <c r="F93" t="n">
        <v>26539</v>
      </c>
      <c r="G93" t="inlineStr">
        <is>
          <t>2026-10-04</t>
        </is>
      </c>
      <c r="H93" t="inlineStr">
        <is>
          <t>dmc-agency</t>
        </is>
      </c>
      <c r="I93" t="inlineStr">
        <is>
          <t>output/pages/025_raffles-maldives-meradhoo-resort/overview__neoscapesmaldives.com__resort-raffles-maldives-meradhoo-resort.md</t>
        </is>
      </c>
    </row>
    <row r="94">
      <c r="A94" t="n">
        <v>45</v>
      </c>
      <c r="B94" t="inlineStr">
        <is>
          <t>Saii Lagoon Maldives</t>
        </is>
      </c>
      <c r="C94" t="inlineStr">
        <is>
          <t>https://www.neoscapesmaldives.com/resort/saii-lagoon-maldives/</t>
        </is>
      </c>
      <c r="D94" t="inlineStr">
        <is>
          <t>overview</t>
        </is>
      </c>
      <c r="E94" t="inlineStr">
        <is>
          <t>SAii Lagoon Maldives, by Hilton | Neoscapes Maldives</t>
        </is>
      </c>
      <c r="F94" t="n">
        <v>28704</v>
      </c>
      <c r="G94" t="inlineStr">
        <is>
          <t>2026-10-04</t>
        </is>
      </c>
      <c r="H94" t="inlineStr">
        <is>
          <t>dmc-agency</t>
        </is>
      </c>
      <c r="I94" t="inlineStr">
        <is>
          <t>output/pages/045_saii-lagoon-maldives/overview__neoscapesmaldives.com__resort-saii-lagoon-maldives.md</t>
        </is>
      </c>
    </row>
    <row r="95">
      <c r="A95" t="n">
        <v>103</v>
      </c>
      <c r="B95" t="inlineStr">
        <is>
          <t>Sheraton Maldives Full Moon Resort &amp; Spa</t>
        </is>
      </c>
      <c r="C95" t="inlineStr">
        <is>
          <t>https://www.neoscapesmaldives.com/resort/sheraton-maldives-full-moon-resort-spa/</t>
        </is>
      </c>
      <c r="D95" t="inlineStr">
        <is>
          <t>overview</t>
        </is>
      </c>
      <c r="E95" t="inlineStr">
        <is>
          <t>Sheraton Maldives Full Moon Resort &amp; Spa | Neoscapes Maldives</t>
        </is>
      </c>
      <c r="F95" t="n">
        <v>30521</v>
      </c>
      <c r="G95" t="inlineStr">
        <is>
          <t>2026-10-04</t>
        </is>
      </c>
      <c r="H95" t="inlineStr">
        <is>
          <t>dmc-agency</t>
        </is>
      </c>
      <c r="I95" t="inlineStr">
        <is>
          <t>output/pages/103_sheraton-maldives-full-moon-resort-spa/overview__neoscapesmaldives.com__resort-sheraton-maldives-full-moon-resort-spa.md</t>
        </is>
      </c>
    </row>
    <row r="96">
      <c r="A96" t="n">
        <v>179</v>
      </c>
      <c r="B96" t="inlineStr">
        <is>
          <t>Siyam World Maldives</t>
        </is>
      </c>
      <c r="C96" t="inlineStr">
        <is>
          <t>https://www.neoscapesmaldives.com/resort/siyam-world-maldives/</t>
        </is>
      </c>
      <c r="D96" t="inlineStr">
        <is>
          <t>overview</t>
        </is>
      </c>
      <c r="E96" t="inlineStr">
        <is>
          <t>Siyam World Maldives | Neoscapes Maldives</t>
        </is>
      </c>
      <c r="F96" t="n">
        <v>32890</v>
      </c>
      <c r="G96" t="inlineStr">
        <is>
          <t>2026-10-04</t>
        </is>
      </c>
      <c r="H96" t="inlineStr">
        <is>
          <t>dmc-agency</t>
        </is>
      </c>
      <c r="I96" t="inlineStr">
        <is>
          <t>output/pages/179_siyam-world-maldives/overview__neoscapesmaldives.com__resort-siyam-world-maldives.md</t>
        </is>
      </c>
    </row>
    <row r="97">
      <c r="A97" t="n">
        <v>46</v>
      </c>
      <c r="B97" t="inlineStr">
        <is>
          <t>SO/ Maldives</t>
        </is>
      </c>
      <c r="C97" t="inlineStr">
        <is>
          <t>https://www.neoscapesmaldives.com/resort/so-maldives/</t>
        </is>
      </c>
      <c r="D97" t="inlineStr">
        <is>
          <t>overview</t>
        </is>
      </c>
      <c r="E97" t="inlineStr">
        <is>
          <t>SO/ Maldives | Neoscapes Maldives</t>
        </is>
      </c>
      <c r="F97" t="n">
        <v>28658</v>
      </c>
      <c r="G97" t="inlineStr">
        <is>
          <t>2026-10-04</t>
        </is>
      </c>
      <c r="H97" t="inlineStr">
        <is>
          <t>dmc-agency</t>
        </is>
      </c>
      <c r="I97" t="inlineStr">
        <is>
          <t>output/pages/046_so-maldives/overview__neoscapesmaldives.com__resort-so-maldives.md</t>
        </is>
      </c>
    </row>
    <row r="98">
      <c r="A98" t="n">
        <v>141</v>
      </c>
      <c r="B98" t="inlineStr">
        <is>
          <t>Soneva Fushi Resort</t>
        </is>
      </c>
      <c r="C98" t="inlineStr">
        <is>
          <t>https://www.neoscapesmaldives.com/resort/soneva-fushi/</t>
        </is>
      </c>
      <c r="D98" t="inlineStr">
        <is>
          <t>overview</t>
        </is>
      </c>
      <c r="E98" t="inlineStr">
        <is>
          <t>Soneva Fushi | Neoscapes Maldives</t>
        </is>
      </c>
      <c r="F98" t="n">
        <v>44964</v>
      </c>
      <c r="G98" t="inlineStr">
        <is>
          <t>2026-10-04</t>
        </is>
      </c>
      <c r="H98" t="inlineStr">
        <is>
          <t>dmc-agency</t>
        </is>
      </c>
      <c r="I98" t="inlineStr">
        <is>
          <t>output/pages/141_soneva-fushi-resort/overview__neoscapesmaldives.com__resort-soneva-fushi.md</t>
        </is>
      </c>
    </row>
    <row r="99">
      <c r="A99" t="n">
        <v>143</v>
      </c>
      <c r="B99" t="inlineStr">
        <is>
          <t>Soneva Jani</t>
        </is>
      </c>
      <c r="C99" t="inlineStr">
        <is>
          <t>https://www.neoscapesmaldives.com/resort/soneva-jani/</t>
        </is>
      </c>
      <c r="D99" t="inlineStr">
        <is>
          <t>overview</t>
        </is>
      </c>
      <c r="E99" t="inlineStr">
        <is>
          <t>Soneva Jani | Neoscapes Maldives</t>
        </is>
      </c>
      <c r="F99" t="n">
        <v>31038</v>
      </c>
      <c r="G99" t="inlineStr">
        <is>
          <t>2026-10-04</t>
        </is>
      </c>
      <c r="H99" t="inlineStr">
        <is>
          <t>dmc-agency</t>
        </is>
      </c>
      <c r="I99" t="inlineStr">
        <is>
          <t>output/pages/143_soneva-jani/overview__neoscapesmaldives.com__resort-soneva-jani.md</t>
        </is>
      </c>
    </row>
    <row r="100">
      <c r="A100" t="n">
        <v>118</v>
      </c>
      <c r="B100" t="inlineStr">
        <is>
          <t>Sun Siyam Iru Veli Maldives</t>
        </is>
      </c>
      <c r="C100" t="inlineStr">
        <is>
          <t>https://www.neoscapesmaldives.com/resort/sun-siyam-iru-veli/</t>
        </is>
      </c>
      <c r="D100" t="inlineStr">
        <is>
          <t>overview</t>
        </is>
      </c>
      <c r="E100" t="inlineStr">
        <is>
          <t>Sun Siyam Iru Veli | Neoscapes Maldives</t>
        </is>
      </c>
      <c r="F100" t="n">
        <v>30431</v>
      </c>
      <c r="G100" t="inlineStr">
        <is>
          <t>2026-10-04</t>
        </is>
      </c>
      <c r="H100" t="inlineStr">
        <is>
          <t>dmc-agency</t>
        </is>
      </c>
      <c r="I100" t="inlineStr">
        <is>
          <t>output/pages/118_sun-siyam-iru-veli-maldives/overview__neoscapesmaldives.com__resort-sun-siyam-iru-veli.md</t>
        </is>
      </c>
    </row>
    <row r="101">
      <c r="A101" t="n">
        <v>147</v>
      </c>
      <c r="B101" t="inlineStr">
        <is>
          <t>Sun Siyam Vilu Reef Maldives</t>
        </is>
      </c>
      <c r="C101" t="inlineStr">
        <is>
          <t>https://www.neoscapesmaldives.com/resort/sun-siyam-vilu-reef/</t>
        </is>
      </c>
      <c r="D101" t="inlineStr">
        <is>
          <t>overview</t>
        </is>
      </c>
      <c r="E101" t="inlineStr">
        <is>
          <t>Sun Siyam Vilu Reef | Neoscapes Maldives</t>
        </is>
      </c>
      <c r="F101" t="n">
        <v>36080</v>
      </c>
      <c r="G101" t="inlineStr">
        <is>
          <t>2026-10-04</t>
        </is>
      </c>
      <c r="H101" t="inlineStr">
        <is>
          <t>dmc-agency</t>
        </is>
      </c>
      <c r="I101" t="inlineStr">
        <is>
          <t>output/pages/147_sun-siyam-vilu-reef-maldives/overview__neoscapesmaldives.com__resort-sun-siyam-vilu-reef.md</t>
        </is>
      </c>
    </row>
    <row r="102">
      <c r="A102" t="n">
        <v>153</v>
      </c>
      <c r="B102" t="inlineStr">
        <is>
          <t>Taj Coral Reef Resort and Spa</t>
        </is>
      </c>
      <c r="C102" t="inlineStr">
        <is>
          <t>https://www.neoscapesmaldives.com/resort/taj-coral-reef-resort-spa/</t>
        </is>
      </c>
      <c r="D102" t="inlineStr">
        <is>
          <t>overview</t>
        </is>
      </c>
      <c r="E102" t="inlineStr">
        <is>
          <t>Taj Coral Reef Resort &amp; Spa | Neoscapes Maldives</t>
        </is>
      </c>
      <c r="F102" t="n">
        <v>31888</v>
      </c>
      <c r="G102" t="inlineStr">
        <is>
          <t>2026-10-04</t>
        </is>
      </c>
      <c r="H102" t="inlineStr">
        <is>
          <t>dmc-agency</t>
        </is>
      </c>
      <c r="I102" t="inlineStr">
        <is>
          <t>output/pages/153_taj-coral-reef-resort-and-spa/overview__neoscapesmaldives.com__resort-taj-coral-reef-resort-spa.md</t>
        </is>
      </c>
    </row>
    <row r="103">
      <c r="A103" t="n">
        <v>154</v>
      </c>
      <c r="B103" t="inlineStr">
        <is>
          <t>Taj Exotica Resort &amp; Spa Maldives</t>
        </is>
      </c>
      <c r="C103" t="inlineStr">
        <is>
          <t>https://www.neoscapesmaldives.com/resort/taj-exotica-resort-spa/</t>
        </is>
      </c>
      <c r="D103" t="inlineStr">
        <is>
          <t>overview</t>
        </is>
      </c>
      <c r="E103" t="inlineStr">
        <is>
          <t>Taj Exotica Resort &amp; Spa | Neoscapes Maldives</t>
        </is>
      </c>
      <c r="F103" t="n">
        <v>30324</v>
      </c>
      <c r="G103" t="inlineStr">
        <is>
          <t>2026-10-04</t>
        </is>
      </c>
      <c r="H103" t="inlineStr">
        <is>
          <t>dmc-agency</t>
        </is>
      </c>
      <c r="I103" t="inlineStr">
        <is>
          <t>output/pages/154_taj-exotica-resort-spa-maldives/overview__neoscapesmaldives.com__resort-taj-exotica-resort-spa.md</t>
        </is>
      </c>
    </row>
    <row r="104">
      <c r="A104" t="n">
        <v>37</v>
      </c>
      <c r="B104" t="inlineStr">
        <is>
          <t>The Ritz Carlton Maldives Fari Islands</t>
        </is>
      </c>
      <c r="C104" t="inlineStr">
        <is>
          <t>https://www.neoscapesmaldives.com/resort/the-ritz-carlton-maldives/</t>
        </is>
      </c>
      <c r="D104" t="inlineStr">
        <is>
          <t>overview</t>
        </is>
      </c>
      <c r="E104" t="inlineStr">
        <is>
          <t>The Ritz-Carlton Maldives | Neoscapes Maldives</t>
        </is>
      </c>
      <c r="F104" t="n">
        <v>25324</v>
      </c>
      <c r="G104" t="inlineStr">
        <is>
          <t>2026-10-04</t>
        </is>
      </c>
      <c r="H104" t="inlineStr">
        <is>
          <t>dmc-agency</t>
        </is>
      </c>
      <c r="I104" t="inlineStr">
        <is>
          <t>output/pages/037_the-ritz-carlton-maldives-fari-islands/overview__neoscapesmaldives.com__resort-the-ritz-carlton-maldives.md</t>
        </is>
      </c>
    </row>
    <row r="105">
      <c r="A105" t="n">
        <v>134</v>
      </c>
      <c r="B105" t="inlineStr">
        <is>
          <t>The St. Regis Vommuli Resort, Maldives</t>
        </is>
      </c>
      <c r="C105" t="inlineStr">
        <is>
          <t>https://www.neoscapesmaldives.com/resort/the-st-regis-maldives-vommuli-resort/</t>
        </is>
      </c>
      <c r="D105" t="inlineStr">
        <is>
          <t>overview</t>
        </is>
      </c>
      <c r="E105" t="inlineStr">
        <is>
          <t>The St. Regis Maldives Vommuli Resort | Neoscapes Maldives</t>
        </is>
      </c>
      <c r="F105" t="n">
        <v>51862</v>
      </c>
      <c r="G105" t="inlineStr">
        <is>
          <t>2026-10-04</t>
        </is>
      </c>
      <c r="H105" t="inlineStr">
        <is>
          <t>dmc-agency</t>
        </is>
      </c>
      <c r="I105" t="inlineStr">
        <is>
          <t>output/pages/134_the-st-regis-vommuli-resort-maldives/overview__neoscapesmaldives.com__resort-the-st-regis-maldives-vommuli-resort.md</t>
        </is>
      </c>
    </row>
    <row r="106">
      <c r="A106" t="n">
        <v>140</v>
      </c>
      <c r="B106" t="inlineStr">
        <is>
          <t>The Standard Huruvalhi Maldives</t>
        </is>
      </c>
      <c r="C106" t="inlineStr">
        <is>
          <t>https://www.neoscapesmaldives.com/resort/the-standard-huruvalhi-maldives/</t>
        </is>
      </c>
      <c r="D106" t="inlineStr">
        <is>
          <t>overview</t>
        </is>
      </c>
      <c r="E106" t="inlineStr">
        <is>
          <t>The Standard, Huruvalhi Maldives | Neoscapes Maldives</t>
        </is>
      </c>
      <c r="F106" t="n">
        <v>32743</v>
      </c>
      <c r="G106" t="inlineStr">
        <is>
          <t>2026-10-04</t>
        </is>
      </c>
      <c r="H106" t="inlineStr">
        <is>
          <t>dmc-agency</t>
        </is>
      </c>
      <c r="I106" t="inlineStr">
        <is>
          <t>output/pages/140_the-standard-huruvalhi-maldives/overview__neoscapesmaldives.com__resort-the-standard-huruvalhi-maldives.md</t>
        </is>
      </c>
    </row>
    <row r="107">
      <c r="A107" t="n">
        <v>148</v>
      </c>
      <c r="B107" t="inlineStr">
        <is>
          <t>Sun Siyam Iru Fushi Maldives</t>
        </is>
      </c>
      <c r="C107" t="inlineStr">
        <is>
          <t>https://www.neoscapesmaldives.com/resort/the-sun-siyam-irufushi/</t>
        </is>
      </c>
      <c r="D107" t="inlineStr">
        <is>
          <t>overview</t>
        </is>
      </c>
      <c r="E107" t="inlineStr">
        <is>
          <t>Sun Siyam Irufushi | Neoscapes Maldives</t>
        </is>
      </c>
      <c r="F107" t="n">
        <v>36622</v>
      </c>
      <c r="G107" t="inlineStr">
        <is>
          <t>2026-10-04</t>
        </is>
      </c>
      <c r="H107" t="inlineStr">
        <is>
          <t>dmc-agency</t>
        </is>
      </c>
      <c r="I107" t="inlineStr">
        <is>
          <t>output/pages/148_sun-siyam-iru-fushi-maldives/overview__neoscapesmaldives.com__resort-the-sun-siyam-irufushi.md</t>
        </is>
      </c>
    </row>
    <row r="108">
      <c r="A108" t="n">
        <v>49</v>
      </c>
      <c r="B108" t="inlineStr">
        <is>
          <t>Vakkaru Maldives</t>
        </is>
      </c>
      <c r="C108" t="inlineStr">
        <is>
          <t>https://www.neoscapesmaldives.com/resort/vakkaru-maldives/</t>
        </is>
      </c>
      <c r="D108" t="inlineStr">
        <is>
          <t>overview</t>
        </is>
      </c>
      <c r="E108" t="inlineStr">
        <is>
          <t>Vakkaru Maldives | Neoscapes Maldives</t>
        </is>
      </c>
      <c r="F108" t="n">
        <v>35440</v>
      </c>
      <c r="G108" t="inlineStr">
        <is>
          <t>2026-10-04</t>
        </is>
      </c>
      <c r="H108" t="inlineStr">
        <is>
          <t>dmc-agency</t>
        </is>
      </c>
      <c r="I108" t="inlineStr">
        <is>
          <t>output/pages/049_vakkaru-maldives/overview__neoscapesmaldives.com__resort-vakkaru-maldives.md</t>
        </is>
      </c>
    </row>
    <row r="109">
      <c r="A109" t="n">
        <v>138</v>
      </c>
      <c r="B109" t="inlineStr">
        <is>
          <t>Varu Island Resort</t>
        </is>
      </c>
      <c r="C109" t="inlineStr">
        <is>
          <t>https://www.neoscapesmaldives.com/resort/varu-by-atmosphere/</t>
        </is>
      </c>
      <c r="D109" t="inlineStr">
        <is>
          <t>overview</t>
        </is>
      </c>
      <c r="E109" t="inlineStr">
        <is>
          <t>VARU by Atmosphere | Neoscapes Maldives</t>
        </is>
      </c>
      <c r="F109" t="n">
        <v>27360</v>
      </c>
      <c r="G109" t="inlineStr">
        <is>
          <t>2026-10-04</t>
        </is>
      </c>
      <c r="H109" t="inlineStr">
        <is>
          <t>dmc-agency</t>
        </is>
      </c>
      <c r="I109" t="inlineStr">
        <is>
          <t>output/pages/138_varu-island-resort/overview__neoscapesmaldives.com__resort-varu-by-atmosphere.md</t>
        </is>
      </c>
    </row>
    <row r="110">
      <c r="A110" t="n">
        <v>171</v>
      </c>
      <c r="B110" t="inlineStr">
        <is>
          <t>Velaa Private Island Maldives</t>
        </is>
      </c>
      <c r="C110" t="inlineStr">
        <is>
          <t>https://www.neoscapesmaldives.com/resort/velaa-private-island/</t>
        </is>
      </c>
      <c r="D110" t="inlineStr">
        <is>
          <t>overview</t>
        </is>
      </c>
      <c r="E110" t="inlineStr">
        <is>
          <t>Velaa Private Island Maldives | Neoscapes Maldives</t>
        </is>
      </c>
      <c r="F110" t="n">
        <v>35865</v>
      </c>
      <c r="G110" t="inlineStr">
        <is>
          <t>2026-10-04</t>
        </is>
      </c>
      <c r="H110" t="inlineStr">
        <is>
          <t>dmc-agency</t>
        </is>
      </c>
      <c r="I110" t="inlineStr">
        <is>
          <t>output/pages/171_velaa-private-island-maldives/overview__neoscapesmaldives.com__resort-velaa-private-island.md</t>
        </is>
      </c>
    </row>
    <row r="111">
      <c r="A111" t="n">
        <v>165</v>
      </c>
      <c r="B111" t="inlineStr">
        <is>
          <t>Velassaru Maldives</t>
        </is>
      </c>
      <c r="C111" t="inlineStr">
        <is>
          <t>https://www.neoscapesmaldives.com/resort/velassaru-maldives/</t>
        </is>
      </c>
      <c r="D111" t="inlineStr">
        <is>
          <t>overview</t>
        </is>
      </c>
      <c r="E111" t="inlineStr">
        <is>
          <t>Niva Velassaru Maldives | Neoscapes Maldives</t>
        </is>
      </c>
      <c r="F111" t="n">
        <v>36915</v>
      </c>
      <c r="G111" t="inlineStr">
        <is>
          <t>2026-10-04</t>
        </is>
      </c>
      <c r="H111" t="inlineStr">
        <is>
          <t>dmc-agency</t>
        </is>
      </c>
      <c r="I111" t="inlineStr">
        <is>
          <t>output/pages/165_velassaru-maldives/overview__neoscapesmaldives.com__resort-velassaru-maldives.md</t>
        </is>
      </c>
    </row>
    <row r="112">
      <c r="A112" t="n">
        <v>102</v>
      </c>
      <c r="B112" t="inlineStr">
        <is>
          <t>W Maldives</t>
        </is>
      </c>
      <c r="C112" t="inlineStr">
        <is>
          <t>https://www.neoscapesmaldives.com/resort/w-resort-maldives/</t>
        </is>
      </c>
      <c r="D112" t="inlineStr">
        <is>
          <t>overview</t>
        </is>
      </c>
      <c r="E112" t="inlineStr">
        <is>
          <t>W Maldives | Neoscapes Maldives</t>
        </is>
      </c>
      <c r="F112" t="n">
        <v>32898</v>
      </c>
      <c r="G112" t="inlineStr">
        <is>
          <t>2026-10-04</t>
        </is>
      </c>
      <c r="H112" t="inlineStr">
        <is>
          <t>dmc-agency</t>
        </is>
      </c>
      <c r="I112" t="inlineStr">
        <is>
          <t>output/pages/102_w-maldives/overview__neoscapesmaldives.com__resort-w-resort-maldives.md</t>
        </is>
      </c>
    </row>
    <row r="113">
      <c r="A113" t="n">
        <v>67</v>
      </c>
      <c r="B113" t="inlineStr">
        <is>
          <t>Waldorf Astoria Maldives Ithaafushi</t>
        </is>
      </c>
      <c r="C113" t="inlineStr">
        <is>
          <t>https://www.neoscapesmaldives.com/resort/waldorf-astoria-maldives/</t>
        </is>
      </c>
      <c r="D113" t="inlineStr">
        <is>
          <t>overview</t>
        </is>
      </c>
      <c r="E113" t="inlineStr">
        <is>
          <t>Waldorf Astoria Maldives Ithaafushi | Neoscapes</t>
        </is>
      </c>
      <c r="F113" t="n">
        <v>41745</v>
      </c>
      <c r="G113" t="inlineStr">
        <is>
          <t>2026-10-04</t>
        </is>
      </c>
      <c r="H113" t="inlineStr">
        <is>
          <t>dmc-agency</t>
        </is>
      </c>
      <c r="I113" t="inlineStr">
        <is>
          <t>output/pages/067_waldorf-astoria-maldives-ithaafushi/overview__neoscapesmaldives.com__resort-waldorf-astoria-maldives.md</t>
        </is>
      </c>
    </row>
    <row r="114">
      <c r="A114" t="n">
        <v>32</v>
      </c>
      <c r="B114" t="inlineStr">
        <is>
          <t>Cocoon Maldives</t>
        </is>
      </c>
      <c r="C114" t="inlineStr">
        <is>
          <t>https://www.neoscapesmaldives.com/resort/you-me-by-cocoon-maldives/</t>
        </is>
      </c>
      <c r="D114" t="inlineStr">
        <is>
          <t>overview</t>
        </is>
      </c>
      <c r="E114" t="inlineStr">
        <is>
          <t>You &amp; Me by Cocoon Maldives | Neoscapes Maldives</t>
        </is>
      </c>
      <c r="F114" t="n">
        <v>27890</v>
      </c>
      <c r="G114" t="inlineStr">
        <is>
          <t>2026-10-04</t>
        </is>
      </c>
      <c r="H114" t="inlineStr">
        <is>
          <t>dmc-agency</t>
        </is>
      </c>
      <c r="I114" t="inlineStr">
        <is>
          <t>output/pages/032_cocoon-maldives/overview__neoscapesmaldives.com__resort-you-me-by-cocoon-maldives.md</t>
        </is>
      </c>
    </row>
    <row r="115">
      <c r="A115" t="n">
        <v>4</v>
      </c>
      <c r="B115" t="inlineStr">
        <is>
          <t>Ayada Maldives</t>
        </is>
      </c>
      <c r="C115" t="inlineStr">
        <is>
          <t>https://www.ayadamaldives.com/</t>
        </is>
      </c>
      <c r="D115" t="inlineStr">
        <is>
          <t>diving</t>
        </is>
      </c>
      <c r="E115" t="inlineStr">
        <is>
          <t>Ayada Maldives - Official Website</t>
        </is>
      </c>
      <c r="F115" t="n">
        <v>2348</v>
      </c>
      <c r="G115" t="inlineStr">
        <is>
          <t>2026-10-04</t>
        </is>
      </c>
      <c r="H115" t="inlineStr">
        <is>
          <t>official</t>
        </is>
      </c>
      <c r="I115" t="inlineStr">
        <is>
          <t>output/pages/004_ayada-maldives/diving__ayadamaldives.com__home.md</t>
        </is>
      </c>
    </row>
    <row r="116">
      <c r="A116" t="n">
        <v>4</v>
      </c>
      <c r="B116" t="inlineStr">
        <is>
          <t>Ayada Maldives</t>
        </is>
      </c>
      <c r="C116" t="inlineStr">
        <is>
          <t>https://www.ayadamaldives.com/environment</t>
        </is>
      </c>
      <c r="D116" t="inlineStr">
        <is>
          <t>diving</t>
        </is>
      </c>
      <c r="E116" t="inlineStr">
        <is>
          <t>Environmental initiatives — Ayada Maldives - Official Website</t>
        </is>
      </c>
      <c r="F116" t="n">
        <v>3494</v>
      </c>
      <c r="G116" t="inlineStr">
        <is>
          <t>2026-10-04</t>
        </is>
      </c>
      <c r="H116" t="inlineStr">
        <is>
          <t>official</t>
        </is>
      </c>
      <c r="I116" t="inlineStr">
        <is>
          <t>output/pages/004_ayada-maldives/diving__ayadamaldives.com__environment.md</t>
        </is>
      </c>
    </row>
    <row r="117">
      <c r="A117" t="n">
        <v>4</v>
      </c>
      <c r="B117" t="inlineStr">
        <is>
          <t>Ayada Maldives</t>
        </is>
      </c>
      <c r="C117" t="inlineStr">
        <is>
          <t>https://www.ayadamaldives.com/welcome</t>
        </is>
      </c>
      <c r="D117" t="inlineStr">
        <is>
          <t>diving</t>
        </is>
      </c>
      <c r="E117" t="inlineStr">
        <is>
          <t>Ayada Maldives - Official Website</t>
        </is>
      </c>
      <c r="F117" t="n">
        <v>2348</v>
      </c>
      <c r="G117" t="inlineStr">
        <is>
          <t>2026-10-04</t>
        </is>
      </c>
      <c r="H117" t="inlineStr">
        <is>
          <t>official</t>
        </is>
      </c>
      <c r="I117" t="inlineStr">
        <is>
          <t>output/pages/004_ayada-maldives/diving__ayadamaldives.com__welcome.md</t>
        </is>
      </c>
    </row>
    <row r="118">
      <c r="A118" t="n">
        <v>4</v>
      </c>
      <c r="B118" t="inlineStr">
        <is>
          <t>Ayada Maldives</t>
        </is>
      </c>
      <c r="C118" t="inlineStr">
        <is>
          <t>https://www.ayadamaldives.com/ivd</t>
        </is>
      </c>
      <c r="D118" t="inlineStr">
        <is>
          <t>dining</t>
        </is>
      </c>
      <c r="E118" t="inlineStr">
        <is>
          <t>In-Villa Dining — Ayada Maldives - Official Website</t>
        </is>
      </c>
      <c r="F118" t="n">
        <v>719</v>
      </c>
      <c r="G118" t="inlineStr">
        <is>
          <t>2026-10-04</t>
        </is>
      </c>
      <c r="H118" t="inlineStr">
        <is>
          <t>official</t>
        </is>
      </c>
      <c r="I118" t="inlineStr">
        <is>
          <t>output/pages/004_ayada-maldives/dining__ayadamaldives.com__ivd.md</t>
        </is>
      </c>
    </row>
    <row r="119">
      <c r="A119" t="n">
        <v>4</v>
      </c>
      <c r="B119" t="inlineStr">
        <is>
          <t>Ayada Maldives</t>
        </is>
      </c>
      <c r="C119" t="inlineStr">
        <is>
          <t>https://www.ayadamaldives.com/new-blog/2025/8/1/experiencing-the-authentic-maldives-a-guests-guide-to-local-life</t>
        </is>
      </c>
      <c r="D119" t="inlineStr">
        <is>
          <t>diving</t>
        </is>
      </c>
      <c r="E119" t="inlineStr">
        <is>
          <t>Experiencing the Authentic Maldives: A Guest’s Guide to Local Life — Ayada Maldives - Official Website</t>
        </is>
      </c>
      <c r="F119" t="n">
        <v>3099</v>
      </c>
      <c r="G119" t="inlineStr">
        <is>
          <t>2026-10-04</t>
        </is>
      </c>
      <c r="H119" t="inlineStr">
        <is>
          <t>official</t>
        </is>
      </c>
      <c r="I119" t="inlineStr">
        <is>
          <t>output/pages/004_ayada-maldives/diving__ayadamaldives.com__new-blog-2025-8-1-experiencing-the-authentic-maldives-a-gues.md</t>
        </is>
      </c>
    </row>
    <row r="120">
      <c r="A120" t="n">
        <v>4</v>
      </c>
      <c r="B120" t="inlineStr">
        <is>
          <t>Ayada Maldives</t>
        </is>
      </c>
      <c r="C120" t="inlineStr">
        <is>
          <t>https://www.ayadamaldives.com/new-blog/festive-maldives-2025</t>
        </is>
      </c>
      <c r="D120" t="inlineStr">
        <is>
          <t>diving</t>
        </is>
      </c>
      <c r="E120" t="inlineStr">
        <is>
          <t>A Tropical Wonderland of Festive Cheer at Ayada Maldives — Ayada Maldives - Official Website</t>
        </is>
      </c>
      <c r="F120" t="n">
        <v>4018</v>
      </c>
      <c r="G120" t="inlineStr">
        <is>
          <t>2026-10-04</t>
        </is>
      </c>
      <c r="H120" t="inlineStr">
        <is>
          <t>official</t>
        </is>
      </c>
      <c r="I120" t="inlineStr">
        <is>
          <t>output/pages/004_ayada-maldives/diving__ayadamaldives.com__new-blog-festive-maldives-2025.md</t>
        </is>
      </c>
    </row>
    <row r="121">
      <c r="A121" t="n">
        <v>4</v>
      </c>
      <c r="B121" t="inlineStr">
        <is>
          <t>Ayada Maldives</t>
        </is>
      </c>
      <c r="C121" t="inlineStr">
        <is>
          <t>https://www.ayadamaldives.com/ile-de-joie</t>
        </is>
      </c>
      <c r="D121" t="inlineStr">
        <is>
          <t>diving</t>
        </is>
      </c>
      <c r="E121" t="inlineStr">
        <is>
          <t>Ile de Joie — Ayada Maldives - Official Website</t>
        </is>
      </c>
      <c r="F121" t="n">
        <v>663</v>
      </c>
      <c r="G121" t="inlineStr">
        <is>
          <t>2026-10-04</t>
        </is>
      </c>
      <c r="H121" t="inlineStr">
        <is>
          <t>official</t>
        </is>
      </c>
      <c r="I121" t="inlineStr">
        <is>
          <t>output/pages/004_ayada-maldives/diving__ayadamaldives.com__ile-de-joie.md</t>
        </is>
      </c>
    </row>
    <row r="122">
      <c r="A122" t="n">
        <v>3</v>
      </c>
      <c r="B122" t="inlineStr">
        <is>
          <t>Adaaran Select Hudhuranfushi</t>
        </is>
      </c>
      <c r="C122" t="inlineStr">
        <is>
          <t>https://www.adaaran.com/selecthudhuranfushi/</t>
        </is>
      </c>
      <c r="D122" t="inlineStr">
        <is>
          <t>diving</t>
        </is>
      </c>
      <c r="E122" t="inlineStr">
        <is>
          <t>Maldives All inclusive Hotel | Adaaran Select Hudhuranfushi Official Site</t>
        </is>
      </c>
      <c r="F122" t="n">
        <v>8625</v>
      </c>
      <c r="G122" t="inlineStr">
        <is>
          <t>2026-10-04</t>
        </is>
      </c>
      <c r="H122" t="inlineStr">
        <is>
          <t>official</t>
        </is>
      </c>
      <c r="I122" t="inlineStr">
        <is>
          <t>output/pages/003_adaaran-select-hudhuranfushi/diving__adaaran.com__selecthudhuranfushi.md</t>
        </is>
      </c>
    </row>
    <row r="123">
      <c r="A123" t="n">
        <v>4</v>
      </c>
      <c r="B123" t="inlineStr">
        <is>
          <t>Ayada Maldives</t>
        </is>
      </c>
      <c r="C123" t="inlineStr">
        <is>
          <t>https://www.ayadamaldives.com/sunset-ocean-suite</t>
        </is>
      </c>
      <c r="D123" t="inlineStr">
        <is>
          <t>diving</t>
        </is>
      </c>
      <c r="E123" t="inlineStr">
        <is>
          <t>Sunset Ocean Suite with Pool — Ayada Maldives - Official Website</t>
        </is>
      </c>
      <c r="F123" t="n">
        <v>708</v>
      </c>
      <c r="G123" t="inlineStr">
        <is>
          <t>2026-10-04</t>
        </is>
      </c>
      <c r="H123" t="inlineStr">
        <is>
          <t>official</t>
        </is>
      </c>
      <c r="I123" t="inlineStr">
        <is>
          <t>output/pages/004_ayada-maldives/diving__ayadamaldives.com__sunset-ocean-suite.md</t>
        </is>
      </c>
    </row>
    <row r="124">
      <c r="A124" t="n">
        <v>3</v>
      </c>
      <c r="B124" t="inlineStr">
        <is>
          <t>Adaaran Select Hudhuranfushi</t>
        </is>
      </c>
      <c r="C124" t="inlineStr">
        <is>
          <t>https://www.adaaran.com/selecthudhuranfushi/villas/sunset-beach-villas/</t>
        </is>
      </c>
      <c r="D124" t="inlineStr">
        <is>
          <t>diving</t>
        </is>
      </c>
      <c r="E124" t="inlineStr">
        <is>
          <t>Sunset Maldives Beach Villas | Adaaran Select Hudhuranfushi</t>
        </is>
      </c>
      <c r="F124" t="n">
        <v>2554</v>
      </c>
      <c r="G124" t="inlineStr">
        <is>
          <t>2026-10-04</t>
        </is>
      </c>
      <c r="H124" t="inlineStr">
        <is>
          <t>official</t>
        </is>
      </c>
      <c r="I124" t="inlineStr">
        <is>
          <t>output/pages/003_adaaran-select-hudhuranfushi/diving__adaaran.com__selecthudhuranfushi-villas-sunset-beach-villas.md</t>
        </is>
      </c>
    </row>
    <row r="125">
      <c r="A125" t="n">
        <v>4</v>
      </c>
      <c r="B125" t="inlineStr">
        <is>
          <t>Ayada Maldives</t>
        </is>
      </c>
      <c r="C125" t="inlineStr">
        <is>
          <t>https://www.ayadamaldives.com/ottoman-lounge</t>
        </is>
      </c>
      <c r="D125" t="inlineStr">
        <is>
          <t>diving</t>
        </is>
      </c>
      <c r="E125" t="inlineStr">
        <is>
          <t>Ottoman Lounge — Ayada Maldives - Official Website</t>
        </is>
      </c>
      <c r="F125" t="n">
        <v>1094</v>
      </c>
      <c r="G125" t="inlineStr">
        <is>
          <t>2026-10-04</t>
        </is>
      </c>
      <c r="H125" t="inlineStr">
        <is>
          <t>official</t>
        </is>
      </c>
      <c r="I125" t="inlineStr">
        <is>
          <t>output/pages/004_ayada-maldives/diving__ayadamaldives.com__ottoman-lounge.md</t>
        </is>
      </c>
    </row>
    <row r="126">
      <c r="A126" t="n">
        <v>3</v>
      </c>
      <c r="B126" t="inlineStr">
        <is>
          <t>Adaaran Select Hudhuranfushi</t>
        </is>
      </c>
      <c r="C126" t="inlineStr">
        <is>
          <t>https://www.adaaran.com/selecthudhuranfushi/facilities/transfers/</t>
        </is>
      </c>
      <c r="D126" t="inlineStr">
        <is>
          <t>diving</t>
        </is>
      </c>
      <c r="E126" t="inlineStr">
        <is>
          <t>Maldives Speedboat Transfers | Transfers to Adaaran Select Hudhuranfushi</t>
        </is>
      </c>
      <c r="F126" t="n">
        <v>2914</v>
      </c>
      <c r="G126" t="inlineStr">
        <is>
          <t>2026-10-04</t>
        </is>
      </c>
      <c r="H126" t="inlineStr">
        <is>
          <t>official</t>
        </is>
      </c>
      <c r="I126" t="inlineStr">
        <is>
          <t>output/pages/003_adaaran-select-hudhuranfushi/diving__adaaran.com__selecthudhuranfushi-facilities-transfers.md</t>
        </is>
      </c>
    </row>
    <row r="127">
      <c r="A127" t="n">
        <v>4</v>
      </c>
      <c r="B127" t="inlineStr">
        <is>
          <t>Ayada Maldives</t>
        </is>
      </c>
      <c r="C127" t="inlineStr">
        <is>
          <t>https://www.ayadamaldives.com/new-blog/2023/8/28/festive-season-highlights-a-memorable-stay-at-ayada-maldives</t>
        </is>
      </c>
      <c r="D127" t="inlineStr">
        <is>
          <t>diving</t>
        </is>
      </c>
      <c r="E127" t="inlineStr">
        <is>
          <t>Festive Season Highlights: A Memorable Stay at Ayada Maldives — Ayada Maldives - Official Website</t>
        </is>
      </c>
      <c r="F127" t="n">
        <v>3165</v>
      </c>
      <c r="G127" t="inlineStr">
        <is>
          <t>2026-10-04</t>
        </is>
      </c>
      <c r="H127" t="inlineStr">
        <is>
          <t>official</t>
        </is>
      </c>
      <c r="I127" t="inlineStr">
        <is>
          <t>output/pages/004_ayada-maldives/diving__ayadamaldives.com__new-blog-2023-8-28-festive-season-highlights-a-memorable-sta.md</t>
        </is>
      </c>
    </row>
    <row r="128">
      <c r="A128" t="n">
        <v>3</v>
      </c>
      <c r="B128" t="inlineStr">
        <is>
          <t>Adaaran Select Hudhuranfushi</t>
        </is>
      </c>
      <c r="C128" t="inlineStr">
        <is>
          <t>https://www.adaaran.com/selecthudhuranfushi/offers/book-direct/</t>
        </is>
      </c>
      <c r="D128" t="inlineStr">
        <is>
          <t>diving</t>
        </is>
      </c>
      <c r="E128" t="inlineStr">
        <is>
          <t>Maldives Resort Deals | Adaaran Hudhuranfushi | Book Direct</t>
        </is>
      </c>
      <c r="F128" t="n">
        <v>3114</v>
      </c>
      <c r="G128" t="inlineStr">
        <is>
          <t>2026-10-04</t>
        </is>
      </c>
      <c r="H128" t="inlineStr">
        <is>
          <t>official</t>
        </is>
      </c>
      <c r="I128" t="inlineStr">
        <is>
          <t>output/pages/003_adaaran-select-hudhuranfushi/diving__adaaran.com__selecthudhuranfushi-offers-book-direct.md</t>
        </is>
      </c>
    </row>
    <row r="129">
      <c r="A129" t="n">
        <v>4</v>
      </c>
      <c r="B129" t="inlineStr">
        <is>
          <t>Ayada Maldives</t>
        </is>
      </c>
      <c r="C129" t="inlineStr">
        <is>
          <t>https://www.ayadamaldives.com/new-blog/2021/11/25/vegan-friendly-cuisine-at-ayada-maldives</t>
        </is>
      </c>
      <c r="D129" t="inlineStr">
        <is>
          <t>dining</t>
        </is>
      </c>
      <c r="E129" t="inlineStr">
        <is>
          <t>Vegan-Friendly Cuisine at Ayada Maldives — Ayada Maldives - Official Website</t>
        </is>
      </c>
      <c r="F129" t="n">
        <v>2423</v>
      </c>
      <c r="G129" t="inlineStr">
        <is>
          <t>2026-10-04</t>
        </is>
      </c>
      <c r="H129" t="inlineStr">
        <is>
          <t>official</t>
        </is>
      </c>
      <c r="I129" t="inlineStr">
        <is>
          <t>output/pages/004_ayada-maldives/dining__ayadamaldives.com__new-blog-2021-11-25-vegan-friendly-cuisine-at-ayada-maldives.md</t>
        </is>
      </c>
    </row>
    <row r="130">
      <c r="A130" t="n">
        <v>3</v>
      </c>
      <c r="B130" t="inlineStr">
        <is>
          <t>Adaaran Select Hudhuranfushi</t>
        </is>
      </c>
      <c r="C130" t="inlineStr">
        <is>
          <t>https://www.adaaran.com/selecthudhuranfushi/weddings/</t>
        </is>
      </c>
      <c r="D130" t="inlineStr">
        <is>
          <t>wedding</t>
        </is>
      </c>
      <c r="E130" t="inlineStr">
        <is>
          <t>Maldives Wedding Resorts | Renew your vows at Adaaran Select Hudhuranfushi</t>
        </is>
      </c>
      <c r="F130" t="n">
        <v>1809</v>
      </c>
      <c r="G130" t="inlineStr">
        <is>
          <t>2026-10-04</t>
        </is>
      </c>
      <c r="H130" t="inlineStr">
        <is>
          <t>official</t>
        </is>
      </c>
      <c r="I130" t="inlineStr">
        <is>
          <t>output/pages/003_adaaran-select-hudhuranfushi/wedding__adaaran.com__selecthudhuranfushi-weddings.md</t>
        </is>
      </c>
    </row>
    <row r="131">
      <c r="A131" t="n">
        <v>4</v>
      </c>
      <c r="B131" t="inlineStr">
        <is>
          <t>Ayada Maldives</t>
        </is>
      </c>
      <c r="C131" t="inlineStr">
        <is>
          <t>https://www.ayadamaldives.com/new-blog/2019/6/15/ysmq2ri1yo00l6yqc4zr2xuqhzrc4q</t>
        </is>
      </c>
      <c r="D131" t="inlineStr">
        <is>
          <t>dining</t>
        </is>
      </c>
      <c r="E131" t="inlineStr">
        <is>
          <t>Enjoy lunch at a whole new level at our Zero Degree poolside restaurant — Ayada Maldives - Official Website</t>
        </is>
      </c>
      <c r="F131" t="n">
        <v>1657</v>
      </c>
      <c r="G131" t="inlineStr">
        <is>
          <t>2026-10-04</t>
        </is>
      </c>
      <c r="H131" t="inlineStr">
        <is>
          <t>official</t>
        </is>
      </c>
      <c r="I131" t="inlineStr">
        <is>
          <t>output/pages/004_ayada-maldives/dining__ayadamaldives.com__new-blog-2019-6-15-ysmq2ri1yo00l6yqc4zr2xuqhzrc4q.md</t>
        </is>
      </c>
    </row>
    <row r="132">
      <c r="A132" t="n">
        <v>4</v>
      </c>
      <c r="B132" t="inlineStr">
        <is>
          <t>Ayada Maldives</t>
        </is>
      </c>
      <c r="C132" t="inlineStr">
        <is>
          <t>https://www.ayadamaldives.com/brandambassador</t>
        </is>
      </c>
      <c r="D132" t="inlineStr">
        <is>
          <t>diving</t>
        </is>
      </c>
      <c r="E132" t="inlineStr">
        <is>
          <t>Brand Ambassadors Scheme — Ayada Maldives - Official Website</t>
        </is>
      </c>
      <c r="F132" t="n">
        <v>2780</v>
      </c>
      <c r="G132" t="inlineStr">
        <is>
          <t>2026-10-04</t>
        </is>
      </c>
      <c r="H132" t="inlineStr">
        <is>
          <t>official</t>
        </is>
      </c>
      <c r="I132" t="inlineStr">
        <is>
          <t>output/pages/004_ayada-maldives/diving__ayadamaldives.com__brandambassador.md</t>
        </is>
      </c>
    </row>
    <row r="133">
      <c r="A133" t="n">
        <v>3</v>
      </c>
      <c r="B133" t="inlineStr">
        <is>
          <t>Adaaran Select Hudhuranfushi</t>
        </is>
      </c>
      <c r="C133" t="inlineStr">
        <is>
          <t>https://www.adaaran.com/selecthudhuranfushi/offers/book-direct-es/</t>
        </is>
      </c>
      <c r="D133" t="inlineStr">
        <is>
          <t>diving</t>
        </is>
      </c>
      <c r="E133" t="inlineStr">
        <is>
          <t>Maldives Resort Deals | Adaaran Hudhuranfushi | Book Direct</t>
        </is>
      </c>
      <c r="F133" t="n">
        <v>3470</v>
      </c>
      <c r="G133" t="inlineStr">
        <is>
          <t>2026-10-04</t>
        </is>
      </c>
      <c r="H133" t="inlineStr">
        <is>
          <t>official</t>
        </is>
      </c>
      <c r="I133" t="inlineStr">
        <is>
          <t>output/pages/003_adaaran-select-hudhuranfushi/diving__adaaran.com__selecthudhuranfushi-offers-book-direct-es.md</t>
        </is>
      </c>
    </row>
    <row r="134">
      <c r="A134" t="n">
        <v>3</v>
      </c>
      <c r="B134" t="inlineStr">
        <is>
          <t>Adaaran Select Hudhuranfushi</t>
        </is>
      </c>
      <c r="C134" t="inlineStr">
        <is>
          <t>https://www.adaaran.com/selecthudhuranfushi/location/</t>
        </is>
      </c>
      <c r="D134" t="inlineStr">
        <is>
          <t>diving</t>
        </is>
      </c>
      <c r="E134" t="inlineStr">
        <is>
          <t>Luxury Maldives Resort | Location | Adaaran Select Hudhuranfushi</t>
        </is>
      </c>
      <c r="F134" t="n">
        <v>1528</v>
      </c>
      <c r="G134" t="inlineStr">
        <is>
          <t>2026-10-04</t>
        </is>
      </c>
      <c r="H134" t="inlineStr">
        <is>
          <t>official</t>
        </is>
      </c>
      <c r="I134" t="inlineStr">
        <is>
          <t>output/pages/003_adaaran-select-hudhuranfushi/diving__adaaran.com__selecthudhuranfushi-location.md</t>
        </is>
      </c>
    </row>
    <row r="135">
      <c r="A135" t="n">
        <v>4</v>
      </c>
      <c r="B135" t="inlineStr">
        <is>
          <t>Ayada Maldives</t>
        </is>
      </c>
      <c r="C135" t="inlineStr">
        <is>
          <t>https://www.ayadamaldives.com/new-blog/2025/6/7/what-makes-ayada-maldives-one-of-the-most-loved-resorts-in-the-world</t>
        </is>
      </c>
      <c r="D135" t="inlineStr">
        <is>
          <t>diving</t>
        </is>
      </c>
      <c r="E135" t="inlineStr">
        <is>
          <t>What Makes Ayada Maldives One of the Most Loved Resorts in the World — Ayada Maldives - Official Website</t>
        </is>
      </c>
      <c r="F135" t="n">
        <v>2693</v>
      </c>
      <c r="G135" t="inlineStr">
        <is>
          <t>2026-10-04</t>
        </is>
      </c>
      <c r="H135" t="inlineStr">
        <is>
          <t>official</t>
        </is>
      </c>
      <c r="I135" t="inlineStr">
        <is>
          <t>output/pages/004_ayada-maldives/diving__ayadamaldives.com__new-blog-2025-6-7-what-makes-ayada-maldives-one-of-the-most-.md</t>
        </is>
      </c>
    </row>
    <row r="136">
      <c r="A136" t="n">
        <v>3</v>
      </c>
      <c r="B136" t="inlineStr">
        <is>
          <t>Adaaran Select Hudhuranfushi</t>
        </is>
      </c>
      <c r="C136" t="inlineStr">
        <is>
          <t>https://www.adaaran.com/selecthudhuranfushi/dining/hiyala-bar/</t>
        </is>
      </c>
      <c r="D136" t="inlineStr">
        <is>
          <t>dining</t>
        </is>
      </c>
      <c r="E136" t="inlineStr">
        <is>
          <t>Resort Bars Maldives | Hiyala Bar at Adaaran Select Hudhuranfushi</t>
        </is>
      </c>
      <c r="F136" t="n">
        <v>1279</v>
      </c>
      <c r="G136" t="inlineStr">
        <is>
          <t>2026-10-04</t>
        </is>
      </c>
      <c r="H136" t="inlineStr">
        <is>
          <t>official</t>
        </is>
      </c>
      <c r="I136" t="inlineStr">
        <is>
          <t>output/pages/003_adaaran-select-hudhuranfushi/dining__adaaran.com__selecthudhuranfushi-dining-hiyala-bar.md</t>
        </is>
      </c>
    </row>
    <row r="137">
      <c r="A137" t="n">
        <v>4</v>
      </c>
      <c r="B137" t="inlineStr">
        <is>
          <t>Ayada Maldives</t>
        </is>
      </c>
      <c r="C137" t="inlineStr">
        <is>
          <t>https://www.ayadamaldives.com/family-experiences</t>
        </is>
      </c>
      <c r="D137" t="inlineStr">
        <is>
          <t>diving</t>
        </is>
      </c>
      <c r="E137" t="inlineStr">
        <is>
          <t>Family Experiences — Ayada Maldives - Official Website</t>
        </is>
      </c>
      <c r="F137" t="n">
        <v>1570</v>
      </c>
      <c r="G137" t="inlineStr">
        <is>
          <t>2026-10-04</t>
        </is>
      </c>
      <c r="H137" t="inlineStr">
        <is>
          <t>official</t>
        </is>
      </c>
      <c r="I137" t="inlineStr">
        <is>
          <t>output/pages/004_ayada-maldives/diving__ayadamaldives.com__family-experiences.md</t>
        </is>
      </c>
    </row>
    <row r="138">
      <c r="A138" t="n">
        <v>3</v>
      </c>
      <c r="B138" t="inlineStr">
        <is>
          <t>Adaaran Select Hudhuranfushi</t>
        </is>
      </c>
      <c r="C138" t="inlineStr">
        <is>
          <t>https://www.adaaran.com/selecthudhuranfushi/offers/family-getaway/</t>
        </is>
      </c>
      <c r="D138" t="inlineStr">
        <is>
          <t>diving</t>
        </is>
      </c>
      <c r="E138" t="inlineStr">
        <is>
          <t>Maldives Family Vacation | Adaaran Hudhuranfushi | Family Gateway</t>
        </is>
      </c>
      <c r="F138" t="n">
        <v>3307</v>
      </c>
      <c r="G138" t="inlineStr">
        <is>
          <t>2026-10-04</t>
        </is>
      </c>
      <c r="H138" t="inlineStr">
        <is>
          <t>official</t>
        </is>
      </c>
      <c r="I138" t="inlineStr">
        <is>
          <t>output/pages/003_adaaran-select-hudhuranfushi/diving__adaaran.com__selecthudhuranfushi-offers-family-getaway.md</t>
        </is>
      </c>
    </row>
    <row r="139">
      <c r="A139" t="n">
        <v>4</v>
      </c>
      <c r="B139" t="inlineStr">
        <is>
          <t>Ayada Maldives</t>
        </is>
      </c>
      <c r="C139" t="inlineStr">
        <is>
          <t>https://www.ayadamaldives.com/new-blog/2025/6/7/planning-a-perfect-summer-holiday-heres-why-ayada-maldives-should-be-on-your-list</t>
        </is>
      </c>
      <c r="D139" t="inlineStr">
        <is>
          <t>diving</t>
        </is>
      </c>
      <c r="E139" t="inlineStr">
        <is>
          <t>Planning a Perfect Summer Holiday? Here’s Why Ayada Maldives Should Be on Your List — Ayada Maldives - Official Website</t>
        </is>
      </c>
      <c r="F139" t="n">
        <v>2744</v>
      </c>
      <c r="G139" t="inlineStr">
        <is>
          <t>2026-10-04</t>
        </is>
      </c>
      <c r="H139" t="inlineStr">
        <is>
          <t>official</t>
        </is>
      </c>
      <c r="I139" t="inlineStr">
        <is>
          <t>output/pages/004_ayada-maldives/diving__ayadamaldives.com__new-blog-2025-6-7-planning-a-perfect-summer-holiday-heres-wh.md</t>
        </is>
      </c>
    </row>
    <row r="140">
      <c r="A140" t="n">
        <v>3</v>
      </c>
      <c r="B140" t="inlineStr">
        <is>
          <t>Adaaran Select Hudhuranfushi</t>
        </is>
      </c>
      <c r="C140" t="inlineStr">
        <is>
          <t>https://www.adaaran.com/selecthudhuranfushi/sitemap/</t>
        </is>
      </c>
      <c r="D140" t="inlineStr">
        <is>
          <t>other</t>
        </is>
      </c>
      <c r="E140" t="inlineStr">
        <is>
          <t>Sitemap | Adaaran Select Hudhuranfushi</t>
        </is>
      </c>
      <c r="F140" t="n">
        <v>1344</v>
      </c>
      <c r="G140" t="inlineStr">
        <is>
          <t>2026-10-04</t>
        </is>
      </c>
      <c r="H140" t="inlineStr">
        <is>
          <t>official</t>
        </is>
      </c>
      <c r="I140" t="inlineStr">
        <is>
          <t>output/pages/003_adaaran-select-hudhuranfushi/other__adaaran.com__selecthudhuranfushi-sitemap.md</t>
        </is>
      </c>
    </row>
    <row r="141">
      <c r="A141" t="n">
        <v>4</v>
      </c>
      <c r="B141" t="inlineStr">
        <is>
          <t>Ayada Maldives</t>
        </is>
      </c>
      <c r="C141" t="inlineStr">
        <is>
          <t>https://www.ayadamaldives.com/new-blog/2019/6/6/is-it-possible-to-stand-out-from-the-crowd</t>
        </is>
      </c>
      <c r="D141" t="inlineStr">
        <is>
          <t>diving</t>
        </is>
      </c>
      <c r="E141" t="inlineStr">
        <is>
          <t>Is it possible to stand out from the crowd? Ayada does... — Ayada Maldives - Official Website</t>
        </is>
      </c>
      <c r="F141" t="n">
        <v>3200</v>
      </c>
      <c r="G141" t="inlineStr">
        <is>
          <t>2026-10-04</t>
        </is>
      </c>
      <c r="H141" t="inlineStr">
        <is>
          <t>official</t>
        </is>
      </c>
      <c r="I141" t="inlineStr">
        <is>
          <t>output/pages/004_ayada-maldives/diving__ayadamaldives.com__new-blog-2019-6-6-is-it-possible-to-stand-out-from-the-crowd.md</t>
        </is>
      </c>
    </row>
    <row r="142">
      <c r="A142" t="n">
        <v>3</v>
      </c>
      <c r="B142" t="inlineStr">
        <is>
          <t>Adaaran Select Hudhuranfushi</t>
        </is>
      </c>
      <c r="C142" t="inlineStr">
        <is>
          <t>https://www.adaaran.com/selecthudhuranfushi/offers/early-bird/</t>
        </is>
      </c>
      <c r="D142" t="inlineStr">
        <is>
          <t>diving</t>
        </is>
      </c>
      <c r="E142" t="inlineStr">
        <is>
          <t>Maldives Hotel Packages | Early Bird Offer at Adaaran Hudhuranfushi</t>
        </is>
      </c>
      <c r="F142" t="n">
        <v>2921</v>
      </c>
      <c r="G142" t="inlineStr">
        <is>
          <t>2026-10-04</t>
        </is>
      </c>
      <c r="H142" t="inlineStr">
        <is>
          <t>official</t>
        </is>
      </c>
      <c r="I142" t="inlineStr">
        <is>
          <t>output/pages/003_adaaran-select-hudhuranfushi/diving__adaaran.com__selecthudhuranfushi-offers-early-bird.md</t>
        </is>
      </c>
    </row>
    <row r="143">
      <c r="A143" t="n">
        <v>4</v>
      </c>
      <c r="B143" t="inlineStr">
        <is>
          <t>Ayada Maldives</t>
        </is>
      </c>
      <c r="C143" t="inlineStr">
        <is>
          <t>https://www.ayadamaldives.com/ocean-villa</t>
        </is>
      </c>
      <c r="D143" t="inlineStr">
        <is>
          <t>diving</t>
        </is>
      </c>
      <c r="E143" t="inlineStr">
        <is>
          <t>Ocean Villa with Pool — Ayada Maldives - Official Website</t>
        </is>
      </c>
      <c r="F143" t="n">
        <v>624</v>
      </c>
      <c r="G143" t="inlineStr">
        <is>
          <t>2026-10-04</t>
        </is>
      </c>
      <c r="H143" t="inlineStr">
        <is>
          <t>official</t>
        </is>
      </c>
      <c r="I143" t="inlineStr">
        <is>
          <t>output/pages/004_ayada-maldives/diving__ayadamaldives.com__ocean-villa.md</t>
        </is>
      </c>
    </row>
    <row r="144">
      <c r="A144" t="n">
        <v>3</v>
      </c>
      <c r="B144" t="inlineStr">
        <is>
          <t>Adaaran Select Hudhuranfushi</t>
        </is>
      </c>
      <c r="C144" t="inlineStr">
        <is>
          <t>https://www.adaaran.com/selecthudhuranfushi/dining/sunset-restaurant/</t>
        </is>
      </c>
      <c r="D144" t="inlineStr">
        <is>
          <t>dining</t>
        </is>
      </c>
      <c r="E144" t="inlineStr">
        <is>
          <t>Sunset Restaurant Maldives | Adaaran Select Hudhuranfushi</t>
        </is>
      </c>
      <c r="F144" t="n">
        <v>1386</v>
      </c>
      <c r="G144" t="inlineStr">
        <is>
          <t>2026-10-04</t>
        </is>
      </c>
      <c r="H144" t="inlineStr">
        <is>
          <t>official</t>
        </is>
      </c>
      <c r="I144" t="inlineStr">
        <is>
          <t>output/pages/003_adaaran-select-hudhuranfushi/dining__adaaran.com__selecthudhuranfushi-dining-sunset-restaurant.md</t>
        </is>
      </c>
    </row>
    <row r="145">
      <c r="A145" t="n">
        <v>4</v>
      </c>
      <c r="B145" t="inlineStr">
        <is>
          <t>Ayada Maldives</t>
        </is>
      </c>
      <c r="C145" t="inlineStr">
        <is>
          <t>https://www.ayadamaldives.com/new-blog/2025/5/24/halal-food-excellence-dining-at-ayada-maldives</t>
        </is>
      </c>
      <c r="D145" t="inlineStr">
        <is>
          <t>dining</t>
        </is>
      </c>
      <c r="E145" t="inlineStr">
        <is>
          <t>Halal Food Excellence: Dining at Ayada Maldives — Ayada Maldives - Official Website</t>
        </is>
      </c>
      <c r="F145" t="n">
        <v>2487</v>
      </c>
      <c r="G145" t="inlineStr">
        <is>
          <t>2026-10-04</t>
        </is>
      </c>
      <c r="H145" t="inlineStr">
        <is>
          <t>official</t>
        </is>
      </c>
      <c r="I145" t="inlineStr">
        <is>
          <t>output/pages/004_ayada-maldives/dining__ayadamaldives.com__new-blog-2025-5-24-halal-food-excellence-dining-at-ayada-mal.md</t>
        </is>
      </c>
    </row>
    <row r="146">
      <c r="A146" t="n">
        <v>3</v>
      </c>
      <c r="B146" t="inlineStr">
        <is>
          <t>Adaaran Select Hudhuranfushi</t>
        </is>
      </c>
      <c r="C146" t="inlineStr">
        <is>
          <t>https://www.adaaran.com/selecthudhuranfushi/dining/banyan-restaurant/</t>
        </is>
      </c>
      <c r="D146" t="inlineStr">
        <is>
          <t>dining</t>
        </is>
      </c>
      <c r="E146" t="inlineStr">
        <is>
          <t>Best Restaurant in Maldives | Adaaran Select Hudhuranfushi</t>
        </is>
      </c>
      <c r="F146" t="n">
        <v>1201</v>
      </c>
      <c r="G146" t="inlineStr">
        <is>
          <t>2026-10-04</t>
        </is>
      </c>
      <c r="H146" t="inlineStr">
        <is>
          <t>official</t>
        </is>
      </c>
      <c r="I146" t="inlineStr">
        <is>
          <t>output/pages/003_adaaran-select-hudhuranfushi/dining__adaaran.com__selecthudhuranfushi-dining-banyan-restaurant.md</t>
        </is>
      </c>
    </row>
    <row r="147">
      <c r="A147" t="n">
        <v>4</v>
      </c>
      <c r="B147" t="inlineStr">
        <is>
          <t>Ayada Maldives</t>
        </is>
      </c>
      <c r="C147" t="inlineStr">
        <is>
          <t>https://www.ayadamaldives.com/new-blog/2025/6/25/ayada-maldives-a-top-resort-for-privacy-and-seclusion-without-compromise</t>
        </is>
      </c>
      <c r="D147" t="inlineStr">
        <is>
          <t>diving</t>
        </is>
      </c>
      <c r="E147" t="inlineStr">
        <is>
          <t>Ayada Maldives: A Top Resort for Privacy and Seclusion Without Compromise — Ayada Maldives - Official Website</t>
        </is>
      </c>
      <c r="F147" t="n">
        <v>2554</v>
      </c>
      <c r="G147" t="inlineStr">
        <is>
          <t>2026-10-04</t>
        </is>
      </c>
      <c r="H147" t="inlineStr">
        <is>
          <t>official</t>
        </is>
      </c>
      <c r="I147" t="inlineStr">
        <is>
          <t>output/pages/004_ayada-maldives/diving__ayadamaldives.com__new-blog-2025-6-25-ayada-maldives-a-top-resort-for-privacy-a.md</t>
        </is>
      </c>
    </row>
    <row r="148">
      <c r="A148" t="n">
        <v>2</v>
      </c>
      <c r="B148" t="inlineStr">
        <is>
          <t>Filitheyo Island Resort</t>
        </is>
      </c>
      <c r="C148" t="inlineStr">
        <is>
          <t>https://forsale.godaddy.com/forsale/www.filitheyo.com?utm_source=TDFS_BINNS2&amp;utm_medium=parkedpages&amp;utm_campaign=x_corp_tdfs-binns2_base&amp;traffic_type=TDFS_BINNS2&amp;traffic_id=binns2&amp;</t>
        </is>
      </c>
      <c r="D148" t="inlineStr">
        <is>
          <t>other</t>
        </is>
      </c>
      <c r="E148" t="inlineStr">
        <is>
          <t>Access Denied</t>
        </is>
      </c>
      <c r="F148" t="n">
        <v>223</v>
      </c>
      <c r="G148" t="inlineStr">
        <is>
          <t>2026-10-04</t>
        </is>
      </c>
      <c r="H148" t="inlineStr">
        <is>
          <t>official</t>
        </is>
      </c>
      <c r="I148" t="inlineStr">
        <is>
          <t>output/pages/002_filitheyo-island-resort/other__forsale.godaddy.com__forsale-www-filitheyo-com.md</t>
        </is>
      </c>
    </row>
    <row r="149">
      <c r="A149" t="n">
        <v>3</v>
      </c>
      <c r="B149" t="inlineStr">
        <is>
          <t>Adaaran Select Hudhuranfushi</t>
        </is>
      </c>
      <c r="C149" t="inlineStr">
        <is>
          <t>https://www.adaaran.com/selecthudhuranfushi/villas/deluxe-beach-villa/</t>
        </is>
      </c>
      <c r="D149" t="inlineStr">
        <is>
          <t>diving</t>
        </is>
      </c>
      <c r="E149" t="inlineStr">
        <is>
          <t>Maldives Luxury Villas | Deluxe Beach Villa at Adaaran Select Hudhuranfushi</t>
        </is>
      </c>
      <c r="F149" t="n">
        <v>2622</v>
      </c>
      <c r="G149" t="inlineStr">
        <is>
          <t>2026-10-04</t>
        </is>
      </c>
      <c r="H149" t="inlineStr">
        <is>
          <t>official</t>
        </is>
      </c>
      <c r="I149" t="inlineStr">
        <is>
          <t>output/pages/003_adaaran-select-hudhuranfushi/diving__adaaran.com__selecthudhuranfushi-villas-deluxe-beach-villa.md</t>
        </is>
      </c>
    </row>
    <row r="150">
      <c r="A150" t="n">
        <v>4</v>
      </c>
      <c r="B150" t="inlineStr">
        <is>
          <t>Ayada Maldives</t>
        </is>
      </c>
      <c r="C150" t="inlineStr">
        <is>
          <t>https://www.ayadamaldives.com/offer-summer-escape</t>
        </is>
      </c>
      <c r="D150" t="inlineStr">
        <is>
          <t>diving</t>
        </is>
      </c>
      <c r="E150" t="inlineStr">
        <is>
          <t>Offer: Summer Escape — Ayada Maldives - Official Website</t>
        </is>
      </c>
      <c r="F150" t="n">
        <v>2007</v>
      </c>
      <c r="G150" t="inlineStr">
        <is>
          <t>2026-10-04</t>
        </is>
      </c>
      <c r="H150" t="inlineStr">
        <is>
          <t>official</t>
        </is>
      </c>
      <c r="I150" t="inlineStr">
        <is>
          <t>output/pages/004_ayada-maldives/diving__ayadamaldives.com__offer-summer-escape.md</t>
        </is>
      </c>
    </row>
    <row r="151">
      <c r="A151" t="n">
        <v>3</v>
      </c>
      <c r="B151" t="inlineStr">
        <is>
          <t>Adaaran Select Hudhuranfushi</t>
        </is>
      </c>
      <c r="C151" t="inlineStr">
        <is>
          <t>https://www.adaaran.com/selecthudhuranfushi/view-download/?id=menu-12</t>
        </is>
      </c>
      <c r="D151" t="inlineStr">
        <is>
          <t>diving</t>
        </is>
      </c>
      <c r="E151" t="inlineStr">
        <is>
          <t>Maldives Resorts | Adaaran All Inclusive Resorts Official Site</t>
        </is>
      </c>
      <c r="F151" t="n">
        <v>8683</v>
      </c>
      <c r="G151" t="inlineStr">
        <is>
          <t>2026-10-04</t>
        </is>
      </c>
      <c r="H151" t="inlineStr">
        <is>
          <t>official</t>
        </is>
      </c>
      <c r="I151" t="inlineStr">
        <is>
          <t>output/pages/003_adaaran-select-hudhuranfushi/diving__adaaran.com__selecthudhuranfushi-view-download.md</t>
        </is>
      </c>
    </row>
    <row r="152">
      <c r="A152" t="n">
        <v>4</v>
      </c>
      <c r="B152" t="inlineStr">
        <is>
          <t>Ayada Maldives</t>
        </is>
      </c>
      <c r="C152" t="inlineStr">
        <is>
          <t>https://www.ayadamaldives.com/new-blog/2022/3/17/the-perfect-maldives-resort-for-complete-relaxation</t>
        </is>
      </c>
      <c r="D152" t="inlineStr">
        <is>
          <t>diving</t>
        </is>
      </c>
      <c r="E152" t="inlineStr">
        <is>
          <t>The perfect Maldives resort for complete relaxation — Ayada Maldives - Official Website</t>
        </is>
      </c>
      <c r="F152" t="n">
        <v>4157</v>
      </c>
      <c r="G152" t="inlineStr">
        <is>
          <t>2026-10-04</t>
        </is>
      </c>
      <c r="H152" t="inlineStr">
        <is>
          <t>official</t>
        </is>
      </c>
      <c r="I152" t="inlineStr">
        <is>
          <t>output/pages/004_ayada-maldives/diving__ayadamaldives.com__new-blog-2022-3-17-the-perfect-maldives-resort-for-complete-.md</t>
        </is>
      </c>
    </row>
    <row r="153">
      <c r="A153" t="n">
        <v>4</v>
      </c>
      <c r="B153" t="inlineStr">
        <is>
          <t>Ayada Maldives</t>
        </is>
      </c>
      <c r="C153" t="inlineStr">
        <is>
          <t>https://www.ayadamaldives.com/menus</t>
        </is>
      </c>
      <c r="D153" t="inlineStr">
        <is>
          <t>dining</t>
        </is>
      </c>
      <c r="E153" t="inlineStr">
        <is>
          <t>Russian Menus — Ayada Maldives - Official Website</t>
        </is>
      </c>
      <c r="F153" t="n">
        <v>214</v>
      </c>
      <c r="G153" t="inlineStr">
        <is>
          <t>2026-10-04</t>
        </is>
      </c>
      <c r="H153" t="inlineStr">
        <is>
          <t>official</t>
        </is>
      </c>
      <c r="I153" t="inlineStr">
        <is>
          <t>output/pages/004_ayada-maldives/dining__ayadamaldives.com__menus.md</t>
        </is>
      </c>
    </row>
    <row r="154">
      <c r="A154" t="n">
        <v>3</v>
      </c>
      <c r="B154" t="inlineStr">
        <is>
          <t>Adaaran Select Hudhuranfushi</t>
        </is>
      </c>
      <c r="C154" t="inlineStr">
        <is>
          <t>https://www.adaaran.com/selecthudhuranfushi/experiences/watersports/</t>
        </is>
      </c>
      <c r="D154" t="inlineStr">
        <is>
          <t>diving</t>
        </is>
      </c>
      <c r="E154" t="inlineStr">
        <is>
          <t>Maldives Water Sports Holidays | Adaaran Select Hudhuranfushi</t>
        </is>
      </c>
      <c r="F154" t="n">
        <v>3053</v>
      </c>
      <c r="G154" t="inlineStr">
        <is>
          <t>2026-10-04</t>
        </is>
      </c>
      <c r="H154" t="inlineStr">
        <is>
          <t>official</t>
        </is>
      </c>
      <c r="I154" t="inlineStr">
        <is>
          <t>output/pages/003_adaaran-select-hudhuranfushi/diving__adaaran.com__selecthudhuranfushi-experiences-watersports.md</t>
        </is>
      </c>
    </row>
    <row r="155">
      <c r="A155" t="n">
        <v>3</v>
      </c>
      <c r="B155" t="inlineStr">
        <is>
          <t>Adaaran Select Hudhuranfushi</t>
        </is>
      </c>
      <c r="C155" t="inlineStr">
        <is>
          <t>https://www.adaaran.com/selecthudhuranfushi/premium-all-inclusive-offering/</t>
        </is>
      </c>
      <c r="D155" t="inlineStr">
        <is>
          <t>diving</t>
        </is>
      </c>
      <c r="E155" t="inlineStr">
        <is>
          <t>Maldives All Inclusive | Offers at Adaaran Select Hudhuranfushi</t>
        </is>
      </c>
      <c r="F155" t="n">
        <v>5534</v>
      </c>
      <c r="G155" t="inlineStr">
        <is>
          <t>2026-10-04</t>
        </is>
      </c>
      <c r="H155" t="inlineStr">
        <is>
          <t>official</t>
        </is>
      </c>
      <c r="I155" t="inlineStr">
        <is>
          <t>output/pages/003_adaaran-select-hudhuranfushi/diving__adaaran.com__selecthudhuranfushi-premium-all-inclusive-offering.md</t>
        </is>
      </c>
    </row>
    <row r="156">
      <c r="A156" t="n">
        <v>4</v>
      </c>
      <c r="B156" t="inlineStr">
        <is>
          <t>Ayada Maldives</t>
        </is>
      </c>
      <c r="C156" t="inlineStr">
        <is>
          <t>https://www.ayadamaldives.com/ocean-breeze</t>
        </is>
      </c>
      <c r="D156" t="inlineStr">
        <is>
          <t>diving</t>
        </is>
      </c>
      <c r="E156" t="inlineStr">
        <is>
          <t>Ocean Breeze — Ayada Maldives - Official Website</t>
        </is>
      </c>
      <c r="F156" t="n">
        <v>553</v>
      </c>
      <c r="G156" t="inlineStr">
        <is>
          <t>2026-10-04</t>
        </is>
      </c>
      <c r="H156" t="inlineStr">
        <is>
          <t>official</t>
        </is>
      </c>
      <c r="I156" t="inlineStr">
        <is>
          <t>output/pages/004_ayada-maldives/diving__ayadamaldives.com__ocean-breeze.md</t>
        </is>
      </c>
    </row>
    <row r="157">
      <c r="A157" t="n">
        <v>3</v>
      </c>
      <c r="B157" t="inlineStr">
        <is>
          <t>Adaaran Select Hudhuranfushi</t>
        </is>
      </c>
      <c r="C157" t="inlineStr">
        <is>
          <t>https://www.adaaran.com/selecthudhuranfushi/gallery/</t>
        </is>
      </c>
      <c r="D157" t="inlineStr">
        <is>
          <t>diving</t>
        </is>
      </c>
      <c r="E157" t="inlineStr">
        <is>
          <t>Most Beautiful Maldives Resort | Gallery | Adaaran Hudhuranfushi</t>
        </is>
      </c>
      <c r="F157" t="n">
        <v>521</v>
      </c>
      <c r="G157" t="inlineStr">
        <is>
          <t>2026-10-04</t>
        </is>
      </c>
      <c r="H157" t="inlineStr">
        <is>
          <t>official</t>
        </is>
      </c>
      <c r="I157" t="inlineStr">
        <is>
          <t>output/pages/003_adaaran-select-hudhuranfushi/diving__adaaran.com__selecthudhuranfushi-gallery.md</t>
        </is>
      </c>
    </row>
    <row r="158">
      <c r="A158" t="n">
        <v>4</v>
      </c>
      <c r="B158" t="inlineStr">
        <is>
          <t>Ayada Maldives</t>
        </is>
      </c>
      <c r="C158" t="inlineStr">
        <is>
          <t>https://www.ayadamaldives.com/middle-east-en</t>
        </is>
      </c>
      <c r="D158" t="inlineStr">
        <is>
          <t>diving</t>
        </is>
      </c>
      <c r="E158" t="inlineStr">
        <is>
          <t>Middle East EN — Ayada Maldives - Official Website</t>
        </is>
      </c>
      <c r="F158" t="n">
        <v>1614</v>
      </c>
      <c r="G158" t="inlineStr">
        <is>
          <t>2026-10-04</t>
        </is>
      </c>
      <c r="H158" t="inlineStr">
        <is>
          <t>official</t>
        </is>
      </c>
      <c r="I158" t="inlineStr">
        <is>
          <t>output/pages/004_ayada-maldives/diving__ayadamaldives.com__middle-east-en.md</t>
        </is>
      </c>
    </row>
    <row r="159">
      <c r="A159" t="n">
        <v>3</v>
      </c>
      <c r="B159" t="inlineStr">
        <is>
          <t>Adaaran Select Hudhuranfushi</t>
        </is>
      </c>
      <c r="C159" t="inlineStr">
        <is>
          <t>https://www.adaaran.com/selecthudhuranfushi/villas/family-beach-villas/</t>
        </is>
      </c>
      <c r="D159" t="inlineStr">
        <is>
          <t>diving</t>
        </is>
      </c>
      <c r="E159" t="inlineStr">
        <is>
          <t>Maldives Family Beach Villas | Family Beach Villas at Adaaran Select Hudhuranfushi</t>
        </is>
      </c>
      <c r="F159" t="n">
        <v>2527</v>
      </c>
      <c r="G159" t="inlineStr">
        <is>
          <t>2026-10-04</t>
        </is>
      </c>
      <c r="H159" t="inlineStr">
        <is>
          <t>official</t>
        </is>
      </c>
      <c r="I159" t="inlineStr">
        <is>
          <t>output/pages/003_adaaran-select-hudhuranfushi/diving__adaaran.com__selecthudhuranfushi-villas-family-beach-villas.md</t>
        </is>
      </c>
    </row>
    <row r="160">
      <c r="A160" t="n">
        <v>4</v>
      </c>
      <c r="B160" t="inlineStr">
        <is>
          <t>Ayada Maldives</t>
        </is>
      </c>
      <c r="C160" t="inlineStr">
        <is>
          <t>https://www.ayadamaldives.com/new-blog/2025/6/25/why-ayada-maldives-is-one-of-the-best-resorts-for-group-getaways</t>
        </is>
      </c>
      <c r="D160" t="inlineStr">
        <is>
          <t>events</t>
        </is>
      </c>
      <c r="E160" t="inlineStr">
        <is>
          <t>Why Ayada Maldives Is One of the Best Resorts for Group Getaways — Ayada Maldives - Official Website</t>
        </is>
      </c>
      <c r="F160" t="n">
        <v>2616</v>
      </c>
      <c r="G160" t="inlineStr">
        <is>
          <t>2026-10-04</t>
        </is>
      </c>
      <c r="H160" t="inlineStr">
        <is>
          <t>official</t>
        </is>
      </c>
      <c r="I160" t="inlineStr">
        <is>
          <t>output/pages/004_ayada-maldives/events__ayadamaldives.com__new-blog-2025-6-25-why-ayada-maldives-is-one-of-the-best-res.md</t>
        </is>
      </c>
    </row>
    <row r="161">
      <c r="A161" t="n">
        <v>3</v>
      </c>
      <c r="B161" t="inlineStr">
        <is>
          <t>Adaaran Select Hudhuranfushi</t>
        </is>
      </c>
      <c r="C161" t="inlineStr">
        <is>
          <t>https://www.adaaran.com/selecthudhuranfushi/experiences/diving/housereef-hudhuranfushi/</t>
        </is>
      </c>
      <c r="D161" t="inlineStr">
        <is>
          <t>diving</t>
        </is>
      </c>
      <c r="E161" t="inlineStr">
        <is>
          <t>Maldives Diving Resorts | Housereef at Adaaran Select Hudhuranfushi</t>
        </is>
      </c>
      <c r="F161" t="n">
        <v>5202</v>
      </c>
      <c r="G161" t="inlineStr">
        <is>
          <t>2026-10-04</t>
        </is>
      </c>
      <c r="H161" t="inlineStr">
        <is>
          <t>official</t>
        </is>
      </c>
      <c r="I161" t="inlineStr">
        <is>
          <t>output/pages/003_adaaran-select-hudhuranfushi/diving__adaaran.com__selecthudhuranfushi-experiences-diving-housereef-hudhuranfus.md</t>
        </is>
      </c>
    </row>
    <row r="162">
      <c r="A162" t="n">
        <v>3</v>
      </c>
      <c r="B162" t="inlineStr">
        <is>
          <t>Adaaran Select Hudhuranfushi</t>
        </is>
      </c>
      <c r="C162" t="inlineStr">
        <is>
          <t>https://www.adaaran.com/selecthudhuranfushi/dining/tiki-bar/</t>
        </is>
      </c>
      <c r="D162" t="inlineStr">
        <is>
          <t>dining</t>
        </is>
      </c>
      <c r="E162" t="inlineStr">
        <is>
          <t>Bars in Maldives | Tiki Bar at Adaaran Select Hudhuranfushi</t>
        </is>
      </c>
      <c r="F162" t="n">
        <v>1082</v>
      </c>
      <c r="G162" t="inlineStr">
        <is>
          <t>2026-10-04</t>
        </is>
      </c>
      <c r="H162" t="inlineStr">
        <is>
          <t>official</t>
        </is>
      </c>
      <c r="I162" t="inlineStr">
        <is>
          <t>output/pages/003_adaaran-select-hudhuranfushi/dining__adaaran.com__selecthudhuranfushi-dining-tiki-bar.md</t>
        </is>
      </c>
    </row>
    <row r="163">
      <c r="A163" t="n">
        <v>4</v>
      </c>
      <c r="B163" t="inlineStr">
        <is>
          <t>Ayada Maldives</t>
        </is>
      </c>
      <c r="C163" t="inlineStr">
        <is>
          <t>https://www.ayadamaldives.com/new-blog/2025/5/24/ayspa-the-multi-award-winning-of-spa-at-ayada-maldives</t>
        </is>
      </c>
      <c r="D163" t="inlineStr">
        <is>
          <t>spa</t>
        </is>
      </c>
      <c r="E163" t="inlineStr">
        <is>
          <t>AySpa: The Multi-Award Winning of Spa at Ayada Maldives — Ayada Maldives - Official Website</t>
        </is>
      </c>
      <c r="F163" t="n">
        <v>2621</v>
      </c>
      <c r="G163" t="inlineStr">
        <is>
          <t>2026-10-04</t>
        </is>
      </c>
      <c r="H163" t="inlineStr">
        <is>
          <t>official</t>
        </is>
      </c>
      <c r="I163" t="inlineStr">
        <is>
          <t>output/pages/004_ayada-maldives/spa__ayadamaldives.com__new-blog-2025-5-24-ayspa-the-multi-award-winning-of-spa-at-a.md</t>
        </is>
      </c>
    </row>
    <row r="164">
      <c r="A164" t="n">
        <v>3</v>
      </c>
      <c r="B164" t="inlineStr">
        <is>
          <t>Adaaran Select Hudhuranfushi</t>
        </is>
      </c>
      <c r="C164" t="inlineStr">
        <is>
          <t>https://www.adaaran.com/selecthudhuranfushi/experiences/surf/</t>
        </is>
      </c>
      <c r="D164" t="inlineStr">
        <is>
          <t>diving</t>
        </is>
      </c>
      <c r="E164" t="inlineStr">
        <is>
          <t>Surfing in Maldives for Beginners | Adaaran Select Hudhuranfushi</t>
        </is>
      </c>
      <c r="F164" t="n">
        <v>2301</v>
      </c>
      <c r="G164" t="inlineStr">
        <is>
          <t>2026-10-04</t>
        </is>
      </c>
      <c r="H164" t="inlineStr">
        <is>
          <t>official</t>
        </is>
      </c>
      <c r="I164" t="inlineStr">
        <is>
          <t>output/pages/003_adaaran-select-hudhuranfushi/diving__adaaran.com__selecthudhuranfushi-experiences-surf.md</t>
        </is>
      </c>
    </row>
    <row r="165">
      <c r="A165" t="n">
        <v>4</v>
      </c>
      <c r="B165" t="inlineStr">
        <is>
          <t>Ayada Maldives</t>
        </is>
      </c>
      <c r="C165" t="inlineStr">
        <is>
          <t>https://www.ayadamaldives.com/new-blog/2019/6/5/identifying-sea-turtles</t>
        </is>
      </c>
      <c r="D165" t="inlineStr">
        <is>
          <t>diving</t>
        </is>
      </c>
      <c r="E165" t="inlineStr">
        <is>
          <t>Would you like to name a sea turtle? — Ayada Maldives - Official Website</t>
        </is>
      </c>
      <c r="F165" t="n">
        <v>2366</v>
      </c>
      <c r="G165" t="inlineStr">
        <is>
          <t>2026-10-04</t>
        </is>
      </c>
      <c r="H165" t="inlineStr">
        <is>
          <t>official</t>
        </is>
      </c>
      <c r="I165" t="inlineStr">
        <is>
          <t>output/pages/004_ayada-maldives/diving__ayadamaldives.com__new-blog-2019-6-5-identifying-sea-turtles.md</t>
        </is>
      </c>
    </row>
    <row r="166">
      <c r="A166" t="n">
        <v>3</v>
      </c>
      <c r="B166" t="inlineStr">
        <is>
          <t>Adaaran Select Hudhuranfushi</t>
        </is>
      </c>
      <c r="C166" t="inlineStr">
        <is>
          <t>https://www.adaaran.com/selecthudhuranfushi/dining/lohis-bar/</t>
        </is>
      </c>
      <c r="D166" t="inlineStr">
        <is>
          <t>dining</t>
        </is>
      </c>
      <c r="E166" t="inlineStr">
        <is>
          <t>Maldives Bar | Lohis Wave at Adaaran Select Hudhuranfushi</t>
        </is>
      </c>
      <c r="F166" t="n">
        <v>1315</v>
      </c>
      <c r="G166" t="inlineStr">
        <is>
          <t>2026-10-04</t>
        </is>
      </c>
      <c r="H166" t="inlineStr">
        <is>
          <t>official</t>
        </is>
      </c>
      <c r="I166" t="inlineStr">
        <is>
          <t>output/pages/003_adaaran-select-hudhuranfushi/dining__adaaran.com__selecthudhuranfushi-dining-lohis-bar.md</t>
        </is>
      </c>
    </row>
    <row r="167">
      <c r="A167" t="n">
        <v>4</v>
      </c>
      <c r="B167" t="inlineStr">
        <is>
          <t>Ayada Maldives</t>
        </is>
      </c>
      <c r="C167" t="inlineStr">
        <is>
          <t>https://www.ayadamaldives.com/contact</t>
        </is>
      </c>
      <c r="D167" t="inlineStr">
        <is>
          <t>diving</t>
        </is>
      </c>
      <c r="E167" t="inlineStr">
        <is>
          <t>Contact — Ayada Maldives - Official Website</t>
        </is>
      </c>
      <c r="F167" t="n">
        <v>488</v>
      </c>
      <c r="G167" t="inlineStr">
        <is>
          <t>2026-10-04</t>
        </is>
      </c>
      <c r="H167" t="inlineStr">
        <is>
          <t>official</t>
        </is>
      </c>
      <c r="I167" t="inlineStr">
        <is>
          <t>output/pages/004_ayada-maldives/diving__ayadamaldives.com__contact.md</t>
        </is>
      </c>
    </row>
    <row r="168">
      <c r="A168" t="n">
        <v>3</v>
      </c>
      <c r="B168" t="inlineStr">
        <is>
          <t>Adaaran Select Hudhuranfushi</t>
        </is>
      </c>
      <c r="C168" t="inlineStr">
        <is>
          <t>https://www.adaaran.com/selecthudhuranfushi/facilities/lohis-yoga/</t>
        </is>
      </c>
      <c r="D168" t="inlineStr">
        <is>
          <t>spa</t>
        </is>
      </c>
      <c r="E168" t="inlineStr">
        <is>
          <t>Maldives Yoga Resort | Yoga at Adaaran Select Hudhuranfushi</t>
        </is>
      </c>
      <c r="F168" t="n">
        <v>2480</v>
      </c>
      <c r="G168" t="inlineStr">
        <is>
          <t>2026-10-04</t>
        </is>
      </c>
      <c r="H168" t="inlineStr">
        <is>
          <t>official</t>
        </is>
      </c>
      <c r="I168" t="inlineStr">
        <is>
          <t>output/pages/003_adaaran-select-hudhuranfushi/spa__adaaran.com__selecthudhuranfushi-facilities-lohis-yoga.md</t>
        </is>
      </c>
    </row>
    <row r="169">
      <c r="A169" t="n">
        <v>4</v>
      </c>
      <c r="B169" t="inlineStr">
        <is>
          <t>Ayada Maldives</t>
        </is>
      </c>
      <c r="C169" t="inlineStr">
        <is>
          <t>https://www.ayadamaldives.com/new-blog/2025/6/7/top-reasons-guests-choose-ayada-maldives-again-and-again</t>
        </is>
      </c>
      <c r="D169" t="inlineStr">
        <is>
          <t>diving</t>
        </is>
      </c>
      <c r="E169" t="inlineStr">
        <is>
          <t>Top Reasons Guests Choose Ayada Maldives Again and Again — Ayada Maldives - Official Website</t>
        </is>
      </c>
      <c r="F169" t="n">
        <v>2754</v>
      </c>
      <c r="G169" t="inlineStr">
        <is>
          <t>2026-10-04</t>
        </is>
      </c>
      <c r="H169" t="inlineStr">
        <is>
          <t>official</t>
        </is>
      </c>
      <c r="I169" t="inlineStr">
        <is>
          <t>output/pages/004_ayada-maldives/diving__ayadamaldives.com__new-blog-2025-6-7-top-reasons-guests-choose-ayada-maldives-a.md</t>
        </is>
      </c>
    </row>
    <row r="170">
      <c r="A170" t="n">
        <v>3</v>
      </c>
      <c r="B170" t="inlineStr">
        <is>
          <t>Adaaran Select Hudhuranfushi</t>
        </is>
      </c>
      <c r="C170" t="inlineStr">
        <is>
          <t>https://www.adaaran.com/selecthudhuranfushi/facilities/spa/</t>
        </is>
      </c>
      <c r="D170" t="inlineStr">
        <is>
          <t>spa</t>
        </is>
      </c>
      <c r="E170" t="inlineStr">
        <is>
          <t>Maldives Luxury Spa | Spa at Adaaran Select Hudhuranfushi</t>
        </is>
      </c>
      <c r="F170" t="n">
        <v>1228</v>
      </c>
      <c r="G170" t="inlineStr">
        <is>
          <t>2026-10-04</t>
        </is>
      </c>
      <c r="H170" t="inlineStr">
        <is>
          <t>official</t>
        </is>
      </c>
      <c r="I170" t="inlineStr">
        <is>
          <t>output/pages/003_adaaran-select-hudhuranfushi/spa__adaaran.com__selecthudhuranfushi-facilities-spa.md</t>
        </is>
      </c>
    </row>
    <row r="171">
      <c r="A171" t="n">
        <v>3</v>
      </c>
      <c r="B171" t="inlineStr">
        <is>
          <t>Adaaran Select Hudhuranfushi</t>
        </is>
      </c>
      <c r="C171" t="inlineStr">
        <is>
          <t>https://www.adaaran.com/selecthudhuranfushi/dining/indian-pavilion/</t>
        </is>
      </c>
      <c r="D171" t="inlineStr">
        <is>
          <t>dining</t>
        </is>
      </c>
      <c r="E171" t="inlineStr">
        <is>
          <t>Indian Restaurant in Maldives | Adaaran Select Hudhuranfushi</t>
        </is>
      </c>
      <c r="F171" t="n">
        <v>1203</v>
      </c>
      <c r="G171" t="inlineStr">
        <is>
          <t>2026-10-04</t>
        </is>
      </c>
      <c r="H171" t="inlineStr">
        <is>
          <t>official</t>
        </is>
      </c>
      <c r="I171" t="inlineStr">
        <is>
          <t>output/pages/003_adaaran-select-hudhuranfushi/dining__adaaran.com__selecthudhuranfushi-dining-indian-pavilion.md</t>
        </is>
      </c>
    </row>
    <row r="172">
      <c r="A172" t="n">
        <v>4</v>
      </c>
      <c r="B172" t="inlineStr">
        <is>
          <t>Ayada Maldives</t>
        </is>
      </c>
      <c r="C172" t="inlineStr">
        <is>
          <t>https://www.ayadamaldives.com/new-blog</t>
        </is>
      </c>
      <c r="D172" t="inlineStr">
        <is>
          <t>diving</t>
        </is>
      </c>
      <c r="E172" t="inlineStr">
        <is>
          <t>New Blog — Ayada Maldives - Official Website</t>
        </is>
      </c>
      <c r="F172" t="n">
        <v>1983</v>
      </c>
      <c r="G172" t="inlineStr">
        <is>
          <t>2026-10-04</t>
        </is>
      </c>
      <c r="H172" t="inlineStr">
        <is>
          <t>official</t>
        </is>
      </c>
      <c r="I172" t="inlineStr">
        <is>
          <t>output/pages/004_ayada-maldives/diving__ayadamaldives.com__new-blog.md</t>
        </is>
      </c>
    </row>
    <row r="173">
      <c r="A173" t="n">
        <v>4</v>
      </c>
      <c r="B173" t="inlineStr">
        <is>
          <t>Ayada Maldives</t>
        </is>
      </c>
      <c r="C173" t="inlineStr">
        <is>
          <t>https://www.ayadamaldives.com/kai</t>
        </is>
      </c>
      <c r="D173" t="inlineStr">
        <is>
          <t>diving</t>
        </is>
      </c>
      <c r="E173" t="inlineStr">
        <is>
          <t>Kai — Ayada Maldives - Official Website</t>
        </is>
      </c>
      <c r="F173" t="n">
        <v>645</v>
      </c>
      <c r="G173" t="inlineStr">
        <is>
          <t>2026-10-04</t>
        </is>
      </c>
      <c r="H173" t="inlineStr">
        <is>
          <t>official</t>
        </is>
      </c>
      <c r="I173" t="inlineStr">
        <is>
          <t>output/pages/004_ayada-maldives/diving__ayadamaldives.com__kai.md</t>
        </is>
      </c>
    </row>
    <row r="174">
      <c r="A174" t="n">
        <v>3</v>
      </c>
      <c r="B174" t="inlineStr">
        <is>
          <t>Adaaran Select Hudhuranfushi</t>
        </is>
      </c>
      <c r="C174" t="inlineStr">
        <is>
          <t>https://www.adaaran.com/selecthudhuranfushi/offers/romantic-getaway/</t>
        </is>
      </c>
      <c r="D174" t="inlineStr">
        <is>
          <t>wedding</t>
        </is>
      </c>
      <c r="E174" t="inlineStr">
        <is>
          <t>Maldives Resort Honeymoon Package | Adaaran Hudhuranfushi</t>
        </is>
      </c>
      <c r="F174" t="n">
        <v>3350</v>
      </c>
      <c r="G174" t="inlineStr">
        <is>
          <t>2026-10-04</t>
        </is>
      </c>
      <c r="H174" t="inlineStr">
        <is>
          <t>official</t>
        </is>
      </c>
      <c r="I174" t="inlineStr">
        <is>
          <t>output/pages/003_adaaran-select-hudhuranfushi/wedding__adaaran.com__selecthudhuranfushi-offers-romantic-getaway.md</t>
        </is>
      </c>
    </row>
    <row r="175">
      <c r="A175" t="n">
        <v>4</v>
      </c>
      <c r="B175" t="inlineStr">
        <is>
          <t>Ayada Maldives</t>
        </is>
      </c>
      <c r="C175" t="inlineStr">
        <is>
          <t>https://www.ayadamaldives.com/mizu</t>
        </is>
      </c>
      <c r="D175" t="inlineStr">
        <is>
          <t>diving</t>
        </is>
      </c>
      <c r="E175" t="inlineStr">
        <is>
          <t>Mizu — Ayada Maldives - Official Website</t>
        </is>
      </c>
      <c r="F175" t="n">
        <v>700</v>
      </c>
      <c r="G175" t="inlineStr">
        <is>
          <t>2026-10-04</t>
        </is>
      </c>
      <c r="H175" t="inlineStr">
        <is>
          <t>official</t>
        </is>
      </c>
      <c r="I175" t="inlineStr">
        <is>
          <t>output/pages/004_ayada-maldives/diving__ayadamaldives.com__mizu.md</t>
        </is>
      </c>
    </row>
    <row r="176">
      <c r="A176" t="n">
        <v>3</v>
      </c>
      <c r="B176" t="inlineStr">
        <is>
          <t>Adaaran Select Hudhuranfushi</t>
        </is>
      </c>
      <c r="C176" t="inlineStr">
        <is>
          <t>https://www.adaaran.com/selecthudhuranfushi/experiences/surf-package/</t>
        </is>
      </c>
      <c r="D176" t="inlineStr">
        <is>
          <t>diving</t>
        </is>
      </c>
      <c r="E176" t="inlineStr">
        <is>
          <t>Surfing in Maldives | Adaaran Select Hudhuranfushi | Surf Package</t>
        </is>
      </c>
      <c r="F176" t="n">
        <v>5021</v>
      </c>
      <c r="G176" t="inlineStr">
        <is>
          <t>2026-10-04</t>
        </is>
      </c>
      <c r="H176" t="inlineStr">
        <is>
          <t>official</t>
        </is>
      </c>
      <c r="I176" t="inlineStr">
        <is>
          <t>output/pages/003_adaaran-select-hudhuranfushi/diving__adaaran.com__selecthudhuranfushi-experiences-surf-package.md</t>
        </is>
      </c>
    </row>
    <row r="177">
      <c r="A177" t="n">
        <v>4</v>
      </c>
      <c r="B177" t="inlineStr">
        <is>
          <t>Ayada Maldives</t>
        </is>
      </c>
      <c r="C177" t="inlineStr">
        <is>
          <t>https://www.ayadamaldives.com/new-blog/2024/9/20/renew-your-vows-in-paradise-an-intimate-maldivian-ceremony</t>
        </is>
      </c>
      <c r="D177" t="inlineStr">
        <is>
          <t>wedding</t>
        </is>
      </c>
      <c r="E177" t="inlineStr">
        <is>
          <t>Renew Your Vows in Paradise: An Intimate Maldivian Ceremony — Ayada Maldives - Official Website</t>
        </is>
      </c>
      <c r="F177" t="n">
        <v>3928</v>
      </c>
      <c r="G177" t="inlineStr">
        <is>
          <t>2026-10-04</t>
        </is>
      </c>
      <c r="H177" t="inlineStr">
        <is>
          <t>official</t>
        </is>
      </c>
      <c r="I177" t="inlineStr">
        <is>
          <t>output/pages/004_ayada-maldives/wedding__ayadamaldives.com__new-blog-2024-9-20-renew-your-vows-in-paradise-an-intimate-m.md</t>
        </is>
      </c>
    </row>
    <row r="178">
      <c r="A178" t="n">
        <v>3</v>
      </c>
      <c r="B178" t="inlineStr">
        <is>
          <t>Adaaran Select Hudhuranfushi</t>
        </is>
      </c>
      <c r="C178" t="inlineStr">
        <is>
          <t>https://www.adaaran.com/selecthudhuranfushi/villas/lohis-villa/</t>
        </is>
      </c>
      <c r="D178" t="inlineStr">
        <is>
          <t>diving</t>
        </is>
      </c>
      <c r="E178" t="inlineStr">
        <is>
          <t>Maldives Luxury Holiday | Lohis Villas at Adaaran Select Hudhuranfushi</t>
        </is>
      </c>
      <c r="F178" t="n">
        <v>2833</v>
      </c>
      <c r="G178" t="inlineStr">
        <is>
          <t>2026-10-04</t>
        </is>
      </c>
      <c r="H178" t="inlineStr">
        <is>
          <t>official</t>
        </is>
      </c>
      <c r="I178" t="inlineStr">
        <is>
          <t>output/pages/003_adaaran-select-hudhuranfushi/diving__adaaran.com__selecthudhuranfushi-villas-lohis-villa.md</t>
        </is>
      </c>
    </row>
    <row r="179">
      <c r="A179" t="n">
        <v>9</v>
      </c>
      <c r="B179" t="inlineStr">
        <is>
          <t>Amilla Fushi</t>
        </is>
      </c>
      <c r="C179" t="inlineStr">
        <is>
          <t>https://amilla.com/</t>
        </is>
      </c>
      <c r="D179" t="inlineStr">
        <is>
          <t>diving</t>
        </is>
      </c>
      <c r="E179" t="inlineStr">
        <is>
          <t>Luxury Resort in Maldives | Amilla Maldives Official Site</t>
        </is>
      </c>
      <c r="F179" t="n">
        <v>9144</v>
      </c>
      <c r="G179" t="inlineStr">
        <is>
          <t>2026-10-04</t>
        </is>
      </c>
      <c r="H179" t="inlineStr">
        <is>
          <t>official</t>
        </is>
      </c>
      <c r="I179" t="inlineStr">
        <is>
          <t>output/pages/009_amilla-fushi/diving__amilla.com__home.md</t>
        </is>
      </c>
    </row>
    <row r="180">
      <c r="A180" t="n">
        <v>3</v>
      </c>
      <c r="B180" t="inlineStr">
        <is>
          <t>Adaaran Select Hudhuranfushi</t>
        </is>
      </c>
      <c r="C180" t="inlineStr">
        <is>
          <t>https://www.adaaran.com/selecthudhuranfushi/villas/family-villas/</t>
        </is>
      </c>
      <c r="D180" t="inlineStr">
        <is>
          <t>diving</t>
        </is>
      </c>
      <c r="E180" t="inlineStr">
        <is>
          <t>Maldives Family Villas | Adaaran Select Hudhuranfushi</t>
        </is>
      </c>
      <c r="F180" t="n">
        <v>2652</v>
      </c>
      <c r="G180" t="inlineStr">
        <is>
          <t>2026-10-04</t>
        </is>
      </c>
      <c r="H180" t="inlineStr">
        <is>
          <t>official</t>
        </is>
      </c>
      <c r="I180" t="inlineStr">
        <is>
          <t>output/pages/003_adaaran-select-hudhuranfushi/diving__adaaran.com__selecthudhuranfushi-villas-family-villas.md</t>
        </is>
      </c>
    </row>
    <row r="181">
      <c r="A181" t="n">
        <v>9</v>
      </c>
      <c r="B181" t="inlineStr">
        <is>
          <t>Amilla Fushi</t>
        </is>
      </c>
      <c r="C181" t="inlineStr">
        <is>
          <t>https://amilla.com/inclusive-hospitality/</t>
        </is>
      </c>
      <c r="D181" t="inlineStr">
        <is>
          <t>diving</t>
        </is>
      </c>
      <c r="E181" t="inlineStr">
        <is>
          <t>Inclucare Certified &amp; Accessible Resorts | Amilla Maldives</t>
        </is>
      </c>
      <c r="F181" t="n">
        <v>7600</v>
      </c>
      <c r="G181" t="inlineStr">
        <is>
          <t>2026-10-04</t>
        </is>
      </c>
      <c r="H181" t="inlineStr">
        <is>
          <t>official</t>
        </is>
      </c>
      <c r="I181" t="inlineStr">
        <is>
          <t>output/pages/009_amilla-fushi/diving__amilla.com__inclusive-hospitality.md</t>
        </is>
      </c>
    </row>
    <row r="182">
      <c r="A182" t="n">
        <v>4</v>
      </c>
      <c r="B182" t="inlineStr">
        <is>
          <t>Ayada Maldives</t>
        </is>
      </c>
      <c r="C182" t="inlineStr">
        <is>
          <t>https://www.ayadamaldives.com/wedding</t>
        </is>
      </c>
      <c r="D182" t="inlineStr">
        <is>
          <t>wedding</t>
        </is>
      </c>
      <c r="E182" t="inlineStr">
        <is>
          <t>Weddings at Ayada Maldives — Ayada Maldives - Official Website</t>
        </is>
      </c>
      <c r="F182" t="n">
        <v>1880</v>
      </c>
      <c r="G182" t="inlineStr">
        <is>
          <t>2026-10-04</t>
        </is>
      </c>
      <c r="H182" t="inlineStr">
        <is>
          <t>official</t>
        </is>
      </c>
      <c r="I182" t="inlineStr">
        <is>
          <t>output/pages/004_ayada-maldives/wedding__ayadamaldives.com__wedding.md</t>
        </is>
      </c>
    </row>
    <row r="183">
      <c r="A183" t="n">
        <v>3</v>
      </c>
      <c r="B183" t="inlineStr">
        <is>
          <t>Adaaran Select Hudhuranfushi</t>
        </is>
      </c>
      <c r="C183" t="inlineStr">
        <is>
          <t>https://www.adaaran.com/selecthudhuranfushi/dining/beach-bar/</t>
        </is>
      </c>
      <c r="D183" t="inlineStr">
        <is>
          <t>dining</t>
        </is>
      </c>
      <c r="E183" t="inlineStr">
        <is>
          <t>Beach Bar Maldives | Beach Grill Bar at Adaaran Select Hudhuranfushi</t>
        </is>
      </c>
      <c r="F183" t="n">
        <v>1250</v>
      </c>
      <c r="G183" t="inlineStr">
        <is>
          <t>2026-10-04</t>
        </is>
      </c>
      <c r="H183" t="inlineStr">
        <is>
          <t>official</t>
        </is>
      </c>
      <c r="I183" t="inlineStr">
        <is>
          <t>output/pages/003_adaaran-select-hudhuranfushi/dining__adaaran.com__selecthudhuranfushi-dining-beach-bar.md</t>
        </is>
      </c>
    </row>
    <row r="184">
      <c r="A184" t="n">
        <v>9</v>
      </c>
      <c r="B184" t="inlineStr">
        <is>
          <t>Amilla Fushi</t>
        </is>
      </c>
      <c r="C184" t="inlineStr">
        <is>
          <t>https://amilla.com/maldives-residences/luxury-maldives-mansion/</t>
        </is>
      </c>
      <c r="D184" t="inlineStr">
        <is>
          <t>diving</t>
        </is>
      </c>
      <c r="E184" t="inlineStr">
        <is>
          <t>Family Friendly Maldives Resorts | Amilla Estate at Amilla Maldives</t>
        </is>
      </c>
      <c r="F184" t="n">
        <v>2501</v>
      </c>
      <c r="G184" t="inlineStr">
        <is>
          <t>2026-10-04</t>
        </is>
      </c>
      <c r="H184" t="inlineStr">
        <is>
          <t>official</t>
        </is>
      </c>
      <c r="I184" t="inlineStr">
        <is>
          <t>output/pages/009_amilla-fushi/diving__amilla.com__maldives-residences-luxury-maldives-mansion.md</t>
        </is>
      </c>
    </row>
    <row r="185">
      <c r="A185" t="n">
        <v>4</v>
      </c>
      <c r="B185" t="inlineStr">
        <is>
          <t>Ayada Maldives</t>
        </is>
      </c>
      <c r="C185" t="inlineStr">
        <is>
          <t>https://www.ayadamaldives.com/exclusive-offers/transfer50-znxhz-5cbl7-5ljel</t>
        </is>
      </c>
      <c r="D185" t="inlineStr">
        <is>
          <t>diving</t>
        </is>
      </c>
      <c r="E185" t="inlineStr">
        <is>
          <t>Lowest Discounted Offer: Non-Refundable Rate — Ayada Maldives - Official Website</t>
        </is>
      </c>
      <c r="F185" t="n">
        <v>550</v>
      </c>
      <c r="G185" t="inlineStr">
        <is>
          <t>2026-10-04</t>
        </is>
      </c>
      <c r="H185" t="inlineStr">
        <is>
          <t>official</t>
        </is>
      </c>
      <c r="I185" t="inlineStr">
        <is>
          <t>output/pages/004_ayada-maldives/diving__ayadamaldives.com__exclusive-offers-transfer50-znxhz-5cbl7-5ljel.md</t>
        </is>
      </c>
    </row>
    <row r="186">
      <c r="A186" t="n">
        <v>3</v>
      </c>
      <c r="B186" t="inlineStr">
        <is>
          <t>Adaaran Select Hudhuranfushi</t>
        </is>
      </c>
      <c r="C186" t="inlineStr">
        <is>
          <t>https://www.adaaran.com/selecthudhuranfushi/offers/storrington-collective-family-getaway/</t>
        </is>
      </c>
      <c r="D186" t="inlineStr">
        <is>
          <t>diving</t>
        </is>
      </c>
      <c r="E186" t="inlineStr">
        <is>
          <t>Family Getaway in Maldives | Adaaran Select Hudhuranfushi</t>
        </is>
      </c>
      <c r="F186" t="n">
        <v>4066</v>
      </c>
      <c r="G186" t="inlineStr">
        <is>
          <t>2026-10-04</t>
        </is>
      </c>
      <c r="H186" t="inlineStr">
        <is>
          <t>official</t>
        </is>
      </c>
      <c r="I186" t="inlineStr">
        <is>
          <t>output/pages/003_adaaran-select-hudhuranfushi/diving__adaaran.com__selecthudhuranfushi-offers-storrington-collective-family-get.md</t>
        </is>
      </c>
    </row>
    <row r="187">
      <c r="A187" t="n">
        <v>4</v>
      </c>
      <c r="B187" t="inlineStr">
        <is>
          <t>Ayada Maldives</t>
        </is>
      </c>
      <c r="C187" t="inlineStr">
        <is>
          <t>https://www.ayadamaldives.com/new-blog/category/Celebrity+Visits</t>
        </is>
      </c>
      <c r="D187" t="inlineStr">
        <is>
          <t>diving</t>
        </is>
      </c>
      <c r="E187" t="inlineStr">
        <is>
          <t>Celebrity Visits — New Blog — Ayada Maldives - Official Website</t>
        </is>
      </c>
      <c r="F187" t="n">
        <v>239</v>
      </c>
      <c r="G187" t="inlineStr">
        <is>
          <t>2026-10-04</t>
        </is>
      </c>
      <c r="H187" t="inlineStr">
        <is>
          <t>official</t>
        </is>
      </c>
      <c r="I187" t="inlineStr">
        <is>
          <t>output/pages/004_ayada-maldives/diving__ayadamaldives.com__new-blog-category-celebrity-visits.md</t>
        </is>
      </c>
    </row>
    <row r="188">
      <c r="A188" t="n">
        <v>3</v>
      </c>
      <c r="B188" t="inlineStr">
        <is>
          <t>Adaaran Select Hudhuranfushi</t>
        </is>
      </c>
      <c r="C188" t="inlineStr">
        <is>
          <t>https://www.adaaran.com/selecthudhuranfushi/facilities/koamas-kids-club/</t>
        </is>
      </c>
      <c r="D188" t="inlineStr">
        <is>
          <t>diving</t>
        </is>
      </c>
      <c r="E188" t="inlineStr">
        <is>
          <t>Family Friendly Maldives Resorts | Koamas Kids Club at Hudhuranfushi</t>
        </is>
      </c>
      <c r="F188" t="n">
        <v>3054</v>
      </c>
      <c r="G188" t="inlineStr">
        <is>
          <t>2026-10-04</t>
        </is>
      </c>
      <c r="H188" t="inlineStr">
        <is>
          <t>official</t>
        </is>
      </c>
      <c r="I188" t="inlineStr">
        <is>
          <t>output/pages/003_adaaran-select-hudhuranfushi/diving__adaaran.com__selecthudhuranfushi-facilities-koamas-kids-club.md</t>
        </is>
      </c>
    </row>
    <row r="189">
      <c r="A189" t="n">
        <v>9</v>
      </c>
      <c r="B189" t="inlineStr">
        <is>
          <t>Amilla Fushi</t>
        </is>
      </c>
      <c r="C189" t="inlineStr">
        <is>
          <t>https://amilla.com/maldives-dining/</t>
        </is>
      </c>
      <c r="D189" t="inlineStr">
        <is>
          <t>dining</t>
        </is>
      </c>
      <c r="E189" t="inlineStr">
        <is>
          <t>Dining in Maldives | Maldives Dining at Amilla Maldives</t>
        </is>
      </c>
      <c r="F189" t="n">
        <v>5842</v>
      </c>
      <c r="G189" t="inlineStr">
        <is>
          <t>2026-10-04</t>
        </is>
      </c>
      <c r="H189" t="inlineStr">
        <is>
          <t>official</t>
        </is>
      </c>
      <c r="I189" t="inlineStr">
        <is>
          <t>output/pages/009_amilla-fushi/dining__amilla.com__maldives-dining.md</t>
        </is>
      </c>
    </row>
    <row r="190">
      <c r="A190" t="n">
        <v>4</v>
      </c>
      <c r="B190" t="inlineStr">
        <is>
          <t>Ayada Maldives</t>
        </is>
      </c>
      <c r="C190" t="inlineStr">
        <is>
          <t>https://www.ayadamaldives.com/new-blog/2019/6/5/what-to-pack-for-a-week-at-ayada-maldives</t>
        </is>
      </c>
      <c r="D190" t="inlineStr">
        <is>
          <t>diving</t>
        </is>
      </c>
      <c r="E190" t="inlineStr">
        <is>
          <t>What to pack for a week at Ayada Maldives? — Ayada Maldives - Official Website</t>
        </is>
      </c>
      <c r="F190" t="n">
        <v>2950</v>
      </c>
      <c r="G190" t="inlineStr">
        <is>
          <t>2026-10-04</t>
        </is>
      </c>
      <c r="H190" t="inlineStr">
        <is>
          <t>official</t>
        </is>
      </c>
      <c r="I190" t="inlineStr">
        <is>
          <t>output/pages/004_ayada-maldives/diving__ayadamaldives.com__new-blog-2019-6-5-what-to-pack-for-a-week-at-ayada-maldives.md</t>
        </is>
      </c>
    </row>
    <row r="191">
      <c r="A191" t="n">
        <v>3</v>
      </c>
      <c r="B191" t="inlineStr">
        <is>
          <t>Adaaran Select Hudhuranfushi</t>
        </is>
      </c>
      <c r="C191" t="inlineStr">
        <is>
          <t>https://www.adaaran.com/selecthudhuranfushi/villas/sunset-ocean-villas/</t>
        </is>
      </c>
      <c r="D191" t="inlineStr">
        <is>
          <t>diving</t>
        </is>
      </c>
      <c r="E191" t="inlineStr">
        <is>
          <t>Maldives Ocean Villas | Sunset Ocean Villas at Adaaran Select Hudhuranfushi</t>
        </is>
      </c>
      <c r="F191" t="n">
        <v>2821</v>
      </c>
      <c r="G191" t="inlineStr">
        <is>
          <t>2026-10-04</t>
        </is>
      </c>
      <c r="H191" t="inlineStr">
        <is>
          <t>official</t>
        </is>
      </c>
      <c r="I191" t="inlineStr">
        <is>
          <t>output/pages/003_adaaran-select-hudhuranfushi/diving__adaaran.com__selecthudhuranfushi-villas-sunset-ocean-villas.md</t>
        </is>
      </c>
    </row>
    <row r="192">
      <c r="A192" t="n">
        <v>9</v>
      </c>
      <c r="B192" t="inlineStr">
        <is>
          <t>Amilla Fushi</t>
        </is>
      </c>
      <c r="C192" t="inlineStr">
        <is>
          <t>https://amilla.com/maldives-villas/one-bedroom-lagoon-pool-villa/</t>
        </is>
      </c>
      <c r="D192" t="inlineStr">
        <is>
          <t>diving</t>
        </is>
      </c>
      <c r="E192" t="inlineStr">
        <is>
          <t>Lagoon Pool Villa Maldives | Amilla Maldives | Lagoon Pool Villa</t>
        </is>
      </c>
      <c r="F192" t="n">
        <v>1374</v>
      </c>
      <c r="G192" t="inlineStr">
        <is>
          <t>2026-10-04</t>
        </is>
      </c>
      <c r="H192" t="inlineStr">
        <is>
          <t>official</t>
        </is>
      </c>
      <c r="I192" t="inlineStr">
        <is>
          <t>output/pages/009_amilla-fushi/diving__amilla.com__maldives-villas-one-bedroom-lagoon-pool-villa.md</t>
        </is>
      </c>
    </row>
    <row r="193">
      <c r="A193" t="n">
        <v>4</v>
      </c>
      <c r="B193" t="inlineStr">
        <is>
          <t>Ayada Maldives</t>
        </is>
      </c>
      <c r="C193" t="inlineStr">
        <is>
          <t>https://www.ayadamaldives.com/beach-suite</t>
        </is>
      </c>
      <c r="D193" t="inlineStr">
        <is>
          <t>diving</t>
        </is>
      </c>
      <c r="E193" t="inlineStr">
        <is>
          <t>Beach Suite — Ayada Maldives - Official Website</t>
        </is>
      </c>
      <c r="F193" t="n">
        <v>664</v>
      </c>
      <c r="G193" t="inlineStr">
        <is>
          <t>2026-10-04</t>
        </is>
      </c>
      <c r="H193" t="inlineStr">
        <is>
          <t>official</t>
        </is>
      </c>
      <c r="I193" t="inlineStr">
        <is>
          <t>output/pages/004_ayada-maldives/diving__ayadamaldives.com__beach-suite.md</t>
        </is>
      </c>
    </row>
    <row r="194">
      <c r="A194" t="n">
        <v>10</v>
      </c>
      <c r="B194" t="inlineStr">
        <is>
          <t>Dreamland - The Unique Sea &amp; Lake Resort/Spa</t>
        </is>
      </c>
      <c r="C194" t="inlineStr">
        <is>
          <t>https://dreamland.com.mv/</t>
        </is>
      </c>
      <c r="D194" t="inlineStr">
        <is>
          <t>other</t>
        </is>
      </c>
      <c r="E194" t="inlineStr">
        <is>
          <t>Dreamland</t>
        </is>
      </c>
      <c r="F194" t="n">
        <v>3639</v>
      </c>
      <c r="G194" t="inlineStr">
        <is>
          <t>2026-10-04</t>
        </is>
      </c>
      <c r="H194" t="inlineStr">
        <is>
          <t>official</t>
        </is>
      </c>
      <c r="I194" t="inlineStr">
        <is>
          <t>output/pages/010_dreamland-the-unique-sea-lake-resort-spa/other__dreamland.com.mv__home.md</t>
        </is>
      </c>
    </row>
    <row r="195">
      <c r="A195" t="n">
        <v>3</v>
      </c>
      <c r="B195" t="inlineStr">
        <is>
          <t>Adaaran Select Hudhuranfushi</t>
        </is>
      </c>
      <c r="C195" t="inlineStr">
        <is>
          <t>https://www.adaaran.com/selecthudhuranfushi/villas/garden-villa/</t>
        </is>
      </c>
      <c r="D195" t="inlineStr">
        <is>
          <t>diving</t>
        </is>
      </c>
      <c r="E195" t="inlineStr">
        <is>
          <t>Maldives Luxury Holiday | Garden Villas at Adaaran Select Hudhuranfushi</t>
        </is>
      </c>
      <c r="F195" t="n">
        <v>2492</v>
      </c>
      <c r="G195" t="inlineStr">
        <is>
          <t>2026-10-04</t>
        </is>
      </c>
      <c r="H195" t="inlineStr">
        <is>
          <t>official</t>
        </is>
      </c>
      <c r="I195" t="inlineStr">
        <is>
          <t>output/pages/003_adaaran-select-hudhuranfushi/diving__adaaran.com__selecthudhuranfushi-villas-garden-villa.md</t>
        </is>
      </c>
    </row>
    <row r="196">
      <c r="A196" t="n">
        <v>4</v>
      </c>
      <c r="B196" t="inlineStr">
        <is>
          <t>Ayada Maldives</t>
        </is>
      </c>
      <c r="C196" t="inlineStr">
        <is>
          <t>https://www.ayadamaldives.com/sea-salt</t>
        </is>
      </c>
      <c r="D196" t="inlineStr">
        <is>
          <t>diving</t>
        </is>
      </c>
      <c r="E196" t="inlineStr">
        <is>
          <t>Sea Salt — Ayada Maldives - Official Website</t>
        </is>
      </c>
      <c r="F196" t="n">
        <v>713</v>
      </c>
      <c r="G196" t="inlineStr">
        <is>
          <t>2026-10-04</t>
        </is>
      </c>
      <c r="H196" t="inlineStr">
        <is>
          <t>official</t>
        </is>
      </c>
      <c r="I196" t="inlineStr">
        <is>
          <t>output/pages/004_ayada-maldives/diving__ayadamaldives.com__sea-salt.md</t>
        </is>
      </c>
    </row>
    <row r="197">
      <c r="A197" t="n">
        <v>9</v>
      </c>
      <c r="B197" t="inlineStr">
        <is>
          <t>Amilla Fushi</t>
        </is>
      </c>
      <c r="C197" t="inlineStr">
        <is>
          <t>https://amilla.com/events-celebrations/</t>
        </is>
      </c>
      <c r="D197" t="inlineStr">
        <is>
          <t>wedding</t>
        </is>
      </c>
      <c r="E197" t="inlineStr">
        <is>
          <t>Maldives Wedding Resorts | Celebrations at Amilla Maldives</t>
        </is>
      </c>
      <c r="F197" t="n">
        <v>1426</v>
      </c>
      <c r="G197" t="inlineStr">
        <is>
          <t>2026-10-04</t>
        </is>
      </c>
      <c r="H197" t="inlineStr">
        <is>
          <t>official</t>
        </is>
      </c>
      <c r="I197" t="inlineStr">
        <is>
          <t>output/pages/009_amilla-fushi/wedding__amilla.com__events-celebrations.md</t>
        </is>
      </c>
    </row>
    <row r="198">
      <c r="A198" t="n">
        <v>3</v>
      </c>
      <c r="B198" t="inlineStr">
        <is>
          <t>Adaaran Select Hudhuranfushi</t>
        </is>
      </c>
      <c r="C198" t="inlineStr">
        <is>
          <t>https://www.adaaran.com/selecthudhuranfushi/experiences/excursions/</t>
        </is>
      </c>
      <c r="D198" t="inlineStr">
        <is>
          <t>diving</t>
        </is>
      </c>
      <c r="E198" t="inlineStr">
        <is>
          <t>Maldives Things to do | Excursions at Adaaran Select Hudhuranfushi</t>
        </is>
      </c>
      <c r="F198" t="n">
        <v>8935</v>
      </c>
      <c r="G198" t="inlineStr">
        <is>
          <t>2026-10-04</t>
        </is>
      </c>
      <c r="H198" t="inlineStr">
        <is>
          <t>official</t>
        </is>
      </c>
      <c r="I198" t="inlineStr">
        <is>
          <t>output/pages/003_adaaran-select-hudhuranfushi/diving__adaaran.com__selecthudhuranfushi-experiences-excursions.md</t>
        </is>
      </c>
    </row>
    <row r="199">
      <c r="A199" t="n">
        <v>4</v>
      </c>
      <c r="B199" t="inlineStr">
        <is>
          <t>Ayada Maldives</t>
        </is>
      </c>
      <c r="C199" t="inlineStr">
        <is>
          <t>https://www.ayadamaldives.com/sunset-beach-suite</t>
        </is>
      </c>
      <c r="D199" t="inlineStr">
        <is>
          <t>diving</t>
        </is>
      </c>
      <c r="E199" t="inlineStr">
        <is>
          <t>Sunset Beach Suite with Pool — Ayada Maldives - Official Website</t>
        </is>
      </c>
      <c r="F199" t="n">
        <v>614</v>
      </c>
      <c r="G199" t="inlineStr">
        <is>
          <t>2026-10-04</t>
        </is>
      </c>
      <c r="H199" t="inlineStr">
        <is>
          <t>official</t>
        </is>
      </c>
      <c r="I199" t="inlineStr">
        <is>
          <t>output/pages/004_ayada-maldives/diving__ayadamaldives.com__sunset-beach-suite.md</t>
        </is>
      </c>
    </row>
    <row r="200">
      <c r="A200" t="n">
        <v>4</v>
      </c>
      <c r="B200" t="inlineStr">
        <is>
          <t>Ayada Maldives</t>
        </is>
      </c>
      <c r="C200" t="inlineStr">
        <is>
          <t>https://www.ayadamaldives.com/watersports</t>
        </is>
      </c>
      <c r="D200" t="inlineStr">
        <is>
          <t>diving</t>
        </is>
      </c>
      <c r="E200" t="inlineStr">
        <is>
          <t>Watersports — Ayada Maldives - Official Website</t>
        </is>
      </c>
      <c r="F200" t="n">
        <v>1830</v>
      </c>
      <c r="G200" t="inlineStr">
        <is>
          <t>2026-10-04</t>
        </is>
      </c>
      <c r="H200" t="inlineStr">
        <is>
          <t>official</t>
        </is>
      </c>
      <c r="I200" t="inlineStr">
        <is>
          <t>output/pages/004_ayada-maldives/diving__ayadamaldives.com__watersports.md</t>
        </is>
      </c>
    </row>
    <row r="201">
      <c r="A201" t="n">
        <v>10</v>
      </c>
      <c r="B201" t="inlineStr">
        <is>
          <t>Dreamland - The Unique Sea &amp; Lake Resort/Spa</t>
        </is>
      </c>
      <c r="C201" t="inlineStr">
        <is>
          <t>https://dreamland.com.mv/dining/lake-view-bar/</t>
        </is>
      </c>
      <c r="D201" t="inlineStr">
        <is>
          <t>dining</t>
        </is>
      </c>
      <c r="E201" t="inlineStr">
        <is>
          <t>Lake View Bar – Dreamland</t>
        </is>
      </c>
      <c r="F201" t="n">
        <v>875</v>
      </c>
      <c r="G201" t="inlineStr">
        <is>
          <t>2026-10-04</t>
        </is>
      </c>
      <c r="H201" t="inlineStr">
        <is>
          <t>official</t>
        </is>
      </c>
      <c r="I201" t="inlineStr">
        <is>
          <t>output/pages/010_dreamland-the-unique-sea-lake-resort-spa/dining__dreamland.com.mv__dining-lake-view-bar.md</t>
        </is>
      </c>
    </row>
    <row r="202">
      <c r="A202" t="n">
        <v>3</v>
      </c>
      <c r="B202" t="inlineStr">
        <is>
          <t>Adaaran Select Hudhuranfushi</t>
        </is>
      </c>
      <c r="C202" t="inlineStr">
        <is>
          <t>https://www.adaaran.com/selecthudhuranfushi/villas/sunrise-ocean-villas/</t>
        </is>
      </c>
      <c r="D202" t="inlineStr">
        <is>
          <t>diving</t>
        </is>
      </c>
      <c r="E202" t="inlineStr">
        <is>
          <t>Maldives Ocean Villa | Sunrise Ocean Villas at Adaaran Select Hudhuranfushi</t>
        </is>
      </c>
      <c r="F202" t="n">
        <v>2831</v>
      </c>
      <c r="G202" t="inlineStr">
        <is>
          <t>2026-10-04</t>
        </is>
      </c>
      <c r="H202" t="inlineStr">
        <is>
          <t>official</t>
        </is>
      </c>
      <c r="I202" t="inlineStr">
        <is>
          <t>output/pages/003_adaaran-select-hudhuranfushi/diving__adaaran.com__selecthudhuranfushi-villas-sunrise-ocean-villas.md</t>
        </is>
      </c>
    </row>
    <row r="203">
      <c r="A203" t="n">
        <v>4</v>
      </c>
      <c r="B203" t="inlineStr">
        <is>
          <t>Ayada Maldives</t>
        </is>
      </c>
      <c r="C203" t="inlineStr">
        <is>
          <t>https://www.ayadamaldives.com/new-blog/2021/8/27/traveling-to-ayada-maldives-in-2021-new-airport-amp-travel-advice</t>
        </is>
      </c>
      <c r="D203" t="inlineStr">
        <is>
          <t>diving</t>
        </is>
      </c>
      <c r="E203" t="inlineStr">
        <is>
          <t>Traveling to Ayada Maldives in 2021 - New Airport &amp; Travel Advice — Ayada Maldives - Official Website</t>
        </is>
      </c>
      <c r="F203" t="n">
        <v>5629</v>
      </c>
      <c r="G203" t="inlineStr">
        <is>
          <t>2026-10-04</t>
        </is>
      </c>
      <c r="H203" t="inlineStr">
        <is>
          <t>official</t>
        </is>
      </c>
      <c r="I203" t="inlineStr">
        <is>
          <t>output/pages/004_ayada-maldives/diving__ayadamaldives.com__new-blog-2021-8-27-traveling-to-ayada-maldives-in-2021-new-a.md</t>
        </is>
      </c>
    </row>
    <row r="204">
      <c r="A204" t="n">
        <v>9</v>
      </c>
      <c r="B204" t="inlineStr">
        <is>
          <t>Amilla Fushi</t>
        </is>
      </c>
      <c r="C204" t="inlineStr">
        <is>
          <t>https://amilla.com/travel-to-the-maldives/</t>
        </is>
      </c>
      <c r="D204" t="inlineStr">
        <is>
          <t>diving</t>
        </is>
      </c>
      <c r="E204" t="inlineStr">
        <is>
          <t>Maldives Baa Atoll Resorts | Getting Here | Amilla Maldives</t>
        </is>
      </c>
      <c r="F204" t="n">
        <v>13073</v>
      </c>
      <c r="G204" t="inlineStr">
        <is>
          <t>2026-10-04</t>
        </is>
      </c>
      <c r="H204" t="inlineStr">
        <is>
          <t>official</t>
        </is>
      </c>
      <c r="I204" t="inlineStr">
        <is>
          <t>output/pages/009_amilla-fushi/diving__amilla.com__travel-to-the-maldives.md</t>
        </is>
      </c>
    </row>
    <row r="205">
      <c r="A205" t="n">
        <v>3</v>
      </c>
      <c r="B205" t="inlineStr">
        <is>
          <t>Adaaran Select Hudhuranfushi</t>
        </is>
      </c>
      <c r="C205" t="inlineStr">
        <is>
          <t>https://www.adaaran.com/selecthudhuranfushi/villas/sunset-family-beach-villas/</t>
        </is>
      </c>
      <c r="D205" t="inlineStr">
        <is>
          <t>diving</t>
        </is>
      </c>
      <c r="E205" t="inlineStr">
        <is>
          <t>Family Villas in Maldives | Sunset Family Beach Villas</t>
        </is>
      </c>
      <c r="F205" t="n">
        <v>2622</v>
      </c>
      <c r="G205" t="inlineStr">
        <is>
          <t>2026-10-04</t>
        </is>
      </c>
      <c r="H205" t="inlineStr">
        <is>
          <t>official</t>
        </is>
      </c>
      <c r="I205" t="inlineStr">
        <is>
          <t>output/pages/003_adaaran-select-hudhuranfushi/diving__adaaran.com__selecthudhuranfushi-villas-sunset-family-beach-villas.md</t>
        </is>
      </c>
    </row>
    <row r="206">
      <c r="A206" t="n">
        <v>4</v>
      </c>
      <c r="B206" t="inlineStr">
        <is>
          <t>Ayada Maldives</t>
        </is>
      </c>
      <c r="C206" t="inlineStr">
        <is>
          <t>https://www.ayadamaldives.com/new-blog/2019/6/5/how-to-spend-a-perfect-day-at-ayada-maldives</t>
        </is>
      </c>
      <c r="D206" t="inlineStr">
        <is>
          <t>diving</t>
        </is>
      </c>
      <c r="E206" t="inlineStr">
        <is>
          <t>How to spend a perfect day at Ayada Maldives? — Ayada Maldives - Official Website</t>
        </is>
      </c>
      <c r="F206" t="n">
        <v>3509</v>
      </c>
      <c r="G206" t="inlineStr">
        <is>
          <t>2026-10-04</t>
        </is>
      </c>
      <c r="H206" t="inlineStr">
        <is>
          <t>official</t>
        </is>
      </c>
      <c r="I206" t="inlineStr">
        <is>
          <t>output/pages/004_ayada-maldives/diving__ayadamaldives.com__new-blog-2019-6-5-how-to-spend-a-perfect-day-at-ayada-maldiv.md</t>
        </is>
      </c>
    </row>
    <row r="207">
      <c r="A207" t="n">
        <v>10</v>
      </c>
      <c r="B207" t="inlineStr">
        <is>
          <t>Dreamland - The Unique Sea &amp; Lake Resort/Spa</t>
        </is>
      </c>
      <c r="C207" t="inlineStr">
        <is>
          <t>https://dreamland.com.mv/activities/fitness-centre-gym/</t>
        </is>
      </c>
      <c r="D207" t="inlineStr">
        <is>
          <t>excursions</t>
        </is>
      </c>
      <c r="E207" t="inlineStr">
        <is>
          <t>Fitness Centre &amp; Gym – Dreamland</t>
        </is>
      </c>
      <c r="F207" t="n">
        <v>698</v>
      </c>
      <c r="G207" t="inlineStr">
        <is>
          <t>2026-10-04</t>
        </is>
      </c>
      <c r="H207" t="inlineStr">
        <is>
          <t>official</t>
        </is>
      </c>
      <c r="I207" t="inlineStr">
        <is>
          <t>output/pages/010_dreamland-the-unique-sea-lake-resort-spa/excursions__dreamland.com.mv__activities-fitness-centre-gym.md</t>
        </is>
      </c>
    </row>
    <row r="208">
      <c r="A208" t="n">
        <v>3</v>
      </c>
      <c r="B208" t="inlineStr">
        <is>
          <t>Adaaran Select Hudhuranfushi</t>
        </is>
      </c>
      <c r="C208" t="inlineStr">
        <is>
          <t>https://www.adaaran.com/selecthudhuranfushi/villas/maldives-beach-villas/</t>
        </is>
      </c>
      <c r="D208" t="inlineStr">
        <is>
          <t>diving</t>
        </is>
      </c>
      <c r="E208" t="inlineStr">
        <is>
          <t>Maldives Beach Villas | Beach Villas at Adaaran Select Hudhuranfushi</t>
        </is>
      </c>
      <c r="F208" t="n">
        <v>2634</v>
      </c>
      <c r="G208" t="inlineStr">
        <is>
          <t>2026-10-04</t>
        </is>
      </c>
      <c r="H208" t="inlineStr">
        <is>
          <t>official</t>
        </is>
      </c>
      <c r="I208" t="inlineStr">
        <is>
          <t>output/pages/003_adaaran-select-hudhuranfushi/diving__adaaran.com__selecthudhuranfushi-villas-maldives-beach-villas.md</t>
        </is>
      </c>
    </row>
    <row r="209">
      <c r="A209" t="n">
        <v>4</v>
      </c>
      <c r="B209" t="inlineStr">
        <is>
          <t>Ayada Maldives</t>
        </is>
      </c>
      <c r="C209" t="inlineStr">
        <is>
          <t>https://www.ayadamaldives.com/dining-overview</t>
        </is>
      </c>
      <c r="D209" t="inlineStr">
        <is>
          <t>dining</t>
        </is>
      </c>
      <c r="E209" t="inlineStr">
        <is>
          <t>Dining at Ayada — Ayada Maldives - Official Website</t>
        </is>
      </c>
      <c r="F209" t="n">
        <v>3726</v>
      </c>
      <c r="G209" t="inlineStr">
        <is>
          <t>2026-10-04</t>
        </is>
      </c>
      <c r="H209" t="inlineStr">
        <is>
          <t>official</t>
        </is>
      </c>
      <c r="I209" t="inlineStr">
        <is>
          <t>output/pages/004_ayada-maldives/dining__ayadamaldives.com__dining-overview.md</t>
        </is>
      </c>
    </row>
    <row r="210">
      <c r="A210" t="n">
        <v>9</v>
      </c>
      <c r="B210" t="inlineStr">
        <is>
          <t>Amilla Fushi</t>
        </is>
      </c>
      <c r="C210" t="inlineStr">
        <is>
          <t>https://amilla.com/maldives-activities/</t>
        </is>
      </c>
      <c r="D210" t="inlineStr">
        <is>
          <t>diving</t>
        </is>
      </c>
      <c r="E210" t="inlineStr">
        <is>
          <t>Maldives Things to Do and See | Experiences | Amilla Maldives</t>
        </is>
      </c>
      <c r="F210" t="n">
        <v>6241</v>
      </c>
      <c r="G210" t="inlineStr">
        <is>
          <t>2026-10-04</t>
        </is>
      </c>
      <c r="H210" t="inlineStr">
        <is>
          <t>official</t>
        </is>
      </c>
      <c r="I210" t="inlineStr">
        <is>
          <t>output/pages/009_amilla-fushi/diving__amilla.com__maldives-activities.md</t>
        </is>
      </c>
    </row>
    <row r="211">
      <c r="A211" t="n">
        <v>3</v>
      </c>
      <c r="B211" t="inlineStr">
        <is>
          <t>Adaaran Select Hudhuranfushi</t>
        </is>
      </c>
      <c r="C211" t="inlineStr">
        <is>
          <t>https://www.adaaran.com/selecthudhuranfushi/experiences/diving/</t>
        </is>
      </c>
      <c r="D211" t="inlineStr">
        <is>
          <t>diving</t>
        </is>
      </c>
      <c r="E211" t="inlineStr">
        <is>
          <t>Maldives Dive Resorts | Diving | Adaaran Select Hudhuranfushi</t>
        </is>
      </c>
      <c r="F211" t="n">
        <v>3438</v>
      </c>
      <c r="G211" t="inlineStr">
        <is>
          <t>2026-10-04</t>
        </is>
      </c>
      <c r="H211" t="inlineStr">
        <is>
          <t>official</t>
        </is>
      </c>
      <c r="I211" t="inlineStr">
        <is>
          <t>output/pages/003_adaaran-select-hudhuranfushi/diving__adaaran.com__selecthudhuranfushi-experiences-diving.md</t>
        </is>
      </c>
    </row>
    <row r="212">
      <c r="A212" t="n">
        <v>4</v>
      </c>
      <c r="B212" t="inlineStr">
        <is>
          <t>Ayada Maldives</t>
        </is>
      </c>
      <c r="C212" t="inlineStr">
        <is>
          <t>https://www.ayadamaldives.com/careers</t>
        </is>
      </c>
      <c r="D212" t="inlineStr">
        <is>
          <t>diving</t>
        </is>
      </c>
      <c r="E212" t="inlineStr">
        <is>
          <t>Careers at Ayada Maldives — Ayada Maldives - Official Website</t>
        </is>
      </c>
      <c r="F212" t="n">
        <v>1137</v>
      </c>
      <c r="G212" t="inlineStr">
        <is>
          <t>2026-10-04</t>
        </is>
      </c>
      <c r="H212" t="inlineStr">
        <is>
          <t>official</t>
        </is>
      </c>
      <c r="I212" t="inlineStr">
        <is>
          <t>output/pages/004_ayada-maldives/diving__ayadamaldives.com__careers.md</t>
        </is>
      </c>
    </row>
    <row r="213">
      <c r="A213" t="n">
        <v>3</v>
      </c>
      <c r="B213" t="inlineStr">
        <is>
          <t>Adaaran Select Hudhuranfushi</t>
        </is>
      </c>
      <c r="C213" t="inlineStr">
        <is>
          <t>https://www.adaaran.com/selecthudhuranfushi/offers/</t>
        </is>
      </c>
      <c r="D213" t="inlineStr">
        <is>
          <t>diving</t>
        </is>
      </c>
      <c r="E213" t="inlineStr">
        <is>
          <t>All Inclusive Maldives Packages | Adaaran Select Hudhuranfushi</t>
        </is>
      </c>
      <c r="F213" t="n">
        <v>1502</v>
      </c>
      <c r="G213" t="inlineStr">
        <is>
          <t>2026-10-04</t>
        </is>
      </c>
      <c r="H213" t="inlineStr">
        <is>
          <t>official</t>
        </is>
      </c>
      <c r="I213" t="inlineStr">
        <is>
          <t>output/pages/003_adaaran-select-hudhuranfushi/diving__adaaran.com__selecthudhuranfushi-offers.md</t>
        </is>
      </c>
    </row>
    <row r="214">
      <c r="A214" t="n">
        <v>10</v>
      </c>
      <c r="B214" t="inlineStr">
        <is>
          <t>Dreamland - The Unique Sea &amp; Lake Resort/Spa</t>
        </is>
      </c>
      <c r="C214" t="inlineStr">
        <is>
          <t>https://dreamland.com.mv/dining/sea-view-restaurant/</t>
        </is>
      </c>
      <c r="D214" t="inlineStr">
        <is>
          <t>dining</t>
        </is>
      </c>
      <c r="E214" t="inlineStr">
        <is>
          <t>Sea View Restaurant – Dreamland</t>
        </is>
      </c>
      <c r="F214" t="n">
        <v>635</v>
      </c>
      <c r="G214" t="inlineStr">
        <is>
          <t>2026-10-04</t>
        </is>
      </c>
      <c r="H214" t="inlineStr">
        <is>
          <t>official</t>
        </is>
      </c>
      <c r="I214" t="inlineStr">
        <is>
          <t>output/pages/010_dreamland-the-unique-sea-lake-resort-spa/dining__dreamland.com.mv__dining-sea-view-restaurant.md</t>
        </is>
      </c>
    </row>
    <row r="215">
      <c r="A215" t="n">
        <v>9</v>
      </c>
      <c r="B215" t="inlineStr">
        <is>
          <t>Amilla Fushi</t>
        </is>
      </c>
      <c r="C215" t="inlineStr">
        <is>
          <t>https://amilla.com/maldives-activities/hanifaru-bay/</t>
        </is>
      </c>
      <c r="D215" t="inlineStr">
        <is>
          <t>diving</t>
        </is>
      </c>
      <c r="E215" t="inlineStr">
        <is>
          <t>Best Maldives Island for Diving | Hanifaru Bay Adventure at Amilla</t>
        </is>
      </c>
      <c r="F215" t="n">
        <v>3376</v>
      </c>
      <c r="G215" t="inlineStr">
        <is>
          <t>2026-10-04</t>
        </is>
      </c>
      <c r="H215" t="inlineStr">
        <is>
          <t>official</t>
        </is>
      </c>
      <c r="I215" t="inlineStr">
        <is>
          <t>output/pages/009_amilla-fushi/diving__amilla.com__maldives-activities-hanifaru-bay.md</t>
        </is>
      </c>
    </row>
    <row r="216">
      <c r="A216" t="n">
        <v>4</v>
      </c>
      <c r="B216" t="inlineStr">
        <is>
          <t>Ayada Maldives</t>
        </is>
      </c>
      <c r="C216" t="inlineStr">
        <is>
          <t>https://www.ayadamaldives.com/exclusive-offers/transfer50-znxhz</t>
        </is>
      </c>
      <c r="D216" t="inlineStr">
        <is>
          <t>diving</t>
        </is>
      </c>
      <c r="E216" t="inlineStr">
        <is>
          <t>Family Offer — Ayada Maldives - Official Website</t>
        </is>
      </c>
      <c r="F216" t="n">
        <v>698</v>
      </c>
      <c r="G216" t="inlineStr">
        <is>
          <t>2026-10-04</t>
        </is>
      </c>
      <c r="H216" t="inlineStr">
        <is>
          <t>official</t>
        </is>
      </c>
      <c r="I216" t="inlineStr">
        <is>
          <t>output/pages/004_ayada-maldives/diving__ayadamaldives.com__exclusive-offers-transfer50-znxhz.md</t>
        </is>
      </c>
    </row>
    <row r="217">
      <c r="A217" t="n">
        <v>3</v>
      </c>
      <c r="B217" t="inlineStr">
        <is>
          <t>Adaaran Select Hudhuranfushi</t>
        </is>
      </c>
      <c r="C217" t="inlineStr">
        <is>
          <t>https://www.adaaran.com/selecthudhuranfushi/events/</t>
        </is>
      </c>
      <c r="D217" t="inlineStr">
        <is>
          <t>events</t>
        </is>
      </c>
      <c r="E217" t="inlineStr">
        <is>
          <t>Maldives Corporate Events |  Events at Adaaran Select Hudhuran Fushi</t>
        </is>
      </c>
      <c r="F217" t="n">
        <v>1328</v>
      </c>
      <c r="G217" t="inlineStr">
        <is>
          <t>2026-10-04</t>
        </is>
      </c>
      <c r="H217" t="inlineStr">
        <is>
          <t>official</t>
        </is>
      </c>
      <c r="I217" t="inlineStr">
        <is>
          <t>output/pages/003_adaaran-select-hudhuranfushi/events__adaaran.com__selecthudhuranfushi-events.md</t>
        </is>
      </c>
    </row>
    <row r="218">
      <c r="A218" t="n">
        <v>9</v>
      </c>
      <c r="B218" t="inlineStr">
        <is>
          <t>Amilla Fushi</t>
        </is>
      </c>
      <c r="C218" t="inlineStr">
        <is>
          <t>https://amilla.com/maldives-villas/treetop-villas/</t>
        </is>
      </c>
      <c r="D218" t="inlineStr">
        <is>
          <t>diving</t>
        </is>
      </c>
      <c r="E218" t="inlineStr">
        <is>
          <t>Maldives Villa with Private Pool | Treetop Pool Villas at Amilla</t>
        </is>
      </c>
      <c r="F218" t="n">
        <v>1370</v>
      </c>
      <c r="G218" t="inlineStr">
        <is>
          <t>2026-10-04</t>
        </is>
      </c>
      <c r="H218" t="inlineStr">
        <is>
          <t>official</t>
        </is>
      </c>
      <c r="I218" t="inlineStr">
        <is>
          <t>output/pages/009_amilla-fushi/diving__amilla.com__maldives-villas-treetop-villas.md</t>
        </is>
      </c>
    </row>
    <row r="219">
      <c r="A219" t="n">
        <v>4</v>
      </c>
      <c r="B219" t="inlineStr">
        <is>
          <t>Ayada Maldives</t>
        </is>
      </c>
      <c r="C219" t="inlineStr">
        <is>
          <t>https://www.ayadamaldives.com/new-blog/2025/5/15/a-honeymoon-to-remember-at-ayada-maldives</t>
        </is>
      </c>
      <c r="D219" t="inlineStr">
        <is>
          <t>wedding</t>
        </is>
      </c>
      <c r="E219" t="inlineStr">
        <is>
          <t>A Honeymoon to Remember at Ayada Maldives — Ayada Maldives - Official Website</t>
        </is>
      </c>
      <c r="F219" t="n">
        <v>2593</v>
      </c>
      <c r="G219" t="inlineStr">
        <is>
          <t>2026-10-04</t>
        </is>
      </c>
      <c r="H219" t="inlineStr">
        <is>
          <t>official</t>
        </is>
      </c>
      <c r="I219" t="inlineStr">
        <is>
          <t>output/pages/004_ayada-maldives/wedding__ayadamaldives.com__new-blog-2025-5-15-a-honeymoon-to-remember-at-ayada-maldives.md</t>
        </is>
      </c>
    </row>
    <row r="220">
      <c r="A220" t="n">
        <v>3</v>
      </c>
      <c r="B220" t="inlineStr">
        <is>
          <t>Adaaran Select Hudhuranfushi</t>
        </is>
      </c>
      <c r="C220" t="inlineStr">
        <is>
          <t>https://www.adaaran.com/selecthudhuranfushi/experiences/</t>
        </is>
      </c>
      <c r="D220" t="inlineStr">
        <is>
          <t>diving</t>
        </is>
      </c>
      <c r="E220" t="inlineStr">
        <is>
          <t>Best Things to do in Maldives | Adaaran Select Hudhuranfushi | Excursions</t>
        </is>
      </c>
      <c r="F220" t="n">
        <v>1634</v>
      </c>
      <c r="G220" t="inlineStr">
        <is>
          <t>2026-10-04</t>
        </is>
      </c>
      <c r="H220" t="inlineStr">
        <is>
          <t>official</t>
        </is>
      </c>
      <c r="I220" t="inlineStr">
        <is>
          <t>output/pages/003_adaaran-select-hudhuranfushi/diving__adaaran.com__selecthudhuranfushi-experiences.md</t>
        </is>
      </c>
    </row>
    <row r="221">
      <c r="A221" t="n">
        <v>10</v>
      </c>
      <c r="B221" t="inlineStr">
        <is>
          <t>Dreamland - The Unique Sea &amp; Lake Resort/Spa</t>
        </is>
      </c>
      <c r="C221" t="inlineStr">
        <is>
          <t>https://dreamland.com.mv/activities/excursions/</t>
        </is>
      </c>
      <c r="D221" t="inlineStr">
        <is>
          <t>excursions</t>
        </is>
      </c>
      <c r="E221" t="inlineStr">
        <is>
          <t>Excursions – Dreamland</t>
        </is>
      </c>
      <c r="F221" t="n">
        <v>4010</v>
      </c>
      <c r="G221" t="inlineStr">
        <is>
          <t>2026-10-04</t>
        </is>
      </c>
      <c r="H221" t="inlineStr">
        <is>
          <t>official</t>
        </is>
      </c>
      <c r="I221" t="inlineStr">
        <is>
          <t>output/pages/010_dreamland-the-unique-sea-lake-resort-spa/excursions__dreamland.com.mv__activities-excursions.md</t>
        </is>
      </c>
    </row>
    <row r="222">
      <c r="A222" t="n">
        <v>4</v>
      </c>
      <c r="B222" t="inlineStr">
        <is>
          <t>Ayada Maldives</t>
        </is>
      </c>
      <c r="C222" t="inlineStr">
        <is>
          <t>https://www.ayadamaldives.com/secret-garden</t>
        </is>
      </c>
      <c r="D222" t="inlineStr">
        <is>
          <t>diving</t>
        </is>
      </c>
      <c r="E222" t="inlineStr">
        <is>
          <t>Secret Garden — Ayada Maldives - Official Website</t>
        </is>
      </c>
      <c r="F222" t="n">
        <v>1325</v>
      </c>
      <c r="G222" t="inlineStr">
        <is>
          <t>2026-10-04</t>
        </is>
      </c>
      <c r="H222" t="inlineStr">
        <is>
          <t>official</t>
        </is>
      </c>
      <c r="I222" t="inlineStr">
        <is>
          <t>output/pages/004_ayada-maldives/diving__ayadamaldives.com__secret-garden.md</t>
        </is>
      </c>
    </row>
    <row r="223">
      <c r="A223" t="n">
        <v>9</v>
      </c>
      <c r="B223" t="inlineStr">
        <is>
          <t>Amilla Fushi</t>
        </is>
      </c>
      <c r="C223" t="inlineStr">
        <is>
          <t>https://amilla.com/maldives-villas/two-bedroom-beach-villa/</t>
        </is>
      </c>
      <c r="D223" t="inlineStr">
        <is>
          <t>diving</t>
        </is>
      </c>
      <c r="E223" t="inlineStr">
        <is>
          <t>Two Bedroom Beach Villa | Amilla Resort | Beach Pool Villa</t>
        </is>
      </c>
      <c r="F223" t="n">
        <v>1771</v>
      </c>
      <c r="G223" t="inlineStr">
        <is>
          <t>2026-10-04</t>
        </is>
      </c>
      <c r="H223" t="inlineStr">
        <is>
          <t>official</t>
        </is>
      </c>
      <c r="I223" t="inlineStr">
        <is>
          <t>output/pages/009_amilla-fushi/diving__amilla.com__maldives-villas-two-bedroom-beach-villa.md</t>
        </is>
      </c>
    </row>
    <row r="224">
      <c r="A224" t="n">
        <v>3</v>
      </c>
      <c r="B224" t="inlineStr">
        <is>
          <t>Adaaran Select Hudhuranfushi</t>
        </is>
      </c>
      <c r="C224" t="inlineStr">
        <is>
          <t>https://www.adaaran.com/selecthudhuranfushi/dining/</t>
        </is>
      </c>
      <c r="D224" t="inlineStr">
        <is>
          <t>dining</t>
        </is>
      </c>
      <c r="E224" t="inlineStr">
        <is>
          <t>Maldives Restaurants | Dining at Adaaran Select Hudhuranfushi</t>
        </is>
      </c>
      <c r="F224" t="n">
        <v>1136</v>
      </c>
      <c r="G224" t="inlineStr">
        <is>
          <t>2026-10-04</t>
        </is>
      </c>
      <c r="H224" t="inlineStr">
        <is>
          <t>official</t>
        </is>
      </c>
      <c r="I224" t="inlineStr">
        <is>
          <t>output/pages/003_adaaran-select-hudhuranfushi/dining__adaaran.com__selecthudhuranfushi-dining.md</t>
        </is>
      </c>
    </row>
    <row r="225">
      <c r="A225" t="n">
        <v>4</v>
      </c>
      <c r="B225" t="inlineStr">
        <is>
          <t>Ayada Maldives</t>
        </is>
      </c>
      <c r="C225" t="inlineStr">
        <is>
          <t>https://www.ayadamaldives.com/get-inspired</t>
        </is>
      </c>
      <c r="D225" t="inlineStr">
        <is>
          <t>diving</t>
        </is>
      </c>
      <c r="E225" t="inlineStr">
        <is>
          <t>Get Inspired — Ayada Maldives - Official Website</t>
        </is>
      </c>
      <c r="F225" t="n">
        <v>1556</v>
      </c>
      <c r="G225" t="inlineStr">
        <is>
          <t>2026-10-04</t>
        </is>
      </c>
      <c r="H225" t="inlineStr">
        <is>
          <t>official</t>
        </is>
      </c>
      <c r="I225" t="inlineStr">
        <is>
          <t>output/pages/004_ayada-maldives/diving__ayadamaldives.com__get-inspired.md</t>
        </is>
      </c>
    </row>
    <row r="226">
      <c r="A226" t="n">
        <v>9</v>
      </c>
      <c r="B226" t="inlineStr">
        <is>
          <t>Amilla Fushi</t>
        </is>
      </c>
      <c r="C226" t="inlineStr">
        <is>
          <t>https://amilla.com/maldives-villas/two-bedroom-maldives-family-villas/</t>
        </is>
      </c>
      <c r="D226" t="inlineStr">
        <is>
          <t>diving</t>
        </is>
      </c>
      <c r="E226" t="inlineStr">
        <is>
          <t>2 Bedroom Overwater Villa Maldives | Amilla Maldives Resort | Pool Villa</t>
        </is>
      </c>
      <c r="F226" t="n">
        <v>1396</v>
      </c>
      <c r="G226" t="inlineStr">
        <is>
          <t>2026-10-04</t>
        </is>
      </c>
      <c r="H226" t="inlineStr">
        <is>
          <t>official</t>
        </is>
      </c>
      <c r="I226" t="inlineStr">
        <is>
          <t>output/pages/009_amilla-fushi/diving__amilla.com__maldives-villas-two-bedroom-maldives-family-villas.md</t>
        </is>
      </c>
    </row>
    <row r="227">
      <c r="A227" t="n">
        <v>4</v>
      </c>
      <c r="B227" t="inlineStr">
        <is>
          <t>Ayada Maldives</t>
        </is>
      </c>
      <c r="C227" t="inlineStr">
        <is>
          <t>https://www.ayadamaldives.com/new-blog/2019/7/10/the-perfect-first-family-vacation</t>
        </is>
      </c>
      <c r="D227" t="inlineStr">
        <is>
          <t>diving</t>
        </is>
      </c>
      <c r="E227" t="inlineStr">
        <is>
          <t>The perfect first family vacation — Ayada Maldives - Official Website</t>
        </is>
      </c>
      <c r="F227" t="n">
        <v>1208</v>
      </c>
      <c r="G227" t="inlineStr">
        <is>
          <t>2026-10-04</t>
        </is>
      </c>
      <c r="H227" t="inlineStr">
        <is>
          <t>official</t>
        </is>
      </c>
      <c r="I227" t="inlineStr">
        <is>
          <t>output/pages/004_ayada-maldives/diving__ayadamaldives.com__new-blog-2019-7-10-the-perfect-first-family-vacation.md</t>
        </is>
      </c>
    </row>
    <row r="228">
      <c r="A228" t="n">
        <v>10</v>
      </c>
      <c r="B228" t="inlineStr">
        <is>
          <t>Dreamland - The Unique Sea &amp; Lake Resort/Spa</t>
        </is>
      </c>
      <c r="C228" t="inlineStr">
        <is>
          <t>https://dreamland.com.mv/activities/water-sports/</t>
        </is>
      </c>
      <c r="D228" t="inlineStr">
        <is>
          <t>diving</t>
        </is>
      </c>
      <c r="E228" t="inlineStr">
        <is>
          <t>Water Sports – Dreamland</t>
        </is>
      </c>
      <c r="F228" t="n">
        <v>1868</v>
      </c>
      <c r="G228" t="inlineStr">
        <is>
          <t>2026-10-04</t>
        </is>
      </c>
      <c r="H228" t="inlineStr">
        <is>
          <t>official</t>
        </is>
      </c>
      <c r="I228" t="inlineStr">
        <is>
          <t>output/pages/010_dreamland-the-unique-sea-lake-resort-spa/diving__dreamland.com.mv__activities-water-sports.md</t>
        </is>
      </c>
    </row>
    <row r="229">
      <c r="A229" t="n">
        <v>9</v>
      </c>
      <c r="B229" t="inlineStr">
        <is>
          <t>Amilla Fushi</t>
        </is>
      </c>
      <c r="C229" t="inlineStr">
        <is>
          <t>https://amilla.com/maldives-accommodations/</t>
        </is>
      </c>
      <c r="D229" t="inlineStr">
        <is>
          <t>diving</t>
        </is>
      </c>
      <c r="E229" t="inlineStr">
        <is>
          <t>Five Star Maldives Resorts | Villas &amp; Residences | Amilla Maldives</t>
        </is>
      </c>
      <c r="F229" t="n">
        <v>3824</v>
      </c>
      <c r="G229" t="inlineStr">
        <is>
          <t>2026-10-04</t>
        </is>
      </c>
      <c r="H229" t="inlineStr">
        <is>
          <t>official</t>
        </is>
      </c>
      <c r="I229" t="inlineStr">
        <is>
          <t>output/pages/009_amilla-fushi/diving__amilla.com__maldives-accommodations.md</t>
        </is>
      </c>
    </row>
    <row r="230">
      <c r="A230" t="n">
        <v>4</v>
      </c>
      <c r="B230" t="inlineStr">
        <is>
          <t>Ayada Maldives</t>
        </is>
      </c>
      <c r="C230" t="inlineStr">
        <is>
          <t>https://www.ayadamaldives.com/safety</t>
        </is>
      </c>
      <c r="D230" t="inlineStr">
        <is>
          <t>diving</t>
        </is>
      </c>
      <c r="E230" t="inlineStr">
        <is>
          <t>Safety guidelines — Ayada Maldives - Official Website</t>
        </is>
      </c>
      <c r="F230" t="n">
        <v>1559</v>
      </c>
      <c r="G230" t="inlineStr">
        <is>
          <t>2026-10-04</t>
        </is>
      </c>
      <c r="H230" t="inlineStr">
        <is>
          <t>official</t>
        </is>
      </c>
      <c r="I230" t="inlineStr">
        <is>
          <t>output/pages/004_ayada-maldives/diving__ayadamaldives.com__safety.md</t>
        </is>
      </c>
    </row>
    <row r="231">
      <c r="A231" t="n">
        <v>3</v>
      </c>
      <c r="B231" t="inlineStr">
        <is>
          <t>Adaaran Select Hudhuranfushi</t>
        </is>
      </c>
      <c r="C231" t="inlineStr">
        <is>
          <t>https://www.adaaran.com/selecthudhuranfushi/villas/</t>
        </is>
      </c>
      <c r="D231" t="inlineStr">
        <is>
          <t>diving</t>
        </is>
      </c>
      <c r="E231" t="inlineStr">
        <is>
          <t>Luxury Maldives Resort | Accommodation at Adaaran Select Hudhuranfushi</t>
        </is>
      </c>
      <c r="F231" t="n">
        <v>2223</v>
      </c>
      <c r="G231" t="inlineStr">
        <is>
          <t>2026-10-04</t>
        </is>
      </c>
      <c r="H231" t="inlineStr">
        <is>
          <t>official</t>
        </is>
      </c>
      <c r="I231" t="inlineStr">
        <is>
          <t>output/pages/003_adaaran-select-hudhuranfushi/diving__adaaran.com__selecthudhuranfushi-villas.md</t>
        </is>
      </c>
    </row>
    <row r="232">
      <c r="A232" t="n">
        <v>4</v>
      </c>
      <c r="B232" t="inlineStr">
        <is>
          <t>Ayada Maldives</t>
        </is>
      </c>
      <c r="C232" t="inlineStr">
        <is>
          <t>https://www.ayadamaldives.com/new-blog/2021/9/21/tips-on-making-a-reservation-at-ayada-maldives</t>
        </is>
      </c>
      <c r="D232" t="inlineStr">
        <is>
          <t>diving</t>
        </is>
      </c>
      <c r="E232" t="inlineStr">
        <is>
          <t>Tips on making a reservation at Ayada Maldives — Ayada Maldives - Official Website</t>
        </is>
      </c>
      <c r="F232" t="n">
        <v>5042</v>
      </c>
      <c r="G232" t="inlineStr">
        <is>
          <t>2026-10-04</t>
        </is>
      </c>
      <c r="H232" t="inlineStr">
        <is>
          <t>official</t>
        </is>
      </c>
      <c r="I232" t="inlineStr">
        <is>
          <t>output/pages/004_ayada-maldives/diving__ayadamaldives.com__new-blog-2021-9-21-tips-on-making-a-reservation-at-ayada-mal.md</t>
        </is>
      </c>
    </row>
    <row r="233">
      <c r="A233" t="n">
        <v>10</v>
      </c>
      <c r="B233" t="inlineStr">
        <is>
          <t>Dreamland - The Unique Sea &amp; Lake Resort/Spa</t>
        </is>
      </c>
      <c r="C233" t="inlineStr">
        <is>
          <t>https://dreamland.com.mv/dining/lake-view-restaurant/</t>
        </is>
      </c>
      <c r="D233" t="inlineStr">
        <is>
          <t>dining</t>
        </is>
      </c>
      <c r="E233" t="inlineStr">
        <is>
          <t>Lake View Restaurant – Dreamland</t>
        </is>
      </c>
      <c r="F233" t="n">
        <v>608</v>
      </c>
      <c r="G233" t="inlineStr">
        <is>
          <t>2026-10-04</t>
        </is>
      </c>
      <c r="H233" t="inlineStr">
        <is>
          <t>official</t>
        </is>
      </c>
      <c r="I233" t="inlineStr">
        <is>
          <t>output/pages/010_dreamland-the-unique-sea-lake-resort-spa/dining__dreamland.com.mv__dining-lake-view-restaurant.md</t>
        </is>
      </c>
    </row>
    <row r="234">
      <c r="A234" t="n">
        <v>4</v>
      </c>
      <c r="B234" t="inlineStr">
        <is>
          <t>Ayada Maldives</t>
        </is>
      </c>
      <c r="C234" t="inlineStr">
        <is>
          <t>https://www.ayadamaldives.com/beach-family-suite</t>
        </is>
      </c>
      <c r="D234" t="inlineStr">
        <is>
          <t>diving</t>
        </is>
      </c>
      <c r="E234" t="inlineStr">
        <is>
          <t>Beach Family Suite with Pool — Ayada Maldives - Official Website</t>
        </is>
      </c>
      <c r="F234" t="n">
        <v>942</v>
      </c>
      <c r="G234" t="inlineStr">
        <is>
          <t>2026-10-04</t>
        </is>
      </c>
      <c r="H234" t="inlineStr">
        <is>
          <t>official</t>
        </is>
      </c>
      <c r="I234" t="inlineStr">
        <is>
          <t>output/pages/004_ayada-maldives/diving__ayadamaldives.com__beach-family-suite.md</t>
        </is>
      </c>
    </row>
    <row r="235">
      <c r="A235" t="n">
        <v>10</v>
      </c>
      <c r="B235" t="inlineStr">
        <is>
          <t>Dreamland - The Unique Sea &amp; Lake Resort/Spa</t>
        </is>
      </c>
      <c r="C235" t="inlineStr">
        <is>
          <t>https://dreamland.com.mv/activities/diving/</t>
        </is>
      </c>
      <c r="D235" t="inlineStr">
        <is>
          <t>diving</t>
        </is>
      </c>
      <c r="E235" t="inlineStr">
        <is>
          <t>Diving – Dreamland</t>
        </is>
      </c>
      <c r="F235" t="n">
        <v>7389</v>
      </c>
      <c r="G235" t="inlineStr">
        <is>
          <t>2026-10-04</t>
        </is>
      </c>
      <c r="H235" t="inlineStr">
        <is>
          <t>official</t>
        </is>
      </c>
      <c r="I235" t="inlineStr">
        <is>
          <t>output/pages/010_dreamland-the-unique-sea-lake-resort-spa/diving__dreamland.com.mv__activities-diving.md</t>
        </is>
      </c>
    </row>
    <row r="236">
      <c r="A236" t="n">
        <v>9</v>
      </c>
      <c r="B236" t="inlineStr">
        <is>
          <t>Amilla Fushi</t>
        </is>
      </c>
      <c r="C236" t="inlineStr">
        <is>
          <t>https://amilla.com/maldives-offers/</t>
        </is>
      </c>
      <c r="D236" t="inlineStr">
        <is>
          <t>diving</t>
        </is>
      </c>
      <c r="E236" t="inlineStr">
        <is>
          <t>Maldives Hotel Offers | Maldives Offers at Amilla Maldives</t>
        </is>
      </c>
      <c r="F236" t="n">
        <v>3930</v>
      </c>
      <c r="G236" t="inlineStr">
        <is>
          <t>2026-10-04</t>
        </is>
      </c>
      <c r="H236" t="inlineStr">
        <is>
          <t>official</t>
        </is>
      </c>
      <c r="I236" t="inlineStr">
        <is>
          <t>output/pages/009_amilla-fushi/diving__amilla.com__maldives-offers.md</t>
        </is>
      </c>
    </row>
    <row r="237">
      <c r="A237" t="n">
        <v>4</v>
      </c>
      <c r="B237" t="inlineStr">
        <is>
          <t>Ayada Maldives</t>
        </is>
      </c>
      <c r="C237" t="inlineStr">
        <is>
          <t>https://www.ayadamaldives.com/new-blog/category/Trending</t>
        </is>
      </c>
      <c r="D237" t="inlineStr">
        <is>
          <t>diving</t>
        </is>
      </c>
      <c r="E237" t="inlineStr">
        <is>
          <t>Trending — New Blog — Ayada Maldives - Official Website</t>
        </is>
      </c>
      <c r="F237" t="n">
        <v>2104</v>
      </c>
      <c r="G237" t="inlineStr">
        <is>
          <t>2026-10-04</t>
        </is>
      </c>
      <c r="H237" t="inlineStr">
        <is>
          <t>official</t>
        </is>
      </c>
      <c r="I237" t="inlineStr">
        <is>
          <t>output/pages/004_ayada-maldives/diving__ayadamaldives.com__new-blog-category-trending.md</t>
        </is>
      </c>
    </row>
    <row r="238">
      <c r="A238" t="n">
        <v>10</v>
      </c>
      <c r="B238" t="inlineStr">
        <is>
          <t>Dreamland - The Unique Sea &amp; Lake Resort/Spa</t>
        </is>
      </c>
      <c r="C238" t="inlineStr">
        <is>
          <t>https://dreamland.com.mv/stay/</t>
        </is>
      </c>
      <c r="D238" t="inlineStr">
        <is>
          <t>villas</t>
        </is>
      </c>
      <c r="E238" t="inlineStr">
        <is>
          <t>Dream Stay – Dreamland</t>
        </is>
      </c>
      <c r="F238" t="n">
        <v>1645</v>
      </c>
      <c r="G238" t="inlineStr">
        <is>
          <t>2026-10-04</t>
        </is>
      </c>
      <c r="H238" t="inlineStr">
        <is>
          <t>official</t>
        </is>
      </c>
      <c r="I238" t="inlineStr">
        <is>
          <t>output/pages/010_dreamland-the-unique-sea-lake-resort-spa/villas__dreamland.com.mv__stay.md</t>
        </is>
      </c>
    </row>
    <row r="239">
      <c r="A239" t="n">
        <v>4</v>
      </c>
      <c r="B239" t="inlineStr">
        <is>
          <t>Ayada Maldives</t>
        </is>
      </c>
      <c r="C239" t="inlineStr">
        <is>
          <t>https://www.ayadamaldives.com/private-dining</t>
        </is>
      </c>
      <c r="D239" t="inlineStr">
        <is>
          <t>dining</t>
        </is>
      </c>
      <c r="E239" t="inlineStr">
        <is>
          <t>Private dining — Ayada Maldives - Official Website</t>
        </is>
      </c>
      <c r="F239" t="n">
        <v>893</v>
      </c>
      <c r="G239" t="inlineStr">
        <is>
          <t>2026-10-04</t>
        </is>
      </c>
      <c r="H239" t="inlineStr">
        <is>
          <t>official</t>
        </is>
      </c>
      <c r="I239" t="inlineStr">
        <is>
          <t>output/pages/004_ayada-maldives/dining__ayadamaldives.com__private-dining.md</t>
        </is>
      </c>
    </row>
    <row r="240">
      <c r="A240" t="n">
        <v>9</v>
      </c>
      <c r="B240" t="inlineStr">
        <is>
          <t>Amilla Fushi</t>
        </is>
      </c>
      <c r="C240" t="inlineStr">
        <is>
          <t>https://amilla.com/maldives-faq/</t>
        </is>
      </c>
      <c r="D240" t="inlineStr">
        <is>
          <t>diving</t>
        </is>
      </c>
      <c r="E240" t="inlineStr">
        <is>
          <t>Maldives FAQs | Amilla Maldives</t>
        </is>
      </c>
      <c r="F240" t="n">
        <v>13244</v>
      </c>
      <c r="G240" t="inlineStr">
        <is>
          <t>2026-10-04</t>
        </is>
      </c>
      <c r="H240" t="inlineStr">
        <is>
          <t>official</t>
        </is>
      </c>
      <c r="I240" t="inlineStr">
        <is>
          <t>output/pages/009_amilla-fushi/diving__amilla.com__maldives-faq.md</t>
        </is>
      </c>
    </row>
    <row r="241">
      <c r="A241" t="n">
        <v>4</v>
      </c>
      <c r="B241" t="inlineStr">
        <is>
          <t>Ayada Maldives</t>
        </is>
      </c>
      <c r="C241" t="inlineStr">
        <is>
          <t>https://www.ayadamaldives.com/new-blog/2019/11/21/odf9e16wjf0wzxnfdzgkgbj463f6wf</t>
        </is>
      </c>
      <c r="D241" t="inlineStr">
        <is>
          <t>diving</t>
        </is>
      </c>
      <c r="E241" t="inlineStr">
        <is>
          <t>If breakfast in the pool is not your thing, why not try our floating sundowners instead? — Ayada Maldives - Official Web</t>
        </is>
      </c>
      <c r="F241" t="n">
        <v>1035</v>
      </c>
      <c r="G241" t="inlineStr">
        <is>
          <t>2026-10-04</t>
        </is>
      </c>
      <c r="H241" t="inlineStr">
        <is>
          <t>official</t>
        </is>
      </c>
      <c r="I241" t="inlineStr">
        <is>
          <t>output/pages/004_ayada-maldives/diving__ayadamaldives.com__new-blog-2019-11-21-odf9e16wjf0wzxnfdzgkgbj463f6wf.md</t>
        </is>
      </c>
    </row>
    <row r="242">
      <c r="A242" t="n">
        <v>4</v>
      </c>
      <c r="B242" t="inlineStr">
        <is>
          <t>Ayada Maldives</t>
        </is>
      </c>
      <c r="C242" t="inlineStr">
        <is>
          <t>https://www.ayadamaldives.com/spa</t>
        </is>
      </c>
      <c r="D242" t="inlineStr">
        <is>
          <t>spa</t>
        </is>
      </c>
      <c r="E242" t="inlineStr">
        <is>
          <t>AySpa — Ayada Maldives - Official Website</t>
        </is>
      </c>
      <c r="F242" t="n">
        <v>1274</v>
      </c>
      <c r="G242" t="inlineStr">
        <is>
          <t>2026-10-04</t>
        </is>
      </c>
      <c r="H242" t="inlineStr">
        <is>
          <t>official</t>
        </is>
      </c>
      <c r="I242" t="inlineStr">
        <is>
          <t>output/pages/004_ayada-maldives/spa__ayadamaldives.com__spa.md</t>
        </is>
      </c>
    </row>
    <row r="243">
      <c r="A243" t="n">
        <v>9</v>
      </c>
      <c r="B243" t="inlineStr">
        <is>
          <t>Amilla Fushi</t>
        </is>
      </c>
      <c r="C243" t="inlineStr">
        <is>
          <t>https://amilla.com/maldives-sustainability/</t>
        </is>
      </c>
      <c r="D243" t="inlineStr">
        <is>
          <t>diving</t>
        </is>
      </c>
      <c r="E243" t="inlineStr">
        <is>
          <t>Eco Friendly Resort Maldives | Sustainability | Amilla Maldives</t>
        </is>
      </c>
      <c r="F243" t="n">
        <v>4899</v>
      </c>
      <c r="G243" t="inlineStr">
        <is>
          <t>2026-10-04</t>
        </is>
      </c>
      <c r="H243" t="inlineStr">
        <is>
          <t>official</t>
        </is>
      </c>
      <c r="I243" t="inlineStr">
        <is>
          <t>output/pages/009_amilla-fushi/diving__amilla.com__maldives-sustainability.md</t>
        </is>
      </c>
    </row>
    <row r="244">
      <c r="A244" t="n">
        <v>10</v>
      </c>
      <c r="B244" t="inlineStr">
        <is>
          <t>Dreamland - The Unique Sea &amp; Lake Resort/Spa</t>
        </is>
      </c>
      <c r="C244" t="inlineStr">
        <is>
          <t>https://dreamland.com.mv/wedding/</t>
        </is>
      </c>
      <c r="D244" t="inlineStr">
        <is>
          <t>wedding</t>
        </is>
      </c>
      <c r="E244" t="inlineStr">
        <is>
          <t>Weddings – Dreamland</t>
        </is>
      </c>
      <c r="F244" t="n">
        <v>4050</v>
      </c>
      <c r="G244" t="inlineStr">
        <is>
          <t>2026-10-04</t>
        </is>
      </c>
      <c r="H244" t="inlineStr">
        <is>
          <t>official</t>
        </is>
      </c>
      <c r="I244" t="inlineStr">
        <is>
          <t>output/pages/010_dreamland-the-unique-sea-lake-resort-spa/wedding__dreamland.com.mv__wedding.md</t>
        </is>
      </c>
    </row>
    <row r="245">
      <c r="A245" t="n">
        <v>4</v>
      </c>
      <c r="B245" t="inlineStr">
        <is>
          <t>Ayada Maldives</t>
        </is>
      </c>
      <c r="C245" t="inlineStr">
        <is>
          <t>https://www.ayadamaldives.com/terms-conditions</t>
        </is>
      </c>
      <c r="D245" t="inlineStr">
        <is>
          <t>diving</t>
        </is>
      </c>
      <c r="E245" t="inlineStr">
        <is>
          <t>Terms &amp; Conditions — Ayada Maldives - Official Website</t>
        </is>
      </c>
      <c r="F245" t="n">
        <v>6918</v>
      </c>
      <c r="G245" t="inlineStr">
        <is>
          <t>2026-10-04</t>
        </is>
      </c>
      <c r="H245" t="inlineStr">
        <is>
          <t>official</t>
        </is>
      </c>
      <c r="I245" t="inlineStr">
        <is>
          <t>output/pages/004_ayada-maldives/diving__ayadamaldives.com__terms-conditions.md</t>
        </is>
      </c>
    </row>
    <row r="246">
      <c r="A246" t="n">
        <v>9</v>
      </c>
      <c r="B246" t="inlineStr">
        <is>
          <t>Amilla Fushi</t>
        </is>
      </c>
      <c r="C246" t="inlineStr">
        <is>
          <t>https://amilla.com/maldives-events/</t>
        </is>
      </c>
      <c r="D246" t="inlineStr">
        <is>
          <t>events</t>
        </is>
      </c>
      <c r="E246" t="inlineStr">
        <is>
          <t>Maldives Events | Amilla Resort and Residences Maldives</t>
        </is>
      </c>
      <c r="F246" t="n">
        <v>1874</v>
      </c>
      <c r="G246" t="inlineStr">
        <is>
          <t>2026-10-04</t>
        </is>
      </c>
      <c r="H246" t="inlineStr">
        <is>
          <t>official</t>
        </is>
      </c>
      <c r="I246" t="inlineStr">
        <is>
          <t>output/pages/009_amilla-fushi/events__amilla.com__maldives-events.md</t>
        </is>
      </c>
    </row>
    <row r="247">
      <c r="A247" t="n">
        <v>4</v>
      </c>
      <c r="B247" t="inlineStr">
        <is>
          <t>Ayada Maldives</t>
        </is>
      </c>
      <c r="C247" t="inlineStr">
        <is>
          <t>https://www.ayadamaldives.com/middle-east-experience</t>
        </is>
      </c>
      <c r="D247" t="inlineStr">
        <is>
          <t>diving</t>
        </is>
      </c>
      <c r="E247" t="inlineStr">
        <is>
          <t>Middle East experience — Ayada Maldives - Official Website</t>
        </is>
      </c>
      <c r="F247" t="n">
        <v>1702</v>
      </c>
      <c r="G247" t="inlineStr">
        <is>
          <t>2026-10-04</t>
        </is>
      </c>
      <c r="H247" t="inlineStr">
        <is>
          <t>official</t>
        </is>
      </c>
      <c r="I247" t="inlineStr">
        <is>
          <t>output/pages/004_ayada-maldives/diving__ayadamaldives.com__middle-east-experience.md</t>
        </is>
      </c>
    </row>
    <row r="248">
      <c r="A248" t="n">
        <v>10</v>
      </c>
      <c r="B248" t="inlineStr">
        <is>
          <t>Dreamland - The Unique Sea &amp; Lake Resort/Spa</t>
        </is>
      </c>
      <c r="C248" t="inlineStr">
        <is>
          <t>https://dreamland.com.mv/dining/</t>
        </is>
      </c>
      <c r="D248" t="inlineStr">
        <is>
          <t>dining</t>
        </is>
      </c>
      <c r="E248" t="inlineStr">
        <is>
          <t>Dream Dining – Dreamland</t>
        </is>
      </c>
      <c r="F248" t="n">
        <v>373</v>
      </c>
      <c r="G248" t="inlineStr">
        <is>
          <t>2026-10-04</t>
        </is>
      </c>
      <c r="H248" t="inlineStr">
        <is>
          <t>official</t>
        </is>
      </c>
      <c r="I248" t="inlineStr">
        <is>
          <t>output/pages/010_dreamland-the-unique-sea-lake-resort-spa/dining__dreamland.com.mv__dining.md</t>
        </is>
      </c>
    </row>
    <row r="249">
      <c r="A249" t="n">
        <v>9</v>
      </c>
      <c r="B249" t="inlineStr">
        <is>
          <t>Amilla Fushi</t>
        </is>
      </c>
      <c r="C249" t="inlineStr">
        <is>
          <t>https://amilla.com/amilla-people/</t>
        </is>
      </c>
      <c r="D249" t="inlineStr">
        <is>
          <t>diving</t>
        </is>
      </c>
      <c r="E249" t="inlineStr">
        <is>
          <t>Best Private Island in Maldives | People at Amilla Maldives</t>
        </is>
      </c>
      <c r="F249" t="n">
        <v>3387</v>
      </c>
      <c r="G249" t="inlineStr">
        <is>
          <t>2026-10-04</t>
        </is>
      </c>
      <c r="H249" t="inlineStr">
        <is>
          <t>official</t>
        </is>
      </c>
      <c r="I249" t="inlineStr">
        <is>
          <t>output/pages/009_amilla-fushi/diving__amilla.com__amilla-people.md</t>
        </is>
      </c>
    </row>
    <row r="250">
      <c r="A250" t="n">
        <v>3</v>
      </c>
      <c r="B250" t="inlineStr">
        <is>
          <t>Adaaran Select Hudhuranfushi</t>
        </is>
      </c>
      <c r="C250" t="inlineStr">
        <is>
          <t>https://www.adaaran.com/selecthudhuranfushi/view-download/?id=kids-act-list</t>
        </is>
      </c>
      <c r="D250" t="inlineStr">
        <is>
          <t>downloads</t>
        </is>
      </c>
      <c r="E250" t="inlineStr"/>
      <c r="F250" t="n">
        <v>181493</v>
      </c>
      <c r="G250" t="inlineStr">
        <is>
          <t>2026-10-04</t>
        </is>
      </c>
      <c r="H250" t="inlineStr">
        <is>
          <t>official</t>
        </is>
      </c>
      <c r="I250" t="inlineStr">
        <is>
          <t>output/pages/003_adaaran-select-hudhuranfushi/downloads__adaaran.com__selecthudhuranfushi-view-download.md</t>
        </is>
      </c>
    </row>
    <row r="251">
      <c r="A251" t="n">
        <v>4</v>
      </c>
      <c r="B251" t="inlineStr">
        <is>
          <t>Ayada Maldives</t>
        </is>
      </c>
      <c r="C251" t="inlineStr">
        <is>
          <t>https://www.ayadamaldives.com/excursions</t>
        </is>
      </c>
      <c r="D251" t="inlineStr">
        <is>
          <t>diving</t>
        </is>
      </c>
      <c r="E251" t="inlineStr">
        <is>
          <t>Excursions — Ayada Maldives - Official Website</t>
        </is>
      </c>
      <c r="F251" t="n">
        <v>1461</v>
      </c>
      <c r="G251" t="inlineStr">
        <is>
          <t>2026-10-04</t>
        </is>
      </c>
      <c r="H251" t="inlineStr">
        <is>
          <t>official</t>
        </is>
      </c>
      <c r="I251" t="inlineStr">
        <is>
          <t>output/pages/004_ayada-maldives/diving__ayadamaldives.com__excursions.md</t>
        </is>
      </c>
    </row>
    <row r="252">
      <c r="A252" t="n">
        <v>10</v>
      </c>
      <c r="B252" t="inlineStr">
        <is>
          <t>Dreamland - The Unique Sea &amp; Lake Resort/Spa</t>
        </is>
      </c>
      <c r="C252" t="inlineStr">
        <is>
          <t>https://dreamland.com.mv/dining/beach-bar/</t>
        </is>
      </c>
      <c r="D252" t="inlineStr">
        <is>
          <t>dining</t>
        </is>
      </c>
      <c r="E252" t="inlineStr">
        <is>
          <t>Beach Bar – Dreamland</t>
        </is>
      </c>
      <c r="F252" t="n">
        <v>490</v>
      </c>
      <c r="G252" t="inlineStr">
        <is>
          <t>2026-10-04</t>
        </is>
      </c>
      <c r="H252" t="inlineStr">
        <is>
          <t>official</t>
        </is>
      </c>
      <c r="I252" t="inlineStr">
        <is>
          <t>output/pages/010_dreamland-the-unique-sea-lake-resort-spa/dining__dreamland.com.mv__dining-beach-bar.md</t>
        </is>
      </c>
    </row>
    <row r="253">
      <c r="A253" t="n">
        <v>4</v>
      </c>
      <c r="B253" t="inlineStr">
        <is>
          <t>Ayada Maldives</t>
        </is>
      </c>
      <c r="C253" t="inlineStr">
        <is>
          <t>https://www.ayadamaldives.com/store-items/floating-breakfast</t>
        </is>
      </c>
      <c r="D253" t="inlineStr">
        <is>
          <t>diving</t>
        </is>
      </c>
      <c r="E253" t="inlineStr">
        <is>
          <t>Floating Breakfast — Ayada Maldives - Official Website</t>
        </is>
      </c>
      <c r="F253" t="n">
        <v>394</v>
      </c>
      <c r="G253" t="inlineStr">
        <is>
          <t>2026-10-04</t>
        </is>
      </c>
      <c r="H253" t="inlineStr">
        <is>
          <t>official</t>
        </is>
      </c>
      <c r="I253" t="inlineStr">
        <is>
          <t>output/pages/004_ayada-maldives/diving__ayadamaldives.com__store-items-floating-breakfast.md</t>
        </is>
      </c>
    </row>
    <row r="254">
      <c r="A254" t="n">
        <v>9</v>
      </c>
      <c r="B254" t="inlineStr">
        <is>
          <t>Amilla Fushi</t>
        </is>
      </c>
      <c r="C254" t="inlineStr">
        <is>
          <t>https://amilla.com/maldives-luxury-villas/</t>
        </is>
      </c>
      <c r="D254" t="inlineStr">
        <is>
          <t>diving</t>
        </is>
      </c>
      <c r="E254" t="inlineStr">
        <is>
          <t>Maldives Five Star Resorts | Beach &amp; Pool Villas at Amilla Maldives</t>
        </is>
      </c>
      <c r="F254" t="n">
        <v>2843</v>
      </c>
      <c r="G254" t="inlineStr">
        <is>
          <t>2026-10-04</t>
        </is>
      </c>
      <c r="H254" t="inlineStr">
        <is>
          <t>official</t>
        </is>
      </c>
      <c r="I254" t="inlineStr">
        <is>
          <t>output/pages/009_amilla-fushi/diving__amilla.com__maldives-luxury-villas.md</t>
        </is>
      </c>
    </row>
    <row r="255">
      <c r="A255" t="n">
        <v>10</v>
      </c>
      <c r="B255" t="inlineStr">
        <is>
          <t>Dreamland - The Unique Sea &amp; Lake Resort/Spa</t>
        </is>
      </c>
      <c r="C255" t="inlineStr">
        <is>
          <t>https://dreamland.com.mv/activities/other-facilities/</t>
        </is>
      </c>
      <c r="D255" t="inlineStr">
        <is>
          <t>excursions</t>
        </is>
      </c>
      <c r="E255" t="inlineStr">
        <is>
          <t>Other Facilities – Dreamland</t>
        </is>
      </c>
      <c r="F255" t="n">
        <v>1133</v>
      </c>
      <c r="G255" t="inlineStr">
        <is>
          <t>2026-10-04</t>
        </is>
      </c>
      <c r="H255" t="inlineStr">
        <is>
          <t>official</t>
        </is>
      </c>
      <c r="I255" t="inlineStr">
        <is>
          <t>output/pages/010_dreamland-the-unique-sea-lake-resort-spa/excursions__dreamland.com.mv__activities-other-facilities.md</t>
        </is>
      </c>
    </row>
    <row r="256">
      <c r="A256" t="n">
        <v>4</v>
      </c>
      <c r="B256" t="inlineStr">
        <is>
          <t>Ayada Maldives</t>
        </is>
      </c>
      <c r="C256" t="inlineStr">
        <is>
          <t>https://www.ayadamaldives.com/new-blog/2025/5/15/how-to-choose-the-perfect-maldives-resort</t>
        </is>
      </c>
      <c r="D256" t="inlineStr">
        <is>
          <t>diving</t>
        </is>
      </c>
      <c r="E256" t="inlineStr">
        <is>
          <t>How to Choose the Perfect Maldives Resort — Ayada Maldives - Official Website</t>
        </is>
      </c>
      <c r="F256" t="n">
        <v>2851</v>
      </c>
      <c r="G256" t="inlineStr">
        <is>
          <t>2026-10-04</t>
        </is>
      </c>
      <c r="H256" t="inlineStr">
        <is>
          <t>official</t>
        </is>
      </c>
      <c r="I256" t="inlineStr">
        <is>
          <t>output/pages/004_ayada-maldives/diving__ayadamaldives.com__new-blog-2025-5-15-how-to-choose-the-perfect-maldives-resort.md</t>
        </is>
      </c>
    </row>
    <row r="257">
      <c r="A257" t="n">
        <v>10</v>
      </c>
      <c r="B257" t="inlineStr">
        <is>
          <t>Dreamland - The Unique Sea &amp; Lake Resort/Spa</t>
        </is>
      </c>
      <c r="C257" t="inlineStr">
        <is>
          <t>https://dreamland.com.mv/terms-conditions/</t>
        </is>
      </c>
      <c r="D257" t="inlineStr">
        <is>
          <t>other</t>
        </is>
      </c>
      <c r="E257" t="inlineStr">
        <is>
          <t>Terms &amp; Conditions – Dreamland</t>
        </is>
      </c>
      <c r="F257" t="n">
        <v>22935</v>
      </c>
      <c r="G257" t="inlineStr">
        <is>
          <t>2026-10-04</t>
        </is>
      </c>
      <c r="H257" t="inlineStr">
        <is>
          <t>official</t>
        </is>
      </c>
      <c r="I257" t="inlineStr">
        <is>
          <t>output/pages/010_dreamland-the-unique-sea-lake-resort-spa/other__dreamland.com.mv__terms-conditions.md</t>
        </is>
      </c>
    </row>
    <row r="258">
      <c r="A258" t="n">
        <v>4</v>
      </c>
      <c r="B258" t="inlineStr">
        <is>
          <t>Ayada Maldives</t>
        </is>
      </c>
      <c r="C258" t="inlineStr">
        <is>
          <t>https://www.ayadamaldives.com/sunset-family-lagoon-suite</t>
        </is>
      </c>
      <c r="D258" t="inlineStr">
        <is>
          <t>diving</t>
        </is>
      </c>
      <c r="E258" t="inlineStr">
        <is>
          <t>Sunset Family Lagoon Suite with Pool — Ayada Maldives - Official Website</t>
        </is>
      </c>
      <c r="F258" t="n">
        <v>877</v>
      </c>
      <c r="G258" t="inlineStr">
        <is>
          <t>2026-10-04</t>
        </is>
      </c>
      <c r="H258" t="inlineStr">
        <is>
          <t>official</t>
        </is>
      </c>
      <c r="I258" t="inlineStr">
        <is>
          <t>output/pages/004_ayada-maldives/diving__ayadamaldives.com__sunset-family-lagoon-suite.md</t>
        </is>
      </c>
    </row>
    <row r="259">
      <c r="A259" t="n">
        <v>9</v>
      </c>
      <c r="B259" t="inlineStr">
        <is>
          <t>Amilla Fushi</t>
        </is>
      </c>
      <c r="C259" t="inlineStr">
        <is>
          <t>https://amilla.com/careers/</t>
        </is>
      </c>
      <c r="D259" t="inlineStr">
        <is>
          <t>diving</t>
        </is>
      </c>
      <c r="E259" t="inlineStr">
        <is>
          <t>Careers | Maldives island professions at Amilla Maldives</t>
        </is>
      </c>
      <c r="F259" t="n">
        <v>1797</v>
      </c>
      <c r="G259" t="inlineStr">
        <is>
          <t>2026-10-04</t>
        </is>
      </c>
      <c r="H259" t="inlineStr">
        <is>
          <t>official</t>
        </is>
      </c>
      <c r="I259" t="inlineStr">
        <is>
          <t>output/pages/009_amilla-fushi/diving__amilla.com__careers.md</t>
        </is>
      </c>
    </row>
    <row r="260">
      <c r="A260" t="n">
        <v>10</v>
      </c>
      <c r="B260" t="inlineStr">
        <is>
          <t>Dreamland - The Unique Sea &amp; Lake Resort/Spa</t>
        </is>
      </c>
      <c r="C260" t="inlineStr">
        <is>
          <t>https://dreamland.com.mv/activities/</t>
        </is>
      </c>
      <c r="D260" t="inlineStr">
        <is>
          <t>excursions</t>
        </is>
      </c>
      <c r="E260" t="inlineStr">
        <is>
          <t>Activities – Dreamland</t>
        </is>
      </c>
      <c r="F260" t="n">
        <v>776</v>
      </c>
      <c r="G260" t="inlineStr">
        <is>
          <t>2026-10-04</t>
        </is>
      </c>
      <c r="H260" t="inlineStr">
        <is>
          <t>official</t>
        </is>
      </c>
      <c r="I260" t="inlineStr">
        <is>
          <t>output/pages/010_dreamland-the-unique-sea-lake-resort-spa/excursions__dreamland.com.mv__activities.md</t>
        </is>
      </c>
    </row>
    <row r="261">
      <c r="A261" t="n">
        <v>9</v>
      </c>
      <c r="B261" t="inlineStr">
        <is>
          <t>Amilla Fushi</t>
        </is>
      </c>
      <c r="C261" t="inlineStr">
        <is>
          <t>https://amilla.com/maldives-villas/water-pool-villas/</t>
        </is>
      </c>
      <c r="D261" t="inlineStr">
        <is>
          <t>diving</t>
        </is>
      </c>
      <c r="E261" t="inlineStr">
        <is>
          <t>Water Villa with Pool Maldives | Sunset Water Pool Villa at Amilla</t>
        </is>
      </c>
      <c r="F261" t="n">
        <v>1310</v>
      </c>
      <c r="G261" t="inlineStr">
        <is>
          <t>2026-10-04</t>
        </is>
      </c>
      <c r="H261" t="inlineStr">
        <is>
          <t>official</t>
        </is>
      </c>
      <c r="I261" t="inlineStr">
        <is>
          <t>output/pages/009_amilla-fushi/diving__amilla.com__maldives-villas-water-pool-villas.md</t>
        </is>
      </c>
    </row>
    <row r="262">
      <c r="A262" t="n">
        <v>4</v>
      </c>
      <c r="B262" t="inlineStr">
        <is>
          <t>Ayada Maldives</t>
        </is>
      </c>
      <c r="C262" t="inlineStr">
        <is>
          <t>https://www.ayadamaldives.com/new-blog/2025/8/1/behind-the-scenes-sustainability-amp-island-farming-at-ayada</t>
        </is>
      </c>
      <c r="D262" t="inlineStr">
        <is>
          <t>diving</t>
        </is>
      </c>
      <c r="E262" t="inlineStr">
        <is>
          <t>Behind the Scenes: Sustainability &amp; Island Farming at Ayada — Ayada Maldives - Official Website</t>
        </is>
      </c>
      <c r="F262" t="n">
        <v>3307</v>
      </c>
      <c r="G262" t="inlineStr">
        <is>
          <t>2026-10-04</t>
        </is>
      </c>
      <c r="H262" t="inlineStr">
        <is>
          <t>official</t>
        </is>
      </c>
      <c r="I262" t="inlineStr">
        <is>
          <t>output/pages/004_ayada-maldives/diving__ayadamaldives.com__new-blog-2025-8-1-behind-the-scenes-sustainability-amp-islan.md</t>
        </is>
      </c>
    </row>
    <row r="263">
      <c r="A263" t="n">
        <v>10</v>
      </c>
      <c r="B263" t="inlineStr">
        <is>
          <t>Dreamland - The Unique Sea &amp; Lake Resort/Spa</t>
        </is>
      </c>
      <c r="C263" t="inlineStr">
        <is>
          <t>https://dreamland.com.mv/hotel-policy/</t>
        </is>
      </c>
      <c r="D263" t="inlineStr">
        <is>
          <t>other</t>
        </is>
      </c>
      <c r="E263" t="inlineStr">
        <is>
          <t>Hotel Policy – Dreamland</t>
        </is>
      </c>
      <c r="F263" t="n">
        <v>3810</v>
      </c>
      <c r="G263" t="inlineStr">
        <is>
          <t>2026-10-04</t>
        </is>
      </c>
      <c r="H263" t="inlineStr">
        <is>
          <t>official</t>
        </is>
      </c>
      <c r="I263" t="inlineStr">
        <is>
          <t>output/pages/010_dreamland-the-unique-sea-lake-resort-spa/other__dreamland.com.mv__hotel-policy.md</t>
        </is>
      </c>
    </row>
    <row r="264">
      <c r="A264" t="n">
        <v>4</v>
      </c>
      <c r="B264" t="inlineStr">
        <is>
          <t>Ayada Maldives</t>
        </is>
      </c>
      <c r="C264" t="inlineStr">
        <is>
          <t>https://www.ayadamaldives.com/clinic</t>
        </is>
      </c>
      <c r="D264" t="inlineStr">
        <is>
          <t>diving</t>
        </is>
      </c>
      <c r="E264" t="inlineStr">
        <is>
          <t>Resort Clinic — Ayada Maldives - Official Website</t>
        </is>
      </c>
      <c r="F264" t="n">
        <v>776</v>
      </c>
      <c r="G264" t="inlineStr">
        <is>
          <t>2026-10-04</t>
        </is>
      </c>
      <c r="H264" t="inlineStr">
        <is>
          <t>official</t>
        </is>
      </c>
      <c r="I264" t="inlineStr">
        <is>
          <t>output/pages/004_ayada-maldives/diving__ayadamaldives.com__clinic.md</t>
        </is>
      </c>
    </row>
    <row r="265">
      <c r="A265" t="n">
        <v>9</v>
      </c>
      <c r="B265" t="inlineStr">
        <is>
          <t>Amilla Fushi</t>
        </is>
      </c>
      <c r="C265" t="inlineStr">
        <is>
          <t>https://amilla.com/maldives-villas/one-bedroom-beach-villa/</t>
        </is>
      </c>
      <c r="D265" t="inlineStr">
        <is>
          <t>diving</t>
        </is>
      </c>
      <c r="E265" t="inlineStr">
        <is>
          <t>Best Beach Villas in Maldives | Beach Villa with Pool | Amilla Resort</t>
        </is>
      </c>
      <c r="F265" t="n">
        <v>1312</v>
      </c>
      <c r="G265" t="inlineStr">
        <is>
          <t>2026-10-04</t>
        </is>
      </c>
      <c r="H265" t="inlineStr">
        <is>
          <t>official</t>
        </is>
      </c>
      <c r="I265" t="inlineStr">
        <is>
          <t>output/pages/009_amilla-fushi/diving__amilla.com__maldives-villas-one-bedroom-beach-villa.md</t>
        </is>
      </c>
    </row>
    <row r="266">
      <c r="A266" t="n">
        <v>10</v>
      </c>
      <c r="B266" t="inlineStr">
        <is>
          <t>Dreamland - The Unique Sea &amp; Lake Resort/Spa</t>
        </is>
      </c>
      <c r="C266" t="inlineStr">
        <is>
          <t>https://dreamland.com.mv/plan-your-visit/</t>
        </is>
      </c>
      <c r="D266" t="inlineStr">
        <is>
          <t>other</t>
        </is>
      </c>
      <c r="E266" t="inlineStr">
        <is>
          <t>Plan your visit – Dreamland</t>
        </is>
      </c>
      <c r="F266" t="n">
        <v>2671</v>
      </c>
      <c r="G266" t="inlineStr">
        <is>
          <t>2026-10-04</t>
        </is>
      </c>
      <c r="H266" t="inlineStr">
        <is>
          <t>official</t>
        </is>
      </c>
      <c r="I266" t="inlineStr">
        <is>
          <t>output/pages/010_dreamland-the-unique-sea-lake-resort-spa/other__dreamland.com.mv__plan-your-visit.md</t>
        </is>
      </c>
    </row>
    <row r="267">
      <c r="A267" t="n">
        <v>9</v>
      </c>
      <c r="B267" t="inlineStr">
        <is>
          <t>Amilla Fushi</t>
        </is>
      </c>
      <c r="C267" t="inlineStr">
        <is>
          <t>https://amilla.com/maldives-residences/beach-resort-residences/</t>
        </is>
      </c>
      <c r="D267" t="inlineStr">
        <is>
          <t>diving</t>
        </is>
      </c>
      <c r="E267" t="inlineStr">
        <is>
          <t>Luxury Family Resorts Maldives | Beach Residences at Amilla</t>
        </is>
      </c>
      <c r="F267" t="n">
        <v>2463</v>
      </c>
      <c r="G267" t="inlineStr">
        <is>
          <t>2026-10-04</t>
        </is>
      </c>
      <c r="H267" t="inlineStr">
        <is>
          <t>official</t>
        </is>
      </c>
      <c r="I267" t="inlineStr">
        <is>
          <t>output/pages/009_amilla-fushi/diving__amilla.com__maldives-residences-beach-resort-residences.md</t>
        </is>
      </c>
    </row>
    <row r="268">
      <c r="A268" t="n">
        <v>10</v>
      </c>
      <c r="B268" t="inlineStr">
        <is>
          <t>Dreamland - The Unique Sea &amp; Lake Resort/Spa</t>
        </is>
      </c>
      <c r="C268" t="inlineStr">
        <is>
          <t>https://dreamland.com.mv/downloads/</t>
        </is>
      </c>
      <c r="D268" t="inlineStr">
        <is>
          <t>downloads</t>
        </is>
      </c>
      <c r="E268" t="inlineStr">
        <is>
          <t>Downloads – Dreamland</t>
        </is>
      </c>
      <c r="F268" t="n">
        <v>655</v>
      </c>
      <c r="G268" t="inlineStr">
        <is>
          <t>2026-10-04</t>
        </is>
      </c>
      <c r="H268" t="inlineStr">
        <is>
          <t>official</t>
        </is>
      </c>
      <c r="I268" t="inlineStr">
        <is>
          <t>output/pages/010_dreamland-the-unique-sea-lake-resort-spa/downloads__dreamland.com.mv__downloads.md</t>
        </is>
      </c>
    </row>
    <row r="269">
      <c r="A269" t="n">
        <v>9</v>
      </c>
      <c r="B269" t="inlineStr">
        <is>
          <t>Amilla Fushi</t>
        </is>
      </c>
      <c r="C269" t="inlineStr">
        <is>
          <t>https://amilla.com/maldives-residences/great-beach-residence-maldives/</t>
        </is>
      </c>
      <c r="D269" t="inlineStr">
        <is>
          <t>dining</t>
        </is>
      </c>
      <c r="E269" t="inlineStr">
        <is>
          <t>Best Hotels in Maldives for Families | Great Residence at Amilla</t>
        </is>
      </c>
      <c r="F269" t="n">
        <v>2638</v>
      </c>
      <c r="G269" t="inlineStr">
        <is>
          <t>2026-10-04</t>
        </is>
      </c>
      <c r="H269" t="inlineStr">
        <is>
          <t>official</t>
        </is>
      </c>
      <c r="I269" t="inlineStr">
        <is>
          <t>output/pages/009_amilla-fushi/dining__amilla.com__maldives-residences-great-beach-residence-maldives.md</t>
        </is>
      </c>
    </row>
    <row r="270">
      <c r="A270" t="n">
        <v>10</v>
      </c>
      <c r="B270" t="inlineStr">
        <is>
          <t>Dreamland - The Unique Sea &amp; Lake Resort/Spa</t>
        </is>
      </c>
      <c r="C270" t="inlineStr">
        <is>
          <t>https://dreamland.com.mv/spa/</t>
        </is>
      </c>
      <c r="D270" t="inlineStr">
        <is>
          <t>spa</t>
        </is>
      </c>
      <c r="E270" t="inlineStr">
        <is>
          <t>Duny Thai Spa – Dreamland</t>
        </is>
      </c>
      <c r="F270" t="n">
        <v>8277</v>
      </c>
      <c r="G270" t="inlineStr">
        <is>
          <t>2026-10-04</t>
        </is>
      </c>
      <c r="H270" t="inlineStr">
        <is>
          <t>official</t>
        </is>
      </c>
      <c r="I270" t="inlineStr">
        <is>
          <t>output/pages/010_dreamland-the-unique-sea-lake-resort-spa/spa__dreamland.com.mv__spa.md</t>
        </is>
      </c>
    </row>
    <row r="271">
      <c r="A271" t="n">
        <v>9</v>
      </c>
      <c r="B271" t="inlineStr">
        <is>
          <t>Amilla Fushi</t>
        </is>
      </c>
      <c r="C271" t="inlineStr">
        <is>
          <t>https://amilla.com/luxury-spa-maldives/</t>
        </is>
      </c>
      <c r="D271" t="inlineStr">
        <is>
          <t>spa</t>
        </is>
      </c>
      <c r="E271" t="inlineStr">
        <is>
          <t>Wellness Resort Maldives | Wellness at Amilla Maldives</t>
        </is>
      </c>
      <c r="F271" t="n">
        <v>6417</v>
      </c>
      <c r="G271" t="inlineStr">
        <is>
          <t>2026-10-04</t>
        </is>
      </c>
      <c r="H271" t="inlineStr">
        <is>
          <t>official</t>
        </is>
      </c>
      <c r="I271" t="inlineStr">
        <is>
          <t>output/pages/009_amilla-fushi/spa__amilla.com__luxury-spa-maldives.md</t>
        </is>
      </c>
    </row>
    <row r="272">
      <c r="A272" t="n">
        <v>9</v>
      </c>
      <c r="B272" t="inlineStr">
        <is>
          <t>Amilla Fushi</t>
        </is>
      </c>
      <c r="C272" t="inlineStr">
        <is>
          <t>https://amilla.com/maldives-residences/</t>
        </is>
      </c>
      <c r="D272" t="inlineStr">
        <is>
          <t>diving</t>
        </is>
      </c>
      <c r="E272" t="inlineStr">
        <is>
          <t>Maldives Residences | Luxury Residences at Amilla Maldives</t>
        </is>
      </c>
      <c r="F272" t="n">
        <v>1647</v>
      </c>
      <c r="G272" t="inlineStr">
        <is>
          <t>2026-10-04</t>
        </is>
      </c>
      <c r="H272" t="inlineStr">
        <is>
          <t>official</t>
        </is>
      </c>
      <c r="I272" t="inlineStr">
        <is>
          <t>output/pages/009_amilla-fushi/diving__amilla.com__maldives-residences.md</t>
        </is>
      </c>
    </row>
    <row r="273">
      <c r="A273" t="n">
        <v>10</v>
      </c>
      <c r="B273" t="inlineStr">
        <is>
          <t>Dreamland - The Unique Sea &amp; Lake Resort/Spa</t>
        </is>
      </c>
      <c r="C273" t="inlineStr">
        <is>
          <t>https://dreamland.com.mv/gallery/</t>
        </is>
      </c>
      <c r="D273" t="inlineStr">
        <is>
          <t>downloads</t>
        </is>
      </c>
      <c r="E273" t="inlineStr">
        <is>
          <t>Gallery – Dreamland</t>
        </is>
      </c>
      <c r="F273" t="n">
        <v>253</v>
      </c>
      <c r="G273" t="inlineStr">
        <is>
          <t>2026-10-04</t>
        </is>
      </c>
      <c r="H273" t="inlineStr">
        <is>
          <t>official</t>
        </is>
      </c>
      <c r="I273" t="inlineStr">
        <is>
          <t>output/pages/010_dreamland-the-unique-sea-lake-resort-spa/downloads__dreamland.com.mv__gallery.md</t>
        </is>
      </c>
    </row>
    <row r="274">
      <c r="A274" t="n">
        <v>9</v>
      </c>
      <c r="B274" t="inlineStr">
        <is>
          <t>Amilla Fushi</t>
        </is>
      </c>
      <c r="C274" t="inlineStr">
        <is>
          <t>https://amilla.com/terms-conditions/</t>
        </is>
      </c>
      <c r="D274" t="inlineStr">
        <is>
          <t>diving</t>
        </is>
      </c>
      <c r="E274" t="inlineStr">
        <is>
          <t>Terms &amp; Conditions | Amilla Maldives Resort &amp; Residences</t>
        </is>
      </c>
      <c r="F274" t="n">
        <v>12545</v>
      </c>
      <c r="G274" t="inlineStr">
        <is>
          <t>2026-10-04</t>
        </is>
      </c>
      <c r="H274" t="inlineStr">
        <is>
          <t>official</t>
        </is>
      </c>
      <c r="I274" t="inlineStr">
        <is>
          <t>output/pages/009_amilla-fushi/diving__amilla.com__terms-conditions.md</t>
        </is>
      </c>
    </row>
    <row r="275">
      <c r="A275" t="n">
        <v>10</v>
      </c>
      <c r="B275" t="inlineStr">
        <is>
          <t>Dreamland - The Unique Sea &amp; Lake Resort/Spa</t>
        </is>
      </c>
      <c r="C275" t="inlineStr">
        <is>
          <t>https://dreamland.com.mv/privacy-policy/</t>
        </is>
      </c>
      <c r="D275" t="inlineStr">
        <is>
          <t>other</t>
        </is>
      </c>
      <c r="E275" t="inlineStr">
        <is>
          <t>Privacy Policy – Dreamland</t>
        </is>
      </c>
      <c r="F275" t="n">
        <v>16927</v>
      </c>
      <c r="G275" t="inlineStr">
        <is>
          <t>2026-10-04</t>
        </is>
      </c>
      <c r="H275" t="inlineStr">
        <is>
          <t>official</t>
        </is>
      </c>
      <c r="I275" t="inlineStr">
        <is>
          <t>output/pages/010_dreamland-the-unique-sea-lake-resort-spa/other__dreamland.com.mv__privacy-policy.md</t>
        </is>
      </c>
    </row>
    <row r="276">
      <c r="A276" t="n">
        <v>9</v>
      </c>
      <c r="B276" t="inlineStr">
        <is>
          <t>Amilla Fushi</t>
        </is>
      </c>
      <c r="C276" t="inlineStr">
        <is>
          <t>https://amilla.com/privacy-policy/</t>
        </is>
      </c>
      <c r="D276" t="inlineStr">
        <is>
          <t>diving</t>
        </is>
      </c>
      <c r="E276" t="inlineStr">
        <is>
          <t>Data &amp; Privacy Policy | Amilla Maldives Resort &amp; Residences</t>
        </is>
      </c>
      <c r="F276" t="n">
        <v>10570</v>
      </c>
      <c r="G276" t="inlineStr">
        <is>
          <t>2026-10-04</t>
        </is>
      </c>
      <c r="H276" t="inlineStr">
        <is>
          <t>official</t>
        </is>
      </c>
      <c r="I276" t="inlineStr">
        <is>
          <t>output/pages/009_amilla-fushi/diving__amilla.com__privacy-policy.md</t>
        </is>
      </c>
    </row>
    <row r="277">
      <c r="A277" t="n">
        <v>10</v>
      </c>
      <c r="B277" t="inlineStr">
        <is>
          <t>Dreamland - The Unique Sea &amp; Lake Resort/Spa</t>
        </is>
      </c>
      <c r="C277" t="inlineStr">
        <is>
          <t>https://dreamland.com.mv/activities/sports-activities/</t>
        </is>
      </c>
      <c r="D277" t="inlineStr">
        <is>
          <t>excursions</t>
        </is>
      </c>
      <c r="E277" t="inlineStr">
        <is>
          <t>Sports &amp; Activities – Dreamland</t>
        </is>
      </c>
      <c r="F277" t="n">
        <v>747</v>
      </c>
      <c r="G277" t="inlineStr">
        <is>
          <t>2026-10-04</t>
        </is>
      </c>
      <c r="H277" t="inlineStr">
        <is>
          <t>official</t>
        </is>
      </c>
      <c r="I277" t="inlineStr">
        <is>
          <t>output/pages/010_dreamland-the-unique-sea-lake-resort-spa/excursions__dreamland.com.mv__activities-sports-activities.md</t>
        </is>
      </c>
    </row>
    <row r="278">
      <c r="A278" t="n">
        <v>9</v>
      </c>
      <c r="B278" t="inlineStr">
        <is>
          <t>Amilla Fushi</t>
        </is>
      </c>
      <c r="C278" t="inlineStr">
        <is>
          <t>https://amilla.com/why-amilla/</t>
        </is>
      </c>
      <c r="D278" t="inlineStr">
        <is>
          <t>diving</t>
        </is>
      </c>
      <c r="E278" t="inlineStr">
        <is>
          <t>5 Star Luxury Resorts in Maldives | About Us | Amilla Maldives</t>
        </is>
      </c>
      <c r="F278" t="n">
        <v>4781</v>
      </c>
      <c r="G278" t="inlineStr">
        <is>
          <t>2026-10-04</t>
        </is>
      </c>
      <c r="H278" t="inlineStr">
        <is>
          <t>official</t>
        </is>
      </c>
      <c r="I278" t="inlineStr">
        <is>
          <t>output/pages/009_amilla-fushi/diving__amilla.com__why-amilla.md</t>
        </is>
      </c>
    </row>
    <row r="279">
      <c r="A279" t="n">
        <v>10</v>
      </c>
      <c r="B279" t="inlineStr">
        <is>
          <t>Dreamland - The Unique Sea &amp; Lake Resort/Spa</t>
        </is>
      </c>
      <c r="C279" t="inlineStr">
        <is>
          <t>https://dreamland.com.mv</t>
        </is>
      </c>
      <c r="D279" t="inlineStr">
        <is>
          <t>other</t>
        </is>
      </c>
      <c r="E279" t="inlineStr">
        <is>
          <t>Dreamland</t>
        </is>
      </c>
      <c r="F279" t="n">
        <v>3639</v>
      </c>
      <c r="G279" t="inlineStr">
        <is>
          <t>2026-10-04</t>
        </is>
      </c>
      <c r="H279" t="inlineStr">
        <is>
          <t>official</t>
        </is>
      </c>
      <c r="I279" t="inlineStr">
        <is>
          <t>output/pages/010_dreamland-the-unique-sea-lake-resort-spa/other__dreamland.com.mv__home.md</t>
        </is>
      </c>
    </row>
    <row r="280">
      <c r="A280" t="n">
        <v>9</v>
      </c>
      <c r="B280" t="inlineStr">
        <is>
          <t>Amilla Fushi</t>
        </is>
      </c>
      <c r="C280" t="inlineStr">
        <is>
          <t>https://amilla.com</t>
        </is>
      </c>
      <c r="D280" t="inlineStr">
        <is>
          <t>diving</t>
        </is>
      </c>
      <c r="E280" t="inlineStr">
        <is>
          <t>Luxury Resort in Maldives | Amilla Maldives Official Site</t>
        </is>
      </c>
      <c r="F280" t="n">
        <v>9144</v>
      </c>
      <c r="G280" t="inlineStr">
        <is>
          <t>2026-10-04</t>
        </is>
      </c>
      <c r="H280" t="inlineStr">
        <is>
          <t>official</t>
        </is>
      </c>
      <c r="I280" t="inlineStr">
        <is>
          <t>output/pages/009_amilla-fushi/diving__amilla.com__home.md</t>
        </is>
      </c>
    </row>
    <row r="281">
      <c r="A281" t="n">
        <v>9</v>
      </c>
      <c r="B281" t="inlineStr">
        <is>
          <t>Amilla Fushi</t>
        </is>
      </c>
      <c r="C281" t="inlineStr">
        <is>
          <t>https://amilla.com/factsheets/</t>
        </is>
      </c>
      <c r="D281" t="inlineStr">
        <is>
          <t>diving</t>
        </is>
      </c>
      <c r="E281" t="inlineStr">
        <is>
          <t>Factsheets | Amilla Maldives Resort</t>
        </is>
      </c>
      <c r="F281" t="n">
        <v>218</v>
      </c>
      <c r="G281" t="inlineStr">
        <is>
          <t>2026-10-04</t>
        </is>
      </c>
      <c r="H281" t="inlineStr">
        <is>
          <t>official</t>
        </is>
      </c>
      <c r="I281" t="inlineStr">
        <is>
          <t>output/pages/009_amilla-fushi/diving__amilla.com__factsheets.md</t>
        </is>
      </c>
    </row>
    <row r="282">
      <c r="A282" t="n">
        <v>11</v>
      </c>
      <c r="B282" t="inlineStr">
        <is>
          <t>Angaga Island Resort and Spa</t>
        </is>
      </c>
      <c r="C282" t="inlineStr">
        <is>
          <t>https://www.angaga.com.mv/</t>
        </is>
      </c>
      <c r="D282" t="inlineStr">
        <is>
          <t>spa</t>
        </is>
      </c>
      <c r="E282" t="inlineStr">
        <is>
          <t>Angaga Island Resort &amp; Spa</t>
        </is>
      </c>
      <c r="F282" t="n">
        <v>4423</v>
      </c>
      <c r="G282" t="inlineStr">
        <is>
          <t>2026-10-04</t>
        </is>
      </c>
      <c r="H282" t="inlineStr">
        <is>
          <t>official</t>
        </is>
      </c>
      <c r="I282" t="inlineStr">
        <is>
          <t>output/pages/011_angaga-island-resort-and-spa/spa__angaga.com.mv__home.md</t>
        </is>
      </c>
    </row>
    <row r="283">
      <c r="A283" t="n">
        <v>9</v>
      </c>
      <c r="B283" t="inlineStr">
        <is>
          <t>Amilla Fushi</t>
        </is>
      </c>
      <c r="C283" t="inlineStr">
        <is>
          <t>https://amilla.com/maldives-villas/reef-water-villa/</t>
        </is>
      </c>
      <c r="D283" t="inlineStr">
        <is>
          <t>diving</t>
        </is>
      </c>
      <c r="E283" t="inlineStr">
        <is>
          <t>Best Overwater Villa Maldives | Reef Water Pool Villa | Amilla Maldives</t>
        </is>
      </c>
      <c r="F283" t="n">
        <v>1670</v>
      </c>
      <c r="G283" t="inlineStr">
        <is>
          <t>2026-10-04</t>
        </is>
      </c>
      <c r="H283" t="inlineStr">
        <is>
          <t>official</t>
        </is>
      </c>
      <c r="I283" t="inlineStr">
        <is>
          <t>output/pages/009_amilla-fushi/diving__amilla.com__maldives-villas-reef-water-villa.md</t>
        </is>
      </c>
    </row>
    <row r="284">
      <c r="A284" t="n">
        <v>12</v>
      </c>
      <c r="B284" t="inlineStr">
        <is>
          <t>Thulhagiri Island Resort &amp; Spa</t>
        </is>
      </c>
      <c r="C284" t="inlineStr">
        <is>
          <t>https://www.thulhagiri.com.mv/</t>
        </is>
      </c>
      <c r="D284" t="inlineStr">
        <is>
          <t>spa</t>
        </is>
      </c>
      <c r="E284" t="inlineStr">
        <is>
          <t>Thulhagiri Island Resort and Spa Maldives</t>
        </is>
      </c>
      <c r="F284" t="n">
        <v>4132</v>
      </c>
      <c r="G284" t="inlineStr">
        <is>
          <t>2026-10-04</t>
        </is>
      </c>
      <c r="H284" t="inlineStr">
        <is>
          <t>official</t>
        </is>
      </c>
      <c r="I284" t="inlineStr">
        <is>
          <t>output/pages/012_thulhagiri-island-resort-spa/spa__thulhagiri.com.mv__home.md</t>
        </is>
      </c>
    </row>
    <row r="285">
      <c r="A285" t="n">
        <v>11</v>
      </c>
      <c r="B285" t="inlineStr">
        <is>
          <t>Angaga Island Resort and Spa</t>
        </is>
      </c>
      <c r="C285" t="inlineStr">
        <is>
          <t>https://www.angaga.com.mv/activities/diving/</t>
        </is>
      </c>
      <c r="D285" t="inlineStr">
        <is>
          <t>spa</t>
        </is>
      </c>
      <c r="E285" t="inlineStr">
        <is>
          <t>Angaga Island Resort &amp; Spa</t>
        </is>
      </c>
      <c r="F285" t="n">
        <v>1887</v>
      </c>
      <c r="G285" t="inlineStr">
        <is>
          <t>2026-10-04</t>
        </is>
      </c>
      <c r="H285" t="inlineStr">
        <is>
          <t>official</t>
        </is>
      </c>
      <c r="I285" t="inlineStr">
        <is>
          <t>output/pages/011_angaga-island-resort-and-spa/spa__angaga.com.mv__activities-diving.md</t>
        </is>
      </c>
    </row>
    <row r="286">
      <c r="A286" t="n">
        <v>11</v>
      </c>
      <c r="B286" t="inlineStr">
        <is>
          <t>Angaga Island Resort and Spa</t>
        </is>
      </c>
      <c r="C286" t="inlineStr">
        <is>
          <t>https://www.angaga.com.mv/wedding/</t>
        </is>
      </c>
      <c r="D286" t="inlineStr">
        <is>
          <t>wedding</t>
        </is>
      </c>
      <c r="E286" t="inlineStr">
        <is>
          <t>Angaga Island Resort &amp; Spa</t>
        </is>
      </c>
      <c r="F286" t="n">
        <v>2970</v>
      </c>
      <c r="G286" t="inlineStr">
        <is>
          <t>2026-10-04</t>
        </is>
      </c>
      <c r="H286" t="inlineStr">
        <is>
          <t>official</t>
        </is>
      </c>
      <c r="I286" t="inlineStr">
        <is>
          <t>output/pages/011_angaga-island-resort-and-spa/wedding__angaga.com.mv__wedding.md</t>
        </is>
      </c>
    </row>
    <row r="287">
      <c r="A287" t="n">
        <v>9</v>
      </c>
      <c r="B287" t="inlineStr">
        <is>
          <t>Amilla Fushi</t>
        </is>
      </c>
      <c r="C287" t="inlineStr">
        <is>
          <t>https://amilla.com/maldives-villas/sunset-water-villa-with-pool/</t>
        </is>
      </c>
      <c r="D287" t="inlineStr">
        <is>
          <t>diving</t>
        </is>
      </c>
      <c r="E287" t="inlineStr">
        <is>
          <t>Water Villa with Pool Maldives | Sunset Water Pool Villa at Amilla</t>
        </is>
      </c>
      <c r="F287" t="n">
        <v>1310</v>
      </c>
      <c r="G287" t="inlineStr">
        <is>
          <t>2026-10-04</t>
        </is>
      </c>
      <c r="H287" t="inlineStr">
        <is>
          <t>official</t>
        </is>
      </c>
      <c r="I287" t="inlineStr">
        <is>
          <t>output/pages/009_amilla-fushi/diving__amilla.com__maldives-villas-sunset-water-villa-with-pool.md</t>
        </is>
      </c>
    </row>
    <row r="288">
      <c r="A288" t="n">
        <v>12</v>
      </c>
      <c r="B288" t="inlineStr">
        <is>
          <t>Thulhagiri Island Resort &amp; Spa</t>
        </is>
      </c>
      <c r="C288" t="inlineStr">
        <is>
          <t>https://www.thulhagiri.com.mv/activities/sports-activities/</t>
        </is>
      </c>
      <c r="D288" t="inlineStr">
        <is>
          <t>spa</t>
        </is>
      </c>
      <c r="E288" t="inlineStr">
        <is>
          <t>Sports &amp; Activities - Thulhagiri Island Resort and Spa Maldives</t>
        </is>
      </c>
      <c r="F288" t="n">
        <v>548</v>
      </c>
      <c r="G288" t="inlineStr">
        <is>
          <t>2026-10-04</t>
        </is>
      </c>
      <c r="H288" t="inlineStr">
        <is>
          <t>official</t>
        </is>
      </c>
      <c r="I288" t="inlineStr">
        <is>
          <t>output/pages/012_thulhagiri-island-resort-spa/spa__thulhagiri.com.mv__activities-sports-activities.md</t>
        </is>
      </c>
    </row>
    <row r="289">
      <c r="A289" t="n">
        <v>11</v>
      </c>
      <c r="B289" t="inlineStr">
        <is>
          <t>Angaga Island Resort and Spa</t>
        </is>
      </c>
      <c r="C289" t="inlineStr">
        <is>
          <t>https://www.angaga.com.mv/activities/other-facilities/</t>
        </is>
      </c>
      <c r="D289" t="inlineStr">
        <is>
          <t>spa</t>
        </is>
      </c>
      <c r="E289" t="inlineStr">
        <is>
          <t>Angaga Island Resort &amp; Spa</t>
        </is>
      </c>
      <c r="F289" t="n">
        <v>984</v>
      </c>
      <c r="G289" t="inlineStr">
        <is>
          <t>2026-10-04</t>
        </is>
      </c>
      <c r="H289" t="inlineStr">
        <is>
          <t>official</t>
        </is>
      </c>
      <c r="I289" t="inlineStr">
        <is>
          <t>output/pages/011_angaga-island-resort-and-spa/spa__angaga.com.mv__activities-other-facilities.md</t>
        </is>
      </c>
    </row>
    <row r="290">
      <c r="A290" t="n">
        <v>12</v>
      </c>
      <c r="B290" t="inlineStr">
        <is>
          <t>Thulhagiri Island Resort &amp; Spa</t>
        </is>
      </c>
      <c r="C290" t="inlineStr">
        <is>
          <t>https://www.thulhagiri.com.mv/downloads/</t>
        </is>
      </c>
      <c r="D290" t="inlineStr">
        <is>
          <t>spa</t>
        </is>
      </c>
      <c r="E290" t="inlineStr">
        <is>
          <t>Downloads - Thulhagiri Island Resort and Spa Maldives</t>
        </is>
      </c>
      <c r="F290" t="n">
        <v>640</v>
      </c>
      <c r="G290" t="inlineStr">
        <is>
          <t>2026-10-04</t>
        </is>
      </c>
      <c r="H290" t="inlineStr">
        <is>
          <t>official</t>
        </is>
      </c>
      <c r="I290" t="inlineStr">
        <is>
          <t>output/pages/012_thulhagiri-island-resort-spa/spa__thulhagiri.com.mv__downloads.md</t>
        </is>
      </c>
    </row>
    <row r="291">
      <c r="A291" t="n">
        <v>11</v>
      </c>
      <c r="B291" t="inlineStr">
        <is>
          <t>Angaga Island Resort and Spa</t>
        </is>
      </c>
      <c r="C291" t="inlineStr">
        <is>
          <t>https://www.angaga.com.mv/activities/fitness-centre-gym/</t>
        </is>
      </c>
      <c r="D291" t="inlineStr">
        <is>
          <t>spa</t>
        </is>
      </c>
      <c r="E291" t="inlineStr">
        <is>
          <t>Angaga Island Resort &amp; Spa</t>
        </is>
      </c>
      <c r="F291" t="n">
        <v>621</v>
      </c>
      <c r="G291" t="inlineStr">
        <is>
          <t>2026-10-04</t>
        </is>
      </c>
      <c r="H291" t="inlineStr">
        <is>
          <t>official</t>
        </is>
      </c>
      <c r="I291" t="inlineStr">
        <is>
          <t>output/pages/011_angaga-island-resort-and-spa/spa__angaga.com.mv__activities-fitness-centre-gym.md</t>
        </is>
      </c>
    </row>
    <row r="292">
      <c r="A292" t="n">
        <v>12</v>
      </c>
      <c r="B292" t="inlineStr">
        <is>
          <t>Thulhagiri Island Resort &amp; Spa</t>
        </is>
      </c>
      <c r="C292" t="inlineStr">
        <is>
          <t>https://www.thulhagiri.com.mv/terms-conditions/</t>
        </is>
      </c>
      <c r="D292" t="inlineStr">
        <is>
          <t>spa</t>
        </is>
      </c>
      <c r="E292" t="inlineStr">
        <is>
          <t>Terms &amp; Conditions - Thulhagiri Island Resort and Spa Maldives</t>
        </is>
      </c>
      <c r="F292" t="n">
        <v>23041</v>
      </c>
      <c r="G292" t="inlineStr">
        <is>
          <t>2026-10-04</t>
        </is>
      </c>
      <c r="H292" t="inlineStr">
        <is>
          <t>official</t>
        </is>
      </c>
      <c r="I292" t="inlineStr">
        <is>
          <t>output/pages/012_thulhagiri-island-resort-spa/spa__thulhagiri.com.mv__terms-conditions.md</t>
        </is>
      </c>
    </row>
    <row r="293">
      <c r="A293" t="n">
        <v>11</v>
      </c>
      <c r="B293" t="inlineStr">
        <is>
          <t>Angaga Island Resort and Spa</t>
        </is>
      </c>
      <c r="C293" t="inlineStr">
        <is>
          <t>https://www.angaga.com.mv/terms-conditions/</t>
        </is>
      </c>
      <c r="D293" t="inlineStr">
        <is>
          <t>spa</t>
        </is>
      </c>
      <c r="E293" t="inlineStr">
        <is>
          <t>Angaga Island Resort &amp; Spa</t>
        </is>
      </c>
      <c r="F293" t="n">
        <v>22973</v>
      </c>
      <c r="G293" t="inlineStr">
        <is>
          <t>2026-10-04</t>
        </is>
      </c>
      <c r="H293" t="inlineStr">
        <is>
          <t>official</t>
        </is>
      </c>
      <c r="I293" t="inlineStr">
        <is>
          <t>output/pages/011_angaga-island-resort-and-spa/spa__angaga.com.mv__terms-conditions.md</t>
        </is>
      </c>
    </row>
    <row r="294">
      <c r="A294" t="n">
        <v>11</v>
      </c>
      <c r="B294" t="inlineStr">
        <is>
          <t>Angaga Island Resort and Spa</t>
        </is>
      </c>
      <c r="C294" t="inlineStr">
        <is>
          <t>https://www.angaga.com.mv/dine/sundown-bar/</t>
        </is>
      </c>
      <c r="D294" t="inlineStr">
        <is>
          <t>dining</t>
        </is>
      </c>
      <c r="E294" t="inlineStr">
        <is>
          <t>Angaga Island Resort &amp; Spa</t>
        </is>
      </c>
      <c r="F294" t="n">
        <v>580</v>
      </c>
      <c r="G294" t="inlineStr">
        <is>
          <t>2026-10-04</t>
        </is>
      </c>
      <c r="H294" t="inlineStr">
        <is>
          <t>official</t>
        </is>
      </c>
      <c r="I294" t="inlineStr">
        <is>
          <t>output/pages/011_angaga-island-resort-and-spa/dining__angaga.com.mv__dine-sundown-bar.md</t>
        </is>
      </c>
    </row>
    <row r="295">
      <c r="A295" t="n">
        <v>12</v>
      </c>
      <c r="B295" t="inlineStr">
        <is>
          <t>Thulhagiri Island Resort &amp; Spa</t>
        </is>
      </c>
      <c r="C295" t="inlineStr">
        <is>
          <t>https://www.thulhagiri.com.mv/activities/fitness-centre-gym/</t>
        </is>
      </c>
      <c r="D295" t="inlineStr">
        <is>
          <t>spa</t>
        </is>
      </c>
      <c r="E295" t="inlineStr">
        <is>
          <t>Fitness Centre &amp; Gym - Thulhagiri Island Resort and Spa Maldives</t>
        </is>
      </c>
      <c r="F295" t="n">
        <v>466</v>
      </c>
      <c r="G295" t="inlineStr">
        <is>
          <t>2026-10-04</t>
        </is>
      </c>
      <c r="H295" t="inlineStr">
        <is>
          <t>official</t>
        </is>
      </c>
      <c r="I295" t="inlineStr">
        <is>
          <t>output/pages/012_thulhagiri-island-resort-spa/spa__thulhagiri.com.mv__activities-fitness-centre-gym.md</t>
        </is>
      </c>
    </row>
    <row r="296">
      <c r="A296" t="n">
        <v>11</v>
      </c>
      <c r="B296" t="inlineStr">
        <is>
          <t>Angaga Island Resort and Spa</t>
        </is>
      </c>
      <c r="C296" t="inlineStr">
        <is>
          <t>https://www.angaga.com.mv/hotel-policy/</t>
        </is>
      </c>
      <c r="D296" t="inlineStr">
        <is>
          <t>spa</t>
        </is>
      </c>
      <c r="E296" t="inlineStr">
        <is>
          <t>Angaga Island Resort &amp; Spa</t>
        </is>
      </c>
      <c r="F296" t="n">
        <v>3860</v>
      </c>
      <c r="G296" t="inlineStr">
        <is>
          <t>2026-10-04</t>
        </is>
      </c>
      <c r="H296" t="inlineStr">
        <is>
          <t>official</t>
        </is>
      </c>
      <c r="I296" t="inlineStr">
        <is>
          <t>output/pages/011_angaga-island-resort-and-spa/spa__angaga.com.mv__hotel-policy.md</t>
        </is>
      </c>
    </row>
    <row r="297">
      <c r="A297" t="n">
        <v>12</v>
      </c>
      <c r="B297" t="inlineStr">
        <is>
          <t>Thulhagiri Island Resort &amp; Spa</t>
        </is>
      </c>
      <c r="C297" t="inlineStr">
        <is>
          <t>https://www.thulhagiri.com.mv/activities/other-facilities/</t>
        </is>
      </c>
      <c r="D297" t="inlineStr">
        <is>
          <t>spa</t>
        </is>
      </c>
      <c r="E297" t="inlineStr">
        <is>
          <t>Other Facilities - Thulhagiri Island Resort and Spa Maldives</t>
        </is>
      </c>
      <c r="F297" t="n">
        <v>1166</v>
      </c>
      <c r="G297" t="inlineStr">
        <is>
          <t>2026-10-04</t>
        </is>
      </c>
      <c r="H297" t="inlineStr">
        <is>
          <t>official</t>
        </is>
      </c>
      <c r="I297" t="inlineStr">
        <is>
          <t>output/pages/012_thulhagiri-island-resort-spa/spa__thulhagiri.com.mv__activities-other-facilities.md</t>
        </is>
      </c>
    </row>
    <row r="298">
      <c r="A298" t="n">
        <v>11</v>
      </c>
      <c r="B298" t="inlineStr">
        <is>
          <t>Angaga Island Resort and Spa</t>
        </is>
      </c>
      <c r="C298" t="inlineStr">
        <is>
          <t>https://www.angaga.com.mv/downloads/</t>
        </is>
      </c>
      <c r="D298" t="inlineStr">
        <is>
          <t>spa</t>
        </is>
      </c>
      <c r="E298" t="inlineStr">
        <is>
          <t>Angaga Island Resort &amp; Spa</t>
        </is>
      </c>
      <c r="F298" t="n">
        <v>570</v>
      </c>
      <c r="G298" t="inlineStr">
        <is>
          <t>2026-10-04</t>
        </is>
      </c>
      <c r="H298" t="inlineStr">
        <is>
          <t>official</t>
        </is>
      </c>
      <c r="I298" t="inlineStr">
        <is>
          <t>output/pages/011_angaga-island-resort-and-spa/spa__angaga.com.mv__downloads.md</t>
        </is>
      </c>
    </row>
    <row r="299">
      <c r="A299" t="n">
        <v>12</v>
      </c>
      <c r="B299" t="inlineStr">
        <is>
          <t>Thulhagiri Island Resort &amp; Spa</t>
        </is>
      </c>
      <c r="C299" t="inlineStr">
        <is>
          <t>https://www.thulhagiri.com.mv/dine/sand-bar/</t>
        </is>
      </c>
      <c r="D299" t="inlineStr">
        <is>
          <t>dining</t>
        </is>
      </c>
      <c r="E299" t="inlineStr">
        <is>
          <t>Sand Bar - Thulhagiri Island Resort and Spa Maldives</t>
        </is>
      </c>
      <c r="F299" t="n">
        <v>481</v>
      </c>
      <c r="G299" t="inlineStr">
        <is>
          <t>2026-10-04</t>
        </is>
      </c>
      <c r="H299" t="inlineStr">
        <is>
          <t>official</t>
        </is>
      </c>
      <c r="I299" t="inlineStr">
        <is>
          <t>output/pages/012_thulhagiri-island-resort-spa/dining__thulhagiri.com.mv__dine-sand-bar.md</t>
        </is>
      </c>
    </row>
    <row r="300">
      <c r="A300" t="n">
        <v>11</v>
      </c>
      <c r="B300" t="inlineStr">
        <is>
          <t>Angaga Island Resort and Spa</t>
        </is>
      </c>
      <c r="C300" t="inlineStr">
        <is>
          <t>https://www.angaga.com.mv/dine/dolphin-restaurant/</t>
        </is>
      </c>
      <c r="D300" t="inlineStr">
        <is>
          <t>dining</t>
        </is>
      </c>
      <c r="E300" t="inlineStr">
        <is>
          <t>Angaga Island Resort &amp; Spa</t>
        </is>
      </c>
      <c r="F300" t="n">
        <v>1103</v>
      </c>
      <c r="G300" t="inlineStr">
        <is>
          <t>2026-10-04</t>
        </is>
      </c>
      <c r="H300" t="inlineStr">
        <is>
          <t>official</t>
        </is>
      </c>
      <c r="I300" t="inlineStr">
        <is>
          <t>output/pages/011_angaga-island-resort-and-spa/dining__angaga.com.mv__dine-dolphin-restaurant.md</t>
        </is>
      </c>
    </row>
    <row r="301">
      <c r="A301" t="n">
        <v>12</v>
      </c>
      <c r="B301" t="inlineStr">
        <is>
          <t>Thulhagiri Island Resort &amp; Spa</t>
        </is>
      </c>
      <c r="C301" t="inlineStr">
        <is>
          <t>https://www.thulhagiri.com.mv/activities/</t>
        </is>
      </c>
      <c r="D301" t="inlineStr">
        <is>
          <t>spa</t>
        </is>
      </c>
      <c r="E301" t="inlineStr">
        <is>
          <t>Activities - Thulhagiri Island Resort and Spa Maldives</t>
        </is>
      </c>
      <c r="F301" t="n">
        <v>445</v>
      </c>
      <c r="G301" t="inlineStr">
        <is>
          <t>2026-10-04</t>
        </is>
      </c>
      <c r="H301" t="inlineStr">
        <is>
          <t>official</t>
        </is>
      </c>
      <c r="I301" t="inlineStr">
        <is>
          <t>output/pages/012_thulhagiri-island-resort-spa/spa__thulhagiri.com.mv__activities.md</t>
        </is>
      </c>
    </row>
    <row r="302">
      <c r="A302" t="n">
        <v>11</v>
      </c>
      <c r="B302" t="inlineStr">
        <is>
          <t>Angaga Island Resort and Spa</t>
        </is>
      </c>
      <c r="C302" t="inlineStr">
        <is>
          <t>https://www.angaga.com.mv/activities/</t>
        </is>
      </c>
      <c r="D302" t="inlineStr">
        <is>
          <t>spa</t>
        </is>
      </c>
      <c r="E302" t="inlineStr">
        <is>
          <t>Angaga Island Resort &amp; Spa</t>
        </is>
      </c>
      <c r="F302" t="n">
        <v>519</v>
      </c>
      <c r="G302" t="inlineStr">
        <is>
          <t>2026-10-04</t>
        </is>
      </c>
      <c r="H302" t="inlineStr">
        <is>
          <t>official</t>
        </is>
      </c>
      <c r="I302" t="inlineStr">
        <is>
          <t>output/pages/011_angaga-island-resort-and-spa/spa__angaga.com.mv__activities.md</t>
        </is>
      </c>
    </row>
    <row r="303">
      <c r="A303" t="n">
        <v>12</v>
      </c>
      <c r="B303" t="inlineStr">
        <is>
          <t>Thulhagiri Island Resort &amp; Spa</t>
        </is>
      </c>
      <c r="C303" t="inlineStr">
        <is>
          <t>https://www.thulhagiri.com.mv/privacy-policy/</t>
        </is>
      </c>
      <c r="D303" t="inlineStr">
        <is>
          <t>spa</t>
        </is>
      </c>
      <c r="E303" t="inlineStr">
        <is>
          <t>Privacy Policy - Thulhagiri Island Resort and Spa Maldives</t>
        </is>
      </c>
      <c r="F303" t="n">
        <v>16956</v>
      </c>
      <c r="G303" t="inlineStr">
        <is>
          <t>2026-10-04</t>
        </is>
      </c>
      <c r="H303" t="inlineStr">
        <is>
          <t>official</t>
        </is>
      </c>
      <c r="I303" t="inlineStr">
        <is>
          <t>output/pages/012_thulhagiri-island-resort-spa/spa__thulhagiri.com.mv__privacy-policy.md</t>
        </is>
      </c>
    </row>
    <row r="304">
      <c r="A304" t="n">
        <v>11</v>
      </c>
      <c r="B304" t="inlineStr">
        <is>
          <t>Angaga Island Resort and Spa</t>
        </is>
      </c>
      <c r="C304" t="inlineStr">
        <is>
          <t>https://www.angaga.com.mv/dine/</t>
        </is>
      </c>
      <c r="D304" t="inlineStr">
        <is>
          <t>spa</t>
        </is>
      </c>
      <c r="E304" t="inlineStr">
        <is>
          <t>Angaga Island Resort &amp; Spa</t>
        </is>
      </c>
      <c r="F304" t="n">
        <v>220</v>
      </c>
      <c r="G304" t="inlineStr">
        <is>
          <t>2026-10-04</t>
        </is>
      </c>
      <c r="H304" t="inlineStr">
        <is>
          <t>official</t>
        </is>
      </c>
      <c r="I304" t="inlineStr">
        <is>
          <t>output/pages/011_angaga-island-resort-and-spa/spa__angaga.com.mv__dine.md</t>
        </is>
      </c>
    </row>
    <row r="305">
      <c r="A305" t="n">
        <v>12</v>
      </c>
      <c r="B305" t="inlineStr">
        <is>
          <t>Thulhagiri Island Resort &amp; Spa</t>
        </is>
      </c>
      <c r="C305" t="inlineStr">
        <is>
          <t>https://www.thulhagiri.com.mv/wedding/</t>
        </is>
      </c>
      <c r="D305" t="inlineStr">
        <is>
          <t>wedding</t>
        </is>
      </c>
      <c r="E305" t="inlineStr">
        <is>
          <t>Wedding - Thulhagiri Island Resort and Spa Maldives</t>
        </is>
      </c>
      <c r="F305" t="n">
        <v>3083</v>
      </c>
      <c r="G305" t="inlineStr">
        <is>
          <t>2026-10-04</t>
        </is>
      </c>
      <c r="H305" t="inlineStr">
        <is>
          <t>official</t>
        </is>
      </c>
      <c r="I305" t="inlineStr">
        <is>
          <t>output/pages/012_thulhagiri-island-resort-spa/wedding__thulhagiri.com.mv__wedding.md</t>
        </is>
      </c>
    </row>
    <row r="306">
      <c r="A306" t="n">
        <v>11</v>
      </c>
      <c r="B306" t="inlineStr">
        <is>
          <t>Angaga Island Resort and Spa</t>
        </is>
      </c>
      <c r="C306" t="inlineStr">
        <is>
          <t>https://www.angaga.com.mv/plan-your-visit/</t>
        </is>
      </c>
      <c r="D306" t="inlineStr">
        <is>
          <t>spa</t>
        </is>
      </c>
      <c r="E306" t="inlineStr">
        <is>
          <t>Angaga Island Resort &amp; Spa</t>
        </is>
      </c>
      <c r="F306" t="n">
        <v>1896</v>
      </c>
      <c r="G306" t="inlineStr">
        <is>
          <t>2026-10-04</t>
        </is>
      </c>
      <c r="H306" t="inlineStr">
        <is>
          <t>official</t>
        </is>
      </c>
      <c r="I306" t="inlineStr">
        <is>
          <t>output/pages/011_angaga-island-resort-and-spa/spa__angaga.com.mv__plan-your-visit.md</t>
        </is>
      </c>
    </row>
    <row r="307">
      <c r="A307" t="n">
        <v>12</v>
      </c>
      <c r="B307" t="inlineStr">
        <is>
          <t>Thulhagiri Island Resort &amp; Spa</t>
        </is>
      </c>
      <c r="C307" t="inlineStr">
        <is>
          <t>https://www.thulhagiri.com.mv/hotel-policy/</t>
        </is>
      </c>
      <c r="D307" t="inlineStr">
        <is>
          <t>spa</t>
        </is>
      </c>
      <c r="E307" t="inlineStr">
        <is>
          <t>Hotel Policy - Thulhagiri Island Resort and Spa Maldives</t>
        </is>
      </c>
      <c r="F307" t="n">
        <v>3081</v>
      </c>
      <c r="G307" t="inlineStr">
        <is>
          <t>2026-10-04</t>
        </is>
      </c>
      <c r="H307" t="inlineStr">
        <is>
          <t>official</t>
        </is>
      </c>
      <c r="I307" t="inlineStr">
        <is>
          <t>output/pages/012_thulhagiri-island-resort-spa/spa__thulhagiri.com.mv__hotel-policy.md</t>
        </is>
      </c>
    </row>
    <row r="308">
      <c r="A308" t="n">
        <v>11</v>
      </c>
      <c r="B308" t="inlineStr">
        <is>
          <t>Angaga Island Resort and Spa</t>
        </is>
      </c>
      <c r="C308" t="inlineStr">
        <is>
          <t>https://www.angaga.com.mv/activities/sports-activities/</t>
        </is>
      </c>
      <c r="D308" t="inlineStr">
        <is>
          <t>spa</t>
        </is>
      </c>
      <c r="E308" t="inlineStr">
        <is>
          <t>Angaga Island Resort &amp; Spa</t>
        </is>
      </c>
      <c r="F308" t="n">
        <v>572</v>
      </c>
      <c r="G308" t="inlineStr">
        <is>
          <t>2026-10-04</t>
        </is>
      </c>
      <c r="H308" t="inlineStr">
        <is>
          <t>official</t>
        </is>
      </c>
      <c r="I308" t="inlineStr">
        <is>
          <t>output/pages/011_angaga-island-resort-and-spa/spa__angaga.com.mv__activities-sports-activities.md</t>
        </is>
      </c>
    </row>
    <row r="309">
      <c r="A309" t="n">
        <v>12</v>
      </c>
      <c r="B309" t="inlineStr">
        <is>
          <t>Thulhagiri Island Resort &amp; Spa</t>
        </is>
      </c>
      <c r="C309" t="inlineStr">
        <is>
          <t>https://www.thulhagiri.com.mv/360-of-luxury/</t>
        </is>
      </c>
      <c r="D309" t="inlineStr">
        <is>
          <t>spa</t>
        </is>
      </c>
      <c r="E309" t="inlineStr">
        <is>
          <t>360 of Luxury - Thulhagiri Island Resort and Spa Maldives</t>
        </is>
      </c>
      <c r="F309" t="n">
        <v>239</v>
      </c>
      <c r="G309" t="inlineStr">
        <is>
          <t>2026-10-04</t>
        </is>
      </c>
      <c r="H309" t="inlineStr">
        <is>
          <t>official</t>
        </is>
      </c>
      <c r="I309" t="inlineStr">
        <is>
          <t>output/pages/012_thulhagiri-island-resort-spa/spa__thulhagiri.com.mv__360-of-luxury.md</t>
        </is>
      </c>
    </row>
    <row r="310">
      <c r="A310" t="n">
        <v>11</v>
      </c>
      <c r="B310" t="inlineStr">
        <is>
          <t>Angaga Island Resort and Spa</t>
        </is>
      </c>
      <c r="C310" t="inlineStr">
        <is>
          <t>https://www.angaga.com.mv/activities/water-sports-activities/</t>
        </is>
      </c>
      <c r="D310" t="inlineStr">
        <is>
          <t>spa</t>
        </is>
      </c>
      <c r="E310" t="inlineStr">
        <is>
          <t>Angaga Island Resort &amp; Spa</t>
        </is>
      </c>
      <c r="F310" t="n">
        <v>1025</v>
      </c>
      <c r="G310" t="inlineStr">
        <is>
          <t>2026-10-04</t>
        </is>
      </c>
      <c r="H310" t="inlineStr">
        <is>
          <t>official</t>
        </is>
      </c>
      <c r="I310" t="inlineStr">
        <is>
          <t>output/pages/011_angaga-island-resort-and-spa/spa__angaga.com.mv__activities-water-sports-activities.md</t>
        </is>
      </c>
    </row>
    <row r="311">
      <c r="A311" t="n">
        <v>11</v>
      </c>
      <c r="B311" t="inlineStr">
        <is>
          <t>Angaga Island Resort and Spa</t>
        </is>
      </c>
      <c r="C311" t="inlineStr">
        <is>
          <t>https://www.angaga.com.mv/activities/excursions/</t>
        </is>
      </c>
      <c r="D311" t="inlineStr">
        <is>
          <t>spa</t>
        </is>
      </c>
      <c r="E311" t="inlineStr">
        <is>
          <t>Angaga Island Resort &amp; Spa</t>
        </is>
      </c>
      <c r="F311" t="n">
        <v>4342</v>
      </c>
      <c r="G311" t="inlineStr">
        <is>
          <t>2026-10-04</t>
        </is>
      </c>
      <c r="H311" t="inlineStr">
        <is>
          <t>official</t>
        </is>
      </c>
      <c r="I311" t="inlineStr">
        <is>
          <t>output/pages/011_angaga-island-resort-and-spa/spa__angaga.com.mv__activities-excursions.md</t>
        </is>
      </c>
    </row>
    <row r="312">
      <c r="A312" t="n">
        <v>12</v>
      </c>
      <c r="B312" t="inlineStr">
        <is>
          <t>Thulhagiri Island Resort &amp; Spa</t>
        </is>
      </c>
      <c r="C312" t="inlineStr">
        <is>
          <t>https://www.thulhagiri.com.mv/stay/</t>
        </is>
      </c>
      <c r="D312" t="inlineStr">
        <is>
          <t>spa</t>
        </is>
      </c>
      <c r="E312" t="inlineStr">
        <is>
          <t>Stay - Thulhagiri Island Resort and Spa Maldives</t>
        </is>
      </c>
      <c r="F312" t="n">
        <v>2384</v>
      </c>
      <c r="G312" t="inlineStr">
        <is>
          <t>2026-10-04</t>
        </is>
      </c>
      <c r="H312" t="inlineStr">
        <is>
          <t>official</t>
        </is>
      </c>
      <c r="I312" t="inlineStr">
        <is>
          <t>output/pages/012_thulhagiri-island-resort-spa/spa__thulhagiri.com.mv__stay.md</t>
        </is>
      </c>
    </row>
    <row r="313">
      <c r="A313" t="n">
        <v>12</v>
      </c>
      <c r="B313" t="inlineStr">
        <is>
          <t>Thulhagiri Island Resort &amp; Spa</t>
        </is>
      </c>
      <c r="C313" t="inlineStr">
        <is>
          <t>https://www.thulhagiri.com.mv/dine/beach-bar/</t>
        </is>
      </c>
      <c r="D313" t="inlineStr">
        <is>
          <t>dining</t>
        </is>
      </c>
      <c r="E313" t="inlineStr">
        <is>
          <t>Beach Bar - Thulhagiri Island Resort and Spa Maldives</t>
        </is>
      </c>
      <c r="F313" t="n">
        <v>272</v>
      </c>
      <c r="G313" t="inlineStr">
        <is>
          <t>2026-10-04</t>
        </is>
      </c>
      <c r="H313" t="inlineStr">
        <is>
          <t>official</t>
        </is>
      </c>
      <c r="I313" t="inlineStr">
        <is>
          <t>output/pages/012_thulhagiri-island-resort-spa/dining__thulhagiri.com.mv__dine-beach-bar.md</t>
        </is>
      </c>
    </row>
    <row r="314">
      <c r="A314" t="n">
        <v>11</v>
      </c>
      <c r="B314" t="inlineStr">
        <is>
          <t>Angaga Island Resort and Spa</t>
        </is>
      </c>
      <c r="C314" t="inlineStr">
        <is>
          <t>https://www.angaga.com.mv/dine/main-bar/</t>
        </is>
      </c>
      <c r="D314" t="inlineStr">
        <is>
          <t>dining</t>
        </is>
      </c>
      <c r="E314" t="inlineStr">
        <is>
          <t>Angaga Island Resort &amp; Spa</t>
        </is>
      </c>
      <c r="F314" t="n">
        <v>856</v>
      </c>
      <c r="G314" t="inlineStr">
        <is>
          <t>2026-10-04</t>
        </is>
      </c>
      <c r="H314" t="inlineStr">
        <is>
          <t>official</t>
        </is>
      </c>
      <c r="I314" t="inlineStr">
        <is>
          <t>output/pages/011_angaga-island-resort-and-spa/dining__angaga.com.mv__dine-main-bar.md</t>
        </is>
      </c>
    </row>
    <row r="315">
      <c r="A315" t="n">
        <v>12</v>
      </c>
      <c r="B315" t="inlineStr">
        <is>
          <t>Thulhagiri Island Resort &amp; Spa</t>
        </is>
      </c>
      <c r="C315" t="inlineStr">
        <is>
          <t>https://www.thulhagiri.com.mv/spa/</t>
        </is>
      </c>
      <c r="D315" t="inlineStr">
        <is>
          <t>spa</t>
        </is>
      </c>
      <c r="E315" t="inlineStr">
        <is>
          <t>SPA - Thulhagiri Island Resort and Spa Maldives</t>
        </is>
      </c>
      <c r="F315" t="n">
        <v>6374</v>
      </c>
      <c r="G315" t="inlineStr">
        <is>
          <t>2026-10-04</t>
        </is>
      </c>
      <c r="H315" t="inlineStr">
        <is>
          <t>official</t>
        </is>
      </c>
      <c r="I315" t="inlineStr">
        <is>
          <t>output/pages/012_thulhagiri-island-resort-spa/spa__thulhagiri.com.mv__spa.md</t>
        </is>
      </c>
    </row>
    <row r="316">
      <c r="A316" t="n">
        <v>11</v>
      </c>
      <c r="B316" t="inlineStr">
        <is>
          <t>Angaga Island Resort and Spa</t>
        </is>
      </c>
      <c r="C316" t="inlineStr">
        <is>
          <t>https://www.angaga.com.mv/stay/</t>
        </is>
      </c>
      <c r="D316" t="inlineStr">
        <is>
          <t>spa</t>
        </is>
      </c>
      <c r="E316" t="inlineStr">
        <is>
          <t>Angaga Island Resort &amp; Spa</t>
        </is>
      </c>
      <c r="F316" t="n">
        <v>1976</v>
      </c>
      <c r="G316" t="inlineStr">
        <is>
          <t>2026-10-04</t>
        </is>
      </c>
      <c r="H316" t="inlineStr">
        <is>
          <t>official</t>
        </is>
      </c>
      <c r="I316" t="inlineStr">
        <is>
          <t>output/pages/011_angaga-island-resort-and-spa/spa__angaga.com.mv__stay.md</t>
        </is>
      </c>
    </row>
    <row r="317">
      <c r="A317" t="n">
        <v>11</v>
      </c>
      <c r="B317" t="inlineStr">
        <is>
          <t>Angaga Island Resort and Spa</t>
        </is>
      </c>
      <c r="C317" t="inlineStr">
        <is>
          <t>https://www.angaga.com.mv/360-of-luxury/</t>
        </is>
      </c>
      <c r="D317" t="inlineStr">
        <is>
          <t>spa</t>
        </is>
      </c>
      <c r="E317" t="inlineStr">
        <is>
          <t>Angaga Island Resort &amp; Spa</t>
        </is>
      </c>
      <c r="F317" t="n">
        <v>239</v>
      </c>
      <c r="G317" t="inlineStr">
        <is>
          <t>2026-10-04</t>
        </is>
      </c>
      <c r="H317" t="inlineStr">
        <is>
          <t>official</t>
        </is>
      </c>
      <c r="I317" t="inlineStr">
        <is>
          <t>output/pages/011_angaga-island-resort-and-spa/spa__angaga.com.mv__360-of-luxury.md</t>
        </is>
      </c>
    </row>
    <row r="318">
      <c r="A318" t="n">
        <v>12</v>
      </c>
      <c r="B318" t="inlineStr">
        <is>
          <t>Thulhagiri Island Resort &amp; Spa</t>
        </is>
      </c>
      <c r="C318" t="inlineStr">
        <is>
          <t>https://www.thulhagiri.com.mv/activities/diving/</t>
        </is>
      </c>
      <c r="D318" t="inlineStr">
        <is>
          <t>spa</t>
        </is>
      </c>
      <c r="E318" t="inlineStr">
        <is>
          <t>Diving - Thulhagiri Island Resort and Spa Maldives</t>
        </is>
      </c>
      <c r="F318" t="n">
        <v>2099</v>
      </c>
      <c r="G318" t="inlineStr">
        <is>
          <t>2026-10-04</t>
        </is>
      </c>
      <c r="H318" t="inlineStr">
        <is>
          <t>official</t>
        </is>
      </c>
      <c r="I318" t="inlineStr">
        <is>
          <t>output/pages/012_thulhagiri-island-resort-spa/spa__thulhagiri.com.mv__activities-diving.md</t>
        </is>
      </c>
    </row>
    <row r="319">
      <c r="A319" t="n">
        <v>12</v>
      </c>
      <c r="B319" t="inlineStr">
        <is>
          <t>Thulhagiri Island Resort &amp; Spa</t>
        </is>
      </c>
      <c r="C319" t="inlineStr">
        <is>
          <t>https://www.thulhagiri.com.mv/plan-your-visit/</t>
        </is>
      </c>
      <c r="D319" t="inlineStr">
        <is>
          <t>spa</t>
        </is>
      </c>
      <c r="E319" t="inlineStr">
        <is>
          <t>Plan Your Visit - Thulhagiri Island Resort and Spa Maldives</t>
        </is>
      </c>
      <c r="F319" t="n">
        <v>1740</v>
      </c>
      <c r="G319" t="inlineStr">
        <is>
          <t>2026-10-04</t>
        </is>
      </c>
      <c r="H319" t="inlineStr">
        <is>
          <t>official</t>
        </is>
      </c>
      <c r="I319" t="inlineStr">
        <is>
          <t>output/pages/012_thulhagiri-island-resort-spa/spa__thulhagiri.com.mv__plan-your-visit.md</t>
        </is>
      </c>
    </row>
    <row r="320">
      <c r="A320" t="n">
        <v>12</v>
      </c>
      <c r="B320" t="inlineStr">
        <is>
          <t>Thulhagiri Island Resort &amp; Spa</t>
        </is>
      </c>
      <c r="C320" t="inlineStr">
        <is>
          <t>https://www.thulhagiri.com.mv/gallery/</t>
        </is>
      </c>
      <c r="D320" t="inlineStr">
        <is>
          <t>spa</t>
        </is>
      </c>
      <c r="E320" t="inlineStr">
        <is>
          <t>Gallery - Thulhagiri Island Resort and Spa Maldives</t>
        </is>
      </c>
      <c r="F320" t="n">
        <v>930</v>
      </c>
      <c r="G320" t="inlineStr">
        <is>
          <t>2026-10-04</t>
        </is>
      </c>
      <c r="H320" t="inlineStr">
        <is>
          <t>official</t>
        </is>
      </c>
      <c r="I320" t="inlineStr">
        <is>
          <t>output/pages/012_thulhagiri-island-resort-spa/spa__thulhagiri.com.mv__gallery.md</t>
        </is>
      </c>
    </row>
    <row r="321">
      <c r="A321" t="n">
        <v>11</v>
      </c>
      <c r="B321" t="inlineStr">
        <is>
          <t>Angaga Island Resort and Spa</t>
        </is>
      </c>
      <c r="C321" t="inlineStr">
        <is>
          <t>https://www.angaga.com.mv/spa/</t>
        </is>
      </c>
      <c r="D321" t="inlineStr">
        <is>
          <t>spa</t>
        </is>
      </c>
      <c r="E321" t="inlineStr">
        <is>
          <t>Angaga Island Resort &amp; Spa</t>
        </is>
      </c>
      <c r="F321" t="n">
        <v>7869</v>
      </c>
      <c r="G321" t="inlineStr">
        <is>
          <t>2026-10-04</t>
        </is>
      </c>
      <c r="H321" t="inlineStr">
        <is>
          <t>official</t>
        </is>
      </c>
      <c r="I321" t="inlineStr">
        <is>
          <t>output/pages/011_angaga-island-resort-and-spa/spa__angaga.com.mv__spa.md</t>
        </is>
      </c>
    </row>
    <row r="322">
      <c r="A322" t="n">
        <v>12</v>
      </c>
      <c r="B322" t="inlineStr">
        <is>
          <t>Thulhagiri Island Resort &amp; Spa</t>
        </is>
      </c>
      <c r="C322" t="inlineStr">
        <is>
          <t>https://www.thulhagiri.com.mv/activities/water-sports-activities/</t>
        </is>
      </c>
      <c r="D322" t="inlineStr">
        <is>
          <t>spa</t>
        </is>
      </c>
      <c r="E322" t="inlineStr">
        <is>
          <t>Water Sports - Thulhagiri Island Resort and Spa Maldives</t>
        </is>
      </c>
      <c r="F322" t="n">
        <v>796</v>
      </c>
      <c r="G322" t="inlineStr">
        <is>
          <t>2026-10-04</t>
        </is>
      </c>
      <c r="H322" t="inlineStr">
        <is>
          <t>official</t>
        </is>
      </c>
      <c r="I322" t="inlineStr">
        <is>
          <t>output/pages/012_thulhagiri-island-resort-spa/spa__thulhagiri.com.mv__activities-water-sports-activities.md</t>
        </is>
      </c>
    </row>
    <row r="323">
      <c r="A323" t="n">
        <v>11</v>
      </c>
      <c r="B323" t="inlineStr">
        <is>
          <t>Angaga Island Resort and Spa</t>
        </is>
      </c>
      <c r="C323" t="inlineStr">
        <is>
          <t>https://www.angaga.com.mv/privacy-policy/</t>
        </is>
      </c>
      <c r="D323" t="inlineStr">
        <is>
          <t>spa</t>
        </is>
      </c>
      <c r="E323" t="inlineStr">
        <is>
          <t>Angaga Island Resort &amp; Spa</t>
        </is>
      </c>
      <c r="F323" t="n">
        <v>16854</v>
      </c>
      <c r="G323" t="inlineStr">
        <is>
          <t>2026-10-04</t>
        </is>
      </c>
      <c r="H323" t="inlineStr">
        <is>
          <t>official</t>
        </is>
      </c>
      <c r="I323" t="inlineStr">
        <is>
          <t>output/pages/011_angaga-island-resort-and-spa/spa__angaga.com.mv__privacy-policy.md</t>
        </is>
      </c>
    </row>
    <row r="324">
      <c r="A324" t="n">
        <v>12</v>
      </c>
      <c r="B324" t="inlineStr">
        <is>
          <t>Thulhagiri Island Resort &amp; Spa</t>
        </is>
      </c>
      <c r="C324" t="inlineStr">
        <is>
          <t>https://www.thulhagiri.com.mv/activities/excursions/</t>
        </is>
      </c>
      <c r="D324" t="inlineStr">
        <is>
          <t>spa</t>
        </is>
      </c>
      <c r="E324" t="inlineStr">
        <is>
          <t>Excursions - Thulhagiri Island Resort and Spa Maldives</t>
        </is>
      </c>
      <c r="F324" t="n">
        <v>4277</v>
      </c>
      <c r="G324" t="inlineStr">
        <is>
          <t>2026-10-04</t>
        </is>
      </c>
      <c r="H324" t="inlineStr">
        <is>
          <t>official</t>
        </is>
      </c>
      <c r="I324" t="inlineStr">
        <is>
          <t>output/pages/012_thulhagiri-island-resort-spa/spa__thulhagiri.com.mv__activities-excursions.md</t>
        </is>
      </c>
    </row>
    <row r="325">
      <c r="A325" t="n">
        <v>11</v>
      </c>
      <c r="B325" t="inlineStr">
        <is>
          <t>Angaga Island Resort and Spa</t>
        </is>
      </c>
      <c r="C325" t="inlineStr">
        <is>
          <t>https://www.angaga.com.mv/gallery/</t>
        </is>
      </c>
      <c r="D325" t="inlineStr">
        <is>
          <t>spa</t>
        </is>
      </c>
      <c r="E325" t="inlineStr">
        <is>
          <t>Angaga Island Resort &amp; Spa</t>
        </is>
      </c>
      <c r="F325" t="n">
        <v>1259</v>
      </c>
      <c r="G325" t="inlineStr">
        <is>
          <t>2026-10-04</t>
        </is>
      </c>
      <c r="H325" t="inlineStr">
        <is>
          <t>official</t>
        </is>
      </c>
      <c r="I325" t="inlineStr">
        <is>
          <t>output/pages/011_angaga-island-resort-and-spa/spa__angaga.com.mv__gallery.md</t>
        </is>
      </c>
    </row>
    <row r="326">
      <c r="A326" t="n">
        <v>12</v>
      </c>
      <c r="B326" t="inlineStr">
        <is>
          <t>Thulhagiri Island Resort &amp; Spa</t>
        </is>
      </c>
      <c r="C326" t="inlineStr">
        <is>
          <t>https://www.thulhagiri.com.mv/dine/main-restaurant/</t>
        </is>
      </c>
      <c r="D326" t="inlineStr">
        <is>
          <t>dining</t>
        </is>
      </c>
      <c r="E326" t="inlineStr">
        <is>
          <t>Main Restaurant - Thulhagiri Island Resort and Spa Maldives</t>
        </is>
      </c>
      <c r="F326" t="n">
        <v>531</v>
      </c>
      <c r="G326" t="inlineStr">
        <is>
          <t>2026-10-04</t>
        </is>
      </c>
      <c r="H326" t="inlineStr">
        <is>
          <t>official</t>
        </is>
      </c>
      <c r="I326" t="inlineStr">
        <is>
          <t>output/pages/012_thulhagiri-island-resort-spa/dining__thulhagiri.com.mv__dine-main-restaurant.md</t>
        </is>
      </c>
    </row>
    <row r="327">
      <c r="A327" t="n">
        <v>11</v>
      </c>
      <c r="B327" t="inlineStr">
        <is>
          <t>Angaga Island Resort and Spa</t>
        </is>
      </c>
      <c r="C327" t="inlineStr">
        <is>
          <t>https://www.angaga.com.mv/wedding</t>
        </is>
      </c>
      <c r="D327" t="inlineStr">
        <is>
          <t>wedding</t>
        </is>
      </c>
      <c r="E327" t="inlineStr">
        <is>
          <t>Angaga Island Resort &amp; Spa</t>
        </is>
      </c>
      <c r="F327" t="n">
        <v>2970</v>
      </c>
      <c r="G327" t="inlineStr">
        <is>
          <t>2026-10-04</t>
        </is>
      </c>
      <c r="H327" t="inlineStr">
        <is>
          <t>official</t>
        </is>
      </c>
      <c r="I327" t="inlineStr">
        <is>
          <t>output/pages/011_angaga-island-resort-and-spa/wedding__angaga.com.mv__wedding.md</t>
        </is>
      </c>
    </row>
    <row r="328">
      <c r="A328" t="n">
        <v>12</v>
      </c>
      <c r="B328" t="inlineStr">
        <is>
          <t>Thulhagiri Island Resort &amp; Spa</t>
        </is>
      </c>
      <c r="C328" t="inlineStr">
        <is>
          <t>https://www.thulhagiri.com.mv/wedding</t>
        </is>
      </c>
      <c r="D328" t="inlineStr">
        <is>
          <t>wedding</t>
        </is>
      </c>
      <c r="E328" t="inlineStr">
        <is>
          <t>Wedding - Thulhagiri Island Resort and Spa Maldives</t>
        </is>
      </c>
      <c r="F328" t="n">
        <v>3083</v>
      </c>
      <c r="G328" t="inlineStr">
        <is>
          <t>2026-10-04</t>
        </is>
      </c>
      <c r="H328" t="inlineStr">
        <is>
          <t>official</t>
        </is>
      </c>
      <c r="I328" t="inlineStr">
        <is>
          <t>output/pages/012_thulhagiri-island-resort-spa/wedding__thulhagiri.com.mv__wedding.md</t>
        </is>
      </c>
    </row>
    <row r="329">
      <c r="A329" t="n">
        <v>11</v>
      </c>
      <c r="B329" t="inlineStr">
        <is>
          <t>Angaga Island Resort and Spa</t>
        </is>
      </c>
      <c r="C329" t="inlineStr">
        <is>
          <t>https://www.angaga.com.mv</t>
        </is>
      </c>
      <c r="D329" t="inlineStr">
        <is>
          <t>spa</t>
        </is>
      </c>
      <c r="E329" t="inlineStr">
        <is>
          <t>Angaga Island Resort &amp; Spa</t>
        </is>
      </c>
      <c r="F329" t="n">
        <v>4423</v>
      </c>
      <c r="G329" t="inlineStr">
        <is>
          <t>2026-10-04</t>
        </is>
      </c>
      <c r="H329" t="inlineStr">
        <is>
          <t>official</t>
        </is>
      </c>
      <c r="I329" t="inlineStr">
        <is>
          <t>output/pages/011_angaga-island-resort-and-spa/spa__angaga.com.mv__home.md</t>
        </is>
      </c>
    </row>
    <row r="330">
      <c r="A330" t="n">
        <v>12</v>
      </c>
      <c r="B330" t="inlineStr">
        <is>
          <t>Thulhagiri Island Resort &amp; Spa</t>
        </is>
      </c>
      <c r="C330" t="inlineStr">
        <is>
          <t>https://thulhagiri.com.mv/privacy-policy/</t>
        </is>
      </c>
      <c r="D330" t="inlineStr">
        <is>
          <t>spa</t>
        </is>
      </c>
      <c r="E330" t="inlineStr">
        <is>
          <t>Privacy Policy - Thulhagiri Island Resort and Spa Maldives</t>
        </is>
      </c>
      <c r="F330" t="n">
        <v>16956</v>
      </c>
      <c r="G330" t="inlineStr">
        <is>
          <t>2026-10-04</t>
        </is>
      </c>
      <c r="H330" t="inlineStr">
        <is>
          <t>official</t>
        </is>
      </c>
      <c r="I330" t="inlineStr">
        <is>
          <t>output/pages/012_thulhagiri-island-resort-spa/spa__thulhagiri.com.mv__privacy-policy.md</t>
        </is>
      </c>
    </row>
    <row r="331">
      <c r="A331" t="n">
        <v>12</v>
      </c>
      <c r="B331" t="inlineStr">
        <is>
          <t>Thulhagiri Island Resort &amp; Spa</t>
        </is>
      </c>
      <c r="C331" t="inlineStr">
        <is>
          <t>https://www.thulhagiri.com.mv</t>
        </is>
      </c>
      <c r="D331" t="inlineStr">
        <is>
          <t>spa</t>
        </is>
      </c>
      <c r="E331" t="inlineStr">
        <is>
          <t>Thulhagiri Island Resort and Spa Maldives</t>
        </is>
      </c>
      <c r="F331" t="n">
        <v>4132</v>
      </c>
      <c r="G331" t="inlineStr">
        <is>
          <t>2026-10-04</t>
        </is>
      </c>
      <c r="H331" t="inlineStr">
        <is>
          <t>official</t>
        </is>
      </c>
      <c r="I331" t="inlineStr">
        <is>
          <t>output/pages/012_thulhagiri-island-resort-spa/spa__thulhagiri.com.mv__home.md</t>
        </is>
      </c>
    </row>
    <row r="332">
      <c r="A332" t="n">
        <v>11</v>
      </c>
      <c r="B332" t="inlineStr">
        <is>
          <t>Angaga Island Resort and Spa</t>
        </is>
      </c>
      <c r="C332" t="inlineStr">
        <is>
          <t>https://angaga.com.mv/privacy-policy/</t>
        </is>
      </c>
      <c r="D332" t="inlineStr">
        <is>
          <t>spa</t>
        </is>
      </c>
      <c r="E332" t="inlineStr">
        <is>
          <t>Angaga Island Resort &amp; Spa</t>
        </is>
      </c>
      <c r="F332" t="n">
        <v>16854</v>
      </c>
      <c r="G332" t="inlineStr">
        <is>
          <t>2026-10-04</t>
        </is>
      </c>
      <c r="H332" t="inlineStr">
        <is>
          <t>official</t>
        </is>
      </c>
      <c r="I332" t="inlineStr">
        <is>
          <t>output/pages/011_angaga-island-resort-and-spa/spa__angaga.com.mv__privacy-policy.md</t>
        </is>
      </c>
    </row>
    <row r="333">
      <c r="A333" t="n">
        <v>17</v>
      </c>
      <c r="B333" t="inlineStr">
        <is>
          <t>Rihiveli Maldives Resort</t>
        </is>
      </c>
      <c r="C333" t="inlineStr">
        <is>
          <t>https://expireddomains.com/domain/rihivelimaldives.com?utm_source=redi</t>
        </is>
      </c>
      <c r="D333" t="inlineStr">
        <is>
          <t>diving</t>
        </is>
      </c>
      <c r="E333" t="inlineStr">
        <is>
          <t>rihivelimaldives.com — seasoned .com domain (2y) | ED.com</t>
        </is>
      </c>
      <c r="F333" t="n">
        <v>2883</v>
      </c>
      <c r="G333" t="inlineStr">
        <is>
          <t>2026-10-04</t>
        </is>
      </c>
      <c r="H333" t="inlineStr">
        <is>
          <t>official</t>
        </is>
      </c>
      <c r="I333" t="inlineStr">
        <is>
          <t>output/pages/017_rihiveli-maldives-resort/diving__expireddomains.com__domain-rihivelimaldives-com.md</t>
        </is>
      </c>
    </row>
    <row r="334">
      <c r="A334" t="n">
        <v>12</v>
      </c>
      <c r="B334" t="inlineStr">
        <is>
          <t>Thulhagiri Island Resort &amp; Spa</t>
        </is>
      </c>
      <c r="C334" t="inlineStr">
        <is>
          <t>https://thulhagiri.com.mv/plan-your-visit/</t>
        </is>
      </c>
      <c r="D334" t="inlineStr">
        <is>
          <t>spa</t>
        </is>
      </c>
      <c r="E334" t="inlineStr">
        <is>
          <t>Plan Your Visit - Thulhagiri Island Resort and Spa Maldives</t>
        </is>
      </c>
      <c r="F334" t="n">
        <v>1740</v>
      </c>
      <c r="G334" t="inlineStr">
        <is>
          <t>2026-10-04</t>
        </is>
      </c>
      <c r="H334" t="inlineStr">
        <is>
          <t>official</t>
        </is>
      </c>
      <c r="I334" t="inlineStr">
        <is>
          <t>output/pages/012_thulhagiri-island-resort-spa/spa__thulhagiri.com.mv__plan-your-visit.md</t>
        </is>
      </c>
    </row>
    <row r="335">
      <c r="A335" t="n">
        <v>12</v>
      </c>
      <c r="B335" t="inlineStr">
        <is>
          <t>Thulhagiri Island Resort &amp; Spa</t>
        </is>
      </c>
      <c r="C335" t="inlineStr">
        <is>
          <t>https://thulhagiri.com.mv/spa/</t>
        </is>
      </c>
      <c r="D335" t="inlineStr">
        <is>
          <t>spa</t>
        </is>
      </c>
      <c r="E335" t="inlineStr">
        <is>
          <t>SPA - Thulhagiri Island Resort and Spa Maldives</t>
        </is>
      </c>
      <c r="F335" t="n">
        <v>6374</v>
      </c>
      <c r="G335" t="inlineStr">
        <is>
          <t>2026-10-04</t>
        </is>
      </c>
      <c r="H335" t="inlineStr">
        <is>
          <t>official</t>
        </is>
      </c>
      <c r="I335" t="inlineStr">
        <is>
          <t>output/pages/012_thulhagiri-island-resort-spa/spa__thulhagiri.com.mv__spa.md</t>
        </is>
      </c>
    </row>
    <row r="336">
      <c r="A336" t="n">
        <v>12</v>
      </c>
      <c r="B336" t="inlineStr">
        <is>
          <t>Thulhagiri Island Resort &amp; Spa</t>
        </is>
      </c>
      <c r="C336" t="inlineStr">
        <is>
          <t>https://thulhagiri.com.mv/stay/</t>
        </is>
      </c>
      <c r="D336" t="inlineStr">
        <is>
          <t>spa</t>
        </is>
      </c>
      <c r="E336" t="inlineStr">
        <is>
          <t>Stay - Thulhagiri Island Resort and Spa Maldives</t>
        </is>
      </c>
      <c r="F336" t="n">
        <v>2384</v>
      </c>
      <c r="G336" t="inlineStr">
        <is>
          <t>2026-10-04</t>
        </is>
      </c>
      <c r="H336" t="inlineStr">
        <is>
          <t>official</t>
        </is>
      </c>
      <c r="I336" t="inlineStr">
        <is>
          <t>output/pages/012_thulhagiri-island-resort-spa/spa__thulhagiri.com.mv__stay.md</t>
        </is>
      </c>
    </row>
    <row r="337">
      <c r="A337" t="n">
        <v>12</v>
      </c>
      <c r="B337" t="inlineStr">
        <is>
          <t>Thulhagiri Island Resort &amp; Spa</t>
        </is>
      </c>
      <c r="C337" t="inlineStr">
        <is>
          <t>https://thulhagiri.com.mv/gallery/</t>
        </is>
      </c>
      <c r="D337" t="inlineStr">
        <is>
          <t>spa</t>
        </is>
      </c>
      <c r="E337" t="inlineStr">
        <is>
          <t>Gallery - Thulhagiri Island Resort and Spa Maldives</t>
        </is>
      </c>
      <c r="F337" t="n">
        <v>930</v>
      </c>
      <c r="G337" t="inlineStr">
        <is>
          <t>2026-10-04</t>
        </is>
      </c>
      <c r="H337" t="inlineStr">
        <is>
          <t>official</t>
        </is>
      </c>
      <c r="I337" t="inlineStr">
        <is>
          <t>output/pages/012_thulhagiri-island-resort-spa/spa__thulhagiri.com.mv__gallery.md</t>
        </is>
      </c>
    </row>
    <row r="338">
      <c r="A338" t="n">
        <v>12</v>
      </c>
      <c r="B338" t="inlineStr">
        <is>
          <t>Thulhagiri Island Resort &amp; Spa</t>
        </is>
      </c>
      <c r="C338" t="inlineStr">
        <is>
          <t>https://thulhagiri.com.mv/wedding/</t>
        </is>
      </c>
      <c r="D338" t="inlineStr">
        <is>
          <t>wedding</t>
        </is>
      </c>
      <c r="E338" t="inlineStr">
        <is>
          <t>Wedding - Thulhagiri Island Resort and Spa Maldives</t>
        </is>
      </c>
      <c r="F338" t="n">
        <v>3083</v>
      </c>
      <c r="G338" t="inlineStr">
        <is>
          <t>2026-10-04</t>
        </is>
      </c>
      <c r="H338" t="inlineStr">
        <is>
          <t>official</t>
        </is>
      </c>
      <c r="I338" t="inlineStr">
        <is>
          <t>output/pages/012_thulhagiri-island-resort-spa/wedding__thulhagiri.com.mv__wedding.md</t>
        </is>
      </c>
    </row>
    <row r="339">
      <c r="A339" t="n">
        <v>12</v>
      </c>
      <c r="B339" t="inlineStr">
        <is>
          <t>Thulhagiri Island Resort &amp; Spa</t>
        </is>
      </c>
      <c r="C339" t="inlineStr">
        <is>
          <t>https://thulhagiri.com.mv/terms-conditions/</t>
        </is>
      </c>
      <c r="D339" t="inlineStr">
        <is>
          <t>spa</t>
        </is>
      </c>
      <c r="E339" t="inlineStr">
        <is>
          <t>Terms &amp; Conditions - Thulhagiri Island Resort and Spa Maldives</t>
        </is>
      </c>
      <c r="F339" t="n">
        <v>23041</v>
      </c>
      <c r="G339" t="inlineStr">
        <is>
          <t>2026-10-04</t>
        </is>
      </c>
      <c r="H339" t="inlineStr">
        <is>
          <t>official</t>
        </is>
      </c>
      <c r="I339" t="inlineStr">
        <is>
          <t>output/pages/012_thulhagiri-island-resort-spa/spa__thulhagiri.com.mv__terms-conditions.md</t>
        </is>
      </c>
    </row>
    <row r="340">
      <c r="A340" t="n">
        <v>12</v>
      </c>
      <c r="B340" t="inlineStr">
        <is>
          <t>Thulhagiri Island Resort &amp; Spa</t>
        </is>
      </c>
      <c r="C340" t="inlineStr">
        <is>
          <t>https://thulhagiri.com.mv/downloads/</t>
        </is>
      </c>
      <c r="D340" t="inlineStr">
        <is>
          <t>spa</t>
        </is>
      </c>
      <c r="E340" t="inlineStr">
        <is>
          <t>Downloads - Thulhagiri Island Resort and Spa Maldives</t>
        </is>
      </c>
      <c r="F340" t="n">
        <v>640</v>
      </c>
      <c r="G340" t="inlineStr">
        <is>
          <t>2026-10-04</t>
        </is>
      </c>
      <c r="H340" t="inlineStr">
        <is>
          <t>official</t>
        </is>
      </c>
      <c r="I340" t="inlineStr">
        <is>
          <t>output/pages/012_thulhagiri-island-resort-spa/spa__thulhagiri.com.mv__downloads.md</t>
        </is>
      </c>
    </row>
    <row r="341">
      <c r="A341" t="n">
        <v>12</v>
      </c>
      <c r="B341" t="inlineStr">
        <is>
          <t>Thulhagiri Island Resort &amp; Spa</t>
        </is>
      </c>
      <c r="C341" t="inlineStr">
        <is>
          <t>https://thulhagiri.com.mv/hotel-policy/</t>
        </is>
      </c>
      <c r="D341" t="inlineStr">
        <is>
          <t>spa</t>
        </is>
      </c>
      <c r="E341" t="inlineStr">
        <is>
          <t>Hotel Policy - Thulhagiri Island Resort and Spa Maldives</t>
        </is>
      </c>
      <c r="F341" t="n">
        <v>3081</v>
      </c>
      <c r="G341" t="inlineStr">
        <is>
          <t>2026-10-04</t>
        </is>
      </c>
      <c r="H341" t="inlineStr">
        <is>
          <t>official</t>
        </is>
      </c>
      <c r="I341" t="inlineStr">
        <is>
          <t>output/pages/012_thulhagiri-island-resort-spa/spa__thulhagiri.com.mv__hotel-policy.md</t>
        </is>
      </c>
    </row>
    <row r="342">
      <c r="A342" t="n">
        <v>12</v>
      </c>
      <c r="B342" t="inlineStr">
        <is>
          <t>Thulhagiri Island Resort &amp; Spa</t>
        </is>
      </c>
      <c r="C342" t="inlineStr">
        <is>
          <t>https://thulhagiri.com.mv</t>
        </is>
      </c>
      <c r="D342" t="inlineStr">
        <is>
          <t>spa</t>
        </is>
      </c>
      <c r="E342" t="inlineStr">
        <is>
          <t>Thulhagiri Island Resort and Spa Maldives</t>
        </is>
      </c>
      <c r="F342" t="n">
        <v>4132</v>
      </c>
      <c r="G342" t="inlineStr">
        <is>
          <t>2026-10-04</t>
        </is>
      </c>
      <c r="H342" t="inlineStr">
        <is>
          <t>official</t>
        </is>
      </c>
      <c r="I342" t="inlineStr">
        <is>
          <t>output/pages/012_thulhagiri-island-resort-spa/spa__thulhagiri.com.mv__home.md</t>
        </is>
      </c>
    </row>
    <row r="343">
      <c r="A343" t="n">
        <v>12</v>
      </c>
      <c r="B343" t="inlineStr">
        <is>
          <t>Thulhagiri Island Resort &amp; Spa</t>
        </is>
      </c>
      <c r="C343" t="inlineStr">
        <is>
          <t>https://thulhagiri.com.mv/activities/</t>
        </is>
      </c>
      <c r="D343" t="inlineStr">
        <is>
          <t>spa</t>
        </is>
      </c>
      <c r="E343" t="inlineStr">
        <is>
          <t>Activities - Thulhagiri Island Resort and Spa Maldives</t>
        </is>
      </c>
      <c r="F343" t="n">
        <v>445</v>
      </c>
      <c r="G343" t="inlineStr">
        <is>
          <t>2026-10-04</t>
        </is>
      </c>
      <c r="H343" t="inlineStr">
        <is>
          <t>official</t>
        </is>
      </c>
      <c r="I343" t="inlineStr">
        <is>
          <t>output/pages/012_thulhagiri-island-resort-spa/spa__thulhagiri.com.mv__activities.md</t>
        </is>
      </c>
    </row>
    <row r="344">
      <c r="A344" t="n">
        <v>11</v>
      </c>
      <c r="B344" t="inlineStr">
        <is>
          <t>Angaga Island Resort and Spa</t>
        </is>
      </c>
      <c r="C344" t="inlineStr">
        <is>
          <t>http://angaga.com.mv</t>
        </is>
      </c>
      <c r="D344" t="inlineStr">
        <is>
          <t>spa</t>
        </is>
      </c>
      <c r="E344" t="inlineStr">
        <is>
          <t>Angaga Island Resort &amp; Spa</t>
        </is>
      </c>
      <c r="F344" t="n">
        <v>4423</v>
      </c>
      <c r="G344" t="inlineStr">
        <is>
          <t>2026-10-04</t>
        </is>
      </c>
      <c r="H344" t="inlineStr">
        <is>
          <t>official</t>
        </is>
      </c>
      <c r="I344" t="inlineStr">
        <is>
          <t>output/pages/011_angaga-island-resort-and-spa/spa__angaga.com.mv__home.md</t>
        </is>
      </c>
    </row>
    <row r="345">
      <c r="A345" t="n">
        <v>11</v>
      </c>
      <c r="B345" t="inlineStr">
        <is>
          <t>Angaga Island Resort and Spa</t>
        </is>
      </c>
      <c r="C345" t="inlineStr">
        <is>
          <t>https://angaga.com.mv/gallery/</t>
        </is>
      </c>
      <c r="D345" t="inlineStr">
        <is>
          <t>spa</t>
        </is>
      </c>
      <c r="E345" t="inlineStr">
        <is>
          <t>Angaga Island Resort &amp; Spa</t>
        </is>
      </c>
      <c r="F345" t="n">
        <v>1259</v>
      </c>
      <c r="G345" t="inlineStr">
        <is>
          <t>2026-10-04</t>
        </is>
      </c>
      <c r="H345" t="inlineStr">
        <is>
          <t>official</t>
        </is>
      </c>
      <c r="I345" t="inlineStr">
        <is>
          <t>output/pages/011_angaga-island-resort-and-spa/spa__angaga.com.mv__gallery.md</t>
        </is>
      </c>
    </row>
    <row r="346">
      <c r="A346" t="n">
        <v>11</v>
      </c>
      <c r="B346" t="inlineStr">
        <is>
          <t>Angaga Island Resort and Spa</t>
        </is>
      </c>
      <c r="C346" t="inlineStr">
        <is>
          <t>https://angaga.com.mv/terms-conditions/</t>
        </is>
      </c>
      <c r="D346" t="inlineStr">
        <is>
          <t>spa</t>
        </is>
      </c>
      <c r="E346" t="inlineStr">
        <is>
          <t>Angaga Island Resort &amp; Spa</t>
        </is>
      </c>
      <c r="F346" t="n">
        <v>22973</v>
      </c>
      <c r="G346" t="inlineStr">
        <is>
          <t>2026-10-04</t>
        </is>
      </c>
      <c r="H346" t="inlineStr">
        <is>
          <t>official</t>
        </is>
      </c>
      <c r="I346" t="inlineStr">
        <is>
          <t>output/pages/011_angaga-island-resort-and-spa/spa__angaga.com.mv__terms-conditions.md</t>
        </is>
      </c>
    </row>
    <row r="347">
      <c r="A347" t="n">
        <v>11</v>
      </c>
      <c r="B347" t="inlineStr">
        <is>
          <t>Angaga Island Resort and Spa</t>
        </is>
      </c>
      <c r="C347" t="inlineStr">
        <is>
          <t>https://angaga.com.mv/downloads/</t>
        </is>
      </c>
      <c r="D347" t="inlineStr">
        <is>
          <t>spa</t>
        </is>
      </c>
      <c r="E347" t="inlineStr">
        <is>
          <t>Angaga Island Resort &amp; Spa</t>
        </is>
      </c>
      <c r="F347" t="n">
        <v>570</v>
      </c>
      <c r="G347" t="inlineStr">
        <is>
          <t>2026-10-04</t>
        </is>
      </c>
      <c r="H347" t="inlineStr">
        <is>
          <t>official</t>
        </is>
      </c>
      <c r="I347" t="inlineStr">
        <is>
          <t>output/pages/011_angaga-island-resort-and-spa/spa__angaga.com.mv__downloads.md</t>
        </is>
      </c>
    </row>
    <row r="348">
      <c r="A348" t="n">
        <v>11</v>
      </c>
      <c r="B348" t="inlineStr">
        <is>
          <t>Angaga Island Resort and Spa</t>
        </is>
      </c>
      <c r="C348" t="inlineStr">
        <is>
          <t>https://angaga.com.mv/stay/</t>
        </is>
      </c>
      <c r="D348" t="inlineStr">
        <is>
          <t>spa</t>
        </is>
      </c>
      <c r="E348" t="inlineStr">
        <is>
          <t>Angaga Island Resort &amp; Spa</t>
        </is>
      </c>
      <c r="F348" t="n">
        <v>1976</v>
      </c>
      <c r="G348" t="inlineStr">
        <is>
          <t>2026-10-04</t>
        </is>
      </c>
      <c r="H348" t="inlineStr">
        <is>
          <t>official</t>
        </is>
      </c>
      <c r="I348" t="inlineStr">
        <is>
          <t>output/pages/011_angaga-island-resort-and-spa/spa__angaga.com.mv__stay.md</t>
        </is>
      </c>
    </row>
    <row r="349">
      <c r="A349" t="n">
        <v>11</v>
      </c>
      <c r="B349" t="inlineStr">
        <is>
          <t>Angaga Island Resort and Spa</t>
        </is>
      </c>
      <c r="C349" t="inlineStr">
        <is>
          <t>https://angaga.com.mv/wedding/</t>
        </is>
      </c>
      <c r="D349" t="inlineStr">
        <is>
          <t>wedding</t>
        </is>
      </c>
      <c r="E349" t="inlineStr">
        <is>
          <t>Angaga Island Resort &amp; Spa</t>
        </is>
      </c>
      <c r="F349" t="n">
        <v>2970</v>
      </c>
      <c r="G349" t="inlineStr">
        <is>
          <t>2026-10-04</t>
        </is>
      </c>
      <c r="H349" t="inlineStr">
        <is>
          <t>official</t>
        </is>
      </c>
      <c r="I349" t="inlineStr">
        <is>
          <t>output/pages/011_angaga-island-resort-and-spa/wedding__angaga.com.mv__wedding.md</t>
        </is>
      </c>
    </row>
    <row r="350">
      <c r="A350" t="n">
        <v>11</v>
      </c>
      <c r="B350" t="inlineStr">
        <is>
          <t>Angaga Island Resort and Spa</t>
        </is>
      </c>
      <c r="C350" t="inlineStr">
        <is>
          <t>https://angaga.com.mv</t>
        </is>
      </c>
      <c r="D350" t="inlineStr">
        <is>
          <t>spa</t>
        </is>
      </c>
      <c r="E350" t="inlineStr">
        <is>
          <t>Angaga Island Resort &amp; Spa</t>
        </is>
      </c>
      <c r="F350" t="n">
        <v>4423</v>
      </c>
      <c r="G350" t="inlineStr">
        <is>
          <t>2026-10-04</t>
        </is>
      </c>
      <c r="H350" t="inlineStr">
        <is>
          <t>official</t>
        </is>
      </c>
      <c r="I350" t="inlineStr">
        <is>
          <t>output/pages/011_angaga-island-resort-and-spa/spa__angaga.com.mv__home.md</t>
        </is>
      </c>
    </row>
    <row r="351">
      <c r="A351" t="n">
        <v>11</v>
      </c>
      <c r="B351" t="inlineStr">
        <is>
          <t>Angaga Island Resort and Spa</t>
        </is>
      </c>
      <c r="C351" t="inlineStr">
        <is>
          <t>https://angaga.com.mv/activities/</t>
        </is>
      </c>
      <c r="D351" t="inlineStr">
        <is>
          <t>spa</t>
        </is>
      </c>
      <c r="E351" t="inlineStr">
        <is>
          <t>Angaga Island Resort &amp; Spa</t>
        </is>
      </c>
      <c r="F351" t="n">
        <v>519</v>
      </c>
      <c r="G351" t="inlineStr">
        <is>
          <t>2026-10-04</t>
        </is>
      </c>
      <c r="H351" t="inlineStr">
        <is>
          <t>official</t>
        </is>
      </c>
      <c r="I351" t="inlineStr">
        <is>
          <t>output/pages/011_angaga-island-resort-and-spa/spa__angaga.com.mv__activities.md</t>
        </is>
      </c>
    </row>
    <row r="352">
      <c r="A352" t="n">
        <v>11</v>
      </c>
      <c r="B352" t="inlineStr">
        <is>
          <t>Angaga Island Resort and Spa</t>
        </is>
      </c>
      <c r="C352" t="inlineStr">
        <is>
          <t>https://angaga.com.mv/hotel-policy/</t>
        </is>
      </c>
      <c r="D352" t="inlineStr">
        <is>
          <t>spa</t>
        </is>
      </c>
      <c r="E352" t="inlineStr">
        <is>
          <t>Angaga Island Resort &amp; Spa</t>
        </is>
      </c>
      <c r="F352" t="n">
        <v>3860</v>
      </c>
      <c r="G352" t="inlineStr">
        <is>
          <t>2026-10-04</t>
        </is>
      </c>
      <c r="H352" t="inlineStr">
        <is>
          <t>official</t>
        </is>
      </c>
      <c r="I352" t="inlineStr">
        <is>
          <t>output/pages/011_angaga-island-resort-and-spa/spa__angaga.com.mv__hotel-policy.md</t>
        </is>
      </c>
    </row>
    <row r="353">
      <c r="A353" t="n">
        <v>11</v>
      </c>
      <c r="B353" t="inlineStr">
        <is>
          <t>Angaga Island Resort and Spa</t>
        </is>
      </c>
      <c r="C353" t="inlineStr">
        <is>
          <t>https://angaga.com.mv/plan-your-visit/</t>
        </is>
      </c>
      <c r="D353" t="inlineStr">
        <is>
          <t>spa</t>
        </is>
      </c>
      <c r="E353" t="inlineStr">
        <is>
          <t>Angaga Island Resort &amp; Spa</t>
        </is>
      </c>
      <c r="F353" t="n">
        <v>1896</v>
      </c>
      <c r="G353" t="inlineStr">
        <is>
          <t>2026-10-04</t>
        </is>
      </c>
      <c r="H353" t="inlineStr">
        <is>
          <t>official</t>
        </is>
      </c>
      <c r="I353" t="inlineStr">
        <is>
          <t>output/pages/011_angaga-island-resort-and-spa/spa__angaga.com.mv__plan-your-visit.md</t>
        </is>
      </c>
    </row>
    <row r="354">
      <c r="A354" t="n">
        <v>11</v>
      </c>
      <c r="B354" t="inlineStr">
        <is>
          <t>Angaga Island Resort and Spa</t>
        </is>
      </c>
      <c r="C354" t="inlineStr">
        <is>
          <t>https://angaga.com.mv/spa/</t>
        </is>
      </c>
      <c r="D354" t="inlineStr">
        <is>
          <t>spa</t>
        </is>
      </c>
      <c r="E354" t="inlineStr">
        <is>
          <t>Angaga Island Resort &amp; Spa</t>
        </is>
      </c>
      <c r="F354" t="n">
        <v>7869</v>
      </c>
      <c r="G354" t="inlineStr">
        <is>
          <t>2026-10-04</t>
        </is>
      </c>
      <c r="H354" t="inlineStr">
        <is>
          <t>official</t>
        </is>
      </c>
      <c r="I354" t="inlineStr">
        <is>
          <t>output/pages/011_angaga-island-resort-and-spa/spa__angaga.com.mv__spa.md</t>
        </is>
      </c>
    </row>
    <row r="355">
      <c r="A355" t="n">
        <v>11</v>
      </c>
      <c r="B355" t="inlineStr">
        <is>
          <t>Angaga Island Resort and Spa</t>
        </is>
      </c>
      <c r="C355" t="inlineStr">
        <is>
          <t>https://angaga.com.mv/dine/</t>
        </is>
      </c>
      <c r="D355" t="inlineStr">
        <is>
          <t>spa</t>
        </is>
      </c>
      <c r="E355" t="inlineStr">
        <is>
          <t>Angaga Island Resort &amp; Spa</t>
        </is>
      </c>
      <c r="F355" t="n">
        <v>220</v>
      </c>
      <c r="G355" t="inlineStr">
        <is>
          <t>2026-10-04</t>
        </is>
      </c>
      <c r="H355" t="inlineStr">
        <is>
          <t>official</t>
        </is>
      </c>
      <c r="I355" t="inlineStr">
        <is>
          <t>output/pages/011_angaga-island-resort-and-spa/spa__angaga.com.mv__dine.md</t>
        </is>
      </c>
    </row>
    <row r="356">
      <c r="A356" t="n">
        <v>13</v>
      </c>
      <c r="B356" t="inlineStr">
        <is>
          <t>Sandies Bathala</t>
        </is>
      </c>
      <c r="C356" t="inlineStr">
        <is>
          <t>https://www.planhotel.com/en/hotel/sandies-bathala-maldives</t>
        </is>
      </c>
      <c r="D356" t="inlineStr">
        <is>
          <t>events</t>
        </is>
      </c>
      <c r="E356" t="inlineStr">
        <is>
          <t>Page not found | Planhotel Hospitality Group</t>
        </is>
      </c>
      <c r="F356" t="n">
        <v>2059</v>
      </c>
      <c r="G356" t="inlineStr">
        <is>
          <t>2026-10-04</t>
        </is>
      </c>
      <c r="H356" t="inlineStr">
        <is>
          <t>official</t>
        </is>
      </c>
      <c r="I356" t="inlineStr">
        <is>
          <t>output/pages/013_sandies-bathala/events__planhotel.com__en-hotel-sandies-bathala-maldives.md</t>
        </is>
      </c>
    </row>
    <row r="357">
      <c r="A357" t="n">
        <v>13</v>
      </c>
      <c r="B357" t="inlineStr">
        <is>
          <t>Sandies Bathala</t>
        </is>
      </c>
      <c r="C357" t="inlineStr">
        <is>
          <t>https://www.planhotel.com/de/unsere-hotels-resorts/diamonds-hotels-resorts/diamonds-mapenzi-beach/</t>
        </is>
      </c>
      <c r="D357" t="inlineStr">
        <is>
          <t>events</t>
        </is>
      </c>
      <c r="E357" t="inlineStr">
        <is>
          <t>Diamonds Hotels and Resorts - DIAMONDS MAPENZI BEACH Hotel -  Planhotel Hospitality group der Indischen Ozean</t>
        </is>
      </c>
      <c r="F357" t="n">
        <v>926</v>
      </c>
      <c r="G357" t="inlineStr">
        <is>
          <t>2026-10-04</t>
        </is>
      </c>
      <c r="H357" t="inlineStr">
        <is>
          <t>official</t>
        </is>
      </c>
      <c r="I357" t="inlineStr">
        <is>
          <t>output/pages/013_sandies-bathala/events__planhotel.com__de-unsere-hotels-resorts-diamonds-hotels-resorts-diamonds-ma.md</t>
        </is>
      </c>
    </row>
    <row r="358">
      <c r="A358" t="n">
        <v>13</v>
      </c>
      <c r="B358" t="inlineStr">
        <is>
          <t>Sandies Bathala</t>
        </is>
      </c>
      <c r="C358" t="inlineStr">
        <is>
          <t>https://www.planhotel.com/it/i-nostri-hotels-resorts/diamonds-hotels-and-resorts/</t>
        </is>
      </c>
      <c r="D358" t="inlineStr">
        <is>
          <t>events</t>
        </is>
      </c>
      <c r="E358" t="inlineStr">
        <is>
          <t>I Nostri Hotels &amp; Resorts - Diamonds Hotels and Resorts Hotel  - Planhotel Hospitality group  nell' Oceano Indiano</t>
        </is>
      </c>
      <c r="F358" t="n">
        <v>2759</v>
      </c>
      <c r="G358" t="inlineStr">
        <is>
          <t>2026-10-04</t>
        </is>
      </c>
      <c r="H358" t="inlineStr">
        <is>
          <t>official</t>
        </is>
      </c>
      <c r="I358" t="inlineStr">
        <is>
          <t>output/pages/013_sandies-bathala/events__planhotel.com__it-i-nostri-hotels-resorts-diamonds-hotels-and-resorts.md</t>
        </is>
      </c>
    </row>
    <row r="359">
      <c r="A359" t="n">
        <v>19</v>
      </c>
      <c r="B359" t="inlineStr">
        <is>
          <t>The Residence Maldives</t>
        </is>
      </c>
      <c r="C359" t="inlineStr">
        <is>
          <t>https://www.cenizaro.com/theresidence/maldives-fm</t>
        </is>
      </c>
      <c r="D359" t="inlineStr">
        <is>
          <t>diving</t>
        </is>
      </c>
      <c r="E359" t="inlineStr">
        <is>
          <t>Maldives Luxury Resorts | The Residence Maldives</t>
        </is>
      </c>
      <c r="F359" t="n">
        <v>1081</v>
      </c>
      <c r="G359" t="inlineStr">
        <is>
          <t>2026-10-04</t>
        </is>
      </c>
      <c r="H359" t="inlineStr">
        <is>
          <t>official</t>
        </is>
      </c>
      <c r="I359" t="inlineStr">
        <is>
          <t>output/pages/019_the-residence-maldives/diving__cenizaro.com__theresidence-maldives-fm.md</t>
        </is>
      </c>
    </row>
    <row r="360">
      <c r="A360" t="n">
        <v>13</v>
      </c>
      <c r="B360" t="inlineStr">
        <is>
          <t>Sandies Bathala</t>
        </is>
      </c>
      <c r="C360" t="inlineStr">
        <is>
          <t>https://www.planhotel.com/de/unsere-hotels-resorts/diamonds-hotels-resorts/diamonds-malindi/</t>
        </is>
      </c>
      <c r="D360" t="inlineStr">
        <is>
          <t>events</t>
        </is>
      </c>
      <c r="E360" t="inlineStr">
        <is>
          <t>Diamonds Hotels and Resorts - DIAMONDS MALINDI Hotel -  Planhotel Hospitality group der Indischen Ozean</t>
        </is>
      </c>
      <c r="F360" t="n">
        <v>917</v>
      </c>
      <c r="G360" t="inlineStr">
        <is>
          <t>2026-10-04</t>
        </is>
      </c>
      <c r="H360" t="inlineStr">
        <is>
          <t>official</t>
        </is>
      </c>
      <c r="I360" t="inlineStr">
        <is>
          <t>output/pages/013_sandies-bathala/events__planhotel.com__de-unsere-hotels-resorts-diamonds-hotels-resorts-diamonds-ma.md</t>
        </is>
      </c>
    </row>
    <row r="361">
      <c r="A361" t="n">
        <v>13</v>
      </c>
      <c r="B361" t="inlineStr">
        <is>
          <t>Sandies Bathala</t>
        </is>
      </c>
      <c r="C361" t="inlineStr">
        <is>
          <t>https://www.planhotel.com/fr/nos-hotels-resorts/diamonds-hotels-resorts/diamonds-leisure-beach-golf-resort/</t>
        </is>
      </c>
      <c r="D361" t="inlineStr">
        <is>
          <t>events</t>
        </is>
      </c>
      <c r="E361" t="inlineStr">
        <is>
          <t>Diamonds Hotels and Resorts - DIAMONDS LEISURE BEACH &amp; GOLF RESORT Hotel  -  Planhotel Hospitality group dans l'Océan In</t>
        </is>
      </c>
      <c r="F361" t="n">
        <v>975</v>
      </c>
      <c r="G361" t="inlineStr">
        <is>
          <t>2026-10-04</t>
        </is>
      </c>
      <c r="H361" t="inlineStr">
        <is>
          <t>official</t>
        </is>
      </c>
      <c r="I361" t="inlineStr">
        <is>
          <t>output/pages/013_sandies-bathala/events__planhotel.com__fr-nos-hotels-resorts-diamonds-hotels-resorts-diamonds-leisu.md</t>
        </is>
      </c>
    </row>
    <row r="362">
      <c r="A362" t="n">
        <v>13</v>
      </c>
      <c r="B362" t="inlineStr">
        <is>
          <t>Sandies Bathala</t>
        </is>
      </c>
      <c r="C362" t="inlineStr">
        <is>
          <t>https://www.planhotel.com/the-group/</t>
        </is>
      </c>
      <c r="D362" t="inlineStr">
        <is>
          <t>events</t>
        </is>
      </c>
      <c r="E362" t="inlineStr">
        <is>
          <t>PLANHOTEL HOSPITALITY GROUP  Hotel - Planhotel Hospitality group  in the Indian Ocean</t>
        </is>
      </c>
      <c r="F362" t="n">
        <v>2596</v>
      </c>
      <c r="G362" t="inlineStr">
        <is>
          <t>2026-10-04</t>
        </is>
      </c>
      <c r="H362" t="inlineStr">
        <is>
          <t>official</t>
        </is>
      </c>
      <c r="I362" t="inlineStr">
        <is>
          <t>output/pages/013_sandies-bathala/events__planhotel.com__the-group.md</t>
        </is>
      </c>
    </row>
    <row r="363">
      <c r="A363" t="n">
        <v>13</v>
      </c>
      <c r="B363" t="inlineStr">
        <is>
          <t>Sandies Bathala</t>
        </is>
      </c>
      <c r="C363" t="inlineStr">
        <is>
          <t>https://www.planhotel.com/group-hotels/diamonds-hotels-and-resorts/diamonds-mapenzi-beach/</t>
        </is>
      </c>
      <c r="D363" t="inlineStr">
        <is>
          <t>events</t>
        </is>
      </c>
      <c r="E363" t="inlineStr">
        <is>
          <t>Diamonds Hotels and Resorts - DIAMONDS MAPENZI BEACH  Hotel - Planhotel Hospitality group  in the Indian Ocean</t>
        </is>
      </c>
      <c r="F363" t="n">
        <v>953</v>
      </c>
      <c r="G363" t="inlineStr">
        <is>
          <t>2026-10-04</t>
        </is>
      </c>
      <c r="H363" t="inlineStr">
        <is>
          <t>official</t>
        </is>
      </c>
      <c r="I363" t="inlineStr">
        <is>
          <t>output/pages/013_sandies-bathala/events__planhotel.com__group-hotels-diamonds-hotels-and-resorts-diamonds-mapenzi-be.md</t>
        </is>
      </c>
    </row>
    <row r="364">
      <c r="A364" t="n">
        <v>13</v>
      </c>
      <c r="B364" t="inlineStr">
        <is>
          <t>Sandies Bathala</t>
        </is>
      </c>
      <c r="C364" t="inlineStr">
        <is>
          <t>https://www.planhotel.com/terms-conditions/</t>
        </is>
      </c>
      <c r="D364" t="inlineStr">
        <is>
          <t>events</t>
        </is>
      </c>
      <c r="E364" t="inlineStr">
        <is>
          <t>Terms &amp; Conditions  Hotel - Planhotel Hospitality group  in the Indian Ocean</t>
        </is>
      </c>
      <c r="F364" t="n">
        <v>10353</v>
      </c>
      <c r="G364" t="inlineStr">
        <is>
          <t>2026-10-04</t>
        </is>
      </c>
      <c r="H364" t="inlineStr">
        <is>
          <t>official</t>
        </is>
      </c>
      <c r="I364" t="inlineStr">
        <is>
          <t>output/pages/013_sandies-bathala/events__planhotel.com__terms-conditions.md</t>
        </is>
      </c>
    </row>
    <row r="365">
      <c r="A365" t="n">
        <v>13</v>
      </c>
      <c r="B365" t="inlineStr">
        <is>
          <t>Sandies Bathala</t>
        </is>
      </c>
      <c r="C365" t="inlineStr">
        <is>
          <t>https://www.planhotel.com/travel-professional/meeting-incentive/</t>
        </is>
      </c>
      <c r="D365" t="inlineStr">
        <is>
          <t>events</t>
        </is>
      </c>
      <c r="E365" t="inlineStr">
        <is>
          <t>Travel Professional - Meeting &amp; Incentive  Hotel - Planhotel Hospitality group  in the Indian Ocean</t>
        </is>
      </c>
      <c r="F365" t="n">
        <v>8059</v>
      </c>
      <c r="G365" t="inlineStr">
        <is>
          <t>2026-10-04</t>
        </is>
      </c>
      <c r="H365" t="inlineStr">
        <is>
          <t>official</t>
        </is>
      </c>
      <c r="I365" t="inlineStr">
        <is>
          <t>output/pages/013_sandies-bathala/events__planhotel.com__travel-professional-meeting-incentive.md</t>
        </is>
      </c>
    </row>
    <row r="366">
      <c r="A366" t="n">
        <v>13</v>
      </c>
      <c r="B366" t="inlineStr">
        <is>
          <t>Sandies Bathala</t>
        </is>
      </c>
      <c r="C366" t="inlineStr">
        <is>
          <t>https://www.planhotel.com/fr/solutions-professionnelles/voyages-de-noces-et-anniversaires/sandies-tropical-village/</t>
        </is>
      </c>
      <c r="D366" t="inlineStr">
        <is>
          <t>events</t>
        </is>
      </c>
      <c r="E366" t="inlineStr">
        <is>
          <t>Voyages de noces et anniversaires - Sandies Tropical Village Hotel  -  Planhotel Hospitality group dans l'Océan Indien</t>
        </is>
      </c>
      <c r="F366" t="n">
        <v>1493</v>
      </c>
      <c r="G366" t="inlineStr">
        <is>
          <t>2026-10-04</t>
        </is>
      </c>
      <c r="H366" t="inlineStr">
        <is>
          <t>official</t>
        </is>
      </c>
      <c r="I366" t="inlineStr">
        <is>
          <t>output/pages/013_sandies-bathala/events__planhotel.com__fr-solutions-professionnelles-voyages-de-noces-et-anniversai.md</t>
        </is>
      </c>
    </row>
    <row r="367">
      <c r="A367" t="n">
        <v>13</v>
      </c>
      <c r="B367" t="inlineStr">
        <is>
          <t>Sandies Bathala</t>
        </is>
      </c>
      <c r="C367" t="inlineStr">
        <is>
          <t>https://www.planhotel.com/it/media-centre/</t>
        </is>
      </c>
      <c r="D367" t="inlineStr">
        <is>
          <t>events</t>
        </is>
      </c>
      <c r="E367" t="inlineStr">
        <is>
          <t>Media Centre Hotel   - Planhotel Hospitality group  nell' Oceano Indiano</t>
        </is>
      </c>
      <c r="F367" t="n">
        <v>1256</v>
      </c>
      <c r="G367" t="inlineStr">
        <is>
          <t>2026-10-04</t>
        </is>
      </c>
      <c r="H367" t="inlineStr">
        <is>
          <t>official</t>
        </is>
      </c>
      <c r="I367" t="inlineStr">
        <is>
          <t>output/pages/013_sandies-bathala/events__planhotel.com__it-media-centre.md</t>
        </is>
      </c>
    </row>
    <row r="368">
      <c r="A368" t="n">
        <v>13</v>
      </c>
      <c r="B368" t="inlineStr">
        <is>
          <t>Sandies Bathala</t>
        </is>
      </c>
      <c r="C368" t="inlineStr">
        <is>
          <t>https://www.planhotel.com/sustainability/empowering-female-education/</t>
        </is>
      </c>
      <c r="D368" t="inlineStr">
        <is>
          <t>events</t>
        </is>
      </c>
      <c r="E368" t="inlineStr">
        <is>
          <t>SUSTAINABILITY - EMPOWERING FEMALE EDUCATION  Hotel - Planhotel Hospitality group  in the Indian Ocean</t>
        </is>
      </c>
      <c r="F368" t="n">
        <v>3422</v>
      </c>
      <c r="G368" t="inlineStr">
        <is>
          <t>2026-10-04</t>
        </is>
      </c>
      <c r="H368" t="inlineStr">
        <is>
          <t>official</t>
        </is>
      </c>
      <c r="I368" t="inlineStr">
        <is>
          <t>output/pages/013_sandies-bathala/events__planhotel.com__sustainability-empowering-female-education.md</t>
        </is>
      </c>
    </row>
    <row r="369">
      <c r="A369" t="n">
        <v>13</v>
      </c>
      <c r="B369" t="inlineStr">
        <is>
          <t>Sandies Bathala</t>
        </is>
      </c>
      <c r="C369" t="inlineStr">
        <is>
          <t>https://www.planhotel.com/fr</t>
        </is>
      </c>
      <c r="D369" t="inlineStr">
        <is>
          <t>events</t>
        </is>
      </c>
      <c r="E369" t="inlineStr">
        <is>
          <t>Planhotel Hospitality group - Réserver un resort exclusive de luxe dans l'Océan Indien</t>
        </is>
      </c>
      <c r="F369" t="n">
        <v>3749</v>
      </c>
      <c r="G369" t="inlineStr">
        <is>
          <t>2026-10-04</t>
        </is>
      </c>
      <c r="H369" t="inlineStr">
        <is>
          <t>official</t>
        </is>
      </c>
      <c r="I369" t="inlineStr">
        <is>
          <t>output/pages/013_sandies-bathala/events__planhotel.com__fr.md</t>
        </is>
      </c>
    </row>
    <row r="370">
      <c r="A370" t="n">
        <v>13</v>
      </c>
      <c r="B370" t="inlineStr">
        <is>
          <t>Sandies Bathala</t>
        </is>
      </c>
      <c r="C370" t="inlineStr">
        <is>
          <t>https://www.planhotel.com/it/i-nostri-hotels-resorts/diamonds-hotels-and-resorts/diamonds-mapenzi-beach/</t>
        </is>
      </c>
      <c r="D370" t="inlineStr">
        <is>
          <t>events</t>
        </is>
      </c>
      <c r="E370" t="inlineStr">
        <is>
          <t>Diamonds Hotels and Resorts - DIAMONDS MAPENZI BEACH Hotel  - Planhotel Hospitality group  nell' Oceano Indiano</t>
        </is>
      </c>
      <c r="F370" t="n">
        <v>932</v>
      </c>
      <c r="G370" t="inlineStr">
        <is>
          <t>2026-10-04</t>
        </is>
      </c>
      <c r="H370" t="inlineStr">
        <is>
          <t>official</t>
        </is>
      </c>
      <c r="I370" t="inlineStr">
        <is>
          <t>output/pages/013_sandies-bathala/events__planhotel.com__it-i-nostri-hotels-resorts-diamonds-hotels-and-resorts-diamo.md</t>
        </is>
      </c>
    </row>
    <row r="371">
      <c r="A371" t="n">
        <v>20</v>
      </c>
      <c r="B371" t="inlineStr">
        <is>
          <t>The Residence Maldives At Dhigurah</t>
        </is>
      </c>
      <c r="C371" t="inlineStr">
        <is>
          <t>https://www.cenizaro.com/theresidence/maldives-dg</t>
        </is>
      </c>
      <c r="D371" t="inlineStr">
        <is>
          <t>diving</t>
        </is>
      </c>
      <c r="E371" t="inlineStr">
        <is>
          <t>Maldives Beach Resort l The Residence Maldives Dhigurah</t>
        </is>
      </c>
      <c r="F371" t="n">
        <v>1093</v>
      </c>
      <c r="G371" t="inlineStr">
        <is>
          <t>2026-10-04</t>
        </is>
      </c>
      <c r="H371" t="inlineStr">
        <is>
          <t>official</t>
        </is>
      </c>
      <c r="I371" t="inlineStr">
        <is>
          <t>output/pages/020_the-residence-maldives-at-dhigurah/diving__cenizaro.com__theresidence-maldives-dg.md</t>
        </is>
      </c>
    </row>
    <row r="372">
      <c r="A372" t="n">
        <v>20</v>
      </c>
      <c r="B372" t="inlineStr">
        <is>
          <t>The Residence Maldives At Dhigurah</t>
        </is>
      </c>
      <c r="C372" t="inlineStr">
        <is>
          <t>https://www.cenizaro.com/theresidence/maldives-dg/dining/earth-table</t>
        </is>
      </c>
      <c r="D372" t="inlineStr">
        <is>
          <t>dining</t>
        </is>
      </c>
      <c r="E372" t="inlineStr">
        <is>
          <t>Restaurant Maldives l Earth Table l Residence Dhigurah</t>
        </is>
      </c>
      <c r="F372" t="n">
        <v>337</v>
      </c>
      <c r="G372" t="inlineStr">
        <is>
          <t>2026-10-04</t>
        </is>
      </c>
      <c r="H372" t="inlineStr">
        <is>
          <t>official</t>
        </is>
      </c>
      <c r="I372" t="inlineStr">
        <is>
          <t>output/pages/020_the-residence-maldives-at-dhigurah/dining__cenizaro.com__theresidence-maldives-dg-dining-earth-table.md</t>
        </is>
      </c>
    </row>
    <row r="373">
      <c r="A373" t="n">
        <v>13</v>
      </c>
      <c r="B373" t="inlineStr">
        <is>
          <t>Sandies Bathala</t>
        </is>
      </c>
      <c r="C373" t="inlineStr">
        <is>
          <t>https://www.planhotel.com/de/sitemap/</t>
        </is>
      </c>
      <c r="D373" t="inlineStr">
        <is>
          <t>events</t>
        </is>
      </c>
      <c r="E373" t="inlineStr">
        <is>
          <t>Sitemap Hotel  -  Planhotel Hospitality group der Indischen Ozean</t>
        </is>
      </c>
      <c r="F373" t="n">
        <v>2007</v>
      </c>
      <c r="G373" t="inlineStr">
        <is>
          <t>2026-10-04</t>
        </is>
      </c>
      <c r="H373" t="inlineStr">
        <is>
          <t>official</t>
        </is>
      </c>
      <c r="I373" t="inlineStr">
        <is>
          <t>output/pages/013_sandies-bathala/events__planhotel.com__de-sitemap.md</t>
        </is>
      </c>
    </row>
    <row r="374">
      <c r="A374" t="n">
        <v>20</v>
      </c>
      <c r="B374" t="inlineStr">
        <is>
          <t>The Residence Maldives At Dhigurah</t>
        </is>
      </c>
      <c r="C374" t="inlineStr">
        <is>
          <t>https://www.cenizaro.com/theresidence/maldives-dg/offers/summerbreak-offers</t>
        </is>
      </c>
      <c r="D374" t="inlineStr">
        <is>
          <t>diving</t>
        </is>
      </c>
      <c r="E374" t="inlineStr">
        <is>
          <t>Beach Break, Summer Smiles</t>
        </is>
      </c>
      <c r="F374" t="n">
        <v>2096</v>
      </c>
      <c r="G374" t="inlineStr">
        <is>
          <t>2026-10-04</t>
        </is>
      </c>
      <c r="H374" t="inlineStr">
        <is>
          <t>official</t>
        </is>
      </c>
      <c r="I374" t="inlineStr">
        <is>
          <t>output/pages/020_the-residence-maldives-at-dhigurah/diving__cenizaro.com__theresidence-maldives-dg-offers-summerbreak-offers.md</t>
        </is>
      </c>
    </row>
    <row r="375">
      <c r="A375" t="n">
        <v>13</v>
      </c>
      <c r="B375" t="inlineStr">
        <is>
          <t>Sandies Bathala</t>
        </is>
      </c>
      <c r="C375" t="inlineStr">
        <is>
          <t>https://www.planhotel.com/de/press-area/</t>
        </is>
      </c>
      <c r="D375" t="inlineStr">
        <is>
          <t>events</t>
        </is>
      </c>
      <c r="E375" t="inlineStr">
        <is>
          <t>Press Area Hotel  -  Planhotel Hospitality group der Indischen Ozean</t>
        </is>
      </c>
      <c r="F375" t="n">
        <v>3017</v>
      </c>
      <c r="G375" t="inlineStr">
        <is>
          <t>2026-10-04</t>
        </is>
      </c>
      <c r="H375" t="inlineStr">
        <is>
          <t>official</t>
        </is>
      </c>
      <c r="I375" t="inlineStr">
        <is>
          <t>output/pages/013_sandies-bathala/events__planhotel.com__de-press-area.md</t>
        </is>
      </c>
    </row>
    <row r="376">
      <c r="A376" t="n">
        <v>20</v>
      </c>
      <c r="B376" t="inlineStr">
        <is>
          <t>The Residence Maldives At Dhigurah</t>
        </is>
      </c>
      <c r="C376" t="inlineStr">
        <is>
          <t>https://www.cenizaro.com/theresidence/maldives-dg/spa-wellness/fitness</t>
        </is>
      </c>
      <c r="D376" t="inlineStr">
        <is>
          <t>spa</t>
        </is>
      </c>
      <c r="E376" t="inlineStr">
        <is>
          <t>Personal Fitness Maldives l The Residence Maldives Dhigurah</t>
        </is>
      </c>
      <c r="F376" t="n">
        <v>1258</v>
      </c>
      <c r="G376" t="inlineStr">
        <is>
          <t>2026-10-04</t>
        </is>
      </c>
      <c r="H376" t="inlineStr">
        <is>
          <t>official</t>
        </is>
      </c>
      <c r="I376" t="inlineStr">
        <is>
          <t>output/pages/020_the-residence-maldives-at-dhigurah/spa__cenizaro.com__theresidence-maldives-dg-spa-wellness-fitness.md</t>
        </is>
      </c>
    </row>
    <row r="377">
      <c r="A377" t="n">
        <v>20</v>
      </c>
      <c r="B377" t="inlineStr">
        <is>
          <t>The Residence Maldives At Dhigurah</t>
        </is>
      </c>
      <c r="C377" t="inlineStr">
        <is>
          <t>https://www.cenizaro.com/theresidence/maldives-dg/offers/ultimate-romantic-escape</t>
        </is>
      </c>
      <c r="D377" t="inlineStr">
        <is>
          <t>diving</t>
        </is>
      </c>
      <c r="E377" t="inlineStr">
        <is>
          <t>Your Ultimate Romantic Escape</t>
        </is>
      </c>
      <c r="F377" t="n">
        <v>2432</v>
      </c>
      <c r="G377" t="inlineStr">
        <is>
          <t>2026-10-04</t>
        </is>
      </c>
      <c r="H377" t="inlineStr">
        <is>
          <t>official</t>
        </is>
      </c>
      <c r="I377" t="inlineStr">
        <is>
          <t>output/pages/020_the-residence-maldives-at-dhigurah/diving__cenizaro.com__theresidence-maldives-dg-offers-ultimate-romantic-escape.md</t>
        </is>
      </c>
    </row>
    <row r="378">
      <c r="A378" t="n">
        <v>13</v>
      </c>
      <c r="B378" t="inlineStr">
        <is>
          <t>Sandies Bathala</t>
        </is>
      </c>
      <c r="C378" t="inlineStr">
        <is>
          <t>https://www.planhotel.com/it/travel-professional-it/meeting-incentive/sandies-tropical-village/</t>
        </is>
      </c>
      <c r="D378" t="inlineStr">
        <is>
          <t>events</t>
        </is>
      </c>
      <c r="E378" t="inlineStr">
        <is>
          <t>Meeting &amp; Incentive - Sandies Tropical Village Hotel  - Planhotel Hospitality group  nell' Oceano Indiano</t>
        </is>
      </c>
      <c r="F378" t="n">
        <v>1332</v>
      </c>
      <c r="G378" t="inlineStr">
        <is>
          <t>2026-10-04</t>
        </is>
      </c>
      <c r="H378" t="inlineStr">
        <is>
          <t>official</t>
        </is>
      </c>
      <c r="I378" t="inlineStr">
        <is>
          <t>output/pages/013_sandies-bathala/events__planhotel.com__it-travel-professional-it-meeting-incentive-sandies-tropical.md</t>
        </is>
      </c>
    </row>
    <row r="379">
      <c r="A379" t="n">
        <v>13</v>
      </c>
      <c r="B379" t="inlineStr">
        <is>
          <t>Sandies Bathala</t>
        </is>
      </c>
      <c r="C379" t="inlineStr">
        <is>
          <t>https://www.planhotel.com/careers/</t>
        </is>
      </c>
      <c r="D379" t="inlineStr">
        <is>
          <t>events</t>
        </is>
      </c>
      <c r="E379" t="inlineStr">
        <is>
          <t>CAREERS  Hotel - Planhotel Hospitality group  in the Indian Ocean</t>
        </is>
      </c>
      <c r="F379" t="n">
        <v>629</v>
      </c>
      <c r="G379" t="inlineStr">
        <is>
          <t>2026-10-04</t>
        </is>
      </c>
      <c r="H379" t="inlineStr">
        <is>
          <t>official</t>
        </is>
      </c>
      <c r="I379" t="inlineStr">
        <is>
          <t>output/pages/013_sandies-bathala/events__planhotel.com__careers.md</t>
        </is>
      </c>
    </row>
    <row r="380">
      <c r="A380" t="n">
        <v>20</v>
      </c>
      <c r="B380" t="inlineStr">
        <is>
          <t>The Residence Maldives At Dhigurah</t>
        </is>
      </c>
      <c r="C380" t="inlineStr">
        <is>
          <t>https://www.cenizaro.com/theresidence/maldives-dg/accommodation</t>
        </is>
      </c>
      <c r="D380" t="inlineStr">
        <is>
          <t>diving</t>
        </is>
      </c>
      <c r="E380" t="inlineStr">
        <is>
          <t>Luxury Resort Maldives l Villas at The Residence Dhigurah</t>
        </is>
      </c>
      <c r="F380" t="n">
        <v>946</v>
      </c>
      <c r="G380" t="inlineStr">
        <is>
          <t>2026-10-04</t>
        </is>
      </c>
      <c r="H380" t="inlineStr">
        <is>
          <t>official</t>
        </is>
      </c>
      <c r="I380" t="inlineStr">
        <is>
          <t>output/pages/020_the-residence-maldives-at-dhigurah/diving__cenizaro.com__theresidence-maldives-dg-accommodation.md</t>
        </is>
      </c>
    </row>
    <row r="381">
      <c r="A381" t="n">
        <v>20</v>
      </c>
      <c r="B381" t="inlineStr">
        <is>
          <t>The Residence Maldives At Dhigurah</t>
        </is>
      </c>
      <c r="C381" t="inlineStr">
        <is>
          <t>https://www.cenizaro.com/theresidence/maldives-dg/accommodation/sunrise-sunset-beach-pool-villa-two-bedroom</t>
        </is>
      </c>
      <c r="D381" t="inlineStr">
        <is>
          <t>diving</t>
        </is>
      </c>
      <c r="E381" t="inlineStr">
        <is>
          <t>Maldives Beach Villa with Private Pool l Beach Pool Villa</t>
        </is>
      </c>
      <c r="F381" t="n">
        <v>726</v>
      </c>
      <c r="G381" t="inlineStr">
        <is>
          <t>2026-10-04</t>
        </is>
      </c>
      <c r="H381" t="inlineStr">
        <is>
          <t>official</t>
        </is>
      </c>
      <c r="I381" t="inlineStr">
        <is>
          <t>output/pages/020_the-residence-maldives-at-dhigurah/diving__cenizaro.com__theresidence-maldives-dg-accommodation-sunrise-sunset-beach-.md</t>
        </is>
      </c>
    </row>
    <row r="382">
      <c r="A382" t="n">
        <v>13</v>
      </c>
      <c r="B382" t="inlineStr">
        <is>
          <t>Sandies Bathala</t>
        </is>
      </c>
      <c r="C382" t="inlineStr">
        <is>
          <t>https://www.planhotel.com/it/travel-professional-it/meeting-incentive/the-view-lugano/</t>
        </is>
      </c>
      <c r="D382" t="inlineStr">
        <is>
          <t>events</t>
        </is>
      </c>
      <c r="E382" t="inlineStr">
        <is>
          <t>Meeting &amp; Incentive - The View Lugano Hotel  - Planhotel Hospitality group  nell' Oceano Indiano</t>
        </is>
      </c>
      <c r="F382" t="n">
        <v>1282</v>
      </c>
      <c r="G382" t="inlineStr">
        <is>
          <t>2026-10-04</t>
        </is>
      </c>
      <c r="H382" t="inlineStr">
        <is>
          <t>official</t>
        </is>
      </c>
      <c r="I382" t="inlineStr">
        <is>
          <t>output/pages/013_sandies-bathala/events__planhotel.com__it-travel-professional-it-meeting-incentive-the-view-lugano.md</t>
        </is>
      </c>
    </row>
    <row r="383">
      <c r="A383" t="n">
        <v>13</v>
      </c>
      <c r="B383" t="inlineStr">
        <is>
          <t>Sandies Bathala</t>
        </is>
      </c>
      <c r="C383" t="inlineStr">
        <is>
          <t>https://www.planhotel.com/sustainability/community-involvement/</t>
        </is>
      </c>
      <c r="D383" t="inlineStr">
        <is>
          <t>events</t>
        </is>
      </c>
      <c r="E383" t="inlineStr">
        <is>
          <t>SUSTAINABILITY - COMMUNITY INVOLVEMENT  Hotel - Planhotel Hospitality group  in the Indian Ocean</t>
        </is>
      </c>
      <c r="F383" t="n">
        <v>3826</v>
      </c>
      <c r="G383" t="inlineStr">
        <is>
          <t>2026-10-04</t>
        </is>
      </c>
      <c r="H383" t="inlineStr">
        <is>
          <t>official</t>
        </is>
      </c>
      <c r="I383" t="inlineStr">
        <is>
          <t>output/pages/013_sandies-bathala/events__planhotel.com__sustainability-community-involvement.md</t>
        </is>
      </c>
    </row>
    <row r="384">
      <c r="A384" t="n">
        <v>20</v>
      </c>
      <c r="B384" t="inlineStr">
        <is>
          <t>The Residence Maldives At Dhigurah</t>
        </is>
      </c>
      <c r="C384" t="inlineStr">
        <is>
          <t>https://www.cenizaro.com/theresidence/maldives-dg/dining/the-beach-club</t>
        </is>
      </c>
      <c r="D384" t="inlineStr">
        <is>
          <t>dining</t>
        </is>
      </c>
      <c r="E384" t="inlineStr">
        <is>
          <t>Beach Club Maldives l The Residence Dhigurah | Beach Club</t>
        </is>
      </c>
      <c r="F384" t="n">
        <v>396</v>
      </c>
      <c r="G384" t="inlineStr">
        <is>
          <t>2026-10-04</t>
        </is>
      </c>
      <c r="H384" t="inlineStr">
        <is>
          <t>official</t>
        </is>
      </c>
      <c r="I384" t="inlineStr">
        <is>
          <t>output/pages/020_the-residence-maldives-at-dhigurah/dining__cenizaro.com__theresidence-maldives-dg-dining-the-beach-club.md</t>
        </is>
      </c>
    </row>
    <row r="385">
      <c r="A385" t="n">
        <v>13</v>
      </c>
      <c r="B385" t="inlineStr">
        <is>
          <t>Sandies Bathala</t>
        </is>
      </c>
      <c r="C385" t="inlineStr">
        <is>
          <t>https://www.planhotel.com/travel-professional/weddings-ceremonies/the-view-lugano/</t>
        </is>
      </c>
      <c r="D385" t="inlineStr">
        <is>
          <t>wedding</t>
        </is>
      </c>
      <c r="E385" t="inlineStr">
        <is>
          <t>Weddings &amp; Ceremonies - The View Lugano  Hotel - Planhotel Hospitality group  in the Indian Ocean</t>
        </is>
      </c>
      <c r="F385" t="n">
        <v>1600</v>
      </c>
      <c r="G385" t="inlineStr">
        <is>
          <t>2026-10-04</t>
        </is>
      </c>
      <c r="H385" t="inlineStr">
        <is>
          <t>official</t>
        </is>
      </c>
      <c r="I385" t="inlineStr">
        <is>
          <t>output/pages/013_sandies-bathala/wedding__planhotel.com__travel-professional-weddings-ceremonies-the-view-lugano.md</t>
        </is>
      </c>
    </row>
    <row r="386">
      <c r="A386" t="n">
        <v>13</v>
      </c>
      <c r="B386" t="inlineStr">
        <is>
          <t>Sandies Bathala</t>
        </is>
      </c>
      <c r="C386" t="inlineStr">
        <is>
          <t>https://www.planhotel.com/sustainability/the-big-build-maldives/</t>
        </is>
      </c>
      <c r="D386" t="inlineStr">
        <is>
          <t>events</t>
        </is>
      </c>
      <c r="E386" t="inlineStr">
        <is>
          <t>SUSTAINABILITY - THE BIG BUILD MALDIVES  Hotel - Planhotel Hospitality group  in the Indian Ocean</t>
        </is>
      </c>
      <c r="F386" t="n">
        <v>5291</v>
      </c>
      <c r="G386" t="inlineStr">
        <is>
          <t>2026-10-04</t>
        </is>
      </c>
      <c r="H386" t="inlineStr">
        <is>
          <t>official</t>
        </is>
      </c>
      <c r="I386" t="inlineStr">
        <is>
          <t>output/pages/013_sandies-bathala/events__planhotel.com__sustainability-the-big-build-maldives.md</t>
        </is>
      </c>
    </row>
    <row r="387">
      <c r="A387" t="n">
        <v>20</v>
      </c>
      <c r="B387" t="inlineStr">
        <is>
          <t>The Residence Maldives At Dhigurah</t>
        </is>
      </c>
      <c r="C387" t="inlineStr">
        <is>
          <t>https://www.cenizaro.com/theresidence/maldives-dg/about/guest-services</t>
        </is>
      </c>
      <c r="D387" t="inlineStr">
        <is>
          <t>diving</t>
        </is>
      </c>
      <c r="E387" t="inlineStr">
        <is>
          <t>Best 5 Star Resorts in Maldives l Guest Services</t>
        </is>
      </c>
      <c r="F387" t="n">
        <v>462</v>
      </c>
      <c r="G387" t="inlineStr">
        <is>
          <t>2026-10-04</t>
        </is>
      </c>
      <c r="H387" t="inlineStr">
        <is>
          <t>official</t>
        </is>
      </c>
      <c r="I387" t="inlineStr">
        <is>
          <t>output/pages/020_the-residence-maldives-at-dhigurah/diving__cenizaro.com__theresidence-maldives-dg-about-guest-services.md</t>
        </is>
      </c>
    </row>
    <row r="388">
      <c r="A388" t="n">
        <v>13</v>
      </c>
      <c r="B388" t="inlineStr">
        <is>
          <t>Sandies Bathala</t>
        </is>
      </c>
      <c r="C388" t="inlineStr">
        <is>
          <t>https://www.planhotel.com/de/unsere-hotels-resorts/sandies-hotels-resorts/</t>
        </is>
      </c>
      <c r="D388" t="inlineStr">
        <is>
          <t>events</t>
        </is>
      </c>
      <c r="E388" t="inlineStr">
        <is>
          <t>Unsere Hotels &amp; Resorts - Sandies Hotels and Resorts Hotel -  Planhotel Hospitality group der Indischen Ozean</t>
        </is>
      </c>
      <c r="F388" t="n">
        <v>1309</v>
      </c>
      <c r="G388" t="inlineStr">
        <is>
          <t>2026-10-04</t>
        </is>
      </c>
      <c r="H388" t="inlineStr">
        <is>
          <t>official</t>
        </is>
      </c>
      <c r="I388" t="inlineStr">
        <is>
          <t>output/pages/013_sandies-bathala/events__planhotel.com__de-unsere-hotels-resorts-sandies-hotels-resorts.md</t>
        </is>
      </c>
    </row>
    <row r="389">
      <c r="A389" t="n">
        <v>20</v>
      </c>
      <c r="B389" t="inlineStr">
        <is>
          <t>The Residence Maldives At Dhigurah</t>
        </is>
      </c>
      <c r="C389" t="inlineStr">
        <is>
          <t>https://www.cenizaro.com/theresidence/maldives-dg/offers/dhigurah-early-bird-offer</t>
        </is>
      </c>
      <c r="D389" t="inlineStr">
        <is>
          <t>diving</t>
        </is>
      </c>
      <c r="E389" t="inlineStr">
        <is>
          <t>Early Bird Offer</t>
        </is>
      </c>
      <c r="F389" t="n">
        <v>1797</v>
      </c>
      <c r="G389" t="inlineStr">
        <is>
          <t>2026-10-04</t>
        </is>
      </c>
      <c r="H389" t="inlineStr">
        <is>
          <t>official</t>
        </is>
      </c>
      <c r="I389" t="inlineStr">
        <is>
          <t>output/pages/020_the-residence-maldives-at-dhigurah/diving__cenizaro.com__theresidence-maldives-dg-offers-dhigurah-early-bird-offer.md</t>
        </is>
      </c>
    </row>
    <row r="390">
      <c r="A390" t="n">
        <v>13</v>
      </c>
      <c r="B390" t="inlineStr">
        <is>
          <t>Sandies Bathala</t>
        </is>
      </c>
      <c r="C390" t="inlineStr">
        <is>
          <t>https://www.planhotel.com/de/professionelle-loesungen/meetings-und-incentives/diamonds-dream-africa/</t>
        </is>
      </c>
      <c r="D390" t="inlineStr">
        <is>
          <t>events</t>
        </is>
      </c>
      <c r="E390" t="inlineStr">
        <is>
          <t>Meetings und Incentives - Diamonds Dream of Africa Hotel -  Planhotel Hospitality group der Indischen Ozean</t>
        </is>
      </c>
      <c r="F390" t="n">
        <v>905</v>
      </c>
      <c r="G390" t="inlineStr">
        <is>
          <t>2026-10-04</t>
        </is>
      </c>
      <c r="H390" t="inlineStr">
        <is>
          <t>official</t>
        </is>
      </c>
      <c r="I390" t="inlineStr">
        <is>
          <t>output/pages/013_sandies-bathala/events__planhotel.com__de-professionelle-loesungen-meetings-und-incentives-diamonds.md</t>
        </is>
      </c>
    </row>
    <row r="391">
      <c r="A391" t="n">
        <v>13</v>
      </c>
      <c r="B391" t="inlineStr">
        <is>
          <t>Sandies Bathala</t>
        </is>
      </c>
      <c r="C391" t="inlineStr">
        <is>
          <t>https://www.planhotel.com/it</t>
        </is>
      </c>
      <c r="D391" t="inlineStr">
        <is>
          <t>events</t>
        </is>
      </c>
      <c r="E391" t="inlineStr">
        <is>
          <t>Planhotel Hospitality group - Prenotazione di un resort esclusivo di lusso nell'oceano indiano</t>
        </is>
      </c>
      <c r="F391" t="n">
        <v>3703</v>
      </c>
      <c r="G391" t="inlineStr">
        <is>
          <t>2026-10-04</t>
        </is>
      </c>
      <c r="H391" t="inlineStr">
        <is>
          <t>official</t>
        </is>
      </c>
      <c r="I391" t="inlineStr">
        <is>
          <t>output/pages/013_sandies-bathala/events__planhotel.com__it.md</t>
        </is>
      </c>
    </row>
    <row r="392">
      <c r="A392" t="n">
        <v>13</v>
      </c>
      <c r="B392" t="inlineStr">
        <is>
          <t>Sandies Bathala</t>
        </is>
      </c>
      <c r="C392" t="inlineStr">
        <is>
          <t>https://www.planhotel.com/sustainability/sustainable-mobility/</t>
        </is>
      </c>
      <c r="D392" t="inlineStr">
        <is>
          <t>events</t>
        </is>
      </c>
      <c r="E392" t="inlineStr">
        <is>
          <t>SUSTAINABILITY - SUSTAINABLE MOBILITY  Hotel - Planhotel Hospitality group  in the Indian Ocean</t>
        </is>
      </c>
      <c r="F392" t="n">
        <v>3332</v>
      </c>
      <c r="G392" t="inlineStr">
        <is>
          <t>2026-10-04</t>
        </is>
      </c>
      <c r="H392" t="inlineStr">
        <is>
          <t>official</t>
        </is>
      </c>
      <c r="I392" t="inlineStr">
        <is>
          <t>output/pages/013_sandies-bathala/events__planhotel.com__sustainability-sustainable-mobility.md</t>
        </is>
      </c>
    </row>
    <row r="393">
      <c r="A393" t="n">
        <v>13</v>
      </c>
      <c r="B393" t="inlineStr">
        <is>
          <t>Sandies Bathala</t>
        </is>
      </c>
      <c r="C393" t="inlineStr">
        <is>
          <t>https://www.planhotel.com/fr/nos-hotels-resorts/sandies-hotels-resorts/sandies-baobab-zanzibar/</t>
        </is>
      </c>
      <c r="D393" t="inlineStr">
        <is>
          <t>events</t>
        </is>
      </c>
      <c r="E393" t="inlineStr">
        <is>
          <t>Sandies Hotels and Resorts - Sandies Baobab Beach Zanzibar Hotel  -  Planhotel Hospitality group dans l'Océan Indien</t>
        </is>
      </c>
      <c r="F393" t="n">
        <v>785</v>
      </c>
      <c r="G393" t="inlineStr">
        <is>
          <t>2026-10-04</t>
        </is>
      </c>
      <c r="H393" t="inlineStr">
        <is>
          <t>official</t>
        </is>
      </c>
      <c r="I393" t="inlineStr">
        <is>
          <t>output/pages/013_sandies-bathala/events__planhotel.com__fr-nos-hotels-resorts-sandies-hotels-resorts-sandies-baobab-.md</t>
        </is>
      </c>
    </row>
    <row r="394">
      <c r="A394" t="n">
        <v>13</v>
      </c>
      <c r="B394" t="inlineStr">
        <is>
          <t>Sandies Bathala</t>
        </is>
      </c>
      <c r="C394" t="inlineStr">
        <is>
          <t>https://www.planhotel.com/it/i-nostri-hotels-resorts/</t>
        </is>
      </c>
      <c r="D394" t="inlineStr">
        <is>
          <t>events</t>
        </is>
      </c>
      <c r="E394" t="inlineStr">
        <is>
          <t>I Nostri Hotels &amp; Resorts Hotel   - Planhotel Hospitality group  nell' Oceano Indiano</t>
        </is>
      </c>
      <c r="F394" t="n">
        <v>3247</v>
      </c>
      <c r="G394" t="inlineStr">
        <is>
          <t>2026-10-04</t>
        </is>
      </c>
      <c r="H394" t="inlineStr">
        <is>
          <t>official</t>
        </is>
      </c>
      <c r="I394" t="inlineStr">
        <is>
          <t>output/pages/013_sandies-bathala/events__planhotel.com__it-i-nostri-hotels-resorts.md</t>
        </is>
      </c>
    </row>
    <row r="395">
      <c r="A395" t="n">
        <v>13</v>
      </c>
      <c r="B395" t="inlineStr">
        <is>
          <t>Sandies Bathala</t>
        </is>
      </c>
      <c r="C395" t="inlineStr">
        <is>
          <t>https://www.planhotel.com/travel-professional/honeymoons-anniversaries/diamonds-thudufushi-beach/</t>
        </is>
      </c>
      <c r="D395" t="inlineStr">
        <is>
          <t>wedding</t>
        </is>
      </c>
      <c r="E395" t="inlineStr">
        <is>
          <t>Honeymoons &amp; Anniversaries - Diamonds Thudufushi Beach  Hotel - Planhotel Hospitality group  in the Indian Ocean</t>
        </is>
      </c>
      <c r="F395" t="n">
        <v>1873</v>
      </c>
      <c r="G395" t="inlineStr">
        <is>
          <t>2026-10-04</t>
        </is>
      </c>
      <c r="H395" t="inlineStr">
        <is>
          <t>official</t>
        </is>
      </c>
      <c r="I395" t="inlineStr">
        <is>
          <t>output/pages/013_sandies-bathala/wedding__planhotel.com__travel-professional-honeymoons-anniversaries-diamonds-thuduf.md</t>
        </is>
      </c>
    </row>
    <row r="396">
      <c r="A396" t="n">
        <v>19</v>
      </c>
      <c r="B396" t="inlineStr">
        <is>
          <t>The Residence Maldives</t>
        </is>
      </c>
      <c r="C396" t="inlineStr">
        <is>
          <t>https://www.cenizaro.com/theresidence/maldives-fm/experiences</t>
        </is>
      </c>
      <c r="D396" t="inlineStr">
        <is>
          <t>diving</t>
        </is>
      </c>
      <c r="E396" t="inlineStr">
        <is>
          <t>Maldives Best Places to Visit | The Residence Maldives</t>
        </is>
      </c>
      <c r="F396" t="n">
        <v>678</v>
      </c>
      <c r="G396" t="inlineStr">
        <is>
          <t>2026-10-04</t>
        </is>
      </c>
      <c r="H396" t="inlineStr">
        <is>
          <t>official</t>
        </is>
      </c>
      <c r="I396" t="inlineStr">
        <is>
          <t>output/pages/019_the-residence-maldives/diving__cenizaro.com__theresidence-maldives-fm-experiences.md</t>
        </is>
      </c>
    </row>
    <row r="397">
      <c r="A397" t="n">
        <v>19</v>
      </c>
      <c r="B397" t="inlineStr">
        <is>
          <t>The Residence Maldives</t>
        </is>
      </c>
      <c r="C397" t="inlineStr">
        <is>
          <t>https://www.cenizaro.com/theresidence/maldives-fm/dining/the-beach-bar</t>
        </is>
      </c>
      <c r="D397" t="inlineStr">
        <is>
          <t>dining</t>
        </is>
      </c>
      <c r="E397" t="inlineStr">
        <is>
          <t>Best Bars in Maldives | The Beach Bar | Residence Maldives</t>
        </is>
      </c>
      <c r="F397" t="n">
        <v>505</v>
      </c>
      <c r="G397" t="inlineStr">
        <is>
          <t>2026-10-04</t>
        </is>
      </c>
      <c r="H397" t="inlineStr">
        <is>
          <t>official</t>
        </is>
      </c>
      <c r="I397" t="inlineStr">
        <is>
          <t>output/pages/019_the-residence-maldives/dining__cenizaro.com__theresidence-maldives-fm-dining-the-beach-bar.md</t>
        </is>
      </c>
    </row>
    <row r="398">
      <c r="A398" t="n">
        <v>19</v>
      </c>
      <c r="B398" t="inlineStr">
        <is>
          <t>The Residence Maldives</t>
        </is>
      </c>
      <c r="C398" t="inlineStr">
        <is>
          <t>https://www.cenizaro.com/theresidence/maldives-fm/about/diving-activities</t>
        </is>
      </c>
      <c r="D398" t="inlineStr">
        <is>
          <t>diving</t>
        </is>
      </c>
      <c r="E398" t="inlineStr">
        <is>
          <t>Maldives Diving Resorts | Diving at The Residence Maldives</t>
        </is>
      </c>
      <c r="F398" t="n">
        <v>1240</v>
      </c>
      <c r="G398" t="inlineStr">
        <is>
          <t>2026-10-04</t>
        </is>
      </c>
      <c r="H398" t="inlineStr">
        <is>
          <t>official</t>
        </is>
      </c>
      <c r="I398" t="inlineStr">
        <is>
          <t>output/pages/019_the-residence-maldives/diving__cenizaro.com__theresidence-maldives-fm-about-diving-activities.md</t>
        </is>
      </c>
    </row>
    <row r="399">
      <c r="A399" t="n">
        <v>19</v>
      </c>
      <c r="B399" t="inlineStr">
        <is>
          <t>The Residence Maldives</t>
        </is>
      </c>
      <c r="C399" t="inlineStr">
        <is>
          <t>https://www.cenizaro.com/theresidence/maldives-fm/about/activites</t>
        </is>
      </c>
      <c r="D399" t="inlineStr">
        <is>
          <t>diving</t>
        </is>
      </c>
      <c r="E399" t="inlineStr">
        <is>
          <t>Best Luxury Resort Maldives | The Residence Maldives</t>
        </is>
      </c>
      <c r="F399" t="n">
        <v>2755</v>
      </c>
      <c r="G399" t="inlineStr">
        <is>
          <t>2026-10-04</t>
        </is>
      </c>
      <c r="H399" t="inlineStr">
        <is>
          <t>official</t>
        </is>
      </c>
      <c r="I399" t="inlineStr">
        <is>
          <t>output/pages/019_the-residence-maldives/diving__cenizaro.com__theresidence-maldives-fm-about-activites.md</t>
        </is>
      </c>
    </row>
    <row r="400">
      <c r="A400" t="n">
        <v>19</v>
      </c>
      <c r="B400" t="inlineStr">
        <is>
          <t>The Residence Maldives</t>
        </is>
      </c>
      <c r="C400" t="inlineStr">
        <is>
          <t>https://www.cenizaro.com/theresidence/maldives-fm/accommodation/beach-pool-villas</t>
        </is>
      </c>
      <c r="D400" t="inlineStr">
        <is>
          <t>diving</t>
        </is>
      </c>
      <c r="E400" t="inlineStr">
        <is>
          <t>Maldives Villas with Private Pool | The Residence Maldives</t>
        </is>
      </c>
      <c r="F400" t="n">
        <v>595</v>
      </c>
      <c r="G400" t="inlineStr">
        <is>
          <t>2026-10-04</t>
        </is>
      </c>
      <c r="H400" t="inlineStr">
        <is>
          <t>official</t>
        </is>
      </c>
      <c r="I400" t="inlineStr">
        <is>
          <t>output/pages/019_the-residence-maldives/diving__cenizaro.com__theresidence-maldives-fm-accommodation-beach-pool-villas.md</t>
        </is>
      </c>
    </row>
    <row r="401">
      <c r="A401" t="n">
        <v>19</v>
      </c>
      <c r="B401" t="inlineStr">
        <is>
          <t>The Residence Maldives</t>
        </is>
      </c>
      <c r="C401" t="inlineStr">
        <is>
          <t>https://www.cenizaro.com/theresidence/maldives-fm/events-meetings/event-venues</t>
        </is>
      </c>
      <c r="D401" t="inlineStr">
        <is>
          <t>events</t>
        </is>
      </c>
      <c r="E401" t="inlineStr">
        <is>
          <t>Events Venues Maldives | The Residence Maldives Event Venues</t>
        </is>
      </c>
      <c r="F401" t="n">
        <v>660</v>
      </c>
      <c r="G401" t="inlineStr">
        <is>
          <t>2026-10-04</t>
        </is>
      </c>
      <c r="H401" t="inlineStr">
        <is>
          <t>official</t>
        </is>
      </c>
      <c r="I401" t="inlineStr">
        <is>
          <t>output/pages/019_the-residence-maldives/events__cenizaro.com__theresidence-maldives-fm-events-meetings-event-venues.md</t>
        </is>
      </c>
    </row>
    <row r="402">
      <c r="A402" t="n">
        <v>19</v>
      </c>
      <c r="B402" t="inlineStr">
        <is>
          <t>The Residence Maldives</t>
        </is>
      </c>
      <c r="C402" t="inlineStr">
        <is>
          <t>https://www.cenizaro.com/theresidence/maldives-fm/offers/ultimate-romantic-escape</t>
        </is>
      </c>
      <c r="D402" t="inlineStr">
        <is>
          <t>diving</t>
        </is>
      </c>
      <c r="E402" t="inlineStr">
        <is>
          <t>Your Ultimate Romantic Escape</t>
        </is>
      </c>
      <c r="F402" t="n">
        <v>2437</v>
      </c>
      <c r="G402" t="inlineStr">
        <is>
          <t>2026-10-04</t>
        </is>
      </c>
      <c r="H402" t="inlineStr">
        <is>
          <t>official</t>
        </is>
      </c>
      <c r="I402" t="inlineStr">
        <is>
          <t>output/pages/019_the-residence-maldives/diving__cenizaro.com__theresidence-maldives-fm-offers-ultimate-romantic-escape.md</t>
        </is>
      </c>
    </row>
    <row r="403">
      <c r="A403" t="n">
        <v>19</v>
      </c>
      <c r="B403" t="inlineStr">
        <is>
          <t>The Residence Maldives</t>
        </is>
      </c>
      <c r="C403" t="inlineStr">
        <is>
          <t>https://www.cenizaro.com/theresidence/maldives-fm/dining/the-dining-room</t>
        </is>
      </c>
      <c r="D403" t="inlineStr">
        <is>
          <t>dining</t>
        </is>
      </c>
      <c r="E403" t="inlineStr">
        <is>
          <t>Best Restaurant in Maldives | The Dining Room Restaurant</t>
        </is>
      </c>
      <c r="F403" t="n">
        <v>719</v>
      </c>
      <c r="G403" t="inlineStr">
        <is>
          <t>2026-10-04</t>
        </is>
      </c>
      <c r="H403" t="inlineStr">
        <is>
          <t>official</t>
        </is>
      </c>
      <c r="I403" t="inlineStr">
        <is>
          <t>output/pages/019_the-residence-maldives/dining__cenizaro.com__theresidence-maldives-fm-dining-the-dining-room.md</t>
        </is>
      </c>
    </row>
    <row r="404">
      <c r="A404" t="n">
        <v>19</v>
      </c>
      <c r="B404" t="inlineStr">
        <is>
          <t>The Residence Maldives</t>
        </is>
      </c>
      <c r="C404" t="inlineStr">
        <is>
          <t>https://www.cenizaro.com/theresidence/maldives-fm/destination/discover</t>
        </is>
      </c>
      <c r="D404" t="inlineStr">
        <is>
          <t>diving</t>
        </is>
      </c>
      <c r="E404" t="inlineStr">
        <is>
          <t>What to See in Maldives | Discover | The Residence Maldives</t>
        </is>
      </c>
      <c r="F404" t="n">
        <v>2075</v>
      </c>
      <c r="G404" t="inlineStr">
        <is>
          <t>2026-10-04</t>
        </is>
      </c>
      <c r="H404" t="inlineStr">
        <is>
          <t>official</t>
        </is>
      </c>
      <c r="I404" t="inlineStr">
        <is>
          <t>output/pages/019_the-residence-maldives/diving__cenizaro.com__theresidence-maldives-fm-destination-discover.md</t>
        </is>
      </c>
    </row>
    <row r="405">
      <c r="A405" t="n">
        <v>20</v>
      </c>
      <c r="B405" t="inlineStr">
        <is>
          <t>The Residence Maldives At Dhigurah</t>
        </is>
      </c>
      <c r="C405" t="inlineStr">
        <is>
          <t>https://www.cenizaro.com/theresidence/maldives-dg/experiences/snorkelling-safari</t>
        </is>
      </c>
      <c r="D405" t="inlineStr">
        <is>
          <t>diving</t>
        </is>
      </c>
      <c r="E405" t="inlineStr">
        <is>
          <t>Best Maldives Resorts for Snorkeling | Snorkelling Safari</t>
        </is>
      </c>
      <c r="F405" t="n">
        <v>356</v>
      </c>
      <c r="G405" t="inlineStr">
        <is>
          <t>2026-10-04</t>
        </is>
      </c>
      <c r="H405" t="inlineStr">
        <is>
          <t>official</t>
        </is>
      </c>
      <c r="I405" t="inlineStr">
        <is>
          <t>output/pages/020_the-residence-maldives-at-dhigurah/diving__cenizaro.com__theresidence-maldives-dg-experiences-snorkelling-safari.md</t>
        </is>
      </c>
    </row>
    <row r="406">
      <c r="A406" t="n">
        <v>20</v>
      </c>
      <c r="B406" t="inlineStr">
        <is>
          <t>The Residence Maldives At Dhigurah</t>
        </is>
      </c>
      <c r="C406" t="inlineStr">
        <is>
          <t>https://www.cenizaro.com/theresidence/maldives-dg/accommodation/sunrise-sunset-water-pool-villa-two-bedroom</t>
        </is>
      </c>
      <c r="D406" t="inlineStr">
        <is>
          <t>diving</t>
        </is>
      </c>
      <c r="E406" t="inlineStr">
        <is>
          <t>Maldives Overwater Villa with Pool l Water Pool Villa</t>
        </is>
      </c>
      <c r="F406" t="n">
        <v>701</v>
      </c>
      <c r="G406" t="inlineStr">
        <is>
          <t>2026-10-04</t>
        </is>
      </c>
      <c r="H406" t="inlineStr">
        <is>
          <t>official</t>
        </is>
      </c>
      <c r="I406" t="inlineStr">
        <is>
          <t>output/pages/020_the-residence-maldives-at-dhigurah/diving__cenizaro.com__theresidence-maldives-dg-accommodation-sunrise-sunset-water-.md</t>
        </is>
      </c>
    </row>
    <row r="407">
      <c r="A407" t="n">
        <v>20</v>
      </c>
      <c r="B407" t="inlineStr">
        <is>
          <t>The Residence Maldives At Dhigurah</t>
        </is>
      </c>
      <c r="C407" t="inlineStr">
        <is>
          <t>https://www.cenizaro.com/theresidence/maldives-dg/spa-wellness</t>
        </is>
      </c>
      <c r="D407" t="inlineStr">
        <is>
          <t>spa</t>
        </is>
      </c>
      <c r="E407" t="inlineStr">
        <is>
          <t>Maldives Spa | The Residence Dhigurah | Spa and Wellness</t>
        </is>
      </c>
      <c r="F407" t="n">
        <v>897</v>
      </c>
      <c r="G407" t="inlineStr">
        <is>
          <t>2026-10-04</t>
        </is>
      </c>
      <c r="H407" t="inlineStr">
        <is>
          <t>official</t>
        </is>
      </c>
      <c r="I407" t="inlineStr">
        <is>
          <t>output/pages/020_the-residence-maldives-at-dhigurah/spa__cenizaro.com__theresidence-maldives-dg-spa-wellness.md</t>
        </is>
      </c>
    </row>
    <row r="408">
      <c r="A408" t="n">
        <v>20</v>
      </c>
      <c r="B408" t="inlineStr">
        <is>
          <t>The Residence Maldives At Dhigurah</t>
        </is>
      </c>
      <c r="C408" t="inlineStr">
        <is>
          <t>https://www.cenizaro.com/theresidence/maldives-dg/spa-wellness/signature-treatments</t>
        </is>
      </c>
      <c r="D408" t="inlineStr">
        <is>
          <t>dining</t>
        </is>
      </c>
      <c r="E408" t="inlineStr">
        <is>
          <t>Maldives Spa Resorts | The Residence Dhigurah Spa Treatments</t>
        </is>
      </c>
      <c r="F408" t="n">
        <v>1930</v>
      </c>
      <c r="G408" t="inlineStr">
        <is>
          <t>2026-10-04</t>
        </is>
      </c>
      <c r="H408" t="inlineStr">
        <is>
          <t>official</t>
        </is>
      </c>
      <c r="I408" t="inlineStr">
        <is>
          <t>output/pages/020_the-residence-maldives-at-dhigurah/dining__cenizaro.com__theresidence-maldives-dg-spa-wellness-signature-treatments.md</t>
        </is>
      </c>
    </row>
    <row r="409">
      <c r="A409" t="n">
        <v>13</v>
      </c>
      <c r="B409" t="inlineStr">
        <is>
          <t>Sandies Bathala</t>
        </is>
      </c>
      <c r="C409" t="inlineStr">
        <is>
          <t>https://www.planhotel.com/group-hotels/diamonds-hotels-and-resorts/diamonds-bijoux/</t>
        </is>
      </c>
      <c r="D409" t="inlineStr">
        <is>
          <t>events</t>
        </is>
      </c>
      <c r="E409" t="inlineStr">
        <is>
          <t>Diamonds Hotels and Resorts - Diamonds Bijoux  Hotel - Planhotel Hospitality group  in the Indian Ocean</t>
        </is>
      </c>
      <c r="F409" t="n">
        <v>920</v>
      </c>
      <c r="G409" t="inlineStr">
        <is>
          <t>2026-10-04</t>
        </is>
      </c>
      <c r="H409" t="inlineStr">
        <is>
          <t>official</t>
        </is>
      </c>
      <c r="I409" t="inlineStr">
        <is>
          <t>output/pages/013_sandies-bathala/events__planhotel.com__group-hotels-diamonds-hotels-and-resorts-diamonds-bijoux.md</t>
        </is>
      </c>
    </row>
    <row r="410">
      <c r="A410" t="n">
        <v>20</v>
      </c>
      <c r="B410" t="inlineStr">
        <is>
          <t>The Residence Maldives At Dhigurah</t>
        </is>
      </c>
      <c r="C410" t="inlineStr">
        <is>
          <t>https://www.cenizaro.com/theresidence/maldives-dg/experiences/earth-basket</t>
        </is>
      </c>
      <c r="D410" t="inlineStr">
        <is>
          <t>diving</t>
        </is>
      </c>
      <c r="E410" t="inlineStr">
        <is>
          <t>Maldives Vegetable Garden | The Residence Dhigurah</t>
        </is>
      </c>
      <c r="F410" t="n">
        <v>699</v>
      </c>
      <c r="G410" t="inlineStr">
        <is>
          <t>2026-10-04</t>
        </is>
      </c>
      <c r="H410" t="inlineStr">
        <is>
          <t>official</t>
        </is>
      </c>
      <c r="I410" t="inlineStr">
        <is>
          <t>output/pages/020_the-residence-maldives-at-dhigurah/diving__cenizaro.com__theresidence-maldives-dg-experiences-earth-basket.md</t>
        </is>
      </c>
    </row>
    <row r="411">
      <c r="A411" t="n">
        <v>20</v>
      </c>
      <c r="B411" t="inlineStr">
        <is>
          <t>The Residence Maldives At Dhigurah</t>
        </is>
      </c>
      <c r="C411" t="inlineStr">
        <is>
          <t>https://www.cenizaro.com/theresidence/maldives-dg/about/activities</t>
        </is>
      </c>
      <c r="D411" t="inlineStr">
        <is>
          <t>diving</t>
        </is>
      </c>
      <c r="E411" t="inlineStr">
        <is>
          <t>Luxury Resorts in Maldives Island l Activities</t>
        </is>
      </c>
      <c r="F411" t="n">
        <v>1918</v>
      </c>
      <c r="G411" t="inlineStr">
        <is>
          <t>2026-10-04</t>
        </is>
      </c>
      <c r="H411" t="inlineStr">
        <is>
          <t>official</t>
        </is>
      </c>
      <c r="I411" t="inlineStr">
        <is>
          <t>output/pages/020_the-residence-maldives-at-dhigurah/diving__cenizaro.com__theresidence-maldives-dg-about-activities.md</t>
        </is>
      </c>
    </row>
    <row r="412">
      <c r="A412" t="n">
        <v>20</v>
      </c>
      <c r="B412" t="inlineStr">
        <is>
          <t>The Residence Maldives At Dhigurah</t>
        </is>
      </c>
      <c r="C412" t="inlineStr">
        <is>
          <t>https://www.cenizaro.com/theresidence/maldives-dg/accommodation/sunrise-sunset-beach-pool-villa</t>
        </is>
      </c>
      <c r="D412" t="inlineStr">
        <is>
          <t>diving</t>
        </is>
      </c>
      <c r="E412" t="inlineStr">
        <is>
          <t>Maldives Private Beach Villa l Sunrise Beach Pool Villa</t>
        </is>
      </c>
      <c r="F412" t="n">
        <v>628</v>
      </c>
      <c r="G412" t="inlineStr">
        <is>
          <t>2026-10-04</t>
        </is>
      </c>
      <c r="H412" t="inlineStr">
        <is>
          <t>official</t>
        </is>
      </c>
      <c r="I412" t="inlineStr">
        <is>
          <t>output/pages/020_the-residence-maldives-at-dhigurah/diving__cenizaro.com__theresidence-maldives-dg-accommodation-sunrise-sunset-beach-.md</t>
        </is>
      </c>
    </row>
    <row r="413">
      <c r="A413" t="n">
        <v>19</v>
      </c>
      <c r="B413" t="inlineStr">
        <is>
          <t>The Residence Maldives</t>
        </is>
      </c>
      <c r="C413" t="inlineStr">
        <is>
          <t>https://www.cenizaro.com/theresidence/maldives-fm/events-meetings</t>
        </is>
      </c>
      <c r="D413" t="inlineStr">
        <is>
          <t>events</t>
        </is>
      </c>
      <c r="E413" t="inlineStr">
        <is>
          <t>Maldives Events | The Residence Maldives Events &amp; Meetings</t>
        </is>
      </c>
      <c r="F413" t="n">
        <v>742</v>
      </c>
      <c r="G413" t="inlineStr">
        <is>
          <t>2026-10-04</t>
        </is>
      </c>
      <c r="H413" t="inlineStr">
        <is>
          <t>official</t>
        </is>
      </c>
      <c r="I413" t="inlineStr">
        <is>
          <t>output/pages/019_the-residence-maldives/events__cenizaro.com__theresidence-maldives-fm-events-meetings.md</t>
        </is>
      </c>
    </row>
    <row r="414">
      <c r="A414" t="n">
        <v>19</v>
      </c>
      <c r="B414" t="inlineStr">
        <is>
          <t>The Residence Maldives</t>
        </is>
      </c>
      <c r="C414" t="inlineStr">
        <is>
          <t>https://www.cenizaro.com/theresidence/maldives-fm/offers</t>
        </is>
      </c>
      <c r="D414" t="inlineStr">
        <is>
          <t>diving</t>
        </is>
      </c>
      <c r="E414" t="inlineStr">
        <is>
          <t>Maldives Resort Packages | The Residence Maldives | Offers</t>
        </is>
      </c>
      <c r="F414" t="n">
        <v>434</v>
      </c>
      <c r="G414" t="inlineStr">
        <is>
          <t>2026-10-04</t>
        </is>
      </c>
      <c r="H414" t="inlineStr">
        <is>
          <t>official</t>
        </is>
      </c>
      <c r="I414" t="inlineStr">
        <is>
          <t>output/pages/019_the-residence-maldives/diving__cenizaro.com__theresidence-maldives-fm-offers.md</t>
        </is>
      </c>
    </row>
    <row r="415">
      <c r="A415" t="n">
        <v>19</v>
      </c>
      <c r="B415" t="inlineStr">
        <is>
          <t>The Residence Maldives</t>
        </is>
      </c>
      <c r="C415" t="inlineStr">
        <is>
          <t>https://www.cenizaro.com/theresidence/maldives-fm/experiences/snorkelling-safari</t>
        </is>
      </c>
      <c r="D415" t="inlineStr">
        <is>
          <t>diving</t>
        </is>
      </c>
      <c r="E415" t="inlineStr">
        <is>
          <t>Maldives Snorkeling Resorts | The Residence Maldives</t>
        </is>
      </c>
      <c r="F415" t="n">
        <v>355</v>
      </c>
      <c r="G415" t="inlineStr">
        <is>
          <t>2026-10-04</t>
        </is>
      </c>
      <c r="H415" t="inlineStr">
        <is>
          <t>official</t>
        </is>
      </c>
      <c r="I415" t="inlineStr">
        <is>
          <t>output/pages/019_the-residence-maldives/diving__cenizaro.com__theresidence-maldives-fm-experiences-snorkelling-safari.md</t>
        </is>
      </c>
    </row>
    <row r="416">
      <c r="A416" t="n">
        <v>19</v>
      </c>
      <c r="B416" t="inlineStr">
        <is>
          <t>The Residence Maldives</t>
        </is>
      </c>
      <c r="C416" t="inlineStr">
        <is>
          <t>https://www.cenizaro.com/theresidence/maldives-fm/experiences/earth-basket</t>
        </is>
      </c>
      <c r="D416" t="inlineStr">
        <is>
          <t>diving</t>
        </is>
      </c>
      <c r="E416" t="inlineStr">
        <is>
          <t>Maldives Resort Vegetable Garden | The Residence Maldives</t>
        </is>
      </c>
      <c r="F416" t="n">
        <v>699</v>
      </c>
      <c r="G416" t="inlineStr">
        <is>
          <t>2026-10-04</t>
        </is>
      </c>
      <c r="H416" t="inlineStr">
        <is>
          <t>official</t>
        </is>
      </c>
      <c r="I416" t="inlineStr">
        <is>
          <t>output/pages/019_the-residence-maldives/diving__cenizaro.com__theresidence-maldives-fm-experiences-earth-basket.md</t>
        </is>
      </c>
    </row>
    <row r="417">
      <c r="A417" t="n">
        <v>19</v>
      </c>
      <c r="B417" t="inlineStr">
        <is>
          <t>The Residence Maldives</t>
        </is>
      </c>
      <c r="C417" t="inlineStr">
        <is>
          <t>https://www.cenizaro.com/theresidence/maldives-fm/offers/summerbreak-offers</t>
        </is>
      </c>
      <c r="D417" t="inlineStr">
        <is>
          <t>diving</t>
        </is>
      </c>
      <c r="E417" t="inlineStr">
        <is>
          <t>Beach Break, Summer Smiles</t>
        </is>
      </c>
      <c r="F417" t="n">
        <v>2000</v>
      </c>
      <c r="G417" t="inlineStr">
        <is>
          <t>2026-10-04</t>
        </is>
      </c>
      <c r="H417" t="inlineStr">
        <is>
          <t>official</t>
        </is>
      </c>
      <c r="I417" t="inlineStr">
        <is>
          <t>output/pages/019_the-residence-maldives/diving__cenizaro.com__theresidence-maldives-fm-offers-summerbreak-offers.md</t>
        </is>
      </c>
    </row>
    <row r="418">
      <c r="A418" t="n">
        <v>19</v>
      </c>
      <c r="B418" t="inlineStr">
        <is>
          <t>The Residence Maldives</t>
        </is>
      </c>
      <c r="C418" t="inlineStr">
        <is>
          <t>https://www.cenizaro.com/theresidence/maldives-fm/spa-wellness/spa-programmes</t>
        </is>
      </c>
      <c r="D418" t="inlineStr">
        <is>
          <t>spa</t>
        </is>
      </c>
      <c r="E418" t="inlineStr">
        <is>
          <t>Maldives Resort and Spa | The Residence Maldives Spa</t>
        </is>
      </c>
      <c r="F418" t="n">
        <v>1815</v>
      </c>
      <c r="G418" t="inlineStr">
        <is>
          <t>2026-10-04</t>
        </is>
      </c>
      <c r="H418" t="inlineStr">
        <is>
          <t>official</t>
        </is>
      </c>
      <c r="I418" t="inlineStr">
        <is>
          <t>output/pages/019_the-residence-maldives/spa__cenizaro.com__theresidence-maldives-fm-spa-wellness-spa-programmes.md</t>
        </is>
      </c>
    </row>
    <row r="419">
      <c r="A419" t="n">
        <v>20</v>
      </c>
      <c r="B419" t="inlineStr">
        <is>
          <t>The Residence Maldives At Dhigurah</t>
        </is>
      </c>
      <c r="C419" t="inlineStr">
        <is>
          <t>https://www.cenizaro.com/theresidence/maldives-dg/dining</t>
        </is>
      </c>
      <c r="D419" t="inlineStr">
        <is>
          <t>dining</t>
        </is>
      </c>
      <c r="E419" t="inlineStr">
        <is>
          <t>Best Restaurants in Maldives l The Residence Dhigurah</t>
        </is>
      </c>
      <c r="F419" t="n">
        <v>999</v>
      </c>
      <c r="G419" t="inlineStr">
        <is>
          <t>2026-10-04</t>
        </is>
      </c>
      <c r="H419" t="inlineStr">
        <is>
          <t>official</t>
        </is>
      </c>
      <c r="I419" t="inlineStr">
        <is>
          <t>output/pages/020_the-residence-maldives-at-dhigurah/dining__cenizaro.com__theresidence-maldives-dg-dining.md</t>
        </is>
      </c>
    </row>
    <row r="420">
      <c r="A420" t="n">
        <v>19</v>
      </c>
      <c r="B420" t="inlineStr">
        <is>
          <t>The Residence Maldives</t>
        </is>
      </c>
      <c r="C420" t="inlineStr">
        <is>
          <t>https://www.cenizaro.com/theresidence/maldives-fm/spa-wellness/signature-treatments</t>
        </is>
      </c>
      <c r="D420" t="inlineStr">
        <is>
          <t>dining</t>
        </is>
      </c>
      <c r="E420" t="inlineStr">
        <is>
          <t>Maldives Spa Resorts | The Residence Maldives Spa Treatments</t>
        </is>
      </c>
      <c r="F420" t="n">
        <v>2012</v>
      </c>
      <c r="G420" t="inlineStr">
        <is>
          <t>2026-10-04</t>
        </is>
      </c>
      <c r="H420" t="inlineStr">
        <is>
          <t>official</t>
        </is>
      </c>
      <c r="I420" t="inlineStr">
        <is>
          <t>output/pages/019_the-residence-maldives/dining__cenizaro.com__theresidence-maldives-fm-spa-wellness-signature-treatments.md</t>
        </is>
      </c>
    </row>
    <row r="421">
      <c r="A421" t="n">
        <v>20</v>
      </c>
      <c r="B421" t="inlineStr">
        <is>
          <t>The Residence Maldives At Dhigurah</t>
        </is>
      </c>
      <c r="C421" t="inlineStr">
        <is>
          <t>https://www.cenizaro.com/theresidence/maldives-dg/offers/renewal-retreats</t>
        </is>
      </c>
      <c r="D421" t="inlineStr">
        <is>
          <t>wedding</t>
        </is>
      </c>
      <c r="E421" t="inlineStr"/>
      <c r="F421" t="n">
        <v>1719</v>
      </c>
      <c r="G421" t="inlineStr">
        <is>
          <t>2026-10-04</t>
        </is>
      </c>
      <c r="H421" t="inlineStr">
        <is>
          <t>official</t>
        </is>
      </c>
      <c r="I421" t="inlineStr">
        <is>
          <t>output/pages/020_the-residence-maldives-at-dhigurah/wedding__cenizaro.com__theresidence-maldives-dg-offers-renewal-retreats.md</t>
        </is>
      </c>
    </row>
    <row r="422">
      <c r="A422" t="n">
        <v>19</v>
      </c>
      <c r="B422" t="inlineStr">
        <is>
          <t>The Residence Maldives</t>
        </is>
      </c>
      <c r="C422" t="inlineStr">
        <is>
          <t>https://www.cenizaro.com/theresidence/maldives-fm/events-meetings/meetings-incentives</t>
        </is>
      </c>
      <c r="D422" t="inlineStr">
        <is>
          <t>events</t>
        </is>
      </c>
      <c r="E422" t="inlineStr">
        <is>
          <t>Meeting Facilities Maldives | The Residence Maldives</t>
        </is>
      </c>
      <c r="F422" t="n">
        <v>698</v>
      </c>
      <c r="G422" t="inlineStr">
        <is>
          <t>2026-10-04</t>
        </is>
      </c>
      <c r="H422" t="inlineStr">
        <is>
          <t>official</t>
        </is>
      </c>
      <c r="I422" t="inlineStr">
        <is>
          <t>output/pages/019_the-residence-maldives/events__cenizaro.com__theresidence-maldives-fm-events-meetings-meetings-incentives.md</t>
        </is>
      </c>
    </row>
    <row r="423">
      <c r="A423" t="n">
        <v>20</v>
      </c>
      <c r="B423" t="inlineStr">
        <is>
          <t>The Residence Maldives At Dhigurah</t>
        </is>
      </c>
      <c r="C423" t="inlineStr">
        <is>
          <t>https://www.cenizaro.com/theresidence/maldives-dg/destination/location</t>
        </is>
      </c>
      <c r="D423" t="inlineStr">
        <is>
          <t>diving</t>
        </is>
      </c>
      <c r="E423" t="inlineStr">
        <is>
          <t>Five Star Resorts in Maldives | The Residence Dhigurah</t>
        </is>
      </c>
      <c r="F423" t="n">
        <v>806</v>
      </c>
      <c r="G423" t="inlineStr">
        <is>
          <t>2026-10-04</t>
        </is>
      </c>
      <c r="H423" t="inlineStr">
        <is>
          <t>official</t>
        </is>
      </c>
      <c r="I423" t="inlineStr">
        <is>
          <t>output/pages/020_the-residence-maldives-at-dhigurah/diving__cenizaro.com__theresidence-maldives-dg-destination-location.md</t>
        </is>
      </c>
    </row>
    <row r="424">
      <c r="A424" t="n">
        <v>19</v>
      </c>
      <c r="B424" t="inlineStr">
        <is>
          <t>The Residence Maldives</t>
        </is>
      </c>
      <c r="C424" t="inlineStr">
        <is>
          <t>https://www.cenizaro.com/theresidence/maldives-fm/dining</t>
        </is>
      </c>
      <c r="D424" t="inlineStr">
        <is>
          <t>dining</t>
        </is>
      </c>
      <c r="E424" t="inlineStr">
        <is>
          <t>Maldives Restaurants | Dining at The Residence Maldives</t>
        </is>
      </c>
      <c r="F424" t="n">
        <v>984</v>
      </c>
      <c r="G424" t="inlineStr">
        <is>
          <t>2026-10-04</t>
        </is>
      </c>
      <c r="H424" t="inlineStr">
        <is>
          <t>official</t>
        </is>
      </c>
      <c r="I424" t="inlineStr">
        <is>
          <t>output/pages/019_the-residence-maldives/dining__cenizaro.com__theresidence-maldives-fm-dining.md</t>
        </is>
      </c>
    </row>
    <row r="425">
      <c r="A425" t="n">
        <v>20</v>
      </c>
      <c r="B425" t="inlineStr">
        <is>
          <t>The Residence Maldives At Dhigurah</t>
        </is>
      </c>
      <c r="C425" t="inlineStr">
        <is>
          <t>https://www.cenizaro.com/theresidence/maldives-dg/accommodation/lagoon-pool-villa</t>
        </is>
      </c>
      <c r="D425" t="inlineStr">
        <is>
          <t>diving</t>
        </is>
      </c>
      <c r="E425" t="inlineStr">
        <is>
          <t>Maldives Lagoon Villa with Pool l Lagoon Pool Villa</t>
        </is>
      </c>
      <c r="F425" t="n">
        <v>574</v>
      </c>
      <c r="G425" t="inlineStr">
        <is>
          <t>2026-10-04</t>
        </is>
      </c>
      <c r="H425" t="inlineStr">
        <is>
          <t>official</t>
        </is>
      </c>
      <c r="I425" t="inlineStr">
        <is>
          <t>output/pages/020_the-residence-maldives-at-dhigurah/diving__cenizaro.com__theresidence-maldives-dg-accommodation-lagoon-pool-villa.md</t>
        </is>
      </c>
    </row>
    <row r="426">
      <c r="A426" t="n">
        <v>20</v>
      </c>
      <c r="B426" t="inlineStr">
        <is>
          <t>The Residence Maldives At Dhigurah</t>
        </is>
      </c>
      <c r="C426" t="inlineStr">
        <is>
          <t>https://www.cenizaro.com/theresidence/maldives-dg/events-meetings</t>
        </is>
      </c>
      <c r="D426" t="inlineStr">
        <is>
          <t>events</t>
        </is>
      </c>
      <c r="E426" t="inlineStr">
        <is>
          <t>Events in Maldives l The Residence Maldives Dhigurah Events</t>
        </is>
      </c>
      <c r="F426" t="n">
        <v>422</v>
      </c>
      <c r="G426" t="inlineStr">
        <is>
          <t>2026-10-04</t>
        </is>
      </c>
      <c r="H426" t="inlineStr">
        <is>
          <t>official</t>
        </is>
      </c>
      <c r="I426" t="inlineStr">
        <is>
          <t>output/pages/020_the-residence-maldives-at-dhigurah/events__cenizaro.com__theresidence-maldives-dg-events-meetings.md</t>
        </is>
      </c>
    </row>
    <row r="427">
      <c r="A427" t="n">
        <v>19</v>
      </c>
      <c r="B427" t="inlineStr">
        <is>
          <t>The Residence Maldives</t>
        </is>
      </c>
      <c r="C427" t="inlineStr">
        <is>
          <t>https://www.cenizaro.com/theresidence/maldives-fm/spa-wellness</t>
        </is>
      </c>
      <c r="D427" t="inlineStr">
        <is>
          <t>spa</t>
        </is>
      </c>
      <c r="E427" t="inlineStr">
        <is>
          <t>Maldives Spa | The Residence Maldives | Spa The  Wellness</t>
        </is>
      </c>
      <c r="F427" t="n">
        <v>1010</v>
      </c>
      <c r="G427" t="inlineStr">
        <is>
          <t>2026-10-04</t>
        </is>
      </c>
      <c r="H427" t="inlineStr">
        <is>
          <t>official</t>
        </is>
      </c>
      <c r="I427" t="inlineStr">
        <is>
          <t>output/pages/019_the-residence-maldives/spa__cenizaro.com__theresidence-maldives-fm-spa-wellness.md</t>
        </is>
      </c>
    </row>
    <row r="428">
      <c r="A428" t="n">
        <v>20</v>
      </c>
      <c r="B428" t="inlineStr">
        <is>
          <t>The Residence Maldives At Dhigurah</t>
        </is>
      </c>
      <c r="C428" t="inlineStr">
        <is>
          <t>https://www.cenizaro.com/theresidence/maldives-dg/experiences</t>
        </is>
      </c>
      <c r="D428" t="inlineStr">
        <is>
          <t>diving</t>
        </is>
      </c>
      <c r="E428" t="inlineStr">
        <is>
          <t>Best Things to Do in Maldives | The Residence Dhigurah</t>
        </is>
      </c>
      <c r="F428" t="n">
        <v>682</v>
      </c>
      <c r="G428" t="inlineStr">
        <is>
          <t>2026-10-04</t>
        </is>
      </c>
      <c r="H428" t="inlineStr">
        <is>
          <t>official</t>
        </is>
      </c>
      <c r="I428" t="inlineStr">
        <is>
          <t>output/pages/020_the-residence-maldives-at-dhigurah/diving__cenizaro.com__theresidence-maldives-dg-experiences.md</t>
        </is>
      </c>
    </row>
    <row r="429">
      <c r="A429" t="n">
        <v>19</v>
      </c>
      <c r="B429" t="inlineStr">
        <is>
          <t>The Residence Maldives</t>
        </is>
      </c>
      <c r="C429" t="inlineStr">
        <is>
          <t>https://www.cenizaro.com/theresidence/maldives-fm/accommodation/deluxe-water-pool-villas</t>
        </is>
      </c>
      <c r="D429" t="inlineStr">
        <is>
          <t>diving</t>
        </is>
      </c>
      <c r="E429" t="inlineStr">
        <is>
          <t>Maldives Water Pool Villa | The Residence Maldives</t>
        </is>
      </c>
      <c r="F429" t="n">
        <v>726</v>
      </c>
      <c r="G429" t="inlineStr">
        <is>
          <t>2026-10-04</t>
        </is>
      </c>
      <c r="H429" t="inlineStr">
        <is>
          <t>official</t>
        </is>
      </c>
      <c r="I429" t="inlineStr">
        <is>
          <t>output/pages/019_the-residence-maldives/diving__cenizaro.com__theresidence-maldives-fm-accommodation-deluxe-water-pool-vil.md</t>
        </is>
      </c>
    </row>
    <row r="430">
      <c r="A430" t="n">
        <v>20</v>
      </c>
      <c r="B430" t="inlineStr">
        <is>
          <t>The Residence Maldives At Dhigurah</t>
        </is>
      </c>
      <c r="C430" t="inlineStr">
        <is>
          <t>https://www.cenizaro.com/theresidence/maldives-dg/dining/private-dining</t>
        </is>
      </c>
      <c r="D430" t="inlineStr">
        <is>
          <t>dining</t>
        </is>
      </c>
      <c r="E430" t="inlineStr">
        <is>
          <t>Maldives Private Dining l Residence Dhigurah Private Dining</t>
        </is>
      </c>
      <c r="F430" t="n">
        <v>425</v>
      </c>
      <c r="G430" t="inlineStr">
        <is>
          <t>2026-10-04</t>
        </is>
      </c>
      <c r="H430" t="inlineStr">
        <is>
          <t>official</t>
        </is>
      </c>
      <c r="I430" t="inlineStr">
        <is>
          <t>output/pages/020_the-residence-maldives-at-dhigurah/dining__cenizaro.com__theresidence-maldives-dg-dining-private-dining.md</t>
        </is>
      </c>
    </row>
    <row r="431">
      <c r="A431" t="n">
        <v>13</v>
      </c>
      <c r="B431" t="inlineStr">
        <is>
          <t>Sandies Bathala</t>
        </is>
      </c>
      <c r="C431" t="inlineStr">
        <is>
          <t>https://www.planhotel.com/group-hotels/diamonds-hotels-and-resorts/diamonds-leisure-beach-golf-resort/</t>
        </is>
      </c>
      <c r="D431" t="inlineStr">
        <is>
          <t>events</t>
        </is>
      </c>
      <c r="E431" t="inlineStr">
        <is>
          <t>Diamonds Hotels and Resorts - DIAMONDS LEISURE BEACH &amp; GOLF RESORT  Hotel - Planhotel Hospitality group  in the Indian O</t>
        </is>
      </c>
      <c r="F431" t="n">
        <v>964</v>
      </c>
      <c r="G431" t="inlineStr">
        <is>
          <t>2026-10-04</t>
        </is>
      </c>
      <c r="H431" t="inlineStr">
        <is>
          <t>official</t>
        </is>
      </c>
      <c r="I431" t="inlineStr">
        <is>
          <t>output/pages/013_sandies-bathala/events__planhotel.com__group-hotels-diamonds-hotels-and-resorts-diamonds-leisure-be.md</t>
        </is>
      </c>
    </row>
    <row r="432">
      <c r="A432" t="n">
        <v>19</v>
      </c>
      <c r="B432" t="inlineStr">
        <is>
          <t>The Residence Maldives</t>
        </is>
      </c>
      <c r="C432" t="inlineStr">
        <is>
          <t>https://www.cenizaro.com/theresidence/maldives-fm/about/guest-services</t>
        </is>
      </c>
      <c r="D432" t="inlineStr">
        <is>
          <t>diving</t>
        </is>
      </c>
      <c r="E432" t="inlineStr">
        <is>
          <t>Maldives Hotels 5 Star | Services at The Residence Maldives</t>
        </is>
      </c>
      <c r="F432" t="n">
        <v>447</v>
      </c>
      <c r="G432" t="inlineStr">
        <is>
          <t>2026-10-04</t>
        </is>
      </c>
      <c r="H432" t="inlineStr">
        <is>
          <t>official</t>
        </is>
      </c>
      <c r="I432" t="inlineStr">
        <is>
          <t>output/pages/019_the-residence-maldives/diving__cenizaro.com__theresidence-maldives-fm-about-guest-services.md</t>
        </is>
      </c>
    </row>
    <row r="433">
      <c r="A433" t="n">
        <v>20</v>
      </c>
      <c r="B433" t="inlineStr">
        <is>
          <t>The Residence Maldives At Dhigurah</t>
        </is>
      </c>
      <c r="C433" t="inlineStr">
        <is>
          <t>https://www.cenizaro.com/theresidence/maldives-dg/about/facilities</t>
        </is>
      </c>
      <c r="D433" t="inlineStr">
        <is>
          <t>diving</t>
        </is>
      </c>
      <c r="E433" t="inlineStr">
        <is>
          <t>Family Friendly Resorts Maldives l Resort Facilities</t>
        </is>
      </c>
      <c r="F433" t="n">
        <v>1634</v>
      </c>
      <c r="G433" t="inlineStr">
        <is>
          <t>2026-10-04</t>
        </is>
      </c>
      <c r="H433" t="inlineStr">
        <is>
          <t>official</t>
        </is>
      </c>
      <c r="I433" t="inlineStr">
        <is>
          <t>output/pages/020_the-residence-maldives-at-dhigurah/diving__cenizaro.com__theresidence-maldives-dg-about-facilities.md</t>
        </is>
      </c>
    </row>
    <row r="434">
      <c r="A434" t="n">
        <v>19</v>
      </c>
      <c r="B434" t="inlineStr">
        <is>
          <t>The Residence Maldives</t>
        </is>
      </c>
      <c r="C434" t="inlineStr">
        <is>
          <t>https://www.cenizaro.com/theresidence/maldives-fm/accommodation/water-pool-villas</t>
        </is>
      </c>
      <c r="D434" t="inlineStr">
        <is>
          <t>diving</t>
        </is>
      </c>
      <c r="E434" t="inlineStr">
        <is>
          <t>Maldives Water Villa With Pool | Two Bedroom Pool Villa</t>
        </is>
      </c>
      <c r="F434" t="n">
        <v>646</v>
      </c>
      <c r="G434" t="inlineStr">
        <is>
          <t>2026-10-04</t>
        </is>
      </c>
      <c r="H434" t="inlineStr">
        <is>
          <t>official</t>
        </is>
      </c>
      <c r="I434" t="inlineStr">
        <is>
          <t>output/pages/019_the-residence-maldives/diving__cenizaro.com__theresidence-maldives-fm-accommodation-water-pool-villas.md</t>
        </is>
      </c>
    </row>
    <row r="435">
      <c r="A435" t="n">
        <v>20</v>
      </c>
      <c r="B435" t="inlineStr">
        <is>
          <t>The Residence Maldives At Dhigurah</t>
        </is>
      </c>
      <c r="C435" t="inlineStr">
        <is>
          <t>https://www.cenizaro.com/theresidence/maldives-dg/about</t>
        </is>
      </c>
      <c r="D435" t="inlineStr">
        <is>
          <t>diving</t>
        </is>
      </c>
      <c r="E435" t="inlineStr">
        <is>
          <t>Beach Villas in Maldives l About Us l The Residence Dhigurah</t>
        </is>
      </c>
      <c r="F435" t="n">
        <v>1572</v>
      </c>
      <c r="G435" t="inlineStr">
        <is>
          <t>2026-10-04</t>
        </is>
      </c>
      <c r="H435" t="inlineStr">
        <is>
          <t>official</t>
        </is>
      </c>
      <c r="I435" t="inlineStr">
        <is>
          <t>output/pages/020_the-residence-maldives-at-dhigurah/diving__cenizaro.com__theresidence-maldives-dg-about.md</t>
        </is>
      </c>
    </row>
    <row r="436">
      <c r="A436" t="n">
        <v>19</v>
      </c>
      <c r="B436" t="inlineStr">
        <is>
          <t>The Residence Maldives</t>
        </is>
      </c>
      <c r="C436" t="inlineStr">
        <is>
          <t>https://www.cenizaro.com/theresidence/maldives-fm/about</t>
        </is>
      </c>
      <c r="D436" t="inlineStr">
        <is>
          <t>diving</t>
        </is>
      </c>
      <c r="E436" t="inlineStr">
        <is>
          <t>Maldives Island Resorts |  About Us | The Residence Maldives</t>
        </is>
      </c>
      <c r="F436" t="n">
        <v>1126</v>
      </c>
      <c r="G436" t="inlineStr">
        <is>
          <t>2026-10-04</t>
        </is>
      </c>
      <c r="H436" t="inlineStr">
        <is>
          <t>official</t>
        </is>
      </c>
      <c r="I436" t="inlineStr">
        <is>
          <t>output/pages/019_the-residence-maldives/diving__cenizaro.com__theresidence-maldives-fm-about.md</t>
        </is>
      </c>
    </row>
    <row r="437">
      <c r="A437" t="n">
        <v>20</v>
      </c>
      <c r="B437" t="inlineStr">
        <is>
          <t>The Residence Maldives At Dhigurah</t>
        </is>
      </c>
      <c r="C437" t="inlineStr">
        <is>
          <t>https://www.cenizaro.com/theresidence/maldives-dg/accommodation/deluxe-lagoon-pool-villa</t>
        </is>
      </c>
      <c r="D437" t="inlineStr">
        <is>
          <t>diving</t>
        </is>
      </c>
      <c r="E437" t="inlineStr">
        <is>
          <t>Maldives Water Villa with Private Pool l Lagoon Pool Villa</t>
        </is>
      </c>
      <c r="F437" t="n">
        <v>570</v>
      </c>
      <c r="G437" t="inlineStr">
        <is>
          <t>2026-10-04</t>
        </is>
      </c>
      <c r="H437" t="inlineStr">
        <is>
          <t>official</t>
        </is>
      </c>
      <c r="I437" t="inlineStr">
        <is>
          <t>output/pages/020_the-residence-maldives-at-dhigurah/diving__cenizaro.com__theresidence-maldives-dg-accommodation-deluxe-lagoon-pool-vi.md</t>
        </is>
      </c>
    </row>
    <row r="438">
      <c r="A438" t="n">
        <v>19</v>
      </c>
      <c r="B438" t="inlineStr">
        <is>
          <t>The Residence Maldives</t>
        </is>
      </c>
      <c r="C438" t="inlineStr">
        <is>
          <t>https://www.cenizaro.com/theresidence/maldives-fm/falhumaafushi-early-bird-offer</t>
        </is>
      </c>
      <c r="D438" t="inlineStr">
        <is>
          <t>diving</t>
        </is>
      </c>
      <c r="E438" t="inlineStr">
        <is>
          <t>Early Bird Offer</t>
        </is>
      </c>
      <c r="F438" t="n">
        <v>1794</v>
      </c>
      <c r="G438" t="inlineStr">
        <is>
          <t>2026-10-04</t>
        </is>
      </c>
      <c r="H438" t="inlineStr">
        <is>
          <t>official</t>
        </is>
      </c>
      <c r="I438" t="inlineStr">
        <is>
          <t>output/pages/019_the-residence-maldives/diving__cenizaro.com__theresidence-maldives-fm-falhumaafushi-early-bird-offer.md</t>
        </is>
      </c>
    </row>
    <row r="439">
      <c r="A439" t="n">
        <v>20</v>
      </c>
      <c r="B439" t="inlineStr">
        <is>
          <t>The Residence Maldives At Dhigurah</t>
        </is>
      </c>
      <c r="C439" t="inlineStr">
        <is>
          <t>https://www.cenizaro.com/theresidence/maldives-dg/dining/long-island</t>
        </is>
      </c>
      <c r="D439" t="inlineStr">
        <is>
          <t>dining</t>
        </is>
      </c>
      <c r="E439" t="inlineStr">
        <is>
          <t>Maldives Resort Bar l The Residence Dhigurah | Long Island</t>
        </is>
      </c>
      <c r="F439" t="n">
        <v>514</v>
      </c>
      <c r="G439" t="inlineStr">
        <is>
          <t>2026-10-04</t>
        </is>
      </c>
      <c r="H439" t="inlineStr">
        <is>
          <t>official</t>
        </is>
      </c>
      <c r="I439" t="inlineStr">
        <is>
          <t>output/pages/020_the-residence-maldives-at-dhigurah/dining__cenizaro.com__theresidence-maldives-dg-dining-long-island.md</t>
        </is>
      </c>
    </row>
    <row r="440">
      <c r="A440" t="n">
        <v>19</v>
      </c>
      <c r="B440" t="inlineStr">
        <is>
          <t>The Residence Maldives</t>
        </is>
      </c>
      <c r="C440" t="inlineStr">
        <is>
          <t>https://www.cenizaro.com/theresidence/maldives-fm/destination</t>
        </is>
      </c>
      <c r="D440" t="inlineStr">
        <is>
          <t>diving</t>
        </is>
      </c>
      <c r="E440" t="inlineStr">
        <is>
          <t>Best Places to Visit in Maldives | Destination</t>
        </is>
      </c>
      <c r="F440" t="n">
        <v>1237</v>
      </c>
      <c r="G440" t="inlineStr">
        <is>
          <t>2026-10-04</t>
        </is>
      </c>
      <c r="H440" t="inlineStr">
        <is>
          <t>official</t>
        </is>
      </c>
      <c r="I440" t="inlineStr">
        <is>
          <t>output/pages/019_the-residence-maldives/diving__cenizaro.com__theresidence-maldives-fm-destination.md</t>
        </is>
      </c>
    </row>
    <row r="441">
      <c r="A441" t="n">
        <v>20</v>
      </c>
      <c r="B441" t="inlineStr">
        <is>
          <t>The Residence Maldives At Dhigurah</t>
        </is>
      </c>
      <c r="C441" t="inlineStr">
        <is>
          <t>https://www.cenizaro.com/theresidence/maldives-dg/dining/cafe-del-sol</t>
        </is>
      </c>
      <c r="D441" t="inlineStr">
        <is>
          <t>dining</t>
        </is>
      </c>
      <c r="E441" t="inlineStr">
        <is>
          <t>Mediterranean Restaurant in Maldives l Dine at Café Del Sol</t>
        </is>
      </c>
      <c r="F441" t="n">
        <v>445</v>
      </c>
      <c r="G441" t="inlineStr">
        <is>
          <t>2026-10-04</t>
        </is>
      </c>
      <c r="H441" t="inlineStr">
        <is>
          <t>official</t>
        </is>
      </c>
      <c r="I441" t="inlineStr">
        <is>
          <t>output/pages/020_the-residence-maldives-at-dhigurah/dining__cenizaro.com__theresidence-maldives-dg-dining-cafe-del-sol.md</t>
        </is>
      </c>
    </row>
    <row r="442">
      <c r="A442" t="n">
        <v>19</v>
      </c>
      <c r="B442" t="inlineStr">
        <is>
          <t>The Residence Maldives</t>
        </is>
      </c>
      <c r="C442" t="inlineStr">
        <is>
          <t>https://www.cenizaro.com/theresidence/maldives-fm/experiences/dive-the-deep-blue</t>
        </is>
      </c>
      <c r="D442" t="inlineStr">
        <is>
          <t>diving</t>
        </is>
      </c>
      <c r="E442" t="inlineStr">
        <is>
          <t>Best Dive Resorts Maldives | The Residence Maldives</t>
        </is>
      </c>
      <c r="F442" t="n">
        <v>456</v>
      </c>
      <c r="G442" t="inlineStr">
        <is>
          <t>2026-10-04</t>
        </is>
      </c>
      <c r="H442" t="inlineStr">
        <is>
          <t>official</t>
        </is>
      </c>
      <c r="I442" t="inlineStr">
        <is>
          <t>output/pages/019_the-residence-maldives/diving__cenizaro.com__theresidence-maldives-fm-experiences-dive-the-deep-blue.md</t>
        </is>
      </c>
    </row>
    <row r="443">
      <c r="A443" t="n">
        <v>20</v>
      </c>
      <c r="B443" t="inlineStr">
        <is>
          <t>The Residence Maldives At Dhigurah</t>
        </is>
      </c>
      <c r="C443" t="inlineStr">
        <is>
          <t>https://www.cenizaro.com/theresidence/maldives-dg/destination/travel-tips</t>
        </is>
      </c>
      <c r="D443" t="inlineStr">
        <is>
          <t>diving</t>
        </is>
      </c>
      <c r="E443" t="inlineStr">
        <is>
          <t>Maldives Travel Tips l The Residence Dhigurah | Travel Tips</t>
        </is>
      </c>
      <c r="F443" t="n">
        <v>1150</v>
      </c>
      <c r="G443" t="inlineStr">
        <is>
          <t>2026-10-04</t>
        </is>
      </c>
      <c r="H443" t="inlineStr">
        <is>
          <t>official</t>
        </is>
      </c>
      <c r="I443" t="inlineStr">
        <is>
          <t>output/pages/020_the-residence-maldives-at-dhigurah/diving__cenizaro.com__theresidence-maldives-dg-destination-travel-tips.md</t>
        </is>
      </c>
    </row>
    <row r="444">
      <c r="A444" t="n">
        <v>19</v>
      </c>
      <c r="B444" t="inlineStr">
        <is>
          <t>The Residence Maldives</t>
        </is>
      </c>
      <c r="C444" t="inlineStr">
        <is>
          <t>https://www.cenizaro.com/theresidence/maldives-fm/destination/itineraries</t>
        </is>
      </c>
      <c r="D444" t="inlineStr">
        <is>
          <t>diving</t>
        </is>
      </c>
      <c r="E444" t="inlineStr">
        <is>
          <t>Sightseeing in Maldives | The Residence Maldives Itineraries</t>
        </is>
      </c>
      <c r="F444" t="n">
        <v>1301</v>
      </c>
      <c r="G444" t="inlineStr">
        <is>
          <t>2026-10-04</t>
        </is>
      </c>
      <c r="H444" t="inlineStr">
        <is>
          <t>official</t>
        </is>
      </c>
      <c r="I444" t="inlineStr">
        <is>
          <t>output/pages/019_the-residence-maldives/diving__cenizaro.com__theresidence-maldives-fm-destination-itineraries.md</t>
        </is>
      </c>
    </row>
    <row r="445">
      <c r="A445" t="n">
        <v>20</v>
      </c>
      <c r="B445" t="inlineStr">
        <is>
          <t>The Residence Maldives At Dhigurah</t>
        </is>
      </c>
      <c r="C445" t="inlineStr">
        <is>
          <t>https://www.cenizaro.com/theresidence/maldives-dg/offers/solo-soulcations</t>
        </is>
      </c>
      <c r="D445" t="inlineStr">
        <is>
          <t>diving</t>
        </is>
      </c>
      <c r="E445" t="inlineStr">
        <is>
          <t>Solo Soulcations</t>
        </is>
      </c>
      <c r="F445" t="n">
        <v>1243</v>
      </c>
      <c r="G445" t="inlineStr">
        <is>
          <t>2026-10-04</t>
        </is>
      </c>
      <c r="H445" t="inlineStr">
        <is>
          <t>official</t>
        </is>
      </c>
      <c r="I445" t="inlineStr">
        <is>
          <t>output/pages/020_the-residence-maldives-at-dhigurah/diving__cenizaro.com__theresidence-maldives-dg-offers-solo-soulcations.md</t>
        </is>
      </c>
    </row>
    <row r="446">
      <c r="A446" t="n">
        <v>19</v>
      </c>
      <c r="B446" t="inlineStr">
        <is>
          <t>The Residence Maldives</t>
        </is>
      </c>
      <c r="C446" t="inlineStr">
        <is>
          <t>https://www.cenizaro.com/theresidence/maldives-fm/accommodation/beach-beach-pool-villa</t>
        </is>
      </c>
      <c r="D446" t="inlineStr">
        <is>
          <t>diving</t>
        </is>
      </c>
      <c r="E446" t="inlineStr">
        <is>
          <t>Beach Pool Villa Maldives | The Residence Maldives</t>
        </is>
      </c>
      <c r="F446" t="n">
        <v>760</v>
      </c>
      <c r="G446" t="inlineStr">
        <is>
          <t>2026-10-04</t>
        </is>
      </c>
      <c r="H446" t="inlineStr">
        <is>
          <t>official</t>
        </is>
      </c>
      <c r="I446" t="inlineStr">
        <is>
          <t>output/pages/019_the-residence-maldives/diving__cenizaro.com__theresidence-maldives-fm-accommodation-beach-beach-pool-vill.md</t>
        </is>
      </c>
    </row>
    <row r="447">
      <c r="A447" t="n">
        <v>20</v>
      </c>
      <c r="B447" t="inlineStr">
        <is>
          <t>The Residence Maldives At Dhigurah</t>
        </is>
      </c>
      <c r="C447" t="inlineStr">
        <is>
          <t>https://www.cenizaro.com/theresidence/maldives-dg/experiences/bottom-line-fishing</t>
        </is>
      </c>
      <c r="D447" t="inlineStr">
        <is>
          <t>diving</t>
        </is>
      </c>
      <c r="E447" t="inlineStr">
        <is>
          <t>Deep Sea Fishing Maldives | The Residence Dhigurah</t>
        </is>
      </c>
      <c r="F447" t="n">
        <v>420</v>
      </c>
      <c r="G447" t="inlineStr">
        <is>
          <t>2026-10-04</t>
        </is>
      </c>
      <c r="H447" t="inlineStr">
        <is>
          <t>official</t>
        </is>
      </c>
      <c r="I447" t="inlineStr">
        <is>
          <t>output/pages/020_the-residence-maldives-at-dhigurah/diving__cenizaro.com__theresidence-maldives-dg-experiences-bottom-line-fishing.md</t>
        </is>
      </c>
    </row>
    <row r="448">
      <c r="A448" t="n">
        <v>13</v>
      </c>
      <c r="B448" t="inlineStr">
        <is>
          <t>Sandies Bathala</t>
        </is>
      </c>
      <c r="C448" t="inlineStr">
        <is>
          <t>https://www.planhotel.com/brochures/</t>
        </is>
      </c>
      <c r="D448" t="inlineStr">
        <is>
          <t>events</t>
        </is>
      </c>
      <c r="E448" t="inlineStr">
        <is>
          <t>Brochures  Hotel - Planhotel Hospitality group  in the Indian Ocean</t>
        </is>
      </c>
      <c r="F448" t="n">
        <v>2026</v>
      </c>
      <c r="G448" t="inlineStr">
        <is>
          <t>2026-10-04</t>
        </is>
      </c>
      <c r="H448" t="inlineStr">
        <is>
          <t>official</t>
        </is>
      </c>
      <c r="I448" t="inlineStr">
        <is>
          <t>output/pages/013_sandies-bathala/events__planhotel.com__brochures.md</t>
        </is>
      </c>
    </row>
    <row r="449">
      <c r="A449" t="n">
        <v>19</v>
      </c>
      <c r="B449" t="inlineStr">
        <is>
          <t>The Residence Maldives</t>
        </is>
      </c>
      <c r="C449" t="inlineStr">
        <is>
          <t>https://www.cenizaro.com/theresidence/maldives-fm/offers/best-of-the-best</t>
        </is>
      </c>
      <c r="D449" t="inlineStr">
        <is>
          <t>diving</t>
        </is>
      </c>
      <c r="E449" t="inlineStr">
        <is>
          <t>Maldives Offers | Best of the Best | The Residence Maldives</t>
        </is>
      </c>
      <c r="F449" t="n">
        <v>2035</v>
      </c>
      <c r="G449" t="inlineStr">
        <is>
          <t>2026-10-04</t>
        </is>
      </c>
      <c r="H449" t="inlineStr">
        <is>
          <t>official</t>
        </is>
      </c>
      <c r="I449" t="inlineStr">
        <is>
          <t>output/pages/019_the-residence-maldives/diving__cenizaro.com__theresidence-maldives-fm-offers-best-of-the-best.md</t>
        </is>
      </c>
    </row>
    <row r="450">
      <c r="A450" t="n">
        <v>20</v>
      </c>
      <c r="B450" t="inlineStr">
        <is>
          <t>The Residence Maldives At Dhigurah</t>
        </is>
      </c>
      <c r="C450" t="inlineStr">
        <is>
          <t>https://www.cenizaro.com/theresidence/maldives-dg/destination/discover</t>
        </is>
      </c>
      <c r="D450" t="inlineStr">
        <is>
          <t>diving</t>
        </is>
      </c>
      <c r="E450" t="inlineStr">
        <is>
          <t>Maldives Sightseeing l The Residence Maldives Dhigurah</t>
        </is>
      </c>
      <c r="F450" t="n">
        <v>1277</v>
      </c>
      <c r="G450" t="inlineStr">
        <is>
          <t>2026-10-04</t>
        </is>
      </c>
      <c r="H450" t="inlineStr">
        <is>
          <t>official</t>
        </is>
      </c>
      <c r="I450" t="inlineStr">
        <is>
          <t>output/pages/020_the-residence-maldives-at-dhigurah/diving__cenizaro.com__theresidence-maldives-dg-destination-discover.md</t>
        </is>
      </c>
    </row>
    <row r="451">
      <c r="A451" t="n">
        <v>19</v>
      </c>
      <c r="B451" t="inlineStr">
        <is>
          <t>The Residence Maldives</t>
        </is>
      </c>
      <c r="C451" t="inlineStr">
        <is>
          <t>https://www.cenizaro.com/theresidence/maldives-fm/experiences/bottom-line-fishing</t>
        </is>
      </c>
      <c r="D451" t="inlineStr">
        <is>
          <t>diving</t>
        </is>
      </c>
      <c r="E451" t="inlineStr">
        <is>
          <t>Deep Sea Fishing in Maldives | The Residence Maldives</t>
        </is>
      </c>
      <c r="F451" t="n">
        <v>420</v>
      </c>
      <c r="G451" t="inlineStr">
        <is>
          <t>2026-10-04</t>
        </is>
      </c>
      <c r="H451" t="inlineStr">
        <is>
          <t>official</t>
        </is>
      </c>
      <c r="I451" t="inlineStr">
        <is>
          <t>output/pages/019_the-residence-maldives/diving__cenizaro.com__theresidence-maldives-fm-experiences-bottom-line-fishing.md</t>
        </is>
      </c>
    </row>
    <row r="452">
      <c r="A452" t="n">
        <v>20</v>
      </c>
      <c r="B452" t="inlineStr">
        <is>
          <t>The Residence Maldives At Dhigurah</t>
        </is>
      </c>
      <c r="C452" t="inlineStr">
        <is>
          <t>https://www.cenizaro.com/theresidence/maldives-dg/contact</t>
        </is>
      </c>
      <c r="D452" t="inlineStr">
        <is>
          <t>diving</t>
        </is>
      </c>
      <c r="E452" t="inlineStr">
        <is>
          <t>Maldives Five Star Resort | The Residence Dhigurah Contact</t>
        </is>
      </c>
      <c r="F452" t="n">
        <v>451</v>
      </c>
      <c r="G452" t="inlineStr">
        <is>
          <t>2026-10-04</t>
        </is>
      </c>
      <c r="H452" t="inlineStr">
        <is>
          <t>official</t>
        </is>
      </c>
      <c r="I452" t="inlineStr">
        <is>
          <t>output/pages/020_the-residence-maldives-at-dhigurah/diving__cenizaro.com__theresidence-maldives-dg-contact.md</t>
        </is>
      </c>
    </row>
    <row r="453">
      <c r="A453" t="n">
        <v>19</v>
      </c>
      <c r="B453" t="inlineStr">
        <is>
          <t>The Residence Maldives</t>
        </is>
      </c>
      <c r="C453" t="inlineStr">
        <is>
          <t>https://www.cenizaro.com/theresidence/maldives-fm/offers/renewal-retreats</t>
        </is>
      </c>
      <c r="D453" t="inlineStr">
        <is>
          <t>wedding</t>
        </is>
      </c>
      <c r="E453" t="inlineStr"/>
      <c r="F453" t="n">
        <v>1687</v>
      </c>
      <c r="G453" t="inlineStr">
        <is>
          <t>2026-10-04</t>
        </is>
      </c>
      <c r="H453" t="inlineStr">
        <is>
          <t>official</t>
        </is>
      </c>
      <c r="I453" t="inlineStr">
        <is>
          <t>output/pages/019_the-residence-maldives/wedding__cenizaro.com__theresidence-maldives-fm-offers-renewal-retreats.md</t>
        </is>
      </c>
    </row>
    <row r="454">
      <c r="A454" t="n">
        <v>13</v>
      </c>
      <c r="B454" t="inlineStr">
        <is>
          <t>Sandies Bathala</t>
        </is>
      </c>
      <c r="C454" t="inlineStr">
        <is>
          <t>https://www.planhotel.com/group-hotels/sandies-hotels-and-resorts/sandies-bathala-maldives/</t>
        </is>
      </c>
      <c r="D454" t="inlineStr">
        <is>
          <t>events</t>
        </is>
      </c>
      <c r="E454" t="inlineStr">
        <is>
          <t>Sandies Hotels and Resorts - Sandies Bathala Maldives  Hotel - Planhotel Hospitality group  in the Indian Ocean</t>
        </is>
      </c>
      <c r="F454" t="n">
        <v>813</v>
      </c>
      <c r="G454" t="inlineStr">
        <is>
          <t>2026-10-04</t>
        </is>
      </c>
      <c r="H454" t="inlineStr">
        <is>
          <t>official</t>
        </is>
      </c>
      <c r="I454" t="inlineStr">
        <is>
          <t>output/pages/013_sandies-bathala/events__planhotel.com__group-hotels-sandies-hotels-and-resorts-sandies-bathala-mald.md</t>
        </is>
      </c>
    </row>
    <row r="455">
      <c r="A455" t="n">
        <v>13</v>
      </c>
      <c r="B455" t="inlineStr">
        <is>
          <t>Sandies Bathala</t>
        </is>
      </c>
      <c r="C455" t="inlineStr">
        <is>
          <t>https://www.planhotel.com/travel-professional/weddings-ceremonies/diamonds-athuruga-beach/</t>
        </is>
      </c>
      <c r="D455" t="inlineStr">
        <is>
          <t>wedding</t>
        </is>
      </c>
      <c r="E455" t="inlineStr">
        <is>
          <t>Weddings &amp; Ceremonies - Diamonds Athuruga Beach  Hotel - Planhotel Hospitality group  in the Indian Ocean</t>
        </is>
      </c>
      <c r="F455" t="n">
        <v>1605</v>
      </c>
      <c r="G455" t="inlineStr">
        <is>
          <t>2026-10-04</t>
        </is>
      </c>
      <c r="H455" t="inlineStr">
        <is>
          <t>official</t>
        </is>
      </c>
      <c r="I455" t="inlineStr">
        <is>
          <t>output/pages/013_sandies-bathala/wedding__planhotel.com__travel-professional-weddings-ceremonies-diamonds-athuruga-be.md</t>
        </is>
      </c>
    </row>
    <row r="456">
      <c r="A456" t="n">
        <v>19</v>
      </c>
      <c r="B456" t="inlineStr">
        <is>
          <t>The Residence Maldives</t>
        </is>
      </c>
      <c r="C456" t="inlineStr">
        <is>
          <t>https://www.cenizaro.com/theresidence/maldives-fm/experiences/dhoni-and-dolphins</t>
        </is>
      </c>
      <c r="D456" t="inlineStr">
        <is>
          <t>diving</t>
        </is>
      </c>
      <c r="E456" t="inlineStr">
        <is>
          <t>Dolphin Watching Maldives | The Residence Maldives</t>
        </is>
      </c>
      <c r="F456" t="n">
        <v>349</v>
      </c>
      <c r="G456" t="inlineStr">
        <is>
          <t>2026-10-04</t>
        </is>
      </c>
      <c r="H456" t="inlineStr">
        <is>
          <t>official</t>
        </is>
      </c>
      <c r="I456" t="inlineStr">
        <is>
          <t>output/pages/019_the-residence-maldives/diving__cenizaro.com__theresidence-maldives-fm-experiences-dhoni-and-dolphins.md</t>
        </is>
      </c>
    </row>
    <row r="457">
      <c r="A457" t="n">
        <v>20</v>
      </c>
      <c r="B457" t="inlineStr">
        <is>
          <t>The Residence Maldives At Dhigurah</t>
        </is>
      </c>
      <c r="C457" t="inlineStr">
        <is>
          <t>https://www.cenizaro.com/theresidence/maldives-dg/events-meetings/weddings-events</t>
        </is>
      </c>
      <c r="D457" t="inlineStr">
        <is>
          <t>wedding</t>
        </is>
      </c>
      <c r="E457" t="inlineStr">
        <is>
          <t>Wedding Venues Maldives l The Residence Dhigurah | Weddings</t>
        </is>
      </c>
      <c r="F457" t="n">
        <v>533</v>
      </c>
      <c r="G457" t="inlineStr">
        <is>
          <t>2026-10-04</t>
        </is>
      </c>
      <c r="H457" t="inlineStr">
        <is>
          <t>official</t>
        </is>
      </c>
      <c r="I457" t="inlineStr">
        <is>
          <t>output/pages/020_the-residence-maldives-at-dhigurah/wedding__cenizaro.com__theresidence-maldives-dg-events-meetings-weddings-events.md</t>
        </is>
      </c>
    </row>
    <row r="458">
      <c r="A458" t="n">
        <v>19</v>
      </c>
      <c r="B458" t="inlineStr">
        <is>
          <t>The Residence Maldives</t>
        </is>
      </c>
      <c r="C458" t="inlineStr">
        <is>
          <t>https://www.cenizaro.com/theresidence/maldives-fm/destination/travel-tips</t>
        </is>
      </c>
      <c r="D458" t="inlineStr">
        <is>
          <t>diving</t>
        </is>
      </c>
      <c r="E458" t="inlineStr">
        <is>
          <t>Travel Tips for Maldives | The Residence Maldives</t>
        </is>
      </c>
      <c r="F458" t="n">
        <v>1129</v>
      </c>
      <c r="G458" t="inlineStr">
        <is>
          <t>2026-10-04</t>
        </is>
      </c>
      <c r="H458" t="inlineStr">
        <is>
          <t>official</t>
        </is>
      </c>
      <c r="I458" t="inlineStr">
        <is>
          <t>output/pages/019_the-residence-maldives/diving__cenizaro.com__theresidence-maldives-fm-destination-travel-tips.md</t>
        </is>
      </c>
    </row>
    <row r="459">
      <c r="A459" t="n">
        <v>13</v>
      </c>
      <c r="B459" t="inlineStr">
        <is>
          <t>Sandies Bathala</t>
        </is>
      </c>
      <c r="C459" t="inlineStr">
        <is>
          <t>https://www.planhotel.com/de/professionelle-loesungen/meetings-und-incentives/</t>
        </is>
      </c>
      <c r="D459" t="inlineStr">
        <is>
          <t>events</t>
        </is>
      </c>
      <c r="E459" t="inlineStr">
        <is>
          <t>Professionelle Lösungen - Meetings und Incentives Hotel -  Planhotel Hospitality group der Indischen Ozean</t>
        </is>
      </c>
      <c r="F459" t="n">
        <v>9626</v>
      </c>
      <c r="G459" t="inlineStr">
        <is>
          <t>2026-10-04</t>
        </is>
      </c>
      <c r="H459" t="inlineStr">
        <is>
          <t>official</t>
        </is>
      </c>
      <c r="I459" t="inlineStr">
        <is>
          <t>output/pages/013_sandies-bathala/events__planhotel.com__de-professionelle-loesungen-meetings-und-incentives.md</t>
        </is>
      </c>
    </row>
    <row r="460">
      <c r="A460" t="n">
        <v>20</v>
      </c>
      <c r="B460" t="inlineStr">
        <is>
          <t>The Residence Maldives At Dhigurah</t>
        </is>
      </c>
      <c r="C460" t="inlineStr">
        <is>
          <t>https://www.cenizaro.com/theresidence/maldives-dg/events-meetings/catering</t>
        </is>
      </c>
      <c r="D460" t="inlineStr">
        <is>
          <t>events</t>
        </is>
      </c>
      <c r="E460" t="inlineStr">
        <is>
          <t>Catering Services in Maldives l The Residence Dhigurah</t>
        </is>
      </c>
      <c r="F460" t="n">
        <v>439</v>
      </c>
      <c r="G460" t="inlineStr">
        <is>
          <t>2026-10-04</t>
        </is>
      </c>
      <c r="H460" t="inlineStr">
        <is>
          <t>official</t>
        </is>
      </c>
      <c r="I460" t="inlineStr">
        <is>
          <t>output/pages/020_the-residence-maldives-at-dhigurah/events__cenizaro.com__theresidence-maldives-dg-events-meetings-catering.md</t>
        </is>
      </c>
    </row>
    <row r="461">
      <c r="A461" t="n">
        <v>19</v>
      </c>
      <c r="B461" t="inlineStr">
        <is>
          <t>The Residence Maldives</t>
        </is>
      </c>
      <c r="C461" t="inlineStr">
        <is>
          <t>https://www.cenizaro.com/theresidence/maldives-fm/contact</t>
        </is>
      </c>
      <c r="D461" t="inlineStr">
        <is>
          <t>diving</t>
        </is>
      </c>
      <c r="E461" t="inlineStr">
        <is>
          <t>Maldives Five Star Resorts | The Residence Maldives Contact</t>
        </is>
      </c>
      <c r="F461" t="n">
        <v>430</v>
      </c>
      <c r="G461" t="inlineStr">
        <is>
          <t>2026-10-04</t>
        </is>
      </c>
      <c r="H461" t="inlineStr">
        <is>
          <t>official</t>
        </is>
      </c>
      <c r="I461" t="inlineStr">
        <is>
          <t>output/pages/019_the-residence-maldives/diving__cenizaro.com__theresidence-maldives-fm-contact.md</t>
        </is>
      </c>
    </row>
    <row r="462">
      <c r="A462" t="n">
        <v>13</v>
      </c>
      <c r="B462" t="inlineStr">
        <is>
          <t>Sandies Bathala</t>
        </is>
      </c>
      <c r="C462" t="inlineStr">
        <is>
          <t>https://www.planhotel.com/travel-professional/meeting-incentive/diamonds-leisure-beach-golf-resort/</t>
        </is>
      </c>
      <c r="D462" t="inlineStr">
        <is>
          <t>events</t>
        </is>
      </c>
      <c r="E462" t="inlineStr">
        <is>
          <t>Meeting &amp; Incentive - Diamonds Leisure Beach &amp; Golf Resort  Hotel - Planhotel Hospitality group  in the Indian Ocean</t>
        </is>
      </c>
      <c r="F462" t="n">
        <v>1160</v>
      </c>
      <c r="G462" t="inlineStr">
        <is>
          <t>2026-10-04</t>
        </is>
      </c>
      <c r="H462" t="inlineStr">
        <is>
          <t>official</t>
        </is>
      </c>
      <c r="I462" t="inlineStr">
        <is>
          <t>output/pages/013_sandies-bathala/events__planhotel.com__travel-professional-meeting-incentive-diamonds-leisure-beach.md</t>
        </is>
      </c>
    </row>
    <row r="463">
      <c r="A463" t="n">
        <v>20</v>
      </c>
      <c r="B463" t="inlineStr">
        <is>
          <t>The Residence Maldives At Dhigurah</t>
        </is>
      </c>
      <c r="C463" t="inlineStr">
        <is>
          <t>https://www.cenizaro.com/theresidence/maldives-dg/accommodation/sunrise-sunset-water-pool-villa</t>
        </is>
      </c>
      <c r="D463" t="inlineStr">
        <is>
          <t>diving</t>
        </is>
      </c>
      <c r="E463" t="inlineStr">
        <is>
          <t>Luxury Water Villa Maldives l One Bedroom Water Pool Villa</t>
        </is>
      </c>
      <c r="F463" t="n">
        <v>698</v>
      </c>
      <c r="G463" t="inlineStr">
        <is>
          <t>2026-10-04</t>
        </is>
      </c>
      <c r="H463" t="inlineStr">
        <is>
          <t>official</t>
        </is>
      </c>
      <c r="I463" t="inlineStr">
        <is>
          <t>output/pages/020_the-residence-maldives-at-dhigurah/diving__cenizaro.com__theresidence-maldives-dg-accommodation-sunrise-sunset-water-.md</t>
        </is>
      </c>
    </row>
    <row r="464">
      <c r="A464" t="n">
        <v>19</v>
      </c>
      <c r="B464" t="inlineStr">
        <is>
          <t>The Residence Maldives</t>
        </is>
      </c>
      <c r="C464" t="inlineStr">
        <is>
          <t>https://www.cenizaro.com/theresidence/maldives-fm/accommodation</t>
        </is>
      </c>
      <c r="D464" t="inlineStr">
        <is>
          <t>diving</t>
        </is>
      </c>
      <c r="E464" t="inlineStr">
        <is>
          <t>Maldives 5 Star Resorts | The Residence Maldives | Villas</t>
        </is>
      </c>
      <c r="F464" t="n">
        <v>775</v>
      </c>
      <c r="G464" t="inlineStr">
        <is>
          <t>2026-10-04</t>
        </is>
      </c>
      <c r="H464" t="inlineStr">
        <is>
          <t>official</t>
        </is>
      </c>
      <c r="I464" t="inlineStr">
        <is>
          <t>output/pages/019_the-residence-maldives/diving__cenizaro.com__theresidence-maldives-fm-accommodation.md</t>
        </is>
      </c>
    </row>
    <row r="465">
      <c r="A465" t="n">
        <v>20</v>
      </c>
      <c r="B465" t="inlineStr">
        <is>
          <t>The Residence Maldives At Dhigurah</t>
        </is>
      </c>
      <c r="C465" t="inlineStr">
        <is>
          <t>https://www.cenizaro.com/theresidence/maldives-dg/destination/itineraries</t>
        </is>
      </c>
      <c r="D465" t="inlineStr">
        <is>
          <t>diving</t>
        </is>
      </c>
      <c r="E465" t="inlineStr">
        <is>
          <t>Maldives Resort Activities l The Residence Maldives Dhigurah</t>
        </is>
      </c>
      <c r="F465" t="n">
        <v>1124</v>
      </c>
      <c r="G465" t="inlineStr">
        <is>
          <t>2026-10-04</t>
        </is>
      </c>
      <c r="H465" t="inlineStr">
        <is>
          <t>official</t>
        </is>
      </c>
      <c r="I465" t="inlineStr">
        <is>
          <t>output/pages/020_the-residence-maldives-at-dhigurah/diving__cenizaro.com__theresidence-maldives-dg-destination-itineraries.md</t>
        </is>
      </c>
    </row>
    <row r="466">
      <c r="A466" t="n">
        <v>19</v>
      </c>
      <c r="B466" t="inlineStr">
        <is>
          <t>The Residence Maldives</t>
        </is>
      </c>
      <c r="C466" t="inlineStr">
        <is>
          <t>https://www.cenizaro.com/theresidence/maldives-fm/accommodation/room-amenities</t>
        </is>
      </c>
      <c r="D466" t="inlineStr">
        <is>
          <t>diving</t>
        </is>
      </c>
      <c r="E466" t="inlineStr">
        <is>
          <t>Maldives Beach Front Villas | The Residence Maldives</t>
        </is>
      </c>
      <c r="F466" t="n">
        <v>562</v>
      </c>
      <c r="G466" t="inlineStr">
        <is>
          <t>2026-10-04</t>
        </is>
      </c>
      <c r="H466" t="inlineStr">
        <is>
          <t>official</t>
        </is>
      </c>
      <c r="I466" t="inlineStr">
        <is>
          <t>output/pages/019_the-residence-maldives/diving__cenizaro.com__theresidence-maldives-fm-accommodation-room-amenities.md</t>
        </is>
      </c>
    </row>
    <row r="467">
      <c r="A467" t="n">
        <v>13</v>
      </c>
      <c r="B467" t="inlineStr">
        <is>
          <t>Sandies Bathala</t>
        </is>
      </c>
      <c r="C467" t="inlineStr">
        <is>
          <t>https://www.planhotel.com/faq/</t>
        </is>
      </c>
      <c r="D467" t="inlineStr">
        <is>
          <t>events</t>
        </is>
      </c>
      <c r="E467" t="inlineStr">
        <is>
          <t>Faq  Hotel - Planhotel Hospitality group  in the Indian Ocean</t>
        </is>
      </c>
      <c r="F467" t="n">
        <v>6424</v>
      </c>
      <c r="G467" t="inlineStr">
        <is>
          <t>2026-10-04</t>
        </is>
      </c>
      <c r="H467" t="inlineStr">
        <is>
          <t>official</t>
        </is>
      </c>
      <c r="I467" t="inlineStr">
        <is>
          <t>output/pages/013_sandies-bathala/events__planhotel.com__faq.md</t>
        </is>
      </c>
    </row>
    <row r="468">
      <c r="A468" t="n">
        <v>13</v>
      </c>
      <c r="B468" t="inlineStr">
        <is>
          <t>Sandies Bathala</t>
        </is>
      </c>
      <c r="C468" t="inlineStr">
        <is>
          <t>https://www.planhotel.com/media-centre/</t>
        </is>
      </c>
      <c r="D468" t="inlineStr">
        <is>
          <t>events</t>
        </is>
      </c>
      <c r="E468" t="inlineStr">
        <is>
          <t>Media Centre  Hotel - Planhotel Hospitality group  in the Indian Ocean</t>
        </is>
      </c>
      <c r="F468" t="n">
        <v>1193</v>
      </c>
      <c r="G468" t="inlineStr">
        <is>
          <t>2026-10-04</t>
        </is>
      </c>
      <c r="H468" t="inlineStr">
        <is>
          <t>official</t>
        </is>
      </c>
      <c r="I468" t="inlineStr">
        <is>
          <t>output/pages/013_sandies-bathala/events__planhotel.com__media-centre.md</t>
        </is>
      </c>
    </row>
    <row r="469">
      <c r="A469" t="n">
        <v>20</v>
      </c>
      <c r="B469" t="inlineStr">
        <is>
          <t>The Residence Maldives At Dhigurah</t>
        </is>
      </c>
      <c r="C469" t="inlineStr">
        <is>
          <t>https://www.cenizaro.com/theresidence/maldives-dg/spa-wellness/yoga</t>
        </is>
      </c>
      <c r="D469" t="inlineStr">
        <is>
          <t>dining</t>
        </is>
      </c>
      <c r="E469" t="inlineStr">
        <is>
          <t>Maldives Yoga Retreat l Yoga at The Residence Dhigurah</t>
        </is>
      </c>
      <c r="F469" t="n">
        <v>1214</v>
      </c>
      <c r="G469" t="inlineStr">
        <is>
          <t>2026-10-04</t>
        </is>
      </c>
      <c r="H469" t="inlineStr">
        <is>
          <t>official</t>
        </is>
      </c>
      <c r="I469" t="inlineStr">
        <is>
          <t>output/pages/020_the-residence-maldives-at-dhigurah/dining__cenizaro.com__theresidence-maldives-dg-spa-wellness-yoga.md</t>
        </is>
      </c>
    </row>
    <row r="470">
      <c r="A470" t="n">
        <v>19</v>
      </c>
      <c r="B470" t="inlineStr">
        <is>
          <t>The Residence Maldives</t>
        </is>
      </c>
      <c r="C470" t="inlineStr">
        <is>
          <t>https://www.cenizaro.com/theresidence/maldives-fm/dining/librarybar</t>
        </is>
      </c>
      <c r="D470" t="inlineStr">
        <is>
          <t>dining</t>
        </is>
      </c>
      <c r="E470" t="inlineStr">
        <is>
          <t>Maldives Resort Bars | The Residence Maldives | Library Bar</t>
        </is>
      </c>
      <c r="F470" t="n">
        <v>370</v>
      </c>
      <c r="G470" t="inlineStr">
        <is>
          <t>2026-10-04</t>
        </is>
      </c>
      <c r="H470" t="inlineStr">
        <is>
          <t>official</t>
        </is>
      </c>
      <c r="I470" t="inlineStr">
        <is>
          <t>output/pages/019_the-residence-maldives/dining__cenizaro.com__theresidence-maldives-fm-dining-librarybar.md</t>
        </is>
      </c>
    </row>
    <row r="471">
      <c r="A471" t="n">
        <v>20</v>
      </c>
      <c r="B471" t="inlineStr">
        <is>
          <t>The Residence Maldives At Dhigurah</t>
        </is>
      </c>
      <c r="C471" t="inlineStr">
        <is>
          <t>https://www.cenizaro.com/theresidence/maldives-dg/accommodation/sunrise-sunset-deluxe-beach-pool-villa</t>
        </is>
      </c>
      <c r="D471" t="inlineStr">
        <is>
          <t>diving</t>
        </is>
      </c>
      <c r="E471" t="inlineStr">
        <is>
          <t>Maldives Luxury Villas l Sunrise Deluxe Beach Pool Villa</t>
        </is>
      </c>
      <c r="F471" t="n">
        <v>641</v>
      </c>
      <c r="G471" t="inlineStr">
        <is>
          <t>2026-10-04</t>
        </is>
      </c>
      <c r="H471" t="inlineStr">
        <is>
          <t>official</t>
        </is>
      </c>
      <c r="I471" t="inlineStr">
        <is>
          <t>output/pages/020_the-residence-maldives-at-dhigurah/diving__cenizaro.com__theresidence-maldives-dg-accommodation-sunrise-sunset-deluxe.md</t>
        </is>
      </c>
    </row>
    <row r="472">
      <c r="A472" t="n">
        <v>13</v>
      </c>
      <c r="B472" t="inlineStr">
        <is>
          <t>Sandies Bathala</t>
        </is>
      </c>
      <c r="C472" t="inlineStr">
        <is>
          <t>https://www.planhotel.com/travel-professional/weddings-ceremonies/diamonds-dream-africa/</t>
        </is>
      </c>
      <c r="D472" t="inlineStr">
        <is>
          <t>wedding</t>
        </is>
      </c>
      <c r="E472" t="inlineStr">
        <is>
          <t>Weddings &amp; Ceremonies - Diamonds Dream of Africa  Hotel - Planhotel Hospitality group  in the Indian Ocean</t>
        </is>
      </c>
      <c r="F472" t="n">
        <v>1603</v>
      </c>
      <c r="G472" t="inlineStr">
        <is>
          <t>2026-10-04</t>
        </is>
      </c>
      <c r="H472" t="inlineStr">
        <is>
          <t>official</t>
        </is>
      </c>
      <c r="I472" t="inlineStr">
        <is>
          <t>output/pages/013_sandies-bathala/wedding__planhotel.com__travel-professional-weddings-ceremonies-diamonds-dream-afric.md</t>
        </is>
      </c>
    </row>
    <row r="473">
      <c r="A473" t="n">
        <v>19</v>
      </c>
      <c r="B473" t="inlineStr">
        <is>
          <t>The Residence Maldives</t>
        </is>
      </c>
      <c r="C473" t="inlineStr">
        <is>
          <t>https://www.cenizaro.com/theresidence/maldives-fm/about/facilities</t>
        </is>
      </c>
      <c r="D473" t="inlineStr">
        <is>
          <t>diving</t>
        </is>
      </c>
      <c r="E473" t="inlineStr">
        <is>
          <t>Top Resorts in Maldives | The Residence Maldives Facilities</t>
        </is>
      </c>
      <c r="F473" t="n">
        <v>1410</v>
      </c>
      <c r="G473" t="inlineStr">
        <is>
          <t>2026-10-04</t>
        </is>
      </c>
      <c r="H473" t="inlineStr">
        <is>
          <t>official</t>
        </is>
      </c>
      <c r="I473" t="inlineStr">
        <is>
          <t>output/pages/019_the-residence-maldives/diving__cenizaro.com__theresidence-maldives-fm-about-facilities.md</t>
        </is>
      </c>
    </row>
    <row r="474">
      <c r="A474" t="n">
        <v>20</v>
      </c>
      <c r="B474" t="inlineStr">
        <is>
          <t>The Residence Maldives At Dhigurah</t>
        </is>
      </c>
      <c r="C474" t="inlineStr">
        <is>
          <t>https://www.cenizaro.com/theresidence/maldives-dg/accommodation/room-amenities</t>
        </is>
      </c>
      <c r="D474" t="inlineStr">
        <is>
          <t>diving</t>
        </is>
      </c>
      <c r="E474" t="inlineStr">
        <is>
          <t>Best Beach Villas in Maldives l Room Amenities</t>
        </is>
      </c>
      <c r="F474" t="n">
        <v>619</v>
      </c>
      <c r="G474" t="inlineStr">
        <is>
          <t>2026-10-04</t>
        </is>
      </c>
      <c r="H474" t="inlineStr">
        <is>
          <t>official</t>
        </is>
      </c>
      <c r="I474" t="inlineStr">
        <is>
          <t>output/pages/020_the-residence-maldives-at-dhigurah/diving__cenizaro.com__theresidence-maldives-dg-accommodation-room-amenities.md</t>
        </is>
      </c>
    </row>
    <row r="475">
      <c r="A475" t="n">
        <v>19</v>
      </c>
      <c r="B475" t="inlineStr">
        <is>
          <t>The Residence Maldives</t>
        </is>
      </c>
      <c r="C475" t="inlineStr">
        <is>
          <t>https://www.cenizaro.com/theresidence/maldives-fm/events-meetings/catering</t>
        </is>
      </c>
      <c r="D475" t="inlineStr">
        <is>
          <t>events</t>
        </is>
      </c>
      <c r="E475" t="inlineStr">
        <is>
          <t>Catering in Maldives | The Residence Maldives | Catering</t>
        </is>
      </c>
      <c r="F475" t="n">
        <v>600</v>
      </c>
      <c r="G475" t="inlineStr">
        <is>
          <t>2026-10-04</t>
        </is>
      </c>
      <c r="H475" t="inlineStr">
        <is>
          <t>official</t>
        </is>
      </c>
      <c r="I475" t="inlineStr">
        <is>
          <t>output/pages/019_the-residence-maldives/events__cenizaro.com__theresidence-maldives-fm-events-meetings-catering.md</t>
        </is>
      </c>
    </row>
    <row r="476">
      <c r="A476" t="n">
        <v>13</v>
      </c>
      <c r="B476" t="inlineStr">
        <is>
          <t>Sandies Bathala</t>
        </is>
      </c>
      <c r="C476" t="inlineStr">
        <is>
          <t>https://www.planhotel.com/de/unsere-hotels-resorts/sandies-hotels-resorts/sandies-baobab-zanzibar/</t>
        </is>
      </c>
      <c r="D476" t="inlineStr">
        <is>
          <t>events</t>
        </is>
      </c>
      <c r="E476" t="inlineStr">
        <is>
          <t>Sandies Hotels and Resorts - Sandies Baobab Beach Zanzibar Hotel -  Planhotel Hospitality group der Indischen Ozean</t>
        </is>
      </c>
      <c r="F476" t="n">
        <v>787</v>
      </c>
      <c r="G476" t="inlineStr">
        <is>
          <t>2026-10-04</t>
        </is>
      </c>
      <c r="H476" t="inlineStr">
        <is>
          <t>official</t>
        </is>
      </c>
      <c r="I476" t="inlineStr">
        <is>
          <t>output/pages/013_sandies-bathala/events__planhotel.com__de-unsere-hotels-resorts-sandies-hotels-resorts-sandies-baob.md</t>
        </is>
      </c>
    </row>
    <row r="477">
      <c r="A477" t="n">
        <v>20</v>
      </c>
      <c r="B477" t="inlineStr">
        <is>
          <t>The Residence Maldives At Dhigurah</t>
        </is>
      </c>
      <c r="C477" t="inlineStr">
        <is>
          <t>https://www.cenizaro.com/theresidence/maldives-dg/dining/li-bai</t>
        </is>
      </c>
      <c r="D477" t="inlineStr">
        <is>
          <t>dining</t>
        </is>
      </c>
      <c r="E477" t="inlineStr">
        <is>
          <t>Chinese Food in Maldives l Li Bai l The Residence Dhigurah</t>
        </is>
      </c>
      <c r="F477" t="n">
        <v>444</v>
      </c>
      <c r="G477" t="inlineStr">
        <is>
          <t>2026-10-04</t>
        </is>
      </c>
      <c r="H477" t="inlineStr">
        <is>
          <t>official</t>
        </is>
      </c>
      <c r="I477" t="inlineStr">
        <is>
          <t>output/pages/020_the-residence-maldives-at-dhigurah/dining__cenizaro.com__theresidence-maldives-dg-dining-li-bai.md</t>
        </is>
      </c>
    </row>
    <row r="478">
      <c r="A478" t="n">
        <v>13</v>
      </c>
      <c r="B478" t="inlineStr">
        <is>
          <t>Sandies Bathala</t>
        </is>
      </c>
      <c r="C478" t="inlineStr">
        <is>
          <t>https://www.planhotel.com/it/travel-professional-it/matrimoni-cerimonie/sandies-tropical-village/</t>
        </is>
      </c>
      <c r="D478" t="inlineStr">
        <is>
          <t>events</t>
        </is>
      </c>
      <c r="E478" t="inlineStr">
        <is>
          <t>Matrimoni &amp; Cerimonie - Sandies Tropical Village Hotel  - Planhotel Hospitality group  nell' Oceano Indiano</t>
        </is>
      </c>
      <c r="F478" t="n">
        <v>1884</v>
      </c>
      <c r="G478" t="inlineStr">
        <is>
          <t>2026-10-04</t>
        </is>
      </c>
      <c r="H478" t="inlineStr">
        <is>
          <t>official</t>
        </is>
      </c>
      <c r="I478" t="inlineStr">
        <is>
          <t>output/pages/013_sandies-bathala/events__planhotel.com__it-travel-professional-it-matrimoni-cerimonie-sandies-tropic.md</t>
        </is>
      </c>
    </row>
    <row r="479">
      <c r="A479" t="n">
        <v>19</v>
      </c>
      <c r="B479" t="inlineStr">
        <is>
          <t>The Residence Maldives</t>
        </is>
      </c>
      <c r="C479" t="inlineStr">
        <is>
          <t>https://www.cenizaro.com/theresidence/maldives-fm/events-meetings/weddings-events</t>
        </is>
      </c>
      <c r="D479" t="inlineStr">
        <is>
          <t>wedding</t>
        </is>
      </c>
      <c r="E479" t="inlineStr">
        <is>
          <t>Maldives Wedding Venues | Weddings &amp; Events | The Residence Maldives</t>
        </is>
      </c>
      <c r="F479" t="n">
        <v>683</v>
      </c>
      <c r="G479" t="inlineStr">
        <is>
          <t>2026-10-04</t>
        </is>
      </c>
      <c r="H479" t="inlineStr">
        <is>
          <t>official</t>
        </is>
      </c>
      <c r="I479" t="inlineStr">
        <is>
          <t>output/pages/019_the-residence-maldives/wedding__cenizaro.com__theresidence-maldives-fm-events-meetings-weddings-events.md</t>
        </is>
      </c>
    </row>
    <row r="480">
      <c r="A480" t="n">
        <v>20</v>
      </c>
      <c r="B480" t="inlineStr">
        <is>
          <t>The Residence Maldives At Dhigurah</t>
        </is>
      </c>
      <c r="C480" t="inlineStr">
        <is>
          <t>https://www.cenizaro.com/theresidence/maldives-dg/experiences/dhoni-and-dolphins</t>
        </is>
      </c>
      <c r="D480" t="inlineStr">
        <is>
          <t>diving</t>
        </is>
      </c>
      <c r="E480" t="inlineStr">
        <is>
          <t>Maldives Dolphin Watching | The Residence Maldives Dhigurah</t>
        </is>
      </c>
      <c r="F480" t="n">
        <v>352</v>
      </c>
      <c r="G480" t="inlineStr">
        <is>
          <t>2026-10-04</t>
        </is>
      </c>
      <c r="H480" t="inlineStr">
        <is>
          <t>official</t>
        </is>
      </c>
      <c r="I480" t="inlineStr">
        <is>
          <t>output/pages/020_the-residence-maldives-at-dhigurah/diving__cenizaro.com__theresidence-maldives-dg-experiences-dhoni-and-dolphins.md</t>
        </is>
      </c>
    </row>
    <row r="481">
      <c r="A481" t="n">
        <v>13</v>
      </c>
      <c r="B481" t="inlineStr">
        <is>
          <t>Sandies Bathala</t>
        </is>
      </c>
      <c r="C481" t="inlineStr">
        <is>
          <t>https://www.planhotel.com/fr/nos-hotels-resorts/hotel-italia-cortona/</t>
        </is>
      </c>
      <c r="D481" t="inlineStr">
        <is>
          <t>events</t>
        </is>
      </c>
      <c r="E481" t="inlineStr">
        <is>
          <t>Nos Hôtels &amp; Resorts - Hôtel Italia Cortona Hotel  -  Planhotel Hospitality group dans l'Océan Indien</t>
        </is>
      </c>
      <c r="F481" t="n">
        <v>1185</v>
      </c>
      <c r="G481" t="inlineStr">
        <is>
          <t>2026-10-04</t>
        </is>
      </c>
      <c r="H481" t="inlineStr">
        <is>
          <t>official</t>
        </is>
      </c>
      <c r="I481" t="inlineStr">
        <is>
          <t>output/pages/013_sandies-bathala/events__planhotel.com__fr-nos-hotels-resorts-hotel-italia-cortona.md</t>
        </is>
      </c>
    </row>
    <row r="482">
      <c r="A482" t="n">
        <v>19</v>
      </c>
      <c r="B482" t="inlineStr">
        <is>
          <t>The Residence Maldives</t>
        </is>
      </c>
      <c r="C482" t="inlineStr">
        <is>
          <t>https://www.cenizaro.com/theresidence/maldives-fm/dining/private-dining</t>
        </is>
      </c>
      <c r="D482" t="inlineStr">
        <is>
          <t>dining</t>
        </is>
      </c>
      <c r="E482" t="inlineStr">
        <is>
          <t>Private Dining Maldives | The Residence Maldives</t>
        </is>
      </c>
      <c r="F482" t="n">
        <v>702</v>
      </c>
      <c r="G482" t="inlineStr">
        <is>
          <t>2026-10-04</t>
        </is>
      </c>
      <c r="H482" t="inlineStr">
        <is>
          <t>official</t>
        </is>
      </c>
      <c r="I482" t="inlineStr">
        <is>
          <t>output/pages/019_the-residence-maldives/dining__cenizaro.com__theresidence-maldives-fm-dining-private-dining.md</t>
        </is>
      </c>
    </row>
    <row r="483">
      <c r="A483" t="n">
        <v>20</v>
      </c>
      <c r="B483" t="inlineStr">
        <is>
          <t>The Residence Maldives At Dhigurah</t>
        </is>
      </c>
      <c r="C483" t="inlineStr">
        <is>
          <t>https://www.cenizaro.com/theresidence/maldives-dg/offers</t>
        </is>
      </c>
      <c r="D483" t="inlineStr">
        <is>
          <t>diving</t>
        </is>
      </c>
      <c r="E483" t="inlineStr">
        <is>
          <t>Maldives Hotel Deals l The Residence Dhigurah Special Offers</t>
        </is>
      </c>
      <c r="F483" t="n">
        <v>434</v>
      </c>
      <c r="G483" t="inlineStr">
        <is>
          <t>2026-10-04</t>
        </is>
      </c>
      <c r="H483" t="inlineStr">
        <is>
          <t>official</t>
        </is>
      </c>
      <c r="I483" t="inlineStr">
        <is>
          <t>output/pages/020_the-residence-maldives-at-dhigurah/diving__cenizaro.com__theresidence-maldives-dg-offers.md</t>
        </is>
      </c>
    </row>
    <row r="484">
      <c r="A484" t="n">
        <v>19</v>
      </c>
      <c r="B484" t="inlineStr">
        <is>
          <t>The Residence Maldives</t>
        </is>
      </c>
      <c r="C484" t="inlineStr">
        <is>
          <t>https://www.cenizaro.com/theresidence/maldives-fm/dining/the-falhumaa</t>
        </is>
      </c>
      <c r="D484" t="inlineStr">
        <is>
          <t>dining</t>
        </is>
      </c>
      <c r="E484" t="inlineStr">
        <is>
          <t>Fine Dining Maldives | The Falhumaa | The Residence Maldives</t>
        </is>
      </c>
      <c r="F484" t="n">
        <v>979</v>
      </c>
      <c r="G484" t="inlineStr">
        <is>
          <t>2026-10-04</t>
        </is>
      </c>
      <c r="H484" t="inlineStr">
        <is>
          <t>official</t>
        </is>
      </c>
      <c r="I484" t="inlineStr">
        <is>
          <t>output/pages/019_the-residence-maldives/dining__cenizaro.com__theresidence-maldives-fm-dining-the-falhumaa.md</t>
        </is>
      </c>
    </row>
    <row r="485">
      <c r="A485" t="n">
        <v>13</v>
      </c>
      <c r="B485" t="inlineStr">
        <is>
          <t>Sandies Bathala</t>
        </is>
      </c>
      <c r="C485" t="inlineStr">
        <is>
          <t>https://www.planhotel.com/fr/nos-hotels-resorts/sandies-hotels-resorts/</t>
        </is>
      </c>
      <c r="D485" t="inlineStr">
        <is>
          <t>events</t>
        </is>
      </c>
      <c r="E485" t="inlineStr">
        <is>
          <t>Nos Hôtels &amp; Resorts - Sandies Hotels and Resorts Hotel  -  Planhotel Hospitality group dans l'Océan Indien</t>
        </is>
      </c>
      <c r="F485" t="n">
        <v>1283</v>
      </c>
      <c r="G485" t="inlineStr">
        <is>
          <t>2026-10-04</t>
        </is>
      </c>
      <c r="H485" t="inlineStr">
        <is>
          <t>official</t>
        </is>
      </c>
      <c r="I485" t="inlineStr">
        <is>
          <t>output/pages/013_sandies-bathala/events__planhotel.com__fr-nos-hotels-resorts-sandies-hotels-resorts.md</t>
        </is>
      </c>
    </row>
    <row r="486">
      <c r="A486" t="n">
        <v>20</v>
      </c>
      <c r="B486" t="inlineStr">
        <is>
          <t>The Residence Maldives At Dhigurah</t>
        </is>
      </c>
      <c r="C486" t="inlineStr">
        <is>
          <t>https://www.cenizaro.com/theresidence/maldives-dg/destination</t>
        </is>
      </c>
      <c r="D486" t="inlineStr">
        <is>
          <t>diving</t>
        </is>
      </c>
      <c r="E486" t="inlineStr">
        <is>
          <t>Maldives Attractions l The Residence Dhigurah | Destination</t>
        </is>
      </c>
      <c r="F486" t="n">
        <v>1067</v>
      </c>
      <c r="G486" t="inlineStr">
        <is>
          <t>2026-10-04</t>
        </is>
      </c>
      <c r="H486" t="inlineStr">
        <is>
          <t>official</t>
        </is>
      </c>
      <c r="I486" t="inlineStr">
        <is>
          <t>output/pages/020_the-residence-maldives-at-dhigurah/diving__cenizaro.com__theresidence-maldives-dg-destination.md</t>
        </is>
      </c>
    </row>
    <row r="487">
      <c r="A487" t="n">
        <v>13</v>
      </c>
      <c r="B487" t="inlineStr">
        <is>
          <t>Sandies Bathala</t>
        </is>
      </c>
      <c r="C487" t="inlineStr">
        <is>
          <t>https://www.planhotel.com/sustainability/beach-cleaning-days/</t>
        </is>
      </c>
      <c r="D487" t="inlineStr">
        <is>
          <t>events</t>
        </is>
      </c>
      <c r="E487" t="inlineStr">
        <is>
          <t>SUSTAINABILITY - BEACH CLEANING DAYS  Hotel - Planhotel Hospitality group  in the Indian Ocean</t>
        </is>
      </c>
      <c r="F487" t="n">
        <v>3416</v>
      </c>
      <c r="G487" t="inlineStr">
        <is>
          <t>2026-10-04</t>
        </is>
      </c>
      <c r="H487" t="inlineStr">
        <is>
          <t>official</t>
        </is>
      </c>
      <c r="I487" t="inlineStr">
        <is>
          <t>output/pages/013_sandies-bathala/events__planhotel.com__sustainability-beach-cleaning-days.md</t>
        </is>
      </c>
    </row>
    <row r="488">
      <c r="A488" t="n">
        <v>13</v>
      </c>
      <c r="B488" t="inlineStr">
        <is>
          <t>Sandies Bathala</t>
        </is>
      </c>
      <c r="C488" t="inlineStr">
        <is>
          <t>https://www.planhotel.com/fr/solutions-professionnelles/meeting-incentive/</t>
        </is>
      </c>
      <c r="D488" t="inlineStr">
        <is>
          <t>events</t>
        </is>
      </c>
      <c r="E488" t="inlineStr">
        <is>
          <t>Solutions Professionnelles - Meeting &amp; Incentive Hotel  -  Planhotel Hospitality group dans l'Océan Indien</t>
        </is>
      </c>
      <c r="F488" t="n">
        <v>10067</v>
      </c>
      <c r="G488" t="inlineStr">
        <is>
          <t>2026-10-04</t>
        </is>
      </c>
      <c r="H488" t="inlineStr">
        <is>
          <t>official</t>
        </is>
      </c>
      <c r="I488" t="inlineStr">
        <is>
          <t>output/pages/013_sandies-bathala/events__planhotel.com__fr-solutions-professionnelles-meeting-incentive.md</t>
        </is>
      </c>
    </row>
    <row r="489">
      <c r="A489" t="n">
        <v>19</v>
      </c>
      <c r="B489" t="inlineStr">
        <is>
          <t>The Residence Maldives</t>
        </is>
      </c>
      <c r="C489" t="inlineStr">
        <is>
          <t>https://www.cenizaro.com/theresidence/maldives-fm/accommodation/water-water-pool-villas</t>
        </is>
      </c>
      <c r="D489" t="inlineStr">
        <is>
          <t>diving</t>
        </is>
      </c>
      <c r="E489" t="inlineStr">
        <is>
          <t>Maldives Villa with Pool | One Bedroom Water Pool Villa</t>
        </is>
      </c>
      <c r="F489" t="n">
        <v>839</v>
      </c>
      <c r="G489" t="inlineStr">
        <is>
          <t>2026-10-04</t>
        </is>
      </c>
      <c r="H489" t="inlineStr">
        <is>
          <t>official</t>
        </is>
      </c>
      <c r="I489" t="inlineStr">
        <is>
          <t>output/pages/019_the-residence-maldives/diving__cenizaro.com__theresidence-maldives-fm-accommodation-water-water-pool-vill.md</t>
        </is>
      </c>
    </row>
    <row r="490">
      <c r="A490" t="n">
        <v>20</v>
      </c>
      <c r="B490" t="inlineStr">
        <is>
          <t>The Residence Maldives At Dhigurah</t>
        </is>
      </c>
      <c r="C490" t="inlineStr">
        <is>
          <t>https://www.cenizaro.com/theresidence/maldives-dg/dining/the-dining-room</t>
        </is>
      </c>
      <c r="D490" t="inlineStr">
        <is>
          <t>dining</t>
        </is>
      </c>
      <c r="E490" t="inlineStr">
        <is>
          <t>Restaurant Maldives l The Residence Dhigurah Dining Room</t>
        </is>
      </c>
      <c r="F490" t="n">
        <v>626</v>
      </c>
      <c r="G490" t="inlineStr">
        <is>
          <t>2026-10-04</t>
        </is>
      </c>
      <c r="H490" t="inlineStr">
        <is>
          <t>official</t>
        </is>
      </c>
      <c r="I490" t="inlineStr">
        <is>
          <t>output/pages/020_the-residence-maldives-at-dhigurah/dining__cenizaro.com__theresidence-maldives-dg-dining-the-dining-room.md</t>
        </is>
      </c>
    </row>
    <row r="491">
      <c r="A491" t="n">
        <v>19</v>
      </c>
      <c r="B491" t="inlineStr">
        <is>
          <t>The Residence Maldives</t>
        </is>
      </c>
      <c r="C491" t="inlineStr">
        <is>
          <t>https://www.cenizaro.com/theresidence/maldives-fm/destination/location</t>
        </is>
      </c>
      <c r="D491" t="inlineStr">
        <is>
          <t>diving</t>
        </is>
      </c>
      <c r="E491" t="inlineStr">
        <is>
          <t>Five Star Maldives Resorts | The Residence Maldives Location</t>
        </is>
      </c>
      <c r="F491" t="n">
        <v>1220</v>
      </c>
      <c r="G491" t="inlineStr">
        <is>
          <t>2026-10-04</t>
        </is>
      </c>
      <c r="H491" t="inlineStr">
        <is>
          <t>official</t>
        </is>
      </c>
      <c r="I491" t="inlineStr">
        <is>
          <t>output/pages/019_the-residence-maldives/diving__cenizaro.com__theresidence-maldives-fm-destination-location.md</t>
        </is>
      </c>
    </row>
    <row r="492">
      <c r="A492" t="n">
        <v>20</v>
      </c>
      <c r="B492" t="inlineStr">
        <is>
          <t>The Residence Maldives At Dhigurah</t>
        </is>
      </c>
      <c r="C492" t="inlineStr">
        <is>
          <t>https://www.cenizaro.com/theresidence/maldives-dg/spa-wellness/wellness-retreat</t>
        </is>
      </c>
      <c r="D492" t="inlineStr">
        <is>
          <t>dining</t>
        </is>
      </c>
      <c r="E492" t="inlineStr">
        <is>
          <t>Wellness Packages Maldives l The Residence Dhigurah</t>
        </is>
      </c>
      <c r="F492" t="n">
        <v>1509</v>
      </c>
      <c r="G492" t="inlineStr">
        <is>
          <t>2026-10-04</t>
        </is>
      </c>
      <c r="H492" t="inlineStr">
        <is>
          <t>official</t>
        </is>
      </c>
      <c r="I492" t="inlineStr">
        <is>
          <t>output/pages/020_the-residence-maldives-at-dhigurah/dining__cenizaro.com__theresidence-maldives-dg-spa-wellness-wellness-retreat.md</t>
        </is>
      </c>
    </row>
    <row r="493">
      <c r="A493" t="n">
        <v>13</v>
      </c>
      <c r="B493" t="inlineStr">
        <is>
          <t>Sandies Bathala</t>
        </is>
      </c>
      <c r="C493" t="inlineStr">
        <is>
          <t>https://www.planhotel.com/de/umweltvertraeglichkeit/the-big-build-maldives-de/</t>
        </is>
      </c>
      <c r="D493" t="inlineStr">
        <is>
          <t>events</t>
        </is>
      </c>
      <c r="E493" t="inlineStr">
        <is>
          <t>Nachhatigkeit - THE BIG BUILD MALDIVES Hotel -  Planhotel Hospitality group der Indischen Ozean</t>
        </is>
      </c>
      <c r="F493" t="n">
        <v>5963</v>
      </c>
      <c r="G493" t="inlineStr">
        <is>
          <t>2026-10-04</t>
        </is>
      </c>
      <c r="H493" t="inlineStr">
        <is>
          <t>official</t>
        </is>
      </c>
      <c r="I493" t="inlineStr">
        <is>
          <t>output/pages/013_sandies-bathala/events__planhotel.com__de-umweltvertraeglichkeit-the-big-build-maldives-de.md</t>
        </is>
      </c>
    </row>
    <row r="494">
      <c r="A494" t="n">
        <v>20</v>
      </c>
      <c r="B494" t="inlineStr">
        <is>
          <t>The Residence Maldives At Dhigurah</t>
        </is>
      </c>
      <c r="C494" t="inlineStr">
        <is>
          <t>https://www.cenizaro.com/theresidence/maldives-dg/experiences/dive-the-deep-blue</t>
        </is>
      </c>
      <c r="D494" t="inlineStr">
        <is>
          <t>diving</t>
        </is>
      </c>
      <c r="E494" t="inlineStr">
        <is>
          <t>Maldives Scuba Diving Resorts | The Residence Dhigurah</t>
        </is>
      </c>
      <c r="F494" t="n">
        <v>456</v>
      </c>
      <c r="G494" t="inlineStr">
        <is>
          <t>2026-10-04</t>
        </is>
      </c>
      <c r="H494" t="inlineStr">
        <is>
          <t>official</t>
        </is>
      </c>
      <c r="I494" t="inlineStr">
        <is>
          <t>output/pages/020_the-residence-maldives-at-dhigurah/diving__cenizaro.com__theresidence-maldives-dg-experiences-dive-the-deep-blue.md</t>
        </is>
      </c>
    </row>
    <row r="495">
      <c r="A495" t="n">
        <v>13</v>
      </c>
      <c r="B495" t="inlineStr">
        <is>
          <t>Sandies Bathala</t>
        </is>
      </c>
      <c r="C495" t="inlineStr">
        <is>
          <t>https://www.planhotel.com/de/unsere-hotels-resorts/hotel-italia-cortona/</t>
        </is>
      </c>
      <c r="D495" t="inlineStr">
        <is>
          <t>events</t>
        </is>
      </c>
      <c r="E495" t="inlineStr">
        <is>
          <t>Unsere Hotels &amp; Resorts - Hotel Italia Cortona Hotel -  Planhotel Hospitality group der Indischen Ozean</t>
        </is>
      </c>
      <c r="F495" t="n">
        <v>1148</v>
      </c>
      <c r="G495" t="inlineStr">
        <is>
          <t>2026-10-04</t>
        </is>
      </c>
      <c r="H495" t="inlineStr">
        <is>
          <t>official</t>
        </is>
      </c>
      <c r="I495" t="inlineStr">
        <is>
          <t>output/pages/013_sandies-bathala/events__planhotel.com__de-unsere-hotels-resorts-hotel-italia-cortona.md</t>
        </is>
      </c>
    </row>
    <row r="496">
      <c r="A496" t="n">
        <v>13</v>
      </c>
      <c r="B496" t="inlineStr">
        <is>
          <t>Sandies Bathala</t>
        </is>
      </c>
      <c r="C496" t="inlineStr">
        <is>
          <t>https://www.planhotel.com/sustainability/mahre-marine-labs/</t>
        </is>
      </c>
      <c r="D496" t="inlineStr">
        <is>
          <t>events</t>
        </is>
      </c>
      <c r="E496" t="inlineStr">
        <is>
          <t>SUSTAINABILITY - MaRHE MARINE LABS  Hotel - Planhotel Hospitality group  in the Indian Ocean</t>
        </is>
      </c>
      <c r="F496" t="n">
        <v>4760</v>
      </c>
      <c r="G496" t="inlineStr">
        <is>
          <t>2026-10-04</t>
        </is>
      </c>
      <c r="H496" t="inlineStr">
        <is>
          <t>official</t>
        </is>
      </c>
      <c r="I496" t="inlineStr">
        <is>
          <t>output/pages/013_sandies-bathala/events__planhotel.com__sustainability-mahre-marine-labs.md</t>
        </is>
      </c>
    </row>
    <row r="497">
      <c r="A497" t="n">
        <v>20</v>
      </c>
      <c r="B497" t="inlineStr">
        <is>
          <t>The Residence Maldives At Dhigurah</t>
        </is>
      </c>
      <c r="C497" t="inlineStr">
        <is>
          <t>https://www.cenizaro.com/theresidence/maldives-dg/sustainability</t>
        </is>
      </c>
      <c r="D497" t="inlineStr">
        <is>
          <t>diving</t>
        </is>
      </c>
      <c r="E497" t="inlineStr">
        <is>
          <t>The Residence Maldives | Sustainability</t>
        </is>
      </c>
      <c r="F497" t="n">
        <v>1872</v>
      </c>
      <c r="G497" t="inlineStr">
        <is>
          <t>2026-10-04</t>
        </is>
      </c>
      <c r="H497" t="inlineStr">
        <is>
          <t>official</t>
        </is>
      </c>
      <c r="I497" t="inlineStr">
        <is>
          <t>output/pages/020_the-residence-maldives-at-dhigurah/diving__cenizaro.com__theresidence-maldives-dg-sustainability.md</t>
        </is>
      </c>
    </row>
    <row r="498">
      <c r="A498" t="n">
        <v>13</v>
      </c>
      <c r="B498" t="inlineStr">
        <is>
          <t>Sandies Bathala</t>
        </is>
      </c>
      <c r="C498" t="inlineStr">
        <is>
          <t>https://www.planhotel.com/it/i-nostri-hotels-resorts/hotel-italia-cortona/</t>
        </is>
      </c>
      <c r="D498" t="inlineStr">
        <is>
          <t>events</t>
        </is>
      </c>
      <c r="E498" t="inlineStr">
        <is>
          <t>I Nostri Hotels &amp; Resorts - Hotel Italia Cortona Hotel  - Planhotel Hospitality group  nell' Oceano Indiano</t>
        </is>
      </c>
      <c r="F498" t="n">
        <v>1605</v>
      </c>
      <c r="G498" t="inlineStr">
        <is>
          <t>2026-10-04</t>
        </is>
      </c>
      <c r="H498" t="inlineStr">
        <is>
          <t>official</t>
        </is>
      </c>
      <c r="I498" t="inlineStr">
        <is>
          <t>output/pages/013_sandies-bathala/events__planhotel.com__it-i-nostri-hotels-resorts-hotel-italia-cortona.md</t>
        </is>
      </c>
    </row>
    <row r="499">
      <c r="A499" t="n">
        <v>13</v>
      </c>
      <c r="B499" t="inlineStr">
        <is>
          <t>Sandies Bathala</t>
        </is>
      </c>
      <c r="C499" t="inlineStr">
        <is>
          <t>https://www.planhotel.com/it/i-nostri-hotels-resorts/diamonds-hotels-and-resorts/diamonds-leisure-beach-golf-resort/</t>
        </is>
      </c>
      <c r="D499" t="inlineStr">
        <is>
          <t>events</t>
        </is>
      </c>
      <c r="E499" t="inlineStr">
        <is>
          <t>Diamonds Hotels and Resorts - DIAMONDS LEISURE BEACH &amp; GOLF RESORT Hotel  - Planhotel Hospitality group  nell' Oceano In</t>
        </is>
      </c>
      <c r="F499" t="n">
        <v>943</v>
      </c>
      <c r="G499" t="inlineStr">
        <is>
          <t>2026-10-04</t>
        </is>
      </c>
      <c r="H499" t="inlineStr">
        <is>
          <t>official</t>
        </is>
      </c>
      <c r="I499" t="inlineStr">
        <is>
          <t>output/pages/013_sandies-bathala/events__planhotel.com__it-i-nostri-hotels-resorts-diamonds-hotels-and-resorts-diamo.md</t>
        </is>
      </c>
    </row>
    <row r="500">
      <c r="A500" t="n">
        <v>13</v>
      </c>
      <c r="B500" t="inlineStr">
        <is>
          <t>Sandies Bathala</t>
        </is>
      </c>
      <c r="C500" t="inlineStr">
        <is>
          <t>https://www.planhotel.com/press-awards/</t>
        </is>
      </c>
      <c r="D500" t="inlineStr">
        <is>
          <t>events</t>
        </is>
      </c>
      <c r="E500" t="inlineStr">
        <is>
          <t>Press Area  Hotel - Planhotel Hospitality group  in the Indian Ocean</t>
        </is>
      </c>
      <c r="F500" t="n">
        <v>3098</v>
      </c>
      <c r="G500" t="inlineStr">
        <is>
          <t>2026-10-04</t>
        </is>
      </c>
      <c r="H500" t="inlineStr">
        <is>
          <t>official</t>
        </is>
      </c>
      <c r="I500" t="inlineStr">
        <is>
          <t>output/pages/013_sandies-bathala/events__planhotel.com__press-awards.md</t>
        </is>
      </c>
    </row>
    <row r="501">
      <c r="A501" t="n">
        <v>13</v>
      </c>
      <c r="B501" t="inlineStr">
        <is>
          <t>Sandies Bathala</t>
        </is>
      </c>
      <c r="C501" t="inlineStr">
        <is>
          <t>https://www.planhotel.com/fr/impressum/</t>
        </is>
      </c>
      <c r="D501" t="inlineStr">
        <is>
          <t>events</t>
        </is>
      </c>
      <c r="E501" t="inlineStr">
        <is>
          <t>Impressum Hotel  -  Planhotel Hospitality group dans l'Océan Indien</t>
        </is>
      </c>
      <c r="F501" t="n">
        <v>727</v>
      </c>
      <c r="G501" t="inlineStr">
        <is>
          <t>2026-10-04</t>
        </is>
      </c>
      <c r="H501" t="inlineStr">
        <is>
          <t>official</t>
        </is>
      </c>
      <c r="I501" t="inlineStr">
        <is>
          <t>output/pages/013_sandies-bathala/events__planhotel.com__fr-impressum.md</t>
        </is>
      </c>
    </row>
    <row r="502">
      <c r="A502" t="n">
        <v>13</v>
      </c>
      <c r="B502" t="inlineStr">
        <is>
          <t>Sandies Bathala</t>
        </is>
      </c>
      <c r="C502" t="inlineStr">
        <is>
          <t>https://www.planhotel.com/dstv/</t>
        </is>
      </c>
      <c r="D502" t="inlineStr">
        <is>
          <t>events</t>
        </is>
      </c>
      <c r="E502" t="inlineStr">
        <is>
          <t>DSTV  Hotel - Planhotel Hospitality group  in the Indian Ocean</t>
        </is>
      </c>
      <c r="F502" t="n">
        <v>5453</v>
      </c>
      <c r="G502" t="inlineStr">
        <is>
          <t>2026-10-04</t>
        </is>
      </c>
      <c r="H502" t="inlineStr">
        <is>
          <t>official</t>
        </is>
      </c>
      <c r="I502" t="inlineStr">
        <is>
          <t>output/pages/013_sandies-bathala/events__planhotel.com__dstv.md</t>
        </is>
      </c>
    </row>
    <row r="503">
      <c r="A503" t="n">
        <v>13</v>
      </c>
      <c r="B503" t="inlineStr">
        <is>
          <t>Sandies Bathala</t>
        </is>
      </c>
      <c r="C503" t="inlineStr">
        <is>
          <t>https://www.planhotel.com/travel-professional/weddings-ceremonies/diamonds-mapenzi-beach/</t>
        </is>
      </c>
      <c r="D503" t="inlineStr">
        <is>
          <t>wedding</t>
        </is>
      </c>
      <c r="E503" t="inlineStr">
        <is>
          <t>Weddings &amp; Ceremonies - Diamonds Mapenzi Beach  Hotel - Planhotel Hospitality group  in the Indian Ocean</t>
        </is>
      </c>
      <c r="F503" t="n">
        <v>1604</v>
      </c>
      <c r="G503" t="inlineStr">
        <is>
          <t>2026-10-04</t>
        </is>
      </c>
      <c r="H503" t="inlineStr">
        <is>
          <t>official</t>
        </is>
      </c>
      <c r="I503" t="inlineStr">
        <is>
          <t>output/pages/013_sandies-bathala/wedding__planhotel.com__travel-professional-weddings-ceremonies-diamonds-mapenzi-bea.md</t>
        </is>
      </c>
    </row>
    <row r="504">
      <c r="A504" t="n">
        <v>13</v>
      </c>
      <c r="B504" t="inlineStr">
        <is>
          <t>Sandies Bathala</t>
        </is>
      </c>
      <c r="C504" t="inlineStr">
        <is>
          <t>https://www.planhotel.com/de/professionelle-loesungen/flitterwochen-und-jubilaen/diamonds-mapenzi-beach/</t>
        </is>
      </c>
      <c r="D504" t="inlineStr">
        <is>
          <t>events</t>
        </is>
      </c>
      <c r="E504" t="inlineStr">
        <is>
          <t>Flitterwochen und Jubilaen - Diamonds Mapenzi Beach Hotel -  Planhotel Hospitality group der Indischen Ozean</t>
        </is>
      </c>
      <c r="F504" t="n">
        <v>1519</v>
      </c>
      <c r="G504" t="inlineStr">
        <is>
          <t>2026-10-04</t>
        </is>
      </c>
      <c r="H504" t="inlineStr">
        <is>
          <t>official</t>
        </is>
      </c>
      <c r="I504" t="inlineStr">
        <is>
          <t>output/pages/013_sandies-bathala/events__planhotel.com__de-professionelle-loesungen-flitterwochen-und-jubilaen-diamo.md</t>
        </is>
      </c>
    </row>
    <row r="505">
      <c r="A505" t="n">
        <v>13</v>
      </c>
      <c r="B505" t="inlineStr">
        <is>
          <t>Sandies Bathala</t>
        </is>
      </c>
      <c r="C505" t="inlineStr">
        <is>
          <t>https://www.planhotel.com/it/travel-professional-it/meeting-incentive/diamonds-dream-africa/</t>
        </is>
      </c>
      <c r="D505" t="inlineStr">
        <is>
          <t>events</t>
        </is>
      </c>
      <c r="E505" t="inlineStr">
        <is>
          <t>Meeting &amp; Incentive - Diamonds Dream of Africa Hotel  - Planhotel Hospitality group  nell' Oceano Indiano</t>
        </is>
      </c>
      <c r="F505" t="n">
        <v>1365</v>
      </c>
      <c r="G505" t="inlineStr">
        <is>
          <t>2026-10-04</t>
        </is>
      </c>
      <c r="H505" t="inlineStr">
        <is>
          <t>official</t>
        </is>
      </c>
      <c r="I505" t="inlineStr">
        <is>
          <t>output/pages/013_sandies-bathala/events__planhotel.com__it-travel-professional-it-meeting-incentive-diamonds-dream-a.md</t>
        </is>
      </c>
    </row>
    <row r="506">
      <c r="A506" t="n">
        <v>13</v>
      </c>
      <c r="B506" t="inlineStr">
        <is>
          <t>Sandies Bathala</t>
        </is>
      </c>
      <c r="C506" t="inlineStr">
        <is>
          <t>https://www.planhotel.com/it/travel-professional-it/meeting-incentive/</t>
        </is>
      </c>
      <c r="D506" t="inlineStr">
        <is>
          <t>events</t>
        </is>
      </c>
      <c r="E506" t="inlineStr">
        <is>
          <t>Soluzioni Professionali - Meeting &amp; Incentive Hotel  - Planhotel Hospitality group  nell' Oceano Indiano</t>
        </is>
      </c>
      <c r="F506" t="n">
        <v>10505</v>
      </c>
      <c r="G506" t="inlineStr">
        <is>
          <t>2026-10-04</t>
        </is>
      </c>
      <c r="H506" t="inlineStr">
        <is>
          <t>official</t>
        </is>
      </c>
      <c r="I506" t="inlineStr">
        <is>
          <t>output/pages/013_sandies-bathala/events__planhotel.com__it-travel-professional-it-meeting-incentive.md</t>
        </is>
      </c>
    </row>
    <row r="507">
      <c r="A507" t="n">
        <v>13</v>
      </c>
      <c r="B507" t="inlineStr">
        <is>
          <t>Sandies Bathala</t>
        </is>
      </c>
      <c r="C507" t="inlineStr">
        <is>
          <t>https://www.planhotel.com/company/</t>
        </is>
      </c>
      <c r="D507" t="inlineStr">
        <is>
          <t>events</t>
        </is>
      </c>
      <c r="E507" t="inlineStr">
        <is>
          <t>Company  Hotel - Planhotel Hospitality group  in the Indian Ocean</t>
        </is>
      </c>
      <c r="F507" t="n">
        <v>4445</v>
      </c>
      <c r="G507" t="inlineStr">
        <is>
          <t>2026-10-04</t>
        </is>
      </c>
      <c r="H507" t="inlineStr">
        <is>
          <t>official</t>
        </is>
      </c>
      <c r="I507" t="inlineStr">
        <is>
          <t>output/pages/013_sandies-bathala/events__planhotel.com__company.md</t>
        </is>
      </c>
    </row>
    <row r="508">
      <c r="A508" t="n">
        <v>13</v>
      </c>
      <c r="B508" t="inlineStr">
        <is>
          <t>Sandies Bathala</t>
        </is>
      </c>
      <c r="C508" t="inlineStr">
        <is>
          <t>https://www.planhotel.com/fr/nos-hotels-resorts/</t>
        </is>
      </c>
      <c r="D508" t="inlineStr">
        <is>
          <t>events</t>
        </is>
      </c>
      <c r="E508" t="inlineStr">
        <is>
          <t>Nos Hôtels &amp; Resorts Hotel  -  Planhotel Hospitality group dans l'Océan Indien</t>
        </is>
      </c>
      <c r="F508" t="n">
        <v>3223</v>
      </c>
      <c r="G508" t="inlineStr">
        <is>
          <t>2026-10-04</t>
        </is>
      </c>
      <c r="H508" t="inlineStr">
        <is>
          <t>official</t>
        </is>
      </c>
      <c r="I508" t="inlineStr">
        <is>
          <t>output/pages/013_sandies-bathala/events__planhotel.com__fr-nos-hotels-resorts.md</t>
        </is>
      </c>
    </row>
    <row r="509">
      <c r="A509" t="n">
        <v>13</v>
      </c>
      <c r="B509" t="inlineStr">
        <is>
          <t>Sandies Bathala</t>
        </is>
      </c>
      <c r="C509" t="inlineStr">
        <is>
          <t>https://www.planhotel.com/de/faq/</t>
        </is>
      </c>
      <c r="D509" t="inlineStr">
        <is>
          <t>events</t>
        </is>
      </c>
      <c r="E509" t="inlineStr">
        <is>
          <t>Faq Hotel  -  Planhotel Hospitality group der Indischen Ozean</t>
        </is>
      </c>
      <c r="F509" t="n">
        <v>7204</v>
      </c>
      <c r="G509" t="inlineStr">
        <is>
          <t>2026-10-04</t>
        </is>
      </c>
      <c r="H509" t="inlineStr">
        <is>
          <t>official</t>
        </is>
      </c>
      <c r="I509" t="inlineStr">
        <is>
          <t>output/pages/013_sandies-bathala/events__planhotel.com__de-faq.md</t>
        </is>
      </c>
    </row>
    <row r="510">
      <c r="A510" t="n">
        <v>13</v>
      </c>
      <c r="B510" t="inlineStr">
        <is>
          <t>Sandies Bathala</t>
        </is>
      </c>
      <c r="C510" t="inlineStr">
        <is>
          <t>https://www.planhotel.com/it/i-nostri-hotels-resorts/the-view-lugano/</t>
        </is>
      </c>
      <c r="D510" t="inlineStr">
        <is>
          <t>events</t>
        </is>
      </c>
      <c r="E510" t="inlineStr">
        <is>
          <t>I Nostri Hotels &amp; Resorts - The View Lugano Hotel  - Planhotel Hospitality group  nell' Oceano Indiano</t>
        </is>
      </c>
      <c r="F510" t="n">
        <v>1904</v>
      </c>
      <c r="G510" t="inlineStr">
        <is>
          <t>2026-10-04</t>
        </is>
      </c>
      <c r="H510" t="inlineStr">
        <is>
          <t>official</t>
        </is>
      </c>
      <c r="I510" t="inlineStr">
        <is>
          <t>output/pages/013_sandies-bathala/events__planhotel.com__it-i-nostri-hotels-resorts-the-view-lugano.md</t>
        </is>
      </c>
    </row>
    <row r="511">
      <c r="A511" t="n">
        <v>13</v>
      </c>
      <c r="B511" t="inlineStr">
        <is>
          <t>Sandies Bathala</t>
        </is>
      </c>
      <c r="C511" t="inlineStr">
        <is>
          <t>https://www.planhotel.com/fr/solutions-professionnelles/meeting-incentive/sandies-tropical-village/</t>
        </is>
      </c>
      <c r="D511" t="inlineStr">
        <is>
          <t>events</t>
        </is>
      </c>
      <c r="E511" t="inlineStr">
        <is>
          <t>Meeting &amp; Incentive - Sandies Tropical Village Hotel  -  Planhotel Hospitality group dans l'Océan Indien</t>
        </is>
      </c>
      <c r="F511" t="n">
        <v>1065</v>
      </c>
      <c r="G511" t="inlineStr">
        <is>
          <t>2026-10-04</t>
        </is>
      </c>
      <c r="H511" t="inlineStr">
        <is>
          <t>official</t>
        </is>
      </c>
      <c r="I511" t="inlineStr">
        <is>
          <t>output/pages/013_sandies-bathala/events__planhotel.com__fr-solutions-professionnelles-meeting-incentive-sandies-trop.md</t>
        </is>
      </c>
    </row>
    <row r="512">
      <c r="A512" t="n">
        <v>13</v>
      </c>
      <c r="B512" t="inlineStr">
        <is>
          <t>Sandies Bathala</t>
        </is>
      </c>
      <c r="C512" t="inlineStr">
        <is>
          <t>https://www.planhotel.com/sustainability/investing-in-our-people/</t>
        </is>
      </c>
      <c r="D512" t="inlineStr">
        <is>
          <t>events</t>
        </is>
      </c>
      <c r="E512" t="inlineStr">
        <is>
          <t>SUSTAINABILITY - INVESTING IN OUR PEOPLE  Hotel - Planhotel Hospitality group  in the Indian Ocean</t>
        </is>
      </c>
      <c r="F512" t="n">
        <v>3624</v>
      </c>
      <c r="G512" t="inlineStr">
        <is>
          <t>2026-10-04</t>
        </is>
      </c>
      <c r="H512" t="inlineStr">
        <is>
          <t>official</t>
        </is>
      </c>
      <c r="I512" t="inlineStr">
        <is>
          <t>output/pages/013_sandies-bathala/events__planhotel.com__sustainability-investing-in-our-people.md</t>
        </is>
      </c>
    </row>
    <row r="513">
      <c r="A513" t="n">
        <v>13</v>
      </c>
      <c r="B513" t="inlineStr">
        <is>
          <t>Sandies Bathala</t>
        </is>
      </c>
      <c r="C513" t="inlineStr">
        <is>
          <t>https://www.planhotel.com/travel-professional/weddings-ceremonies/sandies-tropical-village/</t>
        </is>
      </c>
      <c r="D513" t="inlineStr">
        <is>
          <t>wedding</t>
        </is>
      </c>
      <c r="E513" t="inlineStr">
        <is>
          <t>Weddings &amp; Ceremonies - Sandies Tropical Village  Hotel - Planhotel Hospitality group  in the Indian Ocean</t>
        </is>
      </c>
      <c r="F513" t="n">
        <v>1692</v>
      </c>
      <c r="G513" t="inlineStr">
        <is>
          <t>2026-10-04</t>
        </is>
      </c>
      <c r="H513" t="inlineStr">
        <is>
          <t>official</t>
        </is>
      </c>
      <c r="I513" t="inlineStr">
        <is>
          <t>output/pages/013_sandies-bathala/wedding__planhotel.com__travel-professional-weddings-ceremonies-sandies-tropical-vil.md</t>
        </is>
      </c>
    </row>
    <row r="514">
      <c r="A514" t="n">
        <v>13</v>
      </c>
      <c r="B514" t="inlineStr">
        <is>
          <t>Sandies Bathala</t>
        </is>
      </c>
      <c r="C514" t="inlineStr">
        <is>
          <t>https://www.planhotel.com/privacy/</t>
        </is>
      </c>
      <c r="D514" t="inlineStr">
        <is>
          <t>events</t>
        </is>
      </c>
      <c r="E514" t="inlineStr">
        <is>
          <t>Privacy  Hotel - Planhotel Hospitality group  in the Indian Ocean</t>
        </is>
      </c>
      <c r="F514" t="n">
        <v>14862</v>
      </c>
      <c r="G514" t="inlineStr">
        <is>
          <t>2026-10-04</t>
        </is>
      </c>
      <c r="H514" t="inlineStr">
        <is>
          <t>official</t>
        </is>
      </c>
      <c r="I514" t="inlineStr">
        <is>
          <t>output/pages/013_sandies-bathala/events__planhotel.com__privacy.md</t>
        </is>
      </c>
    </row>
    <row r="515">
      <c r="A515" t="n">
        <v>13</v>
      </c>
      <c r="B515" t="inlineStr">
        <is>
          <t>Sandies Bathala</t>
        </is>
      </c>
      <c r="C515" t="inlineStr">
        <is>
          <t>https://www.planhotel.com/it/press-area/</t>
        </is>
      </c>
      <c r="D515" t="inlineStr">
        <is>
          <t>events</t>
        </is>
      </c>
      <c r="E515" t="inlineStr">
        <is>
          <t>Press Area Hotel   - Planhotel Hospitality group  nell' Oceano Indiano</t>
        </is>
      </c>
      <c r="F515" t="n">
        <v>3071</v>
      </c>
      <c r="G515" t="inlineStr">
        <is>
          <t>2026-10-04</t>
        </is>
      </c>
      <c r="H515" t="inlineStr">
        <is>
          <t>official</t>
        </is>
      </c>
      <c r="I515" t="inlineStr">
        <is>
          <t>output/pages/013_sandies-bathala/events__planhotel.com__it-press-area.md</t>
        </is>
      </c>
    </row>
    <row r="516">
      <c r="A516" t="n">
        <v>13</v>
      </c>
      <c r="B516" t="inlineStr">
        <is>
          <t>Sandies Bathala</t>
        </is>
      </c>
      <c r="C516" t="inlineStr">
        <is>
          <t>https://www.planhotel.com/travel-professional/honeymoons-anniversaries/diamonds-mequfi-beach/</t>
        </is>
      </c>
      <c r="D516" t="inlineStr">
        <is>
          <t>wedding</t>
        </is>
      </c>
      <c r="E516" t="inlineStr">
        <is>
          <t>Honeymoons &amp; Anniversaries - Diamonds Mequfi Beach  Hotel - Planhotel Hospitality group  in the Indian Ocean</t>
        </is>
      </c>
      <c r="F516" t="n">
        <v>2030</v>
      </c>
      <c r="G516" t="inlineStr">
        <is>
          <t>2026-10-04</t>
        </is>
      </c>
      <c r="H516" t="inlineStr">
        <is>
          <t>official</t>
        </is>
      </c>
      <c r="I516" t="inlineStr">
        <is>
          <t>output/pages/013_sandies-bathala/wedding__planhotel.com__travel-professional-honeymoons-anniversaries-diamonds-mequfi.md</t>
        </is>
      </c>
    </row>
    <row r="517">
      <c r="A517" t="n">
        <v>13</v>
      </c>
      <c r="B517" t="inlineStr">
        <is>
          <t>Sandies Bathala</t>
        </is>
      </c>
      <c r="C517" t="inlineStr">
        <is>
          <t>https://www.planhotel.com/fr/nos-hotels-resorts/diamonds-hotels-resorts/diamonds-thudufushi/</t>
        </is>
      </c>
      <c r="D517" t="inlineStr">
        <is>
          <t>events</t>
        </is>
      </c>
      <c r="E517" t="inlineStr">
        <is>
          <t>Diamonds Hotels and Resorts - DIAMONDS THUDUFUSHI Hotel  -  Planhotel Hospitality group dans l'Océan Indien</t>
        </is>
      </c>
      <c r="F517" t="n">
        <v>961</v>
      </c>
      <c r="G517" t="inlineStr">
        <is>
          <t>2026-10-04</t>
        </is>
      </c>
      <c r="H517" t="inlineStr">
        <is>
          <t>official</t>
        </is>
      </c>
      <c r="I517" t="inlineStr">
        <is>
          <t>output/pages/013_sandies-bathala/events__planhotel.com__fr-nos-hotels-resorts-diamonds-hotels-resorts-diamonds-thudu.md</t>
        </is>
      </c>
    </row>
    <row r="518">
      <c r="A518" t="n">
        <v>13</v>
      </c>
      <c r="B518" t="inlineStr">
        <is>
          <t>Sandies Bathala</t>
        </is>
      </c>
      <c r="C518" t="inlineStr">
        <is>
          <t>https://www.planhotel.com/group-hotels/diamonds-hotels-and-resorts/diamonds-athuruga/</t>
        </is>
      </c>
      <c r="D518" t="inlineStr">
        <is>
          <t>events</t>
        </is>
      </c>
      <c r="E518" t="inlineStr">
        <is>
          <t>Diamonds Hotels and Resorts - DIAMONDS ATHURUGA  Hotel - Planhotel Hospitality group  in the Indian Ocean</t>
        </is>
      </c>
      <c r="F518" t="n">
        <v>948</v>
      </c>
      <c r="G518" t="inlineStr">
        <is>
          <t>2026-10-04</t>
        </is>
      </c>
      <c r="H518" t="inlineStr">
        <is>
          <t>official</t>
        </is>
      </c>
      <c r="I518" t="inlineStr">
        <is>
          <t>output/pages/013_sandies-bathala/events__planhotel.com__group-hotels-diamonds-hotels-and-resorts-diamonds-athuruga.md</t>
        </is>
      </c>
    </row>
    <row r="519">
      <c r="A519" t="n">
        <v>13</v>
      </c>
      <c r="B519" t="inlineStr">
        <is>
          <t>Sandies Bathala</t>
        </is>
      </c>
      <c r="C519" t="inlineStr">
        <is>
          <t>https://www.planhotel.com/it/i-nostri-hotels-resorts/diamonds-hotels-and-resorts/diamonds-malindi/</t>
        </is>
      </c>
      <c r="D519" t="inlineStr">
        <is>
          <t>events</t>
        </is>
      </c>
      <c r="E519" t="inlineStr">
        <is>
          <t>Diamonds Hotels and Resorts - DIAMONDS MALINDI Hotel  - Planhotel Hospitality group  nell' Oceano Indiano</t>
        </is>
      </c>
      <c r="F519" t="n">
        <v>923</v>
      </c>
      <c r="G519" t="inlineStr">
        <is>
          <t>2026-10-04</t>
        </is>
      </c>
      <c r="H519" t="inlineStr">
        <is>
          <t>official</t>
        </is>
      </c>
      <c r="I519" t="inlineStr">
        <is>
          <t>output/pages/013_sandies-bathala/events__planhotel.com__it-i-nostri-hotels-resorts-diamonds-hotels-and-resorts-diamo.md</t>
        </is>
      </c>
    </row>
    <row r="520">
      <c r="A520" t="n">
        <v>24</v>
      </c>
      <c r="B520" t="inlineStr">
        <is>
          <t>Canareef Resort Maldives</t>
        </is>
      </c>
      <c r="C520" t="inlineStr">
        <is>
          <t>https://canareef.com/</t>
        </is>
      </c>
      <c r="D520" t="inlineStr">
        <is>
          <t>diving</t>
        </is>
      </c>
      <c r="E520" t="inlineStr">
        <is>
          <t>Best Resorts in Maldives | Canareef Resort Maldives Official Site</t>
        </is>
      </c>
      <c r="F520" t="n">
        <v>3942</v>
      </c>
      <c r="G520" t="inlineStr">
        <is>
          <t>2026-10-04</t>
        </is>
      </c>
      <c r="H520" t="inlineStr">
        <is>
          <t>official</t>
        </is>
      </c>
      <c r="I520" t="inlineStr">
        <is>
          <t>output/pages/024_canareef-resort-maldives/diving__canareef.com__home.md</t>
        </is>
      </c>
    </row>
    <row r="521">
      <c r="A521" t="n">
        <v>24</v>
      </c>
      <c r="B521" t="inlineStr">
        <is>
          <t>Canareef Resort Maldives</t>
        </is>
      </c>
      <c r="C521" t="inlineStr">
        <is>
          <t>https://canareef.com/offer-2025-locals-work-permit-holders/</t>
        </is>
      </c>
      <c r="D521" t="inlineStr">
        <is>
          <t>diving</t>
        </is>
      </c>
      <c r="E521" t="inlineStr">
        <is>
          <t>Canareef Resort Maldives Local Deal</t>
        </is>
      </c>
      <c r="F521" t="n">
        <v>2330</v>
      </c>
      <c r="G521" t="inlineStr">
        <is>
          <t>2026-10-04</t>
        </is>
      </c>
      <c r="H521" t="inlineStr">
        <is>
          <t>official</t>
        </is>
      </c>
      <c r="I521" t="inlineStr">
        <is>
          <t>output/pages/024_canareef-resort-maldives/diving__canareef.com__offer-2025-locals-work-permit-holders.md</t>
        </is>
      </c>
    </row>
    <row r="522">
      <c r="A522" t="n">
        <v>24</v>
      </c>
      <c r="B522" t="inlineStr">
        <is>
          <t>Canareef Resort Maldives</t>
        </is>
      </c>
      <c r="C522" t="inlineStr">
        <is>
          <t>https://canareef.com/maldives-world-bodybuilding-championships-canareef-resort-2024/</t>
        </is>
      </c>
      <c r="D522" t="inlineStr">
        <is>
          <t>diving</t>
        </is>
      </c>
      <c r="E522" t="inlineStr">
        <is>
          <t>Maldives Hosts 15th World Bodybuilding Championships at Canareef Resort</t>
        </is>
      </c>
      <c r="F522" t="n">
        <v>2777</v>
      </c>
      <c r="G522" t="inlineStr">
        <is>
          <t>2026-10-04</t>
        </is>
      </c>
      <c r="H522" t="inlineStr">
        <is>
          <t>official</t>
        </is>
      </c>
      <c r="I522" t="inlineStr">
        <is>
          <t>output/pages/024_canareef-resort-maldives/diving__canareef.com__maldives-world-bodybuilding-championships-canareef-resort-20.md</t>
        </is>
      </c>
    </row>
    <row r="523">
      <c r="A523" t="n">
        <v>24</v>
      </c>
      <c r="B523" t="inlineStr">
        <is>
          <t>Canareef Resort Maldives</t>
        </is>
      </c>
      <c r="C523" t="inlineStr">
        <is>
          <t>https://canareef.com/transfer/</t>
        </is>
      </c>
      <c r="D523" t="inlineStr">
        <is>
          <t>diving</t>
        </is>
      </c>
      <c r="E523" t="inlineStr">
        <is>
          <t>Speedboat Transfer Maldives | Canareef Maldives Transfer</t>
        </is>
      </c>
      <c r="F523" t="n">
        <v>18595</v>
      </c>
      <c r="G523" t="inlineStr">
        <is>
          <t>2026-10-04</t>
        </is>
      </c>
      <c r="H523" t="inlineStr">
        <is>
          <t>official</t>
        </is>
      </c>
      <c r="I523" t="inlineStr">
        <is>
          <t>output/pages/024_canareef-resort-maldives/diving__canareef.com__transfer.md</t>
        </is>
      </c>
    </row>
    <row r="524">
      <c r="A524" t="n">
        <v>24</v>
      </c>
      <c r="B524" t="inlineStr">
        <is>
          <t>Canareef Resort Maldives</t>
        </is>
      </c>
      <c r="C524" t="inlineStr">
        <is>
          <t>https://canareef.com/largest-chinese-group-arrival-jan-2024/</t>
        </is>
      </c>
      <c r="D524" t="inlineStr">
        <is>
          <t>events</t>
        </is>
      </c>
      <c r="E524" t="inlineStr">
        <is>
          <t>Canareef Resort Welcomes Largest-Ever Chinese Group to Addu Atoll</t>
        </is>
      </c>
      <c r="F524" t="n">
        <v>984</v>
      </c>
      <c r="G524" t="inlineStr">
        <is>
          <t>2026-10-04</t>
        </is>
      </c>
      <c r="H524" t="inlineStr">
        <is>
          <t>official</t>
        </is>
      </c>
      <c r="I524" t="inlineStr">
        <is>
          <t>output/pages/024_canareef-resort-maldives/events__canareef.com__largest-chinese-group-arrival-jan-2024.md</t>
        </is>
      </c>
    </row>
    <row r="525">
      <c r="A525" t="n">
        <v>24</v>
      </c>
      <c r="B525" t="inlineStr">
        <is>
          <t>Canareef Resort Maldives</t>
        </is>
      </c>
      <c r="C525" t="inlineStr">
        <is>
          <t>https://canareef.com/terms-conditions/</t>
        </is>
      </c>
      <c r="D525" t="inlineStr">
        <is>
          <t>other</t>
        </is>
      </c>
      <c r="E525" t="inlineStr">
        <is>
          <t>Terms &amp; Conditions - Canareef</t>
        </is>
      </c>
      <c r="F525" t="n">
        <v>4820</v>
      </c>
      <c r="G525" t="inlineStr">
        <is>
          <t>2026-10-04</t>
        </is>
      </c>
      <c r="H525" t="inlineStr">
        <is>
          <t>official</t>
        </is>
      </c>
      <c r="I525" t="inlineStr">
        <is>
          <t>output/pages/024_canareef-resort-maldives/other__canareef.com__terms-conditions.md</t>
        </is>
      </c>
    </row>
    <row r="526">
      <c r="A526" t="n">
        <v>24</v>
      </c>
      <c r="B526" t="inlineStr">
        <is>
          <t>Canareef Resort Maldives</t>
        </is>
      </c>
      <c r="C526" t="inlineStr">
        <is>
          <t>https://canareef.com/canareef-maldives-world-travel-awards-2026/</t>
        </is>
      </c>
      <c r="D526" t="inlineStr">
        <is>
          <t>diving</t>
        </is>
      </c>
      <c r="E526" t="inlineStr">
        <is>
          <t>Canareef Maldives Nominated for World Travel Awards</t>
        </is>
      </c>
      <c r="F526" t="n">
        <v>3181</v>
      </c>
      <c r="G526" t="inlineStr">
        <is>
          <t>2026-10-04</t>
        </is>
      </c>
      <c r="H526" t="inlineStr">
        <is>
          <t>official</t>
        </is>
      </c>
      <c r="I526" t="inlineStr">
        <is>
          <t>output/pages/024_canareef-resort-maldives/diving__canareef.com__canareef-maldives-world-travel-awards-2026.md</t>
        </is>
      </c>
    </row>
    <row r="527">
      <c r="A527" t="n">
        <v>24</v>
      </c>
      <c r="B527" t="inlineStr">
        <is>
          <t>Canareef Resort Maldives</t>
        </is>
      </c>
      <c r="C527" t="inlineStr">
        <is>
          <t>https://canareef.com/canareef-resort-maldives-appoints-brenda-prosper-as-new-human-resources-manager/</t>
        </is>
      </c>
      <c r="D527" t="inlineStr">
        <is>
          <t>diving</t>
        </is>
      </c>
      <c r="E527" t="inlineStr">
        <is>
          <t>Canareef Resort Maldives Appoints Brenda Prosper as New Human Resources Manager - Canareef</t>
        </is>
      </c>
      <c r="F527" t="n">
        <v>2271</v>
      </c>
      <c r="G527" t="inlineStr">
        <is>
          <t>2026-10-04</t>
        </is>
      </c>
      <c r="H527" t="inlineStr">
        <is>
          <t>official</t>
        </is>
      </c>
      <c r="I527" t="inlineStr">
        <is>
          <t>output/pages/024_canareef-resort-maldives/diving__canareef.com__canareef-resort-maldives-appoints-brenda-prosper-as-new-huma.md</t>
        </is>
      </c>
    </row>
    <row r="528">
      <c r="A528" t="n">
        <v>24</v>
      </c>
      <c r="B528" t="inlineStr">
        <is>
          <t>Canareef Resort Maldives</t>
        </is>
      </c>
      <c r="C528" t="inlineStr">
        <is>
          <t>https://canareef.com/canareef-resort-maldives-receives-recommended-on-holidaycheck-award-for-2024/</t>
        </is>
      </c>
      <c r="D528" t="inlineStr">
        <is>
          <t>diving</t>
        </is>
      </c>
      <c r="E528" t="inlineStr">
        <is>
          <t>Canareef Resort Maldives Receives "Recommended on HolidayCheck" Award for 2024 - Canareef</t>
        </is>
      </c>
      <c r="F528" t="n">
        <v>2508</v>
      </c>
      <c r="G528" t="inlineStr">
        <is>
          <t>2026-10-04</t>
        </is>
      </c>
      <c r="H528" t="inlineStr">
        <is>
          <t>official</t>
        </is>
      </c>
      <c r="I528" t="inlineStr">
        <is>
          <t>output/pages/024_canareef-resort-maldives/diving__canareef.com__canareef-resort-maldives-receives-recommended-on-holidaychec.md</t>
        </is>
      </c>
    </row>
    <row r="529">
      <c r="A529" t="n">
        <v>24</v>
      </c>
      <c r="B529" t="inlineStr">
        <is>
          <t>Canareef Resort Maldives</t>
        </is>
      </c>
      <c r="C529" t="inlineStr">
        <is>
          <t>https://canareef.com/keymaa-restaurant/</t>
        </is>
      </c>
      <c r="D529" t="inlineStr">
        <is>
          <t>dining</t>
        </is>
      </c>
      <c r="E529" t="inlineStr">
        <is>
          <t>Best Buffet Maldives | Canareef Maldives | Keymaa Restaurant</t>
        </is>
      </c>
      <c r="F529" t="n">
        <v>761</v>
      </c>
      <c r="G529" t="inlineStr">
        <is>
          <t>2026-10-04</t>
        </is>
      </c>
      <c r="H529" t="inlineStr">
        <is>
          <t>official</t>
        </is>
      </c>
      <c r="I529" t="inlineStr">
        <is>
          <t>output/pages/024_canareef-resort-maldives/dining__canareef.com__keymaa-restaurant.md</t>
        </is>
      </c>
    </row>
    <row r="530">
      <c r="A530" t="n">
        <v>24</v>
      </c>
      <c r="B530" t="inlineStr">
        <is>
          <t>Canareef Resort Maldives</t>
        </is>
      </c>
      <c r="C530" t="inlineStr">
        <is>
          <t>https://canareef.com/canareef-maldives-redefining-family-holidays/</t>
        </is>
      </c>
      <c r="D530" t="inlineStr">
        <is>
          <t>diving</t>
        </is>
      </c>
      <c r="E530" t="inlineStr">
        <is>
          <t>Canareef Maldives: Family Island Holidays</t>
        </is>
      </c>
      <c r="F530" t="n">
        <v>4722</v>
      </c>
      <c r="G530" t="inlineStr">
        <is>
          <t>2026-10-04</t>
        </is>
      </c>
      <c r="H530" t="inlineStr">
        <is>
          <t>official</t>
        </is>
      </c>
      <c r="I530" t="inlineStr">
        <is>
          <t>output/pages/024_canareef-resort-maldives/diving__canareef.com__canareef-maldives-redefining-family-holidays.md</t>
        </is>
      </c>
    </row>
    <row r="531">
      <c r="A531" t="n">
        <v>24</v>
      </c>
      <c r="B531" t="inlineStr">
        <is>
          <t>Canareef Resort Maldives</t>
        </is>
      </c>
      <c r="C531" t="inlineStr">
        <is>
          <t>https://canareef.com/all-inclusive-package/</t>
        </is>
      </c>
      <c r="D531" t="inlineStr">
        <is>
          <t>diving</t>
        </is>
      </c>
      <c r="E531" t="inlineStr">
        <is>
          <t>Best Maldives All Inclusive Packages | Canareef Resort Maldives</t>
        </is>
      </c>
      <c r="F531" t="n">
        <v>3116</v>
      </c>
      <c r="G531" t="inlineStr">
        <is>
          <t>2026-10-04</t>
        </is>
      </c>
      <c r="H531" t="inlineStr">
        <is>
          <t>official</t>
        </is>
      </c>
      <c r="I531" t="inlineStr">
        <is>
          <t>output/pages/024_canareef-resort-maldives/diving__canareef.com__all-inclusive-package.md</t>
        </is>
      </c>
    </row>
    <row r="532">
      <c r="A532" t="n">
        <v>24</v>
      </c>
      <c r="B532" t="inlineStr">
        <is>
          <t>Canareef Resort Maldives</t>
        </is>
      </c>
      <c r="C532" t="inlineStr">
        <is>
          <t>https://canareef.com/occasions/</t>
        </is>
      </c>
      <c r="D532" t="inlineStr">
        <is>
          <t>diving</t>
        </is>
      </c>
      <c r="E532" t="inlineStr">
        <is>
          <t>Romantic Maldives Resorts | Canareef Resort | Occasions</t>
        </is>
      </c>
      <c r="F532" t="n">
        <v>3705</v>
      </c>
      <c r="G532" t="inlineStr">
        <is>
          <t>2026-10-04</t>
        </is>
      </c>
      <c r="H532" t="inlineStr">
        <is>
          <t>official</t>
        </is>
      </c>
      <c r="I532" t="inlineStr">
        <is>
          <t>output/pages/024_canareef-resort-maldives/diving__canareef.com__occasions.md</t>
        </is>
      </c>
    </row>
    <row r="533">
      <c r="A533" t="n">
        <v>24</v>
      </c>
      <c r="B533" t="inlineStr">
        <is>
          <t>Canareef Resort Maldives</t>
        </is>
      </c>
      <c r="C533" t="inlineStr">
        <is>
          <t>https://canareef.com/canareef-resort-maldives-receives-prestigious-schauinsland-reisen-awards-2023/</t>
        </is>
      </c>
      <c r="D533" t="inlineStr">
        <is>
          <t>diving</t>
        </is>
      </c>
      <c r="E533" t="inlineStr">
        <is>
          <t>Canareef Resort Maldives Receives Prestigious Schauinsland Reisen Awards 2023 - Canareef</t>
        </is>
      </c>
      <c r="F533" t="n">
        <v>2068</v>
      </c>
      <c r="G533" t="inlineStr">
        <is>
          <t>2026-10-04</t>
        </is>
      </c>
      <c r="H533" t="inlineStr">
        <is>
          <t>official</t>
        </is>
      </c>
      <c r="I533" t="inlineStr">
        <is>
          <t>output/pages/024_canareef-resort-maldives/diving__canareef.com__canareef-resort-maldives-receives-prestigious-schauinsland-r.md</t>
        </is>
      </c>
    </row>
    <row r="534">
      <c r="A534" t="n">
        <v>24</v>
      </c>
      <c r="B534" t="inlineStr">
        <is>
          <t>Canareef Resort Maldives</t>
        </is>
      </c>
      <c r="C534" t="inlineStr">
        <is>
          <t>https://canareef.com/family-package/</t>
        </is>
      </c>
      <c r="D534" t="inlineStr">
        <is>
          <t>kids</t>
        </is>
      </c>
      <c r="E534" t="inlineStr">
        <is>
          <t>Family Package - Canareef</t>
        </is>
      </c>
      <c r="F534" t="n">
        <v>241</v>
      </c>
      <c r="G534" t="inlineStr">
        <is>
          <t>2026-10-04</t>
        </is>
      </c>
      <c r="H534" t="inlineStr">
        <is>
          <t>official</t>
        </is>
      </c>
      <c r="I534" t="inlineStr">
        <is>
          <t>output/pages/024_canareef-resort-maldives/kids__canareef.com__family-package.md</t>
        </is>
      </c>
    </row>
    <row r="535">
      <c r="A535" t="n">
        <v>24</v>
      </c>
      <c r="B535" t="inlineStr">
        <is>
          <t>Canareef Resort Maldives</t>
        </is>
      </c>
      <c r="C535" t="inlineStr">
        <is>
          <t>https://canareef.com/repeater-offer-15-off/</t>
        </is>
      </c>
      <c r="D535" t="inlineStr">
        <is>
          <t>dining</t>
        </is>
      </c>
      <c r="E535" t="inlineStr">
        <is>
          <t>Repeater Offer 15% off - Canareef</t>
        </is>
      </c>
      <c r="F535" t="n">
        <v>468</v>
      </c>
      <c r="G535" t="inlineStr">
        <is>
          <t>2026-10-04</t>
        </is>
      </c>
      <c r="H535" t="inlineStr">
        <is>
          <t>official</t>
        </is>
      </c>
      <c r="I535" t="inlineStr">
        <is>
          <t>output/pages/024_canareef-resort-maldives/dining__canareef.com__repeater-offer-15-off.md</t>
        </is>
      </c>
    </row>
    <row r="536">
      <c r="A536" t="n">
        <v>24</v>
      </c>
      <c r="B536" t="inlineStr">
        <is>
          <t>Canareef Resort Maldives</t>
        </is>
      </c>
      <c r="C536" t="inlineStr">
        <is>
          <t>https://canareef.com/leandra-worrell-carrington-joins-canareef-resort-maldives/</t>
        </is>
      </c>
      <c r="D536" t="inlineStr">
        <is>
          <t>diving</t>
        </is>
      </c>
      <c r="E536" t="inlineStr">
        <is>
          <t>Leandra Worrell Joins Canareef as Assistant Training Manager</t>
        </is>
      </c>
      <c r="F536" t="n">
        <v>2346</v>
      </c>
      <c r="G536" t="inlineStr">
        <is>
          <t>2026-10-04</t>
        </is>
      </c>
      <c r="H536" t="inlineStr">
        <is>
          <t>official</t>
        </is>
      </c>
      <c r="I536" t="inlineStr">
        <is>
          <t>output/pages/024_canareef-resort-maldives/diving__canareef.com__leandra-worrell-carrington-joins-canareef-resort-maldives.md</t>
        </is>
      </c>
    </row>
    <row r="537">
      <c r="A537" t="n">
        <v>24</v>
      </c>
      <c r="B537" t="inlineStr">
        <is>
          <t>Canareef Resort Maldives</t>
        </is>
      </c>
      <c r="C537" t="inlineStr">
        <is>
          <t>https://canareef.com/https-www-canareef-com-valentines-day-offers/</t>
        </is>
      </c>
      <c r="D537" t="inlineStr">
        <is>
          <t>diving</t>
        </is>
      </c>
      <c r="E537" t="inlineStr">
        <is>
          <t>Canareef Resort Maldives: Exclusive Valentine's Day Offers</t>
        </is>
      </c>
      <c r="F537" t="n">
        <v>1008</v>
      </c>
      <c r="G537" t="inlineStr">
        <is>
          <t>2026-10-04</t>
        </is>
      </c>
      <c r="H537" t="inlineStr">
        <is>
          <t>official</t>
        </is>
      </c>
      <c r="I537" t="inlineStr">
        <is>
          <t>output/pages/024_canareef-resort-maldives/diving__canareef.com__https-www-canareef-com-valentines-day-offers.md</t>
        </is>
      </c>
    </row>
    <row r="538">
      <c r="A538" t="n">
        <v>24</v>
      </c>
      <c r="B538" t="inlineStr">
        <is>
          <t>Canareef Resort Maldives</t>
        </is>
      </c>
      <c r="C538" t="inlineStr">
        <is>
          <t>https://canareef.com/gan-island-srilankan-airlines-educational-tour/</t>
        </is>
      </c>
      <c r="D538" t="inlineStr">
        <is>
          <t>diving</t>
        </is>
      </c>
      <c r="E538" t="inlineStr">
        <is>
          <t>SriLankan airline's Educational Tour at Canareef Maldives</t>
        </is>
      </c>
      <c r="F538" t="n">
        <v>2073</v>
      </c>
      <c r="G538" t="inlineStr">
        <is>
          <t>2026-10-04</t>
        </is>
      </c>
      <c r="H538" t="inlineStr">
        <is>
          <t>official</t>
        </is>
      </c>
      <c r="I538" t="inlineStr">
        <is>
          <t>output/pages/024_canareef-resort-maldives/diving__canareef.com__gan-island-srilankan-airlines-educational-tour.md</t>
        </is>
      </c>
    </row>
    <row r="539">
      <c r="A539" t="n">
        <v>24</v>
      </c>
      <c r="B539" t="inlineStr">
        <is>
          <t>Canareef Resort Maldives</t>
        </is>
      </c>
      <c r="C539" t="inlineStr">
        <is>
          <t>https://canareef.com/maldives-oktoberfest/</t>
        </is>
      </c>
      <c r="D539" t="inlineStr">
        <is>
          <t>diving</t>
        </is>
      </c>
      <c r="E539" t="inlineStr">
        <is>
          <t>Canareef Resort Maldives Gets Ready to Oktoberfest - Canareef</t>
        </is>
      </c>
      <c r="F539" t="n">
        <v>1265</v>
      </c>
      <c r="G539" t="inlineStr">
        <is>
          <t>2026-10-04</t>
        </is>
      </c>
      <c r="H539" t="inlineStr">
        <is>
          <t>official</t>
        </is>
      </c>
      <c r="I539" t="inlineStr">
        <is>
          <t>output/pages/024_canareef-resort-maldives/diving__canareef.com__maldives-oktoberfest.md</t>
        </is>
      </c>
    </row>
    <row r="540">
      <c r="A540" t="n">
        <v>24</v>
      </c>
      <c r="B540" t="inlineStr">
        <is>
          <t>Canareef Resort Maldives</t>
        </is>
      </c>
      <c r="C540" t="inlineStr">
        <is>
          <t>https://canareef.com/30-off-your-dream-getaway/</t>
        </is>
      </c>
      <c r="D540" t="inlineStr">
        <is>
          <t>other</t>
        </is>
      </c>
      <c r="E540" t="inlineStr">
        <is>
          <t>30% Off Your Dream Getaway! - Canareef</t>
        </is>
      </c>
      <c r="F540" t="n">
        <v>763</v>
      </c>
      <c r="G540" t="inlineStr">
        <is>
          <t>2026-10-04</t>
        </is>
      </c>
      <c r="H540" t="inlineStr">
        <is>
          <t>official</t>
        </is>
      </c>
      <c r="I540" t="inlineStr">
        <is>
          <t>output/pages/024_canareef-resort-maldives/other__canareef.com__30-off-your-dream-getaway.md</t>
        </is>
      </c>
    </row>
    <row r="541">
      <c r="A541" t="n">
        <v>24</v>
      </c>
      <c r="B541" t="inlineStr">
        <is>
          <t>Canareef Resort Maldives</t>
        </is>
      </c>
      <c r="C541" t="inlineStr">
        <is>
          <t>https://canareef.com/canareef-dolphin-dreams-maldives/</t>
        </is>
      </c>
      <c r="D541" t="inlineStr">
        <is>
          <t>diving</t>
        </is>
      </c>
      <c r="E541" t="inlineStr">
        <is>
          <t>Dolphin Dreams at Canareef Resort Maldives</t>
        </is>
      </c>
      <c r="F541" t="n">
        <v>1545</v>
      </c>
      <c r="G541" t="inlineStr">
        <is>
          <t>2026-10-04</t>
        </is>
      </c>
      <c r="H541" t="inlineStr">
        <is>
          <t>official</t>
        </is>
      </c>
      <c r="I541" t="inlineStr">
        <is>
          <t>output/pages/024_canareef-resort-maldives/diving__canareef.com__canareef-dolphin-dreams-maldives.md</t>
        </is>
      </c>
    </row>
    <row r="542">
      <c r="A542" t="n">
        <v>24</v>
      </c>
      <c r="B542" t="inlineStr">
        <is>
          <t>Canareef Resort Maldives</t>
        </is>
      </c>
      <c r="C542" t="inlineStr">
        <is>
          <t>https://canareef.com/festive-season/</t>
        </is>
      </c>
      <c r="D542" t="inlineStr">
        <is>
          <t>diving</t>
        </is>
      </c>
      <c r="E542" t="inlineStr">
        <is>
          <t>Festive Season at Maldives</t>
        </is>
      </c>
      <c r="F542" t="n">
        <v>4119</v>
      </c>
      <c r="G542" t="inlineStr">
        <is>
          <t>2026-10-04</t>
        </is>
      </c>
      <c r="H542" t="inlineStr">
        <is>
          <t>official</t>
        </is>
      </c>
      <c r="I542" t="inlineStr">
        <is>
          <t>output/pages/024_canareef-resort-maldives/diving__canareef.com__festive-season.md</t>
        </is>
      </c>
    </row>
    <row r="543">
      <c r="A543" t="n">
        <v>24</v>
      </c>
      <c r="B543" t="inlineStr">
        <is>
          <t>Canareef Resort Maldives</t>
        </is>
      </c>
      <c r="C543" t="inlineStr">
        <is>
          <t>https://canareef.com/dining/meera-bar/</t>
        </is>
      </c>
      <c r="D543" t="inlineStr">
        <is>
          <t>dining</t>
        </is>
      </c>
      <c r="E543" t="inlineStr">
        <is>
          <t>Beach Bar Maldives | Canareef Resort Maldives | Meera Bar</t>
        </is>
      </c>
      <c r="F543" t="n">
        <v>1233</v>
      </c>
      <c r="G543" t="inlineStr">
        <is>
          <t>2026-10-04</t>
        </is>
      </c>
      <c r="H543" t="inlineStr">
        <is>
          <t>official</t>
        </is>
      </c>
      <c r="I543" t="inlineStr">
        <is>
          <t>output/pages/024_canareef-resort-maldives/dining__canareef.com__dining-meera-bar.md</t>
        </is>
      </c>
    </row>
    <row r="544">
      <c r="A544" t="n">
        <v>24</v>
      </c>
      <c r="B544" t="inlineStr">
        <is>
          <t>Canareef Resort Maldives</t>
        </is>
      </c>
      <c r="C544" t="inlineStr">
        <is>
          <t>https://canareef.com/embrace-the-festive-season-at-canareef-resort-maldives/</t>
        </is>
      </c>
      <c r="D544" t="inlineStr">
        <is>
          <t>diving</t>
        </is>
      </c>
      <c r="E544" t="inlineStr">
        <is>
          <t>Embrace the Festive Season at Canareef Resort Maldives - Canareef</t>
        </is>
      </c>
      <c r="F544" t="n">
        <v>3325</v>
      </c>
      <c r="G544" t="inlineStr">
        <is>
          <t>2026-10-04</t>
        </is>
      </c>
      <c r="H544" t="inlineStr">
        <is>
          <t>official</t>
        </is>
      </c>
      <c r="I544" t="inlineStr">
        <is>
          <t>output/pages/024_canareef-resort-maldives/diving__canareef.com__embrace-the-festive-season-at-canareef-resort-maldives.md</t>
        </is>
      </c>
    </row>
    <row r="545">
      <c r="A545" t="n">
        <v>24</v>
      </c>
      <c r="B545" t="inlineStr">
        <is>
          <t>Canareef Resort Maldives</t>
        </is>
      </c>
      <c r="C545" t="inlineStr">
        <is>
          <t>https://canareef.com/guide-choosing-best-romantic-getaway-maldives/</t>
        </is>
      </c>
      <c r="D545" t="inlineStr">
        <is>
          <t>wedding</t>
        </is>
      </c>
      <c r="E545" t="inlineStr">
        <is>
          <t>A Guide to Choosing the Best Getaway Resort in the Maldives for Honeymoon and Romance | Canareef</t>
        </is>
      </c>
      <c r="F545" t="n">
        <v>15564</v>
      </c>
      <c r="G545" t="inlineStr">
        <is>
          <t>2026-10-04</t>
        </is>
      </c>
      <c r="H545" t="inlineStr">
        <is>
          <t>official</t>
        </is>
      </c>
      <c r="I545" t="inlineStr">
        <is>
          <t>output/pages/024_canareef-resort-maldives/wedding__canareef.com__guide-choosing-best-romantic-getaway-maldives.md</t>
        </is>
      </c>
    </row>
    <row r="546">
      <c r="A546" t="n">
        <v>26</v>
      </c>
      <c r="B546" t="inlineStr">
        <is>
          <t>Centara Ras Fushi Resort &amp; Spa</t>
        </is>
      </c>
      <c r="C546" t="inlineStr">
        <is>
          <t>https://www.centarahotelsresorts.com/centara/crf</t>
        </is>
      </c>
      <c r="D546" t="inlineStr">
        <is>
          <t>spa</t>
        </is>
      </c>
      <c r="E546" t="inlineStr">
        <is>
          <t>Discover Centara Ras Fushi Resort &amp; Spa Maldives</t>
        </is>
      </c>
      <c r="F546" t="n">
        <v>15752</v>
      </c>
      <c r="G546" t="inlineStr">
        <is>
          <t>2026-10-04</t>
        </is>
      </c>
      <c r="H546" t="inlineStr">
        <is>
          <t>official</t>
        </is>
      </c>
      <c r="I546" t="inlineStr">
        <is>
          <t>output/pages/026_centara-ras-fushi-resort-spa/spa__centarahotelsresorts.com__centara-crf.md</t>
        </is>
      </c>
    </row>
    <row r="547">
      <c r="A547" t="n">
        <v>24</v>
      </c>
      <c r="B547" t="inlineStr">
        <is>
          <t>Canareef Resort Maldives</t>
        </is>
      </c>
      <c r="C547" t="inlineStr">
        <is>
          <t>https://canareef.com/early-bird-offer/</t>
        </is>
      </c>
      <c r="D547" t="inlineStr">
        <is>
          <t>offers</t>
        </is>
      </c>
      <c r="E547" t="inlineStr">
        <is>
          <t>Early Bird Offer - Canareef</t>
        </is>
      </c>
      <c r="F547" t="n">
        <v>257</v>
      </c>
      <c r="G547" t="inlineStr">
        <is>
          <t>2026-10-04</t>
        </is>
      </c>
      <c r="H547" t="inlineStr">
        <is>
          <t>official</t>
        </is>
      </c>
      <c r="I547" t="inlineStr">
        <is>
          <t>output/pages/024_canareef-resort-maldives/offers__canareef.com__early-bird-offer.md</t>
        </is>
      </c>
    </row>
    <row r="548">
      <c r="A548" t="n">
        <v>26</v>
      </c>
      <c r="B548" t="inlineStr">
        <is>
          <t>Centara Ras Fushi Resort &amp; Spa</t>
        </is>
      </c>
      <c r="C548" t="inlineStr">
        <is>
          <t>https://www.centarahotelsresorts.com/centara/crf/centara-rasfushi-offer</t>
        </is>
      </c>
      <c r="D548" t="inlineStr">
        <is>
          <t>offers</t>
        </is>
      </c>
      <c r="E548" t="inlineStr">
        <is>
          <t>Ultimate Adults-Only Escape | Centara</t>
        </is>
      </c>
      <c r="F548" t="n">
        <v>2997</v>
      </c>
      <c r="G548" t="inlineStr">
        <is>
          <t>2026-10-04</t>
        </is>
      </c>
      <c r="H548" t="inlineStr">
        <is>
          <t>official</t>
        </is>
      </c>
      <c r="I548" t="inlineStr">
        <is>
          <t>output/pages/026_centara-ras-fushi-resort-spa/offers__centarahotelsresorts.com__centara-crf-centara-rasfushi-offer.md</t>
        </is>
      </c>
    </row>
    <row r="549">
      <c r="A549" t="n">
        <v>24</v>
      </c>
      <c r="B549" t="inlineStr">
        <is>
          <t>Canareef Resort Maldives</t>
        </is>
      </c>
      <c r="C549" t="inlineStr">
        <is>
          <t>https://canareef.com/careers/</t>
        </is>
      </c>
      <c r="D549" t="inlineStr">
        <is>
          <t>other</t>
        </is>
      </c>
      <c r="E549" t="inlineStr">
        <is>
          <t>Careers | Canareef</t>
        </is>
      </c>
      <c r="F549" t="n">
        <v>3860</v>
      </c>
      <c r="G549" t="inlineStr">
        <is>
          <t>2026-10-04</t>
        </is>
      </c>
      <c r="H549" t="inlineStr">
        <is>
          <t>official</t>
        </is>
      </c>
      <c r="I549" t="inlineStr">
        <is>
          <t>output/pages/024_canareef-resort-maldives/other__canareef.com__careers.md</t>
        </is>
      </c>
    </row>
    <row r="550">
      <c r="A550" t="n">
        <v>24</v>
      </c>
      <c r="B550" t="inlineStr">
        <is>
          <t>Canareef Resort Maldives</t>
        </is>
      </c>
      <c r="C550" t="inlineStr">
        <is>
          <t>https://canareef.com/dining/beach-bar/</t>
        </is>
      </c>
      <c r="D550" t="inlineStr">
        <is>
          <t>dining</t>
        </is>
      </c>
      <c r="E550" t="inlineStr">
        <is>
          <t>Maldives Beach Bar | Canareef Resort Maldives | Beach Bar</t>
        </is>
      </c>
      <c r="F550" t="n">
        <v>1160</v>
      </c>
      <c r="G550" t="inlineStr">
        <is>
          <t>2026-10-04</t>
        </is>
      </c>
      <c r="H550" t="inlineStr">
        <is>
          <t>official</t>
        </is>
      </c>
      <c r="I550" t="inlineStr">
        <is>
          <t>output/pages/024_canareef-resort-maldives/dining__canareef.com__dining-beach-bar.md</t>
        </is>
      </c>
    </row>
    <row r="551">
      <c r="A551" t="n">
        <v>24</v>
      </c>
      <c r="B551" t="inlineStr">
        <is>
          <t>Canareef Resort Maldives</t>
        </is>
      </c>
      <c r="C551" t="inlineStr">
        <is>
          <t>https://canareef.com/blog/</t>
        </is>
      </c>
      <c r="D551" t="inlineStr">
        <is>
          <t>diving</t>
        </is>
      </c>
      <c r="E551" t="inlineStr">
        <is>
          <t>Things to Do in Maldives | Canareef Resort Maldives | Blog</t>
        </is>
      </c>
      <c r="F551" t="n">
        <v>3610</v>
      </c>
      <c r="G551" t="inlineStr">
        <is>
          <t>2026-10-04</t>
        </is>
      </c>
      <c r="H551" t="inlineStr">
        <is>
          <t>official</t>
        </is>
      </c>
      <c r="I551" t="inlineStr">
        <is>
          <t>output/pages/024_canareef-resort-maldives/diving__canareef.com__blog.md</t>
        </is>
      </c>
    </row>
    <row r="552">
      <c r="A552" t="n">
        <v>24</v>
      </c>
      <c r="B552" t="inlineStr">
        <is>
          <t>Canareef Resort Maldives</t>
        </is>
      </c>
      <c r="C552" t="inlineStr">
        <is>
          <t>https://canareef.com/canareef-resort-maldives-wins-tripadvisor-travellers-choice-award-2024/</t>
        </is>
      </c>
      <c r="D552" t="inlineStr">
        <is>
          <t>diving</t>
        </is>
      </c>
      <c r="E552" t="inlineStr">
        <is>
          <t>Canareef Resort Maldives Wins TripAdvisor Travellers’ Choice Award 2024 - Canareef</t>
        </is>
      </c>
      <c r="F552" t="n">
        <v>2177</v>
      </c>
      <c r="G552" t="inlineStr">
        <is>
          <t>2026-10-04</t>
        </is>
      </c>
      <c r="H552" t="inlineStr">
        <is>
          <t>official</t>
        </is>
      </c>
      <c r="I552" t="inlineStr">
        <is>
          <t>output/pages/024_canareef-resort-maldives/diving__canareef.com__canareef-resort-maldives-wins-tripadvisor-travellers-choice-.md</t>
        </is>
      </c>
    </row>
    <row r="553">
      <c r="A553" t="n">
        <v>24</v>
      </c>
      <c r="B553" t="inlineStr">
        <is>
          <t>Canareef Resort Maldives</t>
        </is>
      </c>
      <c r="C553" t="inlineStr">
        <is>
          <t>https://canareef.com/https-canareef-com-tripadvisor-travellers-choice-award-2025/</t>
        </is>
      </c>
      <c r="D553" t="inlineStr">
        <is>
          <t>diving</t>
        </is>
      </c>
      <c r="E553" t="inlineStr">
        <is>
          <t>Canareef Resort Maldives Wins Tripadvisor Travellers’ Choice Award 2025</t>
        </is>
      </c>
      <c r="F553" t="n">
        <v>1561</v>
      </c>
      <c r="G553" t="inlineStr">
        <is>
          <t>2026-10-04</t>
        </is>
      </c>
      <c r="H553" t="inlineStr">
        <is>
          <t>official</t>
        </is>
      </c>
      <c r="I553" t="inlineStr">
        <is>
          <t>output/pages/024_canareef-resort-maldives/diving__canareef.com__https-canareef-com-tripadvisor-travellers-choice-award-2025.md</t>
        </is>
      </c>
    </row>
    <row r="554">
      <c r="A554" t="n">
        <v>24</v>
      </c>
      <c r="B554" t="inlineStr">
        <is>
          <t>Canareef Resort Maldives</t>
        </is>
      </c>
      <c r="C554" t="inlineStr">
        <is>
          <t>https://canareef.com/canareef-resort-maldives-embraces-sustainable-energy-with-significant-solar-panel-installation/</t>
        </is>
      </c>
      <c r="D554" t="inlineStr">
        <is>
          <t>diving</t>
        </is>
      </c>
      <c r="E554" t="inlineStr">
        <is>
          <t>Canareef Resort Maldives Embraces Sustainable Energy with Significant Solar Panel Installation - Canareef</t>
        </is>
      </c>
      <c r="F554" t="n">
        <v>2080</v>
      </c>
      <c r="G554" t="inlineStr">
        <is>
          <t>2026-10-04</t>
        </is>
      </c>
      <c r="H554" t="inlineStr">
        <is>
          <t>official</t>
        </is>
      </c>
      <c r="I554" t="inlineStr">
        <is>
          <t>output/pages/024_canareef-resort-maldives/diving__canareef.com__canareef-resort-maldives-embraces-sustainable-energy-with-si.md</t>
        </is>
      </c>
    </row>
    <row r="555">
      <c r="A555" t="n">
        <v>24</v>
      </c>
      <c r="B555" t="inlineStr">
        <is>
          <t>Canareef Resort Maldives</t>
        </is>
      </c>
      <c r="C555" t="inlineStr">
        <is>
          <t>https://canareef.com/canareef-resort-srilankan-airlines-fam-tour/</t>
        </is>
      </c>
      <c r="D555" t="inlineStr">
        <is>
          <t>overview</t>
        </is>
      </c>
      <c r="E555" t="inlineStr">
        <is>
          <t>Canareef Resort Welcomes SriLankan Airlines Partner Agents</t>
        </is>
      </c>
      <c r="F555" t="n">
        <v>2813</v>
      </c>
      <c r="G555" t="inlineStr">
        <is>
          <t>2026-10-04</t>
        </is>
      </c>
      <c r="H555" t="inlineStr">
        <is>
          <t>official</t>
        </is>
      </c>
      <c r="I555" t="inlineStr">
        <is>
          <t>output/pages/024_canareef-resort-maldives/overview__canareef.com__canareef-resort-srilankan-airlines-fam-tour.md</t>
        </is>
      </c>
    </row>
    <row r="556">
      <c r="A556" t="n">
        <v>24</v>
      </c>
      <c r="B556" t="inlineStr">
        <is>
          <t>Canareef Resort Maldives</t>
        </is>
      </c>
      <c r="C556" t="inlineStr">
        <is>
          <t>https://canareef.com/maldives-weddings/</t>
        </is>
      </c>
      <c r="D556" t="inlineStr">
        <is>
          <t>wedding</t>
        </is>
      </c>
      <c r="E556" t="inlineStr">
        <is>
          <t>Destination Wedding Maldives | Canareef | Maldives Weddings</t>
        </is>
      </c>
      <c r="F556" t="n">
        <v>3440</v>
      </c>
      <c r="G556" t="inlineStr">
        <is>
          <t>2026-10-04</t>
        </is>
      </c>
      <c r="H556" t="inlineStr">
        <is>
          <t>official</t>
        </is>
      </c>
      <c r="I556" t="inlineStr">
        <is>
          <t>output/pages/024_canareef-resort-maldives/wedding__canareef.com__maldives-weddings.md</t>
        </is>
      </c>
    </row>
    <row r="557">
      <c r="A557" t="n">
        <v>24</v>
      </c>
      <c r="B557" t="inlineStr">
        <is>
          <t>Canareef Resort Maldives</t>
        </is>
      </c>
      <c r="C557" t="inlineStr">
        <is>
          <t>https://canareef.com/canareef-resort-maldives-wins-medals-hotel-asia-2024/</t>
        </is>
      </c>
      <c r="D557" t="inlineStr">
        <is>
          <t>dining</t>
        </is>
      </c>
      <c r="E557" t="inlineStr">
        <is>
          <t>Canareef Resort Maldives Culinary Team Wins 17 Medals at Hotel Asia Exhibition 2024</t>
        </is>
      </c>
      <c r="F557" t="n">
        <v>2167</v>
      </c>
      <c r="G557" t="inlineStr">
        <is>
          <t>2026-10-04</t>
        </is>
      </c>
      <c r="H557" t="inlineStr">
        <is>
          <t>official</t>
        </is>
      </c>
      <c r="I557" t="inlineStr">
        <is>
          <t>output/pages/024_canareef-resort-maldives/dining__canareef.com__canareef-resort-maldives-wins-medals-hotel-asia-2024.md</t>
        </is>
      </c>
    </row>
    <row r="558">
      <c r="A558" t="n">
        <v>24</v>
      </c>
      <c r="B558" t="inlineStr">
        <is>
          <t>Canareef Resort Maldives</t>
        </is>
      </c>
      <c r="C558" t="inlineStr">
        <is>
          <t>https://canareef.com/world-wetlands-day-canareef/</t>
        </is>
      </c>
      <c r="D558" t="inlineStr">
        <is>
          <t>wedding</t>
        </is>
      </c>
      <c r="E558" t="inlineStr">
        <is>
          <t>Celebrate World Wetlands Day at Canareef Resort Maldives</t>
        </is>
      </c>
      <c r="F558" t="n">
        <v>5025</v>
      </c>
      <c r="G558" t="inlineStr">
        <is>
          <t>2026-10-04</t>
        </is>
      </c>
      <c r="H558" t="inlineStr">
        <is>
          <t>official</t>
        </is>
      </c>
      <c r="I558" t="inlineStr">
        <is>
          <t>output/pages/024_canareef-resort-maldives/wedding__canareef.com__world-wetlands-day-canareef.md</t>
        </is>
      </c>
    </row>
    <row r="559">
      <c r="A559" t="n">
        <v>26</v>
      </c>
      <c r="B559" t="inlineStr">
        <is>
          <t>Centara Ras Fushi Resort &amp; Spa</t>
        </is>
      </c>
      <c r="C559" t="inlineStr">
        <is>
          <t>https://www.centarahotelsresorts.com/centara/crf/gallery</t>
        </is>
      </c>
      <c r="D559" t="inlineStr">
        <is>
          <t>downloads</t>
        </is>
      </c>
      <c r="E559" t="inlineStr">
        <is>
          <t>Gallery | Centara</t>
        </is>
      </c>
      <c r="F559" t="n">
        <v>1253</v>
      </c>
      <c r="G559" t="inlineStr">
        <is>
          <t>2026-10-04</t>
        </is>
      </c>
      <c r="H559" t="inlineStr">
        <is>
          <t>official</t>
        </is>
      </c>
      <c r="I559" t="inlineStr">
        <is>
          <t>output/pages/026_centara-ras-fushi-resort-spa/downloads__centarahotelsresorts.com__centara-crf-gallery.md</t>
        </is>
      </c>
    </row>
    <row r="560">
      <c r="A560" t="n">
        <v>24</v>
      </c>
      <c r="B560" t="inlineStr">
        <is>
          <t>Canareef Resort Maldives</t>
        </is>
      </c>
      <c r="C560" t="inlineStr">
        <is>
          <t>https://canareef.com/maldives-scuba-diving-at-canareef-resort-addu-atoll-paradise/</t>
        </is>
      </c>
      <c r="D560" t="inlineStr">
        <is>
          <t>diving</t>
        </is>
      </c>
      <c r="E560" t="inlineStr">
        <is>
          <t>Maldives Scuba Diving at Canareef Resort Addu Atoll Paradise</t>
        </is>
      </c>
      <c r="F560" t="n">
        <v>2675</v>
      </c>
      <c r="G560" t="inlineStr">
        <is>
          <t>2026-10-04</t>
        </is>
      </c>
      <c r="H560" t="inlineStr">
        <is>
          <t>official</t>
        </is>
      </c>
      <c r="I560" t="inlineStr">
        <is>
          <t>output/pages/024_canareef-resort-maldives/diving__canareef.com__maldives-scuba-diving-at-canareef-resort-addu-atoll-paradise.md</t>
        </is>
      </c>
    </row>
    <row r="561">
      <c r="A561" t="n">
        <v>26</v>
      </c>
      <c r="B561" t="inlineStr">
        <is>
          <t>Centara Ras Fushi Resort &amp; Spa</t>
        </is>
      </c>
      <c r="C561" t="inlineStr">
        <is>
          <t>https://www.centarahotelsresorts.com/centara/crf/meal-plans</t>
        </is>
      </c>
      <c r="D561" t="inlineStr">
        <is>
          <t>spa</t>
        </is>
      </c>
      <c r="E561" t="inlineStr">
        <is>
          <t>Meal plans | Centara Ras Fushi Resort &amp; Spa Maldives</t>
        </is>
      </c>
      <c r="F561" t="n">
        <v>3733</v>
      </c>
      <c r="G561" t="inlineStr">
        <is>
          <t>2026-10-04</t>
        </is>
      </c>
      <c r="H561" t="inlineStr">
        <is>
          <t>official</t>
        </is>
      </c>
      <c r="I561" t="inlineStr">
        <is>
          <t>output/pages/026_centara-ras-fushi-resort-spa/spa__centarahotelsresorts.com__centara-crf-meal-plans.md</t>
        </is>
      </c>
    </row>
    <row r="562">
      <c r="A562" t="n">
        <v>24</v>
      </c>
      <c r="B562" t="inlineStr">
        <is>
          <t>Canareef Resort Maldives</t>
        </is>
      </c>
      <c r="C562" t="inlineStr">
        <is>
          <t>https://canareef.com/local-and-expat-offer/</t>
        </is>
      </c>
      <c r="D562" t="inlineStr">
        <is>
          <t>offers</t>
        </is>
      </c>
      <c r="E562" t="inlineStr">
        <is>
          <t>50% Discount for Maldivian Residents &amp; Expats this Eid Holiday - Canareef</t>
        </is>
      </c>
      <c r="F562" t="n">
        <v>886</v>
      </c>
      <c r="G562" t="inlineStr">
        <is>
          <t>2026-10-04</t>
        </is>
      </c>
      <c r="H562" t="inlineStr">
        <is>
          <t>official</t>
        </is>
      </c>
      <c r="I562" t="inlineStr">
        <is>
          <t>output/pages/024_canareef-resort-maldives/offers__canareef.com__local-and-expat-offer.md</t>
        </is>
      </c>
    </row>
    <row r="563">
      <c r="A563" t="n">
        <v>24</v>
      </c>
      <c r="B563" t="inlineStr">
        <is>
          <t>Canareef Resort Maldives</t>
        </is>
      </c>
      <c r="C563" t="inlineStr">
        <is>
          <t>https://canareef.com/packages/</t>
        </is>
      </c>
      <c r="D563" t="inlineStr">
        <is>
          <t>diving</t>
        </is>
      </c>
      <c r="E563" t="inlineStr">
        <is>
          <t>Maldives Resort Packages | Canareef Resort Maldives | Packages</t>
        </is>
      </c>
      <c r="F563" t="n">
        <v>1628</v>
      </c>
      <c r="G563" t="inlineStr">
        <is>
          <t>2026-10-04</t>
        </is>
      </c>
      <c r="H563" t="inlineStr">
        <is>
          <t>official</t>
        </is>
      </c>
      <c r="I563" t="inlineStr">
        <is>
          <t>output/pages/024_canareef-resort-maldives/diving__canareef.com__packages.md</t>
        </is>
      </c>
    </row>
    <row r="564">
      <c r="A564" t="n">
        <v>26</v>
      </c>
      <c r="B564" t="inlineStr">
        <is>
          <t>Centara Ras Fushi Resort &amp; Spa</t>
        </is>
      </c>
      <c r="C564" t="inlineStr">
        <is>
          <t>https://www.centarahotelsresorts.com/centara/crf/transfer</t>
        </is>
      </c>
      <c r="D564" t="inlineStr">
        <is>
          <t>diving</t>
        </is>
      </c>
      <c r="E564" t="inlineStr">
        <is>
          <t>Scenic Airport &amp; Boat Transfers | Centara Ras Fushi Maldives</t>
        </is>
      </c>
      <c r="F564" t="n">
        <v>953</v>
      </c>
      <c r="G564" t="inlineStr">
        <is>
          <t>2026-10-04</t>
        </is>
      </c>
      <c r="H564" t="inlineStr">
        <is>
          <t>official</t>
        </is>
      </c>
      <c r="I564" t="inlineStr">
        <is>
          <t>output/pages/026_centara-ras-fushi-resort-spa/diving__centarahotelsresorts.com__centara-crf-transfer.md</t>
        </is>
      </c>
    </row>
    <row r="565">
      <c r="A565" t="n">
        <v>26</v>
      </c>
      <c r="B565" t="inlineStr">
        <is>
          <t>Centara Ras Fushi Resort &amp; Spa</t>
        </is>
      </c>
      <c r="C565" t="inlineStr">
        <is>
          <t>https://www.centarahotelsresorts.com/centara/crf/corporate-events/</t>
        </is>
      </c>
      <c r="D565" t="inlineStr">
        <is>
          <t>events</t>
        </is>
      </c>
      <c r="E565" t="inlineStr">
        <is>
          <t>Corporate events &amp; meetings at Centara Ras Fushi Resort</t>
        </is>
      </c>
      <c r="F565" t="n">
        <v>1525</v>
      </c>
      <c r="G565" t="inlineStr">
        <is>
          <t>2026-10-04</t>
        </is>
      </c>
      <c r="H565" t="inlineStr">
        <is>
          <t>official</t>
        </is>
      </c>
      <c r="I565" t="inlineStr">
        <is>
          <t>output/pages/026_centara-ras-fushi-resort-spa/events__centarahotelsresorts.com__centara-crf-corporate-events.md</t>
        </is>
      </c>
    </row>
    <row r="566">
      <c r="A566" t="n">
        <v>24</v>
      </c>
      <c r="B566" t="inlineStr">
        <is>
          <t>Canareef Resort Maldives</t>
        </is>
      </c>
      <c r="C566" t="inlineStr">
        <is>
          <t>https://canareef.com/holidaycheck-recommended-resort-2025/</t>
        </is>
      </c>
      <c r="D566" t="inlineStr">
        <is>
          <t>diving</t>
        </is>
      </c>
      <c r="E566" t="inlineStr">
        <is>
          <t>HolidayCheck 2025 Award for Canareef Resort Maldives</t>
        </is>
      </c>
      <c r="F566" t="n">
        <v>2101</v>
      </c>
      <c r="G566" t="inlineStr">
        <is>
          <t>2026-10-04</t>
        </is>
      </c>
      <c r="H566" t="inlineStr">
        <is>
          <t>official</t>
        </is>
      </c>
      <c r="I566" t="inlineStr">
        <is>
          <t>output/pages/024_canareef-resort-maldives/diving__canareef.com__holidaycheck-recommended-resort-2025.md</t>
        </is>
      </c>
    </row>
    <row r="567">
      <c r="A567" t="n">
        <v>26</v>
      </c>
      <c r="B567" t="inlineStr">
        <is>
          <t>Centara Ras Fushi Resort &amp; Spa</t>
        </is>
      </c>
      <c r="C567" t="inlineStr">
        <is>
          <t>https://www.centarahotelsresorts.com/centara/crf/lagoon-view-beach-villa-with-swirl-pool</t>
        </is>
      </c>
      <c r="D567" t="inlineStr">
        <is>
          <t>diving</t>
        </is>
      </c>
      <c r="E567" t="inlineStr">
        <is>
          <t>Deluxe Beach Villa | Centara Ras Fushi Resort Maldives</t>
        </is>
      </c>
      <c r="F567" t="n">
        <v>3336</v>
      </c>
      <c r="G567" t="inlineStr">
        <is>
          <t>2026-10-04</t>
        </is>
      </c>
      <c r="H567" t="inlineStr">
        <is>
          <t>official</t>
        </is>
      </c>
      <c r="I567" t="inlineStr">
        <is>
          <t>output/pages/026_centara-ras-fushi-resort-spa/diving__centarahotelsresorts.com__centara-crf-lagoon-view-beach-villa-with-swirl-pool.md</t>
        </is>
      </c>
    </row>
    <row r="568">
      <c r="A568" t="n">
        <v>24</v>
      </c>
      <c r="B568" t="inlineStr">
        <is>
          <t>Canareef Resort Maldives</t>
        </is>
      </c>
      <c r="C568" t="inlineStr">
        <is>
          <t>https://canareef.com/coconut-benefits-maldives/</t>
        </is>
      </c>
      <c r="D568" t="inlineStr">
        <is>
          <t>wedding</t>
        </is>
      </c>
      <c r="E568" t="inlineStr">
        <is>
          <t>Celebrate Coconut’s Health Benefits and Culinary Delights at Canareef Resort Maldives - Canareef</t>
        </is>
      </c>
      <c r="F568" t="n">
        <v>2083</v>
      </c>
      <c r="G568" t="inlineStr">
        <is>
          <t>2026-10-04</t>
        </is>
      </c>
      <c r="H568" t="inlineStr">
        <is>
          <t>official</t>
        </is>
      </c>
      <c r="I568" t="inlineStr">
        <is>
          <t>output/pages/024_canareef-resort-maldives/wedding__canareef.com__coconut-benefits-maldives.md</t>
        </is>
      </c>
    </row>
    <row r="569">
      <c r="A569" t="n">
        <v>26</v>
      </c>
      <c r="B569" t="inlineStr">
        <is>
          <t>Centara Ras Fushi Resort &amp; Spa</t>
        </is>
      </c>
      <c r="C569" t="inlineStr">
        <is>
          <t>https://www.centarahotelsresorts.com/centara/crf/restaurants-and-bars</t>
        </is>
      </c>
      <c r="D569" t="inlineStr">
        <is>
          <t>dining</t>
        </is>
      </c>
      <c r="E569" t="inlineStr">
        <is>
          <t>Restaurants &amp; bars at Centara Ras Fushi Resort Maldives</t>
        </is>
      </c>
      <c r="F569" t="n">
        <v>4759</v>
      </c>
      <c r="G569" t="inlineStr">
        <is>
          <t>2026-10-04</t>
        </is>
      </c>
      <c r="H569" t="inlineStr">
        <is>
          <t>official</t>
        </is>
      </c>
      <c r="I569" t="inlineStr">
        <is>
          <t>output/pages/026_centara-ras-fushi-resort-spa/dining__centarahotelsresorts.com__centara-crf-restaurants-and-bars.md</t>
        </is>
      </c>
    </row>
    <row r="570">
      <c r="A570" t="n">
        <v>24</v>
      </c>
      <c r="B570" t="inlineStr">
        <is>
          <t>Canareef Resort Maldives</t>
        </is>
      </c>
      <c r="C570" t="inlineStr">
        <is>
          <t>https://canareef.com/canareef-cake-mixing-ceremony-2025/</t>
        </is>
      </c>
      <c r="D570" t="inlineStr">
        <is>
          <t>other</t>
        </is>
      </c>
      <c r="E570" t="inlineStr">
        <is>
          <t>Canareef Hosts Joyful Cake Mixing Ceremony</t>
        </is>
      </c>
      <c r="F570" t="n">
        <v>2019</v>
      </c>
      <c r="G570" t="inlineStr">
        <is>
          <t>2026-10-04</t>
        </is>
      </c>
      <c r="H570" t="inlineStr">
        <is>
          <t>official</t>
        </is>
      </c>
      <c r="I570" t="inlineStr">
        <is>
          <t>output/pages/024_canareef-resort-maldives/other__canareef.com__canareef-cake-mixing-ceremony-2025.md</t>
        </is>
      </c>
    </row>
    <row r="571">
      <c r="A571" t="n">
        <v>26</v>
      </c>
      <c r="B571" t="inlineStr">
        <is>
          <t>Centara Ras Fushi Resort &amp; Spa</t>
        </is>
      </c>
      <c r="C571" t="inlineStr">
        <is>
          <t>https://www.centarahotelsresorts.com/centara/crf/honeymoon</t>
        </is>
      </c>
      <c r="D571" t="inlineStr">
        <is>
          <t>wedding</t>
        </is>
      </c>
      <c r="E571" t="inlineStr">
        <is>
          <t>Honeymoon Resort in Maldives | Romantic Couples Packages &amp; Villas</t>
        </is>
      </c>
      <c r="F571" t="n">
        <v>3758</v>
      </c>
      <c r="G571" t="inlineStr">
        <is>
          <t>2026-10-04</t>
        </is>
      </c>
      <c r="H571" t="inlineStr">
        <is>
          <t>official</t>
        </is>
      </c>
      <c r="I571" t="inlineStr">
        <is>
          <t>output/pages/026_centara-ras-fushi-resort-spa/wedding__centarahotelsresorts.com__centara-crf-honeymoon.md</t>
        </is>
      </c>
    </row>
    <row r="572">
      <c r="A572" t="n">
        <v>24</v>
      </c>
      <c r="B572" t="inlineStr">
        <is>
          <t>Canareef Resort Maldives</t>
        </is>
      </c>
      <c r="C572" t="inlineStr">
        <is>
          <t>https://canareef.com/maldives-fishermens-day-honoring-ocean-heroes/</t>
        </is>
      </c>
      <c r="D572" t="inlineStr">
        <is>
          <t>diving</t>
        </is>
      </c>
      <c r="E572" t="inlineStr">
        <is>
          <t>Maldives Fishermen’s Day: Honoring Our Ocean Heroes</t>
        </is>
      </c>
      <c r="F572" t="n">
        <v>3416</v>
      </c>
      <c r="G572" t="inlineStr">
        <is>
          <t>2026-10-04</t>
        </is>
      </c>
      <c r="H572" t="inlineStr">
        <is>
          <t>official</t>
        </is>
      </c>
      <c r="I572" t="inlineStr">
        <is>
          <t>output/pages/024_canareef-resort-maldives/diving__canareef.com__maldives-fishermens-day-honoring-ocean-heroes.md</t>
        </is>
      </c>
    </row>
    <row r="573">
      <c r="A573" t="n">
        <v>26</v>
      </c>
      <c r="B573" t="inlineStr">
        <is>
          <t>Centara Ras Fushi Resort &amp; Spa</t>
        </is>
      </c>
      <c r="C573" t="inlineStr">
        <is>
          <t>https://www.centarahotelsresorts.com/centara/crf/deluxe-overwater-villa</t>
        </is>
      </c>
      <c r="D573" t="inlineStr">
        <is>
          <t>diving</t>
        </is>
      </c>
      <c r="E573" t="inlineStr">
        <is>
          <t>Deluxe Overwater Villa | Centara Ras Fushi Maldives</t>
        </is>
      </c>
      <c r="F573" t="n">
        <v>3287</v>
      </c>
      <c r="G573" t="inlineStr">
        <is>
          <t>2026-10-04</t>
        </is>
      </c>
      <c r="H573" t="inlineStr">
        <is>
          <t>official</t>
        </is>
      </c>
      <c r="I573" t="inlineStr">
        <is>
          <t>output/pages/026_centara-ras-fushi-resort-spa/diving__centarahotelsresorts.com__centara-crf-deluxe-overwater-villa.md</t>
        </is>
      </c>
    </row>
    <row r="574">
      <c r="A574" t="n">
        <v>24</v>
      </c>
      <c r="B574" t="inlineStr">
        <is>
          <t>Canareef Resort Maldives</t>
        </is>
      </c>
      <c r="C574" t="inlineStr">
        <is>
          <t>https://canareef.com/canareef-celebrates-environment-week-with-a-series-of-impactful-activities/</t>
        </is>
      </c>
      <c r="D574" t="inlineStr">
        <is>
          <t>wedding</t>
        </is>
      </c>
      <c r="E574" t="inlineStr">
        <is>
          <t>Canareef Celebrates Environment Week with a Series of Impactful Activities - Canareef</t>
        </is>
      </c>
      <c r="F574" t="n">
        <v>4206</v>
      </c>
      <c r="G574" t="inlineStr">
        <is>
          <t>2026-10-04</t>
        </is>
      </c>
      <c r="H574" t="inlineStr">
        <is>
          <t>official</t>
        </is>
      </c>
      <c r="I574" t="inlineStr">
        <is>
          <t>output/pages/024_canareef-resort-maldives/wedding__canareef.com__canareef-celebrates-environment-week-with-a-series-of-impact.md</t>
        </is>
      </c>
    </row>
    <row r="575">
      <c r="A575" t="n">
        <v>24</v>
      </c>
      <c r="B575" t="inlineStr">
        <is>
          <t>Canareef Resort Maldives</t>
        </is>
      </c>
      <c r="C575" t="inlineStr">
        <is>
          <t>https://canareef.com/offers-old/</t>
        </is>
      </c>
      <c r="D575" t="inlineStr">
        <is>
          <t>diving</t>
        </is>
      </c>
      <c r="E575" t="inlineStr">
        <is>
          <t>Maldives Resort Packages | Canareef Resort Maldives | Offers</t>
        </is>
      </c>
      <c r="F575" t="n">
        <v>5197</v>
      </c>
      <c r="G575" t="inlineStr">
        <is>
          <t>2026-10-04</t>
        </is>
      </c>
      <c r="H575" t="inlineStr">
        <is>
          <t>official</t>
        </is>
      </c>
      <c r="I575" t="inlineStr">
        <is>
          <t>output/pages/024_canareef-resort-maldives/diving__canareef.com__offers-old.md</t>
        </is>
      </c>
    </row>
    <row r="576">
      <c r="A576" t="n">
        <v>24</v>
      </c>
      <c r="B576" t="inlineStr">
        <is>
          <t>Canareef Resort Maldives</t>
        </is>
      </c>
      <c r="C576" t="inlineStr">
        <is>
          <t>https://canareef.com/contact-us/</t>
        </is>
      </c>
      <c r="D576" t="inlineStr">
        <is>
          <t>other</t>
        </is>
      </c>
      <c r="E576" t="inlineStr">
        <is>
          <t>Contact Us | Canareef</t>
        </is>
      </c>
      <c r="F576" t="n">
        <v>1697</v>
      </c>
      <c r="G576" t="inlineStr">
        <is>
          <t>2026-10-04</t>
        </is>
      </c>
      <c r="H576" t="inlineStr">
        <is>
          <t>official</t>
        </is>
      </c>
      <c r="I576" t="inlineStr">
        <is>
          <t>output/pages/024_canareef-resort-maldives/other__canareef.com__contact-us.md</t>
        </is>
      </c>
    </row>
    <row r="577">
      <c r="A577" t="n">
        <v>24</v>
      </c>
      <c r="B577" t="inlineStr">
        <is>
          <t>Canareef Resort Maldives</t>
        </is>
      </c>
      <c r="C577" t="inlineStr">
        <is>
          <t>https://canareef.com/experiences/</t>
        </is>
      </c>
      <c r="D577" t="inlineStr">
        <is>
          <t>diving</t>
        </is>
      </c>
      <c r="E577" t="inlineStr">
        <is>
          <t>Gan Addu Atoll Maldives | Canareef Resort Maldives | Experiences</t>
        </is>
      </c>
      <c r="F577" t="n">
        <v>6994</v>
      </c>
      <c r="G577" t="inlineStr">
        <is>
          <t>2026-10-04</t>
        </is>
      </c>
      <c r="H577" t="inlineStr">
        <is>
          <t>official</t>
        </is>
      </c>
      <c r="I577" t="inlineStr">
        <is>
          <t>output/pages/024_canareef-resort-maldives/diving__canareef.com__experiences.md</t>
        </is>
      </c>
    </row>
    <row r="578">
      <c r="A578" t="n">
        <v>24</v>
      </c>
      <c r="B578" t="inlineStr">
        <is>
          <t>Canareef Resort Maldives</t>
        </is>
      </c>
      <c r="C578" t="inlineStr">
        <is>
          <t>https://canareef.com/honeymoon-offer-15-off/</t>
        </is>
      </c>
      <c r="D578" t="inlineStr">
        <is>
          <t>wedding</t>
        </is>
      </c>
      <c r="E578" t="inlineStr">
        <is>
          <t>Honeymoon Offer 15% off - Canareef</t>
        </is>
      </c>
      <c r="F578" t="n">
        <v>658</v>
      </c>
      <c r="G578" t="inlineStr">
        <is>
          <t>2026-10-04</t>
        </is>
      </c>
      <c r="H578" t="inlineStr">
        <is>
          <t>official</t>
        </is>
      </c>
      <c r="I578" t="inlineStr">
        <is>
          <t>output/pages/024_canareef-resort-maldives/wedding__canareef.com__honeymoon-offer-15-off.md</t>
        </is>
      </c>
    </row>
    <row r="579">
      <c r="A579" t="n">
        <v>24</v>
      </c>
      <c r="B579" t="inlineStr">
        <is>
          <t>Canareef Resort Maldives</t>
        </is>
      </c>
      <c r="C579" t="inlineStr">
        <is>
          <t>https://canareef.com/html-sitemap/</t>
        </is>
      </c>
      <c r="D579" t="inlineStr">
        <is>
          <t>other</t>
        </is>
      </c>
      <c r="E579" t="inlineStr">
        <is>
          <t>HTML Sitemap - Canareef</t>
        </is>
      </c>
      <c r="F579" t="n">
        <v>7577</v>
      </c>
      <c r="G579" t="inlineStr">
        <is>
          <t>2026-10-04</t>
        </is>
      </c>
      <c r="H579" t="inlineStr">
        <is>
          <t>official</t>
        </is>
      </c>
      <c r="I579" t="inlineStr">
        <is>
          <t>output/pages/024_canareef-resort-maldives/other__canareef.com__html-sitemap.md</t>
        </is>
      </c>
    </row>
    <row r="580">
      <c r="A580" t="n">
        <v>24</v>
      </c>
      <c r="B580" t="inlineStr">
        <is>
          <t>Canareef Resort Maldives</t>
        </is>
      </c>
      <c r="C580" t="inlineStr">
        <is>
          <t>https://canareef.com/celebrating-world-reef-day-with-coral-transplantation-at-canareef/</t>
        </is>
      </c>
      <c r="D580" t="inlineStr">
        <is>
          <t>wedding</t>
        </is>
      </c>
      <c r="E580" t="inlineStr">
        <is>
          <t>Celebrating World Reef Day with Coral transplantation at Canareef - Canareef</t>
        </is>
      </c>
      <c r="F580" t="n">
        <v>3061</v>
      </c>
      <c r="G580" t="inlineStr">
        <is>
          <t>2026-10-04</t>
        </is>
      </c>
      <c r="H580" t="inlineStr">
        <is>
          <t>official</t>
        </is>
      </c>
      <c r="I580" t="inlineStr">
        <is>
          <t>output/pages/024_canareef-resort-maldives/wedding__canareef.com__celebrating-world-reef-day-with-coral-transplantation-at-can.md</t>
        </is>
      </c>
    </row>
    <row r="581">
      <c r="A581" t="n">
        <v>24</v>
      </c>
      <c r="B581" t="inlineStr">
        <is>
          <t>Canareef Resort Maldives</t>
        </is>
      </c>
      <c r="C581" t="inlineStr">
        <is>
          <t>https://canareef.com/about/</t>
        </is>
      </c>
      <c r="D581" t="inlineStr">
        <is>
          <t>diving</t>
        </is>
      </c>
      <c r="E581" t="inlineStr">
        <is>
          <t>Affordable Maldives Resorts | About Canareef Resort Maldives</t>
        </is>
      </c>
      <c r="F581" t="n">
        <v>5077</v>
      </c>
      <c r="G581" t="inlineStr">
        <is>
          <t>2026-10-04</t>
        </is>
      </c>
      <c r="H581" t="inlineStr">
        <is>
          <t>official</t>
        </is>
      </c>
      <c r="I581" t="inlineStr">
        <is>
          <t>output/pages/024_canareef-resort-maldives/diving__canareef.com__about.md</t>
        </is>
      </c>
    </row>
    <row r="582">
      <c r="A582" t="n">
        <v>24</v>
      </c>
      <c r="B582" t="inlineStr">
        <is>
          <t>Canareef Resort Maldives</t>
        </is>
      </c>
      <c r="C582" t="inlineStr">
        <is>
          <t>https://canareef.com/canareef-appoints-sherzod-berdov-as-front-office-manager/</t>
        </is>
      </c>
      <c r="D582" t="inlineStr">
        <is>
          <t>other</t>
        </is>
      </c>
      <c r="E582" t="inlineStr">
        <is>
          <t>Canareef Appoints Sherzod Berdov as Front Office Manager - Canareef</t>
        </is>
      </c>
      <c r="F582" t="n">
        <v>2244</v>
      </c>
      <c r="G582" t="inlineStr">
        <is>
          <t>2026-10-04</t>
        </is>
      </c>
      <c r="H582" t="inlineStr">
        <is>
          <t>official</t>
        </is>
      </c>
      <c r="I582" t="inlineStr">
        <is>
          <t>output/pages/024_canareef-resort-maldives/other__canareef.com__canareef-appoints-sherzod-berdov-as-front-office-manager.md</t>
        </is>
      </c>
    </row>
    <row r="583">
      <c r="A583" t="n">
        <v>26</v>
      </c>
      <c r="B583" t="inlineStr">
        <is>
          <t>Centara Ras Fushi Resort &amp; Spa</t>
        </is>
      </c>
      <c r="C583" t="inlineStr">
        <is>
          <t>https://www.centarahotelsresorts.com/centara/crf/waves-pool-bar</t>
        </is>
      </c>
      <c r="D583" t="inlineStr">
        <is>
          <t>dining</t>
        </is>
      </c>
      <c r="E583" t="inlineStr">
        <is>
          <t>Waves swim-up pool bar at Centara Ras Fushi Maldives</t>
        </is>
      </c>
      <c r="F583" t="n">
        <v>821</v>
      </c>
      <c r="G583" t="inlineStr">
        <is>
          <t>2026-10-04</t>
        </is>
      </c>
      <c r="H583" t="inlineStr">
        <is>
          <t>official</t>
        </is>
      </c>
      <c r="I583" t="inlineStr">
        <is>
          <t>output/pages/026_centara-ras-fushi-resort-spa/dining__centarahotelsresorts.com__centara-crf-waves-pool-bar.md</t>
        </is>
      </c>
    </row>
    <row r="584">
      <c r="A584" t="n">
        <v>24</v>
      </c>
      <c r="B584" t="inlineStr">
        <is>
          <t>Canareef Resort Maldives</t>
        </is>
      </c>
      <c r="C584" t="inlineStr">
        <is>
          <t>https://canareef.com/sunset-cocktails-canareef-resort-maldives/</t>
        </is>
      </c>
      <c r="D584" t="inlineStr">
        <is>
          <t>diving</t>
        </is>
      </c>
      <c r="E584" t="inlineStr">
        <is>
          <t>Sunset Cocktails Ritual at Canareef Resort Maldives</t>
        </is>
      </c>
      <c r="F584" t="n">
        <v>1324</v>
      </c>
      <c r="G584" t="inlineStr">
        <is>
          <t>2026-10-04</t>
        </is>
      </c>
      <c r="H584" t="inlineStr">
        <is>
          <t>official</t>
        </is>
      </c>
      <c r="I584" t="inlineStr">
        <is>
          <t>output/pages/024_canareef-resort-maldives/diving__canareef.com__sunset-cocktails-canareef-resort-maldives.md</t>
        </is>
      </c>
    </row>
    <row r="585">
      <c r="A585" t="n">
        <v>24</v>
      </c>
      <c r="B585" t="inlineStr">
        <is>
          <t>Canareef Resort Maldives</t>
        </is>
      </c>
      <c r="C585" t="inlineStr">
        <is>
          <t>https://canareef.com/introduces-the-premium-beach-villa-with-whirlpool/</t>
        </is>
      </c>
      <c r="D585" t="inlineStr">
        <is>
          <t>villas</t>
        </is>
      </c>
      <c r="E585" t="inlineStr">
        <is>
          <t>Premium Beach Villa with Whirlpool</t>
        </is>
      </c>
      <c r="F585" t="n">
        <v>2622</v>
      </c>
      <c r="G585" t="inlineStr">
        <is>
          <t>2026-10-04</t>
        </is>
      </c>
      <c r="H585" t="inlineStr">
        <is>
          <t>official</t>
        </is>
      </c>
      <c r="I585" t="inlineStr">
        <is>
          <t>output/pages/024_canareef-resort-maldives/villas__canareef.com__introduces-the-premium-beach-villa-with-whirlpool.md</t>
        </is>
      </c>
    </row>
    <row r="586">
      <c r="A586" t="n">
        <v>24</v>
      </c>
      <c r="B586" t="inlineStr">
        <is>
          <t>Canareef Resort Maldives</t>
        </is>
      </c>
      <c r="C586" t="inlineStr">
        <is>
          <t>https://canareef.com/canareef-maldives-long-stay-offer-save-45/</t>
        </is>
      </c>
      <c r="D586" t="inlineStr">
        <is>
          <t>diving</t>
        </is>
      </c>
      <c r="E586" t="inlineStr">
        <is>
          <t>Stay Longer &amp; Save 45% at Canareef Maldives</t>
        </is>
      </c>
      <c r="F586" t="n">
        <v>1171</v>
      </c>
      <c r="G586" t="inlineStr">
        <is>
          <t>2026-10-04</t>
        </is>
      </c>
      <c r="H586" t="inlineStr">
        <is>
          <t>official</t>
        </is>
      </c>
      <c r="I586" t="inlineStr">
        <is>
          <t>output/pages/024_canareef-resort-maldives/diving__canareef.com__canareef-maldives-long-stay-offer-save-45.md</t>
        </is>
      </c>
    </row>
    <row r="587">
      <c r="A587" t="n">
        <v>24</v>
      </c>
      <c r="B587" t="inlineStr">
        <is>
          <t>Canareef Resort Maldives</t>
        </is>
      </c>
      <c r="C587" t="inlineStr">
        <is>
          <t>https://canareef.com/festive-season-canareef-resort-maldives/</t>
        </is>
      </c>
      <c r="D587" t="inlineStr">
        <is>
          <t>wedding</t>
        </is>
      </c>
      <c r="E587" t="inlineStr">
        <is>
          <t>Celebrate a Magical Festive Season at Canareef Resort Maldives</t>
        </is>
      </c>
      <c r="F587" t="n">
        <v>2576</v>
      </c>
      <c r="G587" t="inlineStr">
        <is>
          <t>2026-10-04</t>
        </is>
      </c>
      <c r="H587" t="inlineStr">
        <is>
          <t>official</t>
        </is>
      </c>
      <c r="I587" t="inlineStr">
        <is>
          <t>output/pages/024_canareef-resort-maldives/wedding__canareef.com__festive-season-canareef-resort-maldives.md</t>
        </is>
      </c>
    </row>
    <row r="588">
      <c r="A588" t="n">
        <v>24</v>
      </c>
      <c r="B588" t="inlineStr">
        <is>
          <t>Canareef Resort Maldives</t>
        </is>
      </c>
      <c r="C588" t="inlineStr">
        <is>
          <t>https://canareef.com/canareef-tripadvisor-best-of-best-2026/</t>
        </is>
      </c>
      <c r="D588" t="inlineStr">
        <is>
          <t>diving</t>
        </is>
      </c>
      <c r="E588" t="inlineStr">
        <is>
          <t>Canareef Resort Maldives Best of Best 2026</t>
        </is>
      </c>
      <c r="F588" t="n">
        <v>5071</v>
      </c>
      <c r="G588" t="inlineStr">
        <is>
          <t>2026-10-04</t>
        </is>
      </c>
      <c r="H588" t="inlineStr">
        <is>
          <t>official</t>
        </is>
      </c>
      <c r="I588" t="inlineStr">
        <is>
          <t>output/pages/024_canareef-resort-maldives/diving__canareef.com__canareef-tripadvisor-best-of-best-2026.md</t>
        </is>
      </c>
    </row>
    <row r="589">
      <c r="A589" t="n">
        <v>24</v>
      </c>
      <c r="B589" t="inlineStr">
        <is>
          <t>Canareef Resort Maldives</t>
        </is>
      </c>
      <c r="C589" t="inlineStr">
        <is>
          <t>https://canareef.com/offers/</t>
        </is>
      </c>
      <c r="D589" t="inlineStr">
        <is>
          <t>diving</t>
        </is>
      </c>
      <c r="E589" t="inlineStr">
        <is>
          <t>Maldives Resort Offers | Canareef Resort Maldives | Offers</t>
        </is>
      </c>
      <c r="F589" t="n">
        <v>2666</v>
      </c>
      <c r="G589" t="inlineStr">
        <is>
          <t>2026-10-04</t>
        </is>
      </c>
      <c r="H589" t="inlineStr">
        <is>
          <t>official</t>
        </is>
      </c>
      <c r="I589" t="inlineStr">
        <is>
          <t>output/pages/024_canareef-resort-maldives/diving__canareef.com__offers.md</t>
        </is>
      </c>
    </row>
    <row r="590">
      <c r="A590" t="n">
        <v>24</v>
      </c>
      <c r="B590" t="inlineStr">
        <is>
          <t>Canareef Resort Maldives</t>
        </is>
      </c>
      <c r="C590" t="inlineStr">
        <is>
          <t>https://canareef.com/canareef-maldives-international-womens-day-yoga/</t>
        </is>
      </c>
      <c r="D590" t="inlineStr">
        <is>
          <t>spa</t>
        </is>
      </c>
      <c r="E590" t="inlineStr">
        <is>
          <t>International Women’s Day at Canareef Maldives</t>
        </is>
      </c>
      <c r="F590" t="n">
        <v>2681</v>
      </c>
      <c r="G590" t="inlineStr">
        <is>
          <t>2026-10-04</t>
        </is>
      </c>
      <c r="H590" t="inlineStr">
        <is>
          <t>official</t>
        </is>
      </c>
      <c r="I590" t="inlineStr">
        <is>
          <t>output/pages/024_canareef-resort-maldives/spa__canareef.com__canareef-maldives-international-womens-day-yoga.md</t>
        </is>
      </c>
    </row>
    <row r="591">
      <c r="A591" t="n">
        <v>24</v>
      </c>
      <c r="B591" t="inlineStr">
        <is>
          <t>Canareef Resort Maldives</t>
        </is>
      </c>
      <c r="C591" t="inlineStr">
        <is>
          <t>https://canareef.com/diving/</t>
        </is>
      </c>
      <c r="D591" t="inlineStr">
        <is>
          <t>diving</t>
        </is>
      </c>
      <c r="E591" t="inlineStr">
        <is>
          <t>Scuba Diving in Maldives | Canareef Resort Maldives | Diving</t>
        </is>
      </c>
      <c r="F591" t="n">
        <v>5930</v>
      </c>
      <c r="G591" t="inlineStr">
        <is>
          <t>2026-10-04</t>
        </is>
      </c>
      <c r="H591" t="inlineStr">
        <is>
          <t>official</t>
        </is>
      </c>
      <c r="I591" t="inlineStr">
        <is>
          <t>output/pages/024_canareef-resort-maldives/diving__canareef.com__diving.md</t>
        </is>
      </c>
    </row>
    <row r="592">
      <c r="A592" t="n">
        <v>24</v>
      </c>
      <c r="B592" t="inlineStr">
        <is>
          <t>Canareef Resort Maldives</t>
        </is>
      </c>
      <c r="C592" t="inlineStr">
        <is>
          <t>https://canareef.com/vote-world-travel-awards-2026/</t>
        </is>
      </c>
      <c r="D592" t="inlineStr">
        <is>
          <t>other</t>
        </is>
      </c>
      <c r="E592" t="inlineStr">
        <is>
          <t>Vote Canareef: 2026 World Travel Awards Nominee</t>
        </is>
      </c>
      <c r="F592" t="n">
        <v>2001</v>
      </c>
      <c r="G592" t="inlineStr">
        <is>
          <t>2026-10-04</t>
        </is>
      </c>
      <c r="H592" t="inlineStr">
        <is>
          <t>official</t>
        </is>
      </c>
      <c r="I592" t="inlineStr">
        <is>
          <t>output/pages/024_canareef-resort-maldives/other__canareef.com__vote-world-travel-awards-2026.md</t>
        </is>
      </c>
    </row>
    <row r="593">
      <c r="A593" t="n">
        <v>24</v>
      </c>
      <c r="B593" t="inlineStr">
        <is>
          <t>Canareef Resort Maldives</t>
        </is>
      </c>
      <c r="C593" t="inlineStr">
        <is>
          <t>https://canareef.com/canareef-resort-maldives-family-honeymooners-experience/</t>
        </is>
      </c>
      <c r="D593" t="inlineStr">
        <is>
          <t>wedding</t>
        </is>
      </c>
      <c r="E593" t="inlineStr">
        <is>
          <t>Family-Friendly &amp; Romantic Escapes | Canareef Maldives</t>
        </is>
      </c>
      <c r="F593" t="n">
        <v>2997</v>
      </c>
      <c r="G593" t="inlineStr">
        <is>
          <t>2026-10-04</t>
        </is>
      </c>
      <c r="H593" t="inlineStr">
        <is>
          <t>official</t>
        </is>
      </c>
      <c r="I593" t="inlineStr">
        <is>
          <t>output/pages/024_canareef-resort-maldives/wedding__canareef.com__canareef-resort-maldives-family-honeymooners-experience.md</t>
        </is>
      </c>
    </row>
    <row r="594">
      <c r="A594" t="n">
        <v>26</v>
      </c>
      <c r="B594" t="inlineStr">
        <is>
          <t>Centara Ras Fushi Resort &amp; Spa</t>
        </is>
      </c>
      <c r="C594" t="inlineStr">
        <is>
          <t>https://www.centarahotelsresorts.com/centara/crf/in-villa-dining</t>
        </is>
      </c>
      <c r="D594" t="inlineStr">
        <is>
          <t>dining</t>
        </is>
      </c>
      <c r="E594" t="inlineStr">
        <is>
          <t>In-villa dining Centara Ras Fushi Resort &amp; Spa Maldives</t>
        </is>
      </c>
      <c r="F594" t="n">
        <v>765</v>
      </c>
      <c r="G594" t="inlineStr">
        <is>
          <t>2026-10-04</t>
        </is>
      </c>
      <c r="H594" t="inlineStr">
        <is>
          <t>official</t>
        </is>
      </c>
      <c r="I594" t="inlineStr">
        <is>
          <t>output/pages/026_centara-ras-fushi-resort-spa/dining__centarahotelsresorts.com__centara-crf-in-villa-dining.md</t>
        </is>
      </c>
    </row>
    <row r="595">
      <c r="A595" t="n">
        <v>24</v>
      </c>
      <c r="B595" t="inlineStr">
        <is>
          <t>Canareef Resort Maldives</t>
        </is>
      </c>
      <c r="C595" t="inlineStr">
        <is>
          <t>https://canareef.com/canareef-resort-maldives-welcomes-sea-company-as-its-sales-representative-in-russia-and-the-cis-countries/</t>
        </is>
      </c>
      <c r="D595" t="inlineStr">
        <is>
          <t>diving</t>
        </is>
      </c>
      <c r="E595" t="inlineStr">
        <is>
          <t>Canareef Resort Maldives welcomes SEA Company as its Sales Representative in Russia and the CIS countries - Canareef</t>
        </is>
      </c>
      <c r="F595" t="n">
        <v>2124</v>
      </c>
      <c r="G595" t="inlineStr">
        <is>
          <t>2026-10-04</t>
        </is>
      </c>
      <c r="H595" t="inlineStr">
        <is>
          <t>official</t>
        </is>
      </c>
      <c r="I595" t="inlineStr">
        <is>
          <t>output/pages/024_canareef-resort-maldives/diving__canareef.com__canareef-resort-maldives-welcomes-sea-company-as-its-sales-r.md</t>
        </is>
      </c>
    </row>
    <row r="596">
      <c r="A596" t="n">
        <v>24</v>
      </c>
      <c r="B596" t="inlineStr">
        <is>
          <t>Canareef Resort Maldives</t>
        </is>
      </c>
      <c r="C596" t="inlineStr">
        <is>
          <t>https://canareef.com/villas/sunrise-villas/</t>
        </is>
      </c>
      <c r="D596" t="inlineStr">
        <is>
          <t>diving</t>
        </is>
      </c>
      <c r="E596" t="inlineStr">
        <is>
          <t>Sunrise Villas Maldives | Canareef Resort | Sunrise Villas</t>
        </is>
      </c>
      <c r="F596" t="n">
        <v>1780</v>
      </c>
      <c r="G596" t="inlineStr">
        <is>
          <t>2026-10-04</t>
        </is>
      </c>
      <c r="H596" t="inlineStr">
        <is>
          <t>official</t>
        </is>
      </c>
      <c r="I596" t="inlineStr">
        <is>
          <t>output/pages/024_canareef-resort-maldives/diving__canareef.com__villas-sunrise-villas.md</t>
        </is>
      </c>
    </row>
    <row r="597">
      <c r="A597" t="n">
        <v>26</v>
      </c>
      <c r="B597" t="inlineStr">
        <is>
          <t>Centara Ras Fushi Resort &amp; Spa</t>
        </is>
      </c>
      <c r="C597" t="inlineStr">
        <is>
          <t>https://www.centarahotelsresorts.com/centara/crf/deluxe-spa-overwater-villa</t>
        </is>
      </c>
      <c r="D597" t="inlineStr">
        <is>
          <t>spa</t>
        </is>
      </c>
      <c r="E597" t="inlineStr">
        <is>
          <t>Deluxe Spa Overwater Villa | Centara Ras Fushi Maldives</t>
        </is>
      </c>
      <c r="F597" t="n">
        <v>3399</v>
      </c>
      <c r="G597" t="inlineStr">
        <is>
          <t>2026-10-04</t>
        </is>
      </c>
      <c r="H597" t="inlineStr">
        <is>
          <t>official</t>
        </is>
      </c>
      <c r="I597" t="inlineStr">
        <is>
          <t>output/pages/026_centara-ras-fushi-resort-spa/spa__centarahotelsresorts.com__centara-crf-deluxe-spa-overwater-villa.md</t>
        </is>
      </c>
    </row>
    <row r="598">
      <c r="A598" t="n">
        <v>24</v>
      </c>
      <c r="B598" t="inlineStr">
        <is>
          <t>Canareef Resort Maldives</t>
        </is>
      </c>
      <c r="C598" t="inlineStr">
        <is>
          <t>https://canareef.com/vote-canareef-sata-2026/</t>
        </is>
      </c>
      <c r="D598" t="inlineStr">
        <is>
          <t>diving</t>
        </is>
      </c>
      <c r="E598" t="inlineStr">
        <is>
          <t>Vote Canareef Resort Maldives for SATA 2026</t>
        </is>
      </c>
      <c r="F598" t="n">
        <v>1944</v>
      </c>
      <c r="G598" t="inlineStr">
        <is>
          <t>2026-10-04</t>
        </is>
      </c>
      <c r="H598" t="inlineStr">
        <is>
          <t>official</t>
        </is>
      </c>
      <c r="I598" t="inlineStr">
        <is>
          <t>output/pages/024_canareef-resort-maldives/diving__canareef.com__vote-canareef-sata-2026.md</t>
        </is>
      </c>
    </row>
    <row r="599">
      <c r="A599" t="n">
        <v>24</v>
      </c>
      <c r="B599" t="inlineStr">
        <is>
          <t>Canareef Resort Maldives</t>
        </is>
      </c>
      <c r="C599" t="inlineStr">
        <is>
          <t>https://canareef.com/island-getaway-locals-and-expats/</t>
        </is>
      </c>
      <c r="D599" t="inlineStr">
        <is>
          <t>diving</t>
        </is>
      </c>
      <c r="E599" t="inlineStr">
        <is>
          <t>Eid Offer 2026 – Canareef Resort Maldives Local Deal</t>
        </is>
      </c>
      <c r="F599" t="n">
        <v>1849</v>
      </c>
      <c r="G599" t="inlineStr">
        <is>
          <t>2026-10-04</t>
        </is>
      </c>
      <c r="H599" t="inlineStr">
        <is>
          <t>official</t>
        </is>
      </c>
      <c r="I599" t="inlineStr">
        <is>
          <t>output/pages/024_canareef-resort-maldives/diving__canareef.com__island-getaway-locals-and-expats.md</t>
        </is>
      </c>
    </row>
    <row r="600">
      <c r="A600" t="n">
        <v>24</v>
      </c>
      <c r="B600" t="inlineStr">
        <is>
          <t>Canareef Resort Maldives</t>
        </is>
      </c>
      <c r="C600" t="inlineStr">
        <is>
          <t>https://canareef.com/shaping-the-future-of-canareef-with-deepak-kannan/</t>
        </is>
      </c>
      <c r="D600" t="inlineStr">
        <is>
          <t>other</t>
        </is>
      </c>
      <c r="E600" t="inlineStr">
        <is>
          <t>Shaping the Future of Canareef with Deepak Kannan - Canareef</t>
        </is>
      </c>
      <c r="F600" t="n">
        <v>2404</v>
      </c>
      <c r="G600" t="inlineStr">
        <is>
          <t>2026-10-04</t>
        </is>
      </c>
      <c r="H600" t="inlineStr">
        <is>
          <t>official</t>
        </is>
      </c>
      <c r="I600" t="inlineStr">
        <is>
          <t>output/pages/024_canareef-resort-maldives/other__canareef.com__shaping-the-future-of-canareef-with-deepak-kannan.md</t>
        </is>
      </c>
    </row>
    <row r="601">
      <c r="A601" t="n">
        <v>26</v>
      </c>
      <c r="B601" t="inlineStr">
        <is>
          <t>Centara Ras Fushi Resort &amp; Spa</t>
        </is>
      </c>
      <c r="C601" t="inlineStr">
        <is>
          <t>https://www.centarahotelsresorts.com/centara/crf/social-events</t>
        </is>
      </c>
      <c r="D601" t="inlineStr">
        <is>
          <t>events</t>
        </is>
      </c>
      <c r="E601" t="inlineStr">
        <is>
          <t>Social events | Centara Ras Fushi Resort &amp; Spa Maldives</t>
        </is>
      </c>
      <c r="F601" t="n">
        <v>1541</v>
      </c>
      <c r="G601" t="inlineStr">
        <is>
          <t>2026-10-04</t>
        </is>
      </c>
      <c r="H601" t="inlineStr">
        <is>
          <t>official</t>
        </is>
      </c>
      <c r="I601" t="inlineStr">
        <is>
          <t>output/pages/026_centara-ras-fushi-resort-spa/events__centarahotelsresorts.com__centara-crf-social-events.md</t>
        </is>
      </c>
    </row>
    <row r="602">
      <c r="A602" t="n">
        <v>26</v>
      </c>
      <c r="B602" t="inlineStr">
        <is>
          <t>Centara Ras Fushi Resort &amp; Spa</t>
        </is>
      </c>
      <c r="C602" t="inlineStr">
        <is>
          <t>https://www.centarahotelsresorts.com/centara/crf/spa</t>
        </is>
      </c>
      <c r="D602" t="inlineStr">
        <is>
          <t>spa</t>
        </is>
      </c>
      <c r="E602" t="inlineStr">
        <is>
          <t>SPA Cenvaree at Centara Ras Fushi Resort &amp; Spa Maldives</t>
        </is>
      </c>
      <c r="F602" t="n">
        <v>2317</v>
      </c>
      <c r="G602" t="inlineStr">
        <is>
          <t>2026-10-04</t>
        </is>
      </c>
      <c r="H602" t="inlineStr">
        <is>
          <t>official</t>
        </is>
      </c>
      <c r="I602" t="inlineStr">
        <is>
          <t>output/pages/026_centara-ras-fushi-resort-spa/spa__centarahotelsresorts.com__centara-crf-spa.md</t>
        </is>
      </c>
    </row>
    <row r="603">
      <c r="A603" t="n">
        <v>26</v>
      </c>
      <c r="B603" t="inlineStr">
        <is>
          <t>Centara Ras Fushi Resort &amp; Spa</t>
        </is>
      </c>
      <c r="C603" t="inlineStr">
        <is>
          <t>https://www.centarahotelsresorts.com/centara/crf/giraavaru-lobby-bar</t>
        </is>
      </c>
      <c r="D603" t="inlineStr">
        <is>
          <t>dining</t>
        </is>
      </c>
      <c r="E603" t="inlineStr">
        <is>
          <t>Giraavaru Lobby Bar | Centara Ras Fushi Resort Maldives</t>
        </is>
      </c>
      <c r="F603" t="n">
        <v>756</v>
      </c>
      <c r="G603" t="inlineStr">
        <is>
          <t>2026-10-04</t>
        </is>
      </c>
      <c r="H603" t="inlineStr">
        <is>
          <t>official</t>
        </is>
      </c>
      <c r="I603" t="inlineStr">
        <is>
          <t>output/pages/026_centara-ras-fushi-resort-spa/dining__centarahotelsresorts.com__centara-crf-giraavaru-lobby-bar.md</t>
        </is>
      </c>
    </row>
    <row r="604">
      <c r="A604" t="n">
        <v>26</v>
      </c>
      <c r="B604" t="inlineStr">
        <is>
          <t>Centara Ras Fushi Resort &amp; Spa</t>
        </is>
      </c>
      <c r="C604" t="inlineStr">
        <is>
          <t>https://www.centarahotelsresorts.com/centara/crf/experiences</t>
        </is>
      </c>
      <c r="D604" t="inlineStr">
        <is>
          <t>excursions</t>
        </is>
      </c>
      <c r="E604" t="inlineStr">
        <is>
          <t>CRF Experience | Centara</t>
        </is>
      </c>
      <c r="F604" t="n">
        <v>399</v>
      </c>
      <c r="G604" t="inlineStr">
        <is>
          <t>2026-10-04</t>
        </is>
      </c>
      <c r="H604" t="inlineStr">
        <is>
          <t>official</t>
        </is>
      </c>
      <c r="I604" t="inlineStr">
        <is>
          <t>output/pages/026_centara-ras-fushi-resort-spa/excursions__centarahotelsresorts.com__centara-crf-experiences.md</t>
        </is>
      </c>
    </row>
    <row r="605">
      <c r="A605" t="n">
        <v>26</v>
      </c>
      <c r="B605" t="inlineStr">
        <is>
          <t>Centara Ras Fushi Resort &amp; Spa</t>
        </is>
      </c>
      <c r="C605" t="inlineStr">
        <is>
          <t>https://www.centarahotelsresorts.com/centara/crf/premium-deluxe-sunset-overwater-villa</t>
        </is>
      </c>
      <c r="D605" t="inlineStr">
        <is>
          <t>diving</t>
        </is>
      </c>
      <c r="E605" t="inlineStr">
        <is>
          <t>Premium Deluxe Sunset Overwater Villa | Centara Ras Fushi Maldives</t>
        </is>
      </c>
      <c r="F605" t="n">
        <v>3232</v>
      </c>
      <c r="G605" t="inlineStr">
        <is>
          <t>2026-10-04</t>
        </is>
      </c>
      <c r="H605" t="inlineStr">
        <is>
          <t>official</t>
        </is>
      </c>
      <c r="I605" t="inlineStr">
        <is>
          <t>output/pages/026_centara-ras-fushi-resort-spa/diving__centarahotelsresorts.com__centara-crf-premium-deluxe-sunset-overwater-villa.md</t>
        </is>
      </c>
    </row>
    <row r="606">
      <c r="A606" t="n">
        <v>26</v>
      </c>
      <c r="B606" t="inlineStr">
        <is>
          <t>Centara Ras Fushi Resort &amp; Spa</t>
        </is>
      </c>
      <c r="C606" t="inlineStr">
        <is>
          <t>https://www.centarahotelsresorts.com/centara/crf/deluxe-sunset-overwater-villa</t>
        </is>
      </c>
      <c r="D606" t="inlineStr">
        <is>
          <t>diving</t>
        </is>
      </c>
      <c r="E606" t="inlineStr">
        <is>
          <t>Deluxe Sunset Overwater Villa | Centara Ras Fushi Maldives</t>
        </is>
      </c>
      <c r="F606" t="n">
        <v>3298</v>
      </c>
      <c r="G606" t="inlineStr">
        <is>
          <t>2026-10-04</t>
        </is>
      </c>
      <c r="H606" t="inlineStr">
        <is>
          <t>official</t>
        </is>
      </c>
      <c r="I606" t="inlineStr">
        <is>
          <t>output/pages/026_centara-ras-fushi-resort-spa/diving__centarahotelsresorts.com__centara-crf-deluxe-sunset-overwater-villa.md</t>
        </is>
      </c>
    </row>
    <row r="607">
      <c r="A607" t="n">
        <v>26</v>
      </c>
      <c r="B607" t="inlineStr">
        <is>
          <t>Centara Ras Fushi Resort &amp; Spa</t>
        </is>
      </c>
      <c r="C607" t="inlineStr">
        <is>
          <t>https://www.centarahotelsresorts.com/centara/crf/viu-bar</t>
        </is>
      </c>
      <c r="D607" t="inlineStr">
        <is>
          <t>dining</t>
        </is>
      </c>
      <c r="E607" t="inlineStr">
        <is>
          <t>Viu Bar set over the lagoon at Centara Ras Fushi Resort</t>
        </is>
      </c>
      <c r="F607" t="n">
        <v>857</v>
      </c>
      <c r="G607" t="inlineStr">
        <is>
          <t>2026-10-04</t>
        </is>
      </c>
      <c r="H607" t="inlineStr">
        <is>
          <t>official</t>
        </is>
      </c>
      <c r="I607" t="inlineStr">
        <is>
          <t>output/pages/026_centara-ras-fushi-resort-spa/dining__centarahotelsresorts.com__centara-crf-viu-bar.md</t>
        </is>
      </c>
    </row>
    <row r="608">
      <c r="A608" t="n">
        <v>26</v>
      </c>
      <c r="B608" t="inlineStr">
        <is>
          <t>Centara Ras Fushi Resort &amp; Spa</t>
        </is>
      </c>
      <c r="C608" t="inlineStr">
        <is>
          <t>https://www.centarahotelsresorts.com/centara/crf/weddings</t>
        </is>
      </c>
      <c r="D608" t="inlineStr">
        <is>
          <t>wedding</t>
        </is>
      </c>
      <c r="E608" t="inlineStr">
        <is>
          <t>Maldives Wedding Resort | Venues, Ceremonies, Vows &amp; Anniversaries</t>
        </is>
      </c>
      <c r="F608" t="n">
        <v>5446</v>
      </c>
      <c r="G608" t="inlineStr">
        <is>
          <t>2026-10-04</t>
        </is>
      </c>
      <c r="H608" t="inlineStr">
        <is>
          <t>official</t>
        </is>
      </c>
      <c r="I608" t="inlineStr">
        <is>
          <t>output/pages/026_centara-ras-fushi-resort-spa/wedding__centarahotelsresorts.com__centara-crf-weddings.md</t>
        </is>
      </c>
    </row>
    <row r="609">
      <c r="A609" t="n">
        <v>26</v>
      </c>
      <c r="B609" t="inlineStr">
        <is>
          <t>Centara Ras Fushi Resort &amp; Spa</t>
        </is>
      </c>
      <c r="C609" t="inlineStr">
        <is>
          <t>https://www.centarahotelsresorts.com/centara/crf/lagoon-view-beach-villa</t>
        </is>
      </c>
      <c r="D609" t="inlineStr">
        <is>
          <t>spa</t>
        </is>
      </c>
      <c r="E609" t="inlineStr">
        <is>
          <t>Beach Villa | Centara Ras Fushi Resort &amp; Spa Maldives</t>
        </is>
      </c>
      <c r="F609" t="n">
        <v>3288</v>
      </c>
      <c r="G609" t="inlineStr">
        <is>
          <t>2026-10-04</t>
        </is>
      </c>
      <c r="H609" t="inlineStr">
        <is>
          <t>official</t>
        </is>
      </c>
      <c r="I609" t="inlineStr">
        <is>
          <t>output/pages/026_centara-ras-fushi-resort-spa/spa__centarahotelsresorts.com__centara-crf-lagoon-view-beach-villa.md</t>
        </is>
      </c>
    </row>
    <row r="610">
      <c r="A610" t="n">
        <v>26</v>
      </c>
      <c r="B610" t="inlineStr">
        <is>
          <t>Centara Ras Fushi Resort &amp; Spa</t>
        </is>
      </c>
      <c r="C610" t="inlineStr">
        <is>
          <t>https://www.centarahotelsresorts.com/centara/crf/diving-and-excursions</t>
        </is>
      </c>
      <c r="D610" t="inlineStr">
        <is>
          <t>diving</t>
        </is>
      </c>
      <c r="E610" t="inlineStr">
        <is>
          <t>Maldives diving &amp; snorkelling | Centara Ras Fushi</t>
        </is>
      </c>
      <c r="F610" t="n">
        <v>3088</v>
      </c>
      <c r="G610" t="inlineStr">
        <is>
          <t>2026-10-04</t>
        </is>
      </c>
      <c r="H610" t="inlineStr">
        <is>
          <t>official</t>
        </is>
      </c>
      <c r="I610" t="inlineStr">
        <is>
          <t>output/pages/026_centara-ras-fushi-resort-spa/diving__centarahotelsresorts.com__centara-crf-diving-and-excursions.md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3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3" customWidth="1" min="1" max="1"/>
    <col width="20" customWidth="1" min="2" max="2"/>
    <col width="13" customWidth="1" min="3" max="3"/>
    <col width="11" customWidth="1" min="4" max="4"/>
    <col width="13" customWidth="1" min="5" max="5"/>
    <col width="13" customWidth="1" min="6" max="6"/>
    <col width="31" customWidth="1" min="7" max="7"/>
    <col width="12" customWidth="1" min="8" max="8"/>
  </cols>
  <sheetData>
    <row r="1">
      <c r="A1" s="1" t="inlineStr">
        <is>
          <t>domain</t>
        </is>
      </c>
      <c r="B1" s="1" t="inlineStr">
        <is>
          <t>method</t>
        </is>
      </c>
      <c r="C1" s="1" t="inlineStr">
        <is>
          <t>status</t>
        </is>
      </c>
      <c r="D1" s="1" t="inlineStr">
        <is>
          <t>pdf_found</t>
        </is>
      </c>
      <c r="E1" s="1" t="inlineStr">
        <is>
          <t>pdf_matched</t>
        </is>
      </c>
      <c r="F1" s="1" t="inlineStr">
        <is>
          <t>stored_docs</t>
        </is>
      </c>
      <c r="G1" s="1" t="inlineStr">
        <is>
          <t>notes</t>
        </is>
      </c>
      <c r="H1" s="1" t="inlineStr">
        <is>
          <t>date</t>
        </is>
      </c>
    </row>
    <row r="2">
      <c r="A2" t="inlineStr">
        <is>
          <t>neoscapesmaldives.com</t>
        </is>
      </c>
      <c r="B2" t="inlineStr">
        <is>
          <t>sitemap+pages</t>
        </is>
      </c>
      <c r="C2" t="inlineStr">
        <is>
          <t>ok</t>
        </is>
      </c>
      <c r="D2" t="n">
        <v>244</v>
      </c>
      <c r="E2" t="n">
        <v>236</v>
      </c>
      <c r="F2" t="n">
        <v>226</v>
      </c>
      <c r="G2" t="inlineStr"/>
      <c r="H2" t="inlineStr">
        <is>
          <t>2026-10-04</t>
        </is>
      </c>
    </row>
    <row r="3">
      <c r="A3" t="inlineStr">
        <is>
          <t>amilla.com</t>
        </is>
      </c>
      <c r="B3" t="inlineStr">
        <is>
          <t>crawl</t>
        </is>
      </c>
      <c r="C3" t="inlineStr">
        <is>
          <t>ok</t>
        </is>
      </c>
      <c r="D3" t="n">
        <v>94</v>
      </c>
      <c r="E3" t="n">
        <v>94</v>
      </c>
      <c r="F3" t="n">
        <v>91</v>
      </c>
      <c r="G3" t="inlineStr">
        <is>
          <t>pages=40 js=False dam=8</t>
        </is>
      </c>
      <c r="H3" t="inlineStr">
        <is>
          <t>2026-10-04</t>
        </is>
      </c>
    </row>
    <row r="4">
      <c r="A4" t="inlineStr">
        <is>
          <t>sales.crownandchamparesorts.com</t>
        </is>
      </c>
      <c r="B4" t="inlineStr">
        <is>
          <t>wp-media-api+crawl</t>
        </is>
      </c>
      <c r="C4" t="inlineStr">
        <is>
          <t>ok</t>
        </is>
      </c>
      <c r="D4" t="n">
        <v>115</v>
      </c>
      <c r="E4" t="n">
        <v>97</v>
      </c>
      <c r="F4" t="n">
        <v>75</v>
      </c>
      <c r="G4" t="inlineStr"/>
      <c r="H4" t="inlineStr">
        <is>
          <t>2026-10-04</t>
        </is>
      </c>
    </row>
    <row r="5">
      <c r="A5" t="inlineStr">
        <is>
          <t>planhotel.com</t>
        </is>
      </c>
      <c r="B5" t="inlineStr">
        <is>
          <t>crawl</t>
        </is>
      </c>
      <c r="C5" t="inlineStr">
        <is>
          <t>ok</t>
        </is>
      </c>
      <c r="D5" t="n">
        <v>64</v>
      </c>
      <c r="E5" t="n">
        <v>64</v>
      </c>
      <c r="F5" t="n">
        <v>45</v>
      </c>
      <c r="G5" t="inlineStr">
        <is>
          <t>pages=70 js=False dam=483</t>
        </is>
      </c>
      <c r="H5" t="inlineStr">
        <is>
          <t>2026-10-04</t>
        </is>
      </c>
    </row>
    <row r="6">
      <c r="A6" t="inlineStr">
        <is>
          <t>adaaran.com</t>
        </is>
      </c>
      <c r="B6" t="inlineStr">
        <is>
          <t>crawl</t>
        </is>
      </c>
      <c r="C6" t="inlineStr">
        <is>
          <t>ok</t>
        </is>
      </c>
      <c r="D6" t="n">
        <v>37</v>
      </c>
      <c r="E6" t="n">
        <v>37</v>
      </c>
      <c r="F6" t="n">
        <v>37</v>
      </c>
      <c r="G6" t="inlineStr">
        <is>
          <t>pages=46 js=False dam=1</t>
        </is>
      </c>
      <c r="H6" t="inlineStr">
        <is>
          <t>2026-10-04</t>
        </is>
      </c>
    </row>
    <row r="7">
      <c r="A7" t="inlineStr">
        <is>
          <t>cenizaro.com</t>
        </is>
      </c>
      <c r="B7" t="inlineStr">
        <is>
          <t>crawl</t>
        </is>
      </c>
      <c r="C7" t="inlineStr">
        <is>
          <t>ok</t>
        </is>
      </c>
      <c r="D7" t="n">
        <v>33</v>
      </c>
      <c r="E7" t="n">
        <v>33</v>
      </c>
      <c r="F7" t="n">
        <v>32</v>
      </c>
      <c r="G7" t="inlineStr">
        <is>
          <t>pages=54 js=True dam=0</t>
        </is>
      </c>
      <c r="H7" t="inlineStr">
        <is>
          <t>2026-10-04</t>
        </is>
      </c>
    </row>
    <row r="8">
      <c r="A8" t="inlineStr">
        <is>
          <t>ayadamaldives.com</t>
        </is>
      </c>
      <c r="B8" t="inlineStr">
        <is>
          <t>crawl</t>
        </is>
      </c>
      <c r="C8" t="inlineStr">
        <is>
          <t>ok</t>
        </is>
      </c>
      <c r="D8" t="n">
        <v>30</v>
      </c>
      <c r="E8" t="n">
        <v>30</v>
      </c>
      <c r="F8" t="n">
        <v>29</v>
      </c>
      <c r="G8" t="inlineStr">
        <is>
          <t>pages=70 js=False dam=45</t>
        </is>
      </c>
      <c r="H8" t="inlineStr">
        <is>
          <t>2026-10-04</t>
        </is>
      </c>
    </row>
    <row r="9">
      <c r="A9" t="inlineStr">
        <is>
          <t>angaga.com.mv</t>
        </is>
      </c>
      <c r="B9" t="inlineStr">
        <is>
          <t>crawl</t>
        </is>
      </c>
      <c r="C9" t="inlineStr">
        <is>
          <t>ok</t>
        </is>
      </c>
      <c r="D9" t="n">
        <v>71</v>
      </c>
      <c r="E9" t="n">
        <v>71</v>
      </c>
      <c r="F9" t="n">
        <v>27</v>
      </c>
      <c r="G9" t="inlineStr">
        <is>
          <t>pages=41 js=False dam=0</t>
        </is>
      </c>
      <c r="H9" t="inlineStr">
        <is>
          <t>2026-10-04</t>
        </is>
      </c>
    </row>
    <row r="10">
      <c r="A10" t="inlineStr">
        <is>
          <t>dreamland.com.mv</t>
        </is>
      </c>
      <c r="B10" t="inlineStr">
        <is>
          <t>crawl</t>
        </is>
      </c>
      <c r="C10" t="inlineStr">
        <is>
          <t>ok</t>
        </is>
      </c>
      <c r="D10" t="n">
        <v>35</v>
      </c>
      <c r="E10" t="n">
        <v>35</v>
      </c>
      <c r="F10" t="n">
        <v>22</v>
      </c>
      <c r="G10" t="inlineStr">
        <is>
          <t>pages=24 js=False dam=0</t>
        </is>
      </c>
      <c r="H10" t="inlineStr">
        <is>
          <t>2026-10-04</t>
        </is>
      </c>
    </row>
    <row r="11">
      <c r="A11" t="inlineStr">
        <is>
          <t>thulhagiri.com.mv</t>
        </is>
      </c>
      <c r="B11" t="inlineStr">
        <is>
          <t>crawl</t>
        </is>
      </c>
      <c r="C11" t="inlineStr">
        <is>
          <t>ok</t>
        </is>
      </c>
      <c r="D11" t="n">
        <v>43</v>
      </c>
      <c r="E11" t="n">
        <v>43</v>
      </c>
      <c r="F11" t="n">
        <v>19</v>
      </c>
      <c r="G11" t="inlineStr">
        <is>
          <t>pages=40 js=False dam=0</t>
        </is>
      </c>
      <c r="H11" t="inlineStr">
        <is>
          <t>2026-10-04</t>
        </is>
      </c>
    </row>
    <row r="12">
      <c r="A12" t="inlineStr">
        <is>
          <t>sixsenses.com</t>
        </is>
      </c>
      <c r="B12" t="inlineStr">
        <is>
          <t>crawl</t>
        </is>
      </c>
      <c r="C12" t="inlineStr">
        <is>
          <t>blocked</t>
        </is>
      </c>
      <c r="D12" t="n">
        <v>0</v>
      </c>
      <c r="E12" t="n">
        <v>0</v>
      </c>
      <c r="F12" t="n">
        <v>0</v>
      </c>
      <c r="G12" t="inlineStr"/>
      <c r="H12" t="inlineStr">
        <is>
          <t>2026-10-04</t>
        </is>
      </c>
    </row>
    <row r="13">
      <c r="A13" t="inlineStr">
        <is>
          <t>ozenreservebolifushi.com</t>
        </is>
      </c>
      <c r="B13" t="inlineStr">
        <is>
          <t>crawl</t>
        </is>
      </c>
      <c r="C13" t="inlineStr">
        <is>
          <t>blocked</t>
        </is>
      </c>
      <c r="D13" t="n">
        <v>0</v>
      </c>
      <c r="E13" t="n">
        <v>0</v>
      </c>
      <c r="F13" t="n">
        <v>0</v>
      </c>
      <c r="G13" t="inlineStr"/>
      <c r="H13" t="inlineStr">
        <is>
          <t>2026-10-04</t>
        </is>
      </c>
    </row>
    <row r="14">
      <c r="A14" t="inlineStr">
        <is>
          <t>filitheyo.com</t>
        </is>
      </c>
      <c r="B14" t="inlineStr">
        <is>
          <t>crawl</t>
        </is>
      </c>
      <c r="C14" t="inlineStr">
        <is>
          <t>unverified</t>
        </is>
      </c>
      <c r="D14" t="n">
        <v>0</v>
      </c>
      <c r="E14" t="n">
        <v>0</v>
      </c>
      <c r="F14" t="n">
        <v>0</v>
      </c>
      <c r="G14" t="inlineStr">
        <is>
          <t>resort name not found on page</t>
        </is>
      </c>
      <c r="H14" t="inlineStr">
        <is>
          <t>2026-10-04</t>
        </is>
      </c>
    </row>
    <row r="15">
      <c r="A15" t="inlineStr">
        <is>
          <t>joali.com</t>
        </is>
      </c>
      <c r="B15" t="inlineStr">
        <is>
          <t>crawl</t>
        </is>
      </c>
      <c r="C15" t="inlineStr">
        <is>
          <t>unreachable</t>
        </is>
      </c>
      <c r="D15" t="n">
        <v>0</v>
      </c>
      <c r="E15" t="n">
        <v>0</v>
      </c>
      <c r="F15" t="n">
        <v>0</v>
      </c>
      <c r="G15" t="inlineStr"/>
      <c r="H15" t="inlineStr">
        <is>
          <t>2026-10-04</t>
        </is>
      </c>
    </row>
    <row r="16">
      <c r="A16" t="inlineStr">
        <is>
          <t>joalibeing.com</t>
        </is>
      </c>
      <c r="B16" t="inlineStr">
        <is>
          <t>crawl</t>
        </is>
      </c>
      <c r="C16" t="inlineStr">
        <is>
          <t>unreachable</t>
        </is>
      </c>
      <c r="D16" t="n">
        <v>0</v>
      </c>
      <c r="E16" t="n">
        <v>0</v>
      </c>
      <c r="F16" t="n">
        <v>0</v>
      </c>
      <c r="G16" t="inlineStr"/>
      <c r="H16" t="inlineStr">
        <is>
          <t>2026-10-04</t>
        </is>
      </c>
    </row>
    <row r="17">
      <c r="A17" t="inlineStr">
        <is>
          <t>dreamlandmaldives.com</t>
        </is>
      </c>
      <c r="B17" t="inlineStr">
        <is>
          <t>crawl</t>
        </is>
      </c>
      <c r="C17" t="inlineStr">
        <is>
          <t>unreachable</t>
        </is>
      </c>
      <c r="D17" t="n">
        <v>0</v>
      </c>
      <c r="E17" t="n">
        <v>0</v>
      </c>
      <c r="F17" t="n">
        <v>0</v>
      </c>
      <c r="G17" t="inlineStr"/>
      <c r="H17" t="inlineStr">
        <is>
          <t>2026-10-04</t>
        </is>
      </c>
    </row>
    <row r="18">
      <c r="A18" t="inlineStr">
        <is>
          <t>hilton.com</t>
        </is>
      </c>
      <c r="B18" t="inlineStr">
        <is>
          <t>crawl</t>
        </is>
      </c>
      <c r="C18" t="inlineStr">
        <is>
          <t>unverified</t>
        </is>
      </c>
      <c r="D18" t="n">
        <v>0</v>
      </c>
      <c r="E18" t="n">
        <v>0</v>
      </c>
      <c r="F18" t="n">
        <v>0</v>
      </c>
      <c r="G18" t="inlineStr">
        <is>
          <t>resort name not found on page</t>
        </is>
      </c>
      <c r="H18" t="inlineStr">
        <is>
          <t>2026-10-04</t>
        </is>
      </c>
    </row>
    <row r="19">
      <c r="A19" t="inlineStr">
        <is>
          <t>sandies-bathala.com</t>
        </is>
      </c>
      <c r="B19" t="inlineStr">
        <is>
          <t>crawl</t>
        </is>
      </c>
      <c r="C19" t="inlineStr">
        <is>
          <t>unreachable</t>
        </is>
      </c>
      <c r="D19" t="n">
        <v>0</v>
      </c>
      <c r="E19" t="n">
        <v>0</v>
      </c>
      <c r="F19" t="n">
        <v>0</v>
      </c>
      <c r="G19" t="inlineStr"/>
      <c r="H19" t="inlineStr">
        <is>
          <t>2026-10-04</t>
        </is>
      </c>
    </row>
    <row r="20">
      <c r="A20" t="inlineStr">
        <is>
          <t>alilahotels.com</t>
        </is>
      </c>
      <c r="B20" t="inlineStr">
        <is>
          <t>crawl</t>
        </is>
      </c>
      <c r="C20" t="inlineStr">
        <is>
          <t>blocked</t>
        </is>
      </c>
      <c r="D20" t="n">
        <v>0</v>
      </c>
      <c r="E20" t="n">
        <v>0</v>
      </c>
      <c r="F20" t="n">
        <v>0</v>
      </c>
      <c r="G20" t="inlineStr"/>
      <c r="H20" t="inlineStr">
        <is>
          <t>2026-10-04</t>
        </is>
      </c>
    </row>
    <row r="21">
      <c r="A21" t="inlineStr">
        <is>
          <t>hyatt.com</t>
        </is>
      </c>
      <c r="B21" t="inlineStr">
        <is>
          <t>crawl</t>
        </is>
      </c>
      <c r="C21" t="inlineStr">
        <is>
          <t>unverified</t>
        </is>
      </c>
      <c r="D21" t="n">
        <v>0</v>
      </c>
      <c r="E21" t="n">
        <v>0</v>
      </c>
      <c r="F21" t="n">
        <v>0</v>
      </c>
      <c r="G21" t="inlineStr">
        <is>
          <t>resort name not found on page</t>
        </is>
      </c>
      <c r="H21" t="inlineStr">
        <is>
          <t>2026-10-04</t>
        </is>
      </c>
    </row>
    <row r="22">
      <c r="A22" t="inlineStr">
        <is>
          <t>baglionihotels.com</t>
        </is>
      </c>
      <c r="B22" t="inlineStr">
        <is>
          <t>crawl</t>
        </is>
      </c>
      <c r="C22" t="inlineStr">
        <is>
          <t>blocked</t>
        </is>
      </c>
      <c r="D22" t="n">
        <v>0</v>
      </c>
      <c r="E22" t="n">
        <v>0</v>
      </c>
      <c r="F22" t="n">
        <v>0</v>
      </c>
      <c r="G22" t="inlineStr"/>
      <c r="H22" t="inlineStr">
        <is>
          <t>2026-10-04</t>
        </is>
      </c>
    </row>
    <row r="23">
      <c r="A23" t="inlineStr">
        <is>
          <t>marriott.com</t>
        </is>
      </c>
      <c r="B23" t="inlineStr">
        <is>
          <t>crawl</t>
        </is>
      </c>
      <c r="C23" t="inlineStr">
        <is>
          <t>blocked</t>
        </is>
      </c>
      <c r="D23" t="n">
        <v>0</v>
      </c>
      <c r="E23" t="n">
        <v>0</v>
      </c>
      <c r="F23" t="n">
        <v>0</v>
      </c>
      <c r="G23" t="inlineStr"/>
      <c r="H23" t="inlineStr">
        <is>
          <t>2026-10-04</t>
        </is>
      </c>
    </row>
    <row r="24">
      <c r="A24" t="inlineStr">
        <is>
          <t>rihivelimaldives.com</t>
        </is>
      </c>
      <c r="B24" t="inlineStr">
        <is>
          <t>crawl</t>
        </is>
      </c>
      <c r="C24" t="inlineStr">
        <is>
          <t>ok</t>
        </is>
      </c>
      <c r="D24" t="n">
        <v>0</v>
      </c>
      <c r="E24" t="n">
        <v>0</v>
      </c>
      <c r="F24" t="n">
        <v>0</v>
      </c>
      <c r="G24" t="inlineStr">
        <is>
          <t>pages=1 js=False dam=0</t>
        </is>
      </c>
      <c r="H24" t="inlineStr">
        <is>
          <t>2026-10-04</t>
        </is>
      </c>
    </row>
    <row r="25">
      <c r="A25" t="inlineStr">
        <is>
          <t>rihiveli-maldives.com</t>
        </is>
      </c>
      <c r="B25" t="inlineStr">
        <is>
          <t>crawl</t>
        </is>
      </c>
      <c r="C25" t="inlineStr">
        <is>
          <t>unverified</t>
        </is>
      </c>
      <c r="D25" t="n">
        <v>0</v>
      </c>
      <c r="E25" t="n">
        <v>0</v>
      </c>
      <c r="F25" t="n">
        <v>0</v>
      </c>
      <c r="G25" t="inlineStr">
        <is>
          <t>resort name not found on page</t>
        </is>
      </c>
      <c r="H25" t="inlineStr">
        <is>
          <t>2026-10-04</t>
        </is>
      </c>
    </row>
    <row r="26">
      <c r="A26" t="inlineStr">
        <is>
          <t>nooemaldives.com</t>
        </is>
      </c>
      <c r="B26" t="inlineStr">
        <is>
          <t>crawl</t>
        </is>
      </c>
      <c r="C26" t="inlineStr">
        <is>
          <t>unreachable</t>
        </is>
      </c>
      <c r="D26" t="n">
        <v>0</v>
      </c>
      <c r="E26" t="n">
        <v>0</v>
      </c>
      <c r="F26" t="n">
        <v>0</v>
      </c>
      <c r="G26" t="inlineStr"/>
      <c r="H26" t="inlineStr">
        <is>
          <t>2026-10-04</t>
        </is>
      </c>
    </row>
    <row r="27">
      <c r="A27" t="inlineStr">
        <is>
          <t>halcyonmaldives.com</t>
        </is>
      </c>
      <c r="B27" t="inlineStr">
        <is>
          <t>crawl</t>
        </is>
      </c>
      <c r="C27" t="inlineStr">
        <is>
          <t>blocked</t>
        </is>
      </c>
      <c r="D27" t="n">
        <v>0</v>
      </c>
      <c r="E27" t="n">
        <v>0</v>
      </c>
      <c r="F27" t="n">
        <v>0</v>
      </c>
      <c r="G27" t="inlineStr"/>
      <c r="H27" t="inlineStr">
        <is>
          <t>2026-10-04</t>
        </is>
      </c>
    </row>
    <row r="28">
      <c r="A28" t="inlineStr">
        <is>
          <t>melia.com</t>
        </is>
      </c>
      <c r="B28" t="inlineStr">
        <is>
          <t>crawl</t>
        </is>
      </c>
      <c r="C28" t="inlineStr">
        <is>
          <t>blocked</t>
        </is>
      </c>
      <c r="D28" t="n">
        <v>0</v>
      </c>
      <c r="E28" t="n">
        <v>0</v>
      </c>
      <c r="F28" t="n">
        <v>0</v>
      </c>
      <c r="G28" t="inlineStr"/>
      <c r="H28" t="inlineStr">
        <is>
          <t>2026-10-04</t>
        </is>
      </c>
    </row>
    <row r="29">
      <c r="A29" t="inlineStr">
        <is>
          <t>raffles.com</t>
        </is>
      </c>
      <c r="B29" t="inlineStr">
        <is>
          <t>crawl</t>
        </is>
      </c>
      <c r="C29" t="inlineStr">
        <is>
          <t>blocked</t>
        </is>
      </c>
      <c r="D29" t="n">
        <v>0</v>
      </c>
      <c r="E29" t="n">
        <v>0</v>
      </c>
      <c r="F29" t="n">
        <v>0</v>
      </c>
      <c r="G29" t="inlineStr"/>
      <c r="H29" t="inlineStr">
        <is>
          <t>2026-10-04</t>
        </is>
      </c>
    </row>
    <row r="30">
      <c r="A30" t="inlineStr">
        <is>
          <t>canareef.com</t>
        </is>
      </c>
      <c r="B30" t="inlineStr">
        <is>
          <t>crawl</t>
        </is>
      </c>
      <c r="C30" t="inlineStr">
        <is>
          <t>ok</t>
        </is>
      </c>
      <c r="D30" t="n">
        <v>5</v>
      </c>
      <c r="E30" t="n">
        <v>5</v>
      </c>
      <c r="F30" t="n">
        <v>0</v>
      </c>
      <c r="G30" t="inlineStr">
        <is>
          <t>pages=70 js=False dam=14</t>
        </is>
      </c>
      <c r="H30" t="inlineStr">
        <is>
          <t>2026-10-04</t>
        </is>
      </c>
    </row>
    <row r="31">
      <c r="A31" t="inlineStr">
        <is>
          <t>parkhotelgroup.com</t>
        </is>
      </c>
      <c r="B31" t="inlineStr">
        <is>
          <t>crawl</t>
        </is>
      </c>
      <c r="C31" t="inlineStr">
        <is>
          <t>ok</t>
        </is>
      </c>
      <c r="D31" t="n">
        <v>0</v>
      </c>
      <c r="E31" t="n">
        <v>0</v>
      </c>
      <c r="F31" t="n">
        <v>0</v>
      </c>
      <c r="G31" t="inlineStr">
        <is>
          <t>pages=1 js=False dam=0</t>
        </is>
      </c>
      <c r="H31" t="inlineStr">
        <is>
          <t>2026-10-04</t>
        </is>
      </c>
    </row>
    <row r="32">
      <c r="A32" t="inlineStr">
        <is>
          <t>barcelo.com</t>
        </is>
      </c>
      <c r="B32" t="inlineStr">
        <is>
          <t>crawl</t>
        </is>
      </c>
      <c r="C32" t="inlineStr">
        <is>
          <t>unverified</t>
        </is>
      </c>
      <c r="D32" t="n">
        <v>0</v>
      </c>
      <c r="E32" t="n">
        <v>0</v>
      </c>
      <c r="F32" t="n">
        <v>0</v>
      </c>
      <c r="G32" t="inlineStr">
        <is>
          <t>resort name not found on page</t>
        </is>
      </c>
      <c r="H32" t="inlineStr">
        <is>
          <t>2026-10-04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4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0" customWidth="1" min="1" max="1"/>
    <col width="56" customWidth="1" min="2" max="2"/>
    <col width="45" customWidth="1" min="3" max="3"/>
    <col width="60" customWidth="1" min="4" max="4"/>
    <col width="12" customWidth="1" min="5" max="5"/>
  </cols>
  <sheetData>
    <row r="1">
      <c r="A1" s="1" t="inlineStr">
        <is>
          <t>url</t>
        </is>
      </c>
      <c r="B1" s="1" t="inlineStr">
        <is>
          <t>title</t>
        </is>
      </c>
      <c r="C1" s="1" t="inlineStr">
        <is>
          <t>note</t>
        </is>
      </c>
      <c r="D1" s="1" t="inlineStr">
        <is>
          <t>snippet</t>
        </is>
      </c>
      <c r="E1" s="1" t="inlineStr">
        <is>
          <t>date</t>
        </is>
      </c>
    </row>
    <row r="2">
      <c r="A2" t="inlineStr">
        <is>
          <t>https://sales.crownandchamparesorts.com/wp-content/uploads/2026/04/NalaMaldivesFactsheet011125311026Ver030426.pdf</t>
        </is>
      </c>
      <c r="B2" t="inlineStr">
        <is>
          <t>NalaMaldivesFactsheet011125311026Ver030426</t>
        </is>
      </c>
      <c r="C2" t="inlineStr">
        <is>
          <t>Nala Maldives (Crown &amp; Champa, not in list)</t>
        </is>
      </c>
      <c r="D2" t="inlineStr"/>
      <c r="E2" t="inlineStr">
        <is>
          <t>2026-10-04</t>
        </is>
      </c>
    </row>
    <row r="3">
      <c r="A3" t="inlineStr">
        <is>
          <t>https://sales.crownandchamparesorts.com/wp-content/uploads/2026/03/Nala-MaldivesMap110125103126Rev022026.pdf</t>
        </is>
      </c>
      <c r="B3" t="inlineStr">
        <is>
          <t>Nala MaldivesMap110125103126Rev022026</t>
        </is>
      </c>
      <c r="C3" t="inlineStr">
        <is>
          <t>Nala Maldives (Crown &amp; Champa, not in list)</t>
        </is>
      </c>
      <c r="D3" t="inlineStr"/>
      <c r="E3" t="inlineStr">
        <is>
          <t>2026-10-04</t>
        </is>
      </c>
    </row>
    <row r="4">
      <c r="A4" t="inlineStr">
        <is>
          <t>https://sales.crownandchamparesorts.com/wp-content/uploads/2025/07/NalaMaldivesFactSheet011125103126Rev042425.pdf</t>
        </is>
      </c>
      <c r="B4" t="inlineStr">
        <is>
          <t>NalaMaldivesFactSheet011125103126Rev042425</t>
        </is>
      </c>
      <c r="C4" t="inlineStr">
        <is>
          <t>Nala Maldives (Crown &amp; Champa, not in list)</t>
        </is>
      </c>
      <c r="D4" t="inlineStr"/>
      <c r="E4" t="inlineStr">
        <is>
          <t>2026-10-04</t>
        </is>
      </c>
    </row>
    <row r="5">
      <c r="A5" t="inlineStr">
        <is>
          <t>https://www.neoscapesmaldives.com/resort/</t>
        </is>
      </c>
      <c r="B5" t="inlineStr">
        <is>
          <t>Our Resorts</t>
        </is>
      </c>
      <c r="C5" t="inlineStr">
        <is>
          <t>Neoscapes resort not in list</t>
        </is>
      </c>
      <c r="D5" t="inlineStr"/>
      <c r="E5" t="inlineStr">
        <is>
          <t>2026-10-04</t>
        </is>
      </c>
    </row>
    <row r="6">
      <c r="A6" t="inlineStr">
        <is>
          <t>https://www.neoscapesmaldives.com/resort/dusitd2-feydhoo-maldives/</t>
        </is>
      </c>
      <c r="B6" t="inlineStr">
        <is>
          <t>dusitD2 Feydhoo Maldives</t>
        </is>
      </c>
      <c r="C6" t="inlineStr">
        <is>
          <t>Neoscapes resort not in list</t>
        </is>
      </c>
      <c r="D6" t="inlineStr"/>
      <c r="E6" t="inlineStr">
        <is>
          <t>2026-10-04</t>
        </is>
      </c>
    </row>
    <row r="7">
      <c r="A7" t="inlineStr">
        <is>
          <t>https://www.neoscapesmaldives.com/resort/kihaa-maldives/</t>
        </is>
      </c>
      <c r="B7" t="inlineStr">
        <is>
          <t>Kihaa Maldives</t>
        </is>
      </c>
      <c r="C7" t="inlineStr">
        <is>
          <t>Neoscapes resort not in list</t>
        </is>
      </c>
      <c r="D7" t="inlineStr"/>
      <c r="E7" t="inlineStr">
        <is>
          <t>2026-10-04</t>
        </is>
      </c>
    </row>
    <row r="8">
      <c r="A8" t="inlineStr">
        <is>
          <t>https://www.neoscapesmaldives.com/resort/oblu-xperience-ailafushi/</t>
        </is>
      </c>
      <c r="B8" t="inlineStr">
        <is>
          <t>OBLU XPERIENCE Ailafushi</t>
        </is>
      </c>
      <c r="C8" t="inlineStr">
        <is>
          <t>Neoscapes resort not in list</t>
        </is>
      </c>
      <c r="D8" t="inlineStr"/>
      <c r="E8" t="inlineStr">
        <is>
          <t>2026-10-04</t>
        </is>
      </c>
    </row>
    <row r="9">
      <c r="A9" t="inlineStr">
        <is>
          <t>https://www.neoscapesmaldives.com/resort/rah-gili-maldives</t>
        </is>
      </c>
      <c r="B9" t="inlineStr">
        <is>
          <t>Rah Gili Maldives</t>
        </is>
      </c>
      <c r="C9" t="inlineStr">
        <is>
          <t>Neoscapes resort not in list</t>
        </is>
      </c>
      <c r="D9" t="inlineStr"/>
      <c r="E9" t="inlineStr">
        <is>
          <t>2026-10-04</t>
        </is>
      </c>
    </row>
    <row r="10">
      <c r="A10" t="inlineStr">
        <is>
          <t>https://sales.crownandchamparesorts.com/wp-content/uploads/2025/12/BaaniSpaWellnessMenu_English_110125103126Ver150625.pdf</t>
        </is>
      </c>
      <c r="B10" t="inlineStr">
        <is>
          <t>BaaniSpa-A3-EN-WellnessMenu2023Revised</t>
        </is>
      </c>
      <c r="C10" t="inlineStr"/>
      <c r="D10" t="inlineStr">
        <is>
          <t>THE BAANI JOURNEY RELEASE stress. RESTORE balance. REGAIN momentum. THE ISLAND WAY Your Path to Well-Being Baani (“The Ocean Swell” in Dhivehi) reminds us of the rhythm of life. Like the rhythm of the</t>
        </is>
      </c>
      <c r="E10" t="inlineStr">
        <is>
          <t>2026-10-04</t>
        </is>
      </c>
    </row>
    <row r="11">
      <c r="A11" t="inlineStr">
        <is>
          <t>https://sales.crownandchamparesorts.com/wp-content/uploads/2025/08/Veli-Factsheet-W25-26S26Ver17062025.pdf</t>
        </is>
      </c>
      <c r="B11" t="inlineStr"/>
      <c r="C11" t="inlineStr"/>
      <c r="D11" t="inlineStr">
        <is>
          <t xml:space="preserve"> </t>
        </is>
      </c>
      <c r="E11" t="inlineStr">
        <is>
          <t>2026-10-04</t>
        </is>
      </c>
    </row>
    <row r="12">
      <c r="A12" t="inlineStr">
        <is>
          <t>https://sales.crownandchamparesorts.com/wp-content/uploads/2025/08/MIR_A4-16032025.pdf</t>
        </is>
      </c>
      <c r="B12" t="inlineStr">
        <is>
          <t>MIR_A4 - 11022025.pdf</t>
        </is>
      </c>
      <c r="C12" t="inlineStr"/>
      <c r="D12" t="inlineStr">
        <is>
          <t xml:space="preserve"> </t>
        </is>
      </c>
      <c r="E12" t="inlineStr">
        <is>
          <t>2026-10-04</t>
        </is>
      </c>
    </row>
    <row r="13">
      <c r="A13" t="inlineStr">
        <is>
          <t>https://sales.crownandchamparesorts.com/wp-content/uploads/2025/08/Veli-IslandMap110125103126Ver140625.pdf</t>
        </is>
      </c>
      <c r="B13" t="inlineStr">
        <is>
          <t>Veli-IslandMap_14062025 compressed</t>
        </is>
      </c>
      <c r="C13" t="inlineStr"/>
      <c r="D13" t="inlineStr">
        <is>
          <t xml:space="preserve"> </t>
        </is>
      </c>
      <c r="E13" t="inlineStr">
        <is>
          <t>2026-10-04</t>
        </is>
      </c>
    </row>
    <row r="14">
      <c r="A14" t="inlineStr">
        <is>
          <t>https://sales.crownandchamparesorts.com/wp-content/uploads/2023/11/KagiMap121123.pdf</t>
        </is>
      </c>
      <c r="B14" t="inlineStr"/>
      <c r="C14" t="inlineStr"/>
      <c r="D14" t="inlineStr">
        <is>
          <t xml:space="preserve"> Suns etJ ett </t>
        </is>
      </c>
      <c r="E14" t="inlineStr">
        <is>
          <t>2026-10-04</t>
        </is>
      </c>
    </row>
    <row r="15">
      <c r="A15" t="inlineStr">
        <is>
          <t>https://sales.crownandchamparesorts.com/wp-content/uploads/2023/10/BaaniSpa-A3-EN-WellnessMenu2023Revised.pdf</t>
        </is>
      </c>
      <c r="B15" t="inlineStr">
        <is>
          <t>BaaniSpa-A3-EN-WellnessMenu2023Revised</t>
        </is>
      </c>
      <c r="C15" t="inlineStr"/>
      <c r="D15" t="inlineStr">
        <is>
          <t>THE BAANI JOURNEY RELEASE stress. RESTORE balance. REGAIN momentum. THE ISLAND WAY Your Path to Well-Being Baani (“The Ocean Swell” in Dhivehi) reminds us of the rhythm of life. Like the rhythm of the</t>
        </is>
      </c>
      <c r="E15" t="inlineStr">
        <is>
          <t>2026-10-04</t>
        </is>
      </c>
    </row>
    <row r="16">
      <c r="A16" t="inlineStr">
        <is>
          <t>https://sales.crownandchamparesorts.com/wp-content/uploads/2020/10/MaldivesCivilAviationAuthorityGuidelineCircular142020-Issue-03Revised101620.pdf</t>
        </is>
      </c>
      <c r="B16" t="inlineStr"/>
      <c r="C16" t="inlineStr"/>
      <c r="D16" t="inlineStr">
        <is>
          <t xml:space="preserve"> MALDIVES CIVIL AVIATION AUTHORITY Republic of Maldives AIR TRANSPORT CIRCULAR AT | 412020 - lssue 03 PRECAUTIONARY MEASURES AGAINST NOVEL CORONAV</t>
        </is>
      </c>
      <c r="E16" t="inlineStr">
        <is>
          <t>2026-10-04</t>
        </is>
      </c>
    </row>
    <row r="17">
      <c r="A17" t="inlineStr">
        <is>
          <t>https://sales.crownandchamparesorts.com/wp-content/uploads/2020/10/CCRSafeHolidayExperienceInParadiseRevised101620.pdf</t>
        </is>
      </c>
      <c r="B17" t="inlineStr"/>
      <c r="C17" t="inlineStr"/>
      <c r="D17" t="inlineStr">
        <is>
          <t xml:space="preserve"> A safe holiday experience in paradise PAUSE | BREATHE | MALDIVES Sunny Greetings from CCR We begin with a heartfelt thank you to our community for supporting us in these uncertain times, and a commit</t>
        </is>
      </c>
      <c r="E17" t="inlineStr">
        <is>
          <t>2026-10-04</t>
        </is>
      </c>
    </row>
    <row r="18">
      <c r="A18" t="inlineStr">
        <is>
          <t>https://sales.crownandchamparesorts.com/wp-content/uploads/2020/10/AlliedInsurancePolicyCOVID19Revised101620.pdf</t>
        </is>
      </c>
      <c r="B18" t="inlineStr"/>
      <c r="C18" t="inlineStr"/>
      <c r="D18" t="inlineStr">
        <is>
          <t xml:space="preserve"> Travelling to Maldives? Frequently asked questions: Your safety is our first priority. While Maldives is ready to welcome tourists with open arms but from a distance, we want to ensure that all the r</t>
        </is>
      </c>
      <c r="E18" t="inlineStr">
        <is>
          <t>2026-10-04</t>
        </is>
      </c>
    </row>
    <row r="19">
      <c r="A19" t="inlineStr">
        <is>
          <t>https://sales.crownandchamparesorts.com/wp-content/uploads/2020/07/TMANewNormalGuestExperiencHandbook.pdf</t>
        </is>
      </c>
      <c r="B19" t="inlineStr"/>
      <c r="C19" t="inlineStr"/>
      <c r="D19" t="inlineStr">
        <is>
          <t>TMA New Normal Guest Experience Handbook 1 Contents Passengers connecting from an International flight to a TMA flight 5 Check-in at TMA check-in counters Passengers arriving from Male’/Hulumale’ At T</t>
        </is>
      </c>
      <c r="E19" t="inlineStr">
        <is>
          <t>2026-10-04</t>
        </is>
      </c>
    </row>
    <row r="20">
      <c r="A20" t="inlineStr">
        <is>
          <t>https://sales.crownandchamparesorts.com/wp-content/uploads/2020/07/Maldives-Travel-Information.pdf</t>
        </is>
      </c>
      <c r="B20" t="inlineStr">
        <is>
          <t>Maldives Travel Information</t>
        </is>
      </c>
      <c r="C20" t="inlineStr"/>
      <c r="D20" t="inlineStr">
        <is>
          <t xml:space="preserve"> Government of Maldives DOCUMENT VALID THROUGH AUGUST 2020 Maldives: Travel Information PLANNING YOUR TRIP The Maldives is opening its border and lifting t</t>
        </is>
      </c>
      <c r="E20" t="inlineStr">
        <is>
          <t>2026-10-04</t>
        </is>
      </c>
    </row>
    <row r="21">
      <c r="A21" t="inlineStr">
        <is>
          <t>https://sales.crownandchamparesorts.com/wp-content/uploads/2020/07/Public-health-interventions-to-reduce-the-risk-of-transmission-of-COVID-19-in-the-tourism-sector-030720.pdf</t>
        </is>
      </c>
      <c r="B21" t="inlineStr"/>
      <c r="C21" t="inlineStr"/>
      <c r="D21" t="inlineStr">
        <is>
          <t xml:space="preserve"> Contents 1. Introduction .................................................................................................................................... 4 2. Objectives .........................</t>
        </is>
      </c>
      <c r="E21" t="inlineStr">
        <is>
          <t>2026-10-04</t>
        </is>
      </c>
    </row>
    <row r="22">
      <c r="A22" t="inlineStr">
        <is>
          <t>https://sales.crownandchamparesorts.com/wp-content/uploads/2020/07/OceanDiveandSportsCenterSOP-071720VELI.pdf</t>
        </is>
      </c>
      <c r="B22" t="inlineStr">
        <is>
          <t>Microsoft Word - new SOP - VELI.docx</t>
        </is>
      </c>
      <c r="C22" t="inlineStr"/>
      <c r="D22" t="inlineStr">
        <is>
          <t xml:space="preserve"> COVID-19 Operating Procedures Ocean Dive &amp; Sports Centre Index GENERAL Operations overview Disinfecting Staff tracker Guest tracker Boats and vessels SNORKEL GEAR RENTAL General handling Receivin</t>
        </is>
      </c>
      <c r="E22" t="inlineStr">
        <is>
          <t>2026-10-04</t>
        </is>
      </c>
    </row>
    <row r="23">
      <c r="A23" t="inlineStr">
        <is>
          <t>https://sales.crownandchamparesorts.com/wp-content/uploads/2020/07/DuniyeSpa-Guidelines-Covid19_SpaServices_June2020-ver5.pdf</t>
        </is>
      </c>
      <c r="B23" t="inlineStr">
        <is>
          <t>DuniyeSpa-Guidelines-Covid19_SpaServices_June2020-ver5</t>
        </is>
      </c>
      <c r="C23" t="inlineStr"/>
      <c r="D23" t="inlineStr">
        <is>
          <t>Overview Recommended Spa Operations Guidelines PostCovid-19 June 2020 Version 5, updated July 5th 2020 COVID-19 Recommended SPA GUIDELINES CONTENTS SECTION 1. INTRODUCTION ............................</t>
        </is>
      </c>
      <c r="E23" t="inlineStr">
        <is>
          <t>2026-10-04</t>
        </is>
      </c>
    </row>
    <row r="24">
      <c r="A24" t="inlineStr">
        <is>
          <t>https://sales.crownandchamparesorts.com/wp-content/uploads/2020/07/CCR-A-Safe-Holiday-Experience-in-Paradise-VER071620.pdf</t>
        </is>
      </c>
      <c r="B24" t="inlineStr"/>
      <c r="C24" t="inlineStr"/>
      <c r="D24" t="inlineStr">
        <is>
          <t xml:space="preserve"> A safe holiday experience in paradise PAUSE | BREATHE | MALDIVES Sunny Greetings from CCR We begin with a heartfelt thank you to our community for supporting us in these uncertain times, and a commit</t>
        </is>
      </c>
      <c r="E24" t="inlineStr">
        <is>
          <t>2026-10-04</t>
        </is>
      </c>
    </row>
    <row r="25">
      <c r="A25" t="inlineStr">
        <is>
          <t>https://sales.crownandchamparesorts.com/wp-content/uploads/2020/07/MinistryofTourismGuideline.pdf</t>
        </is>
      </c>
      <c r="B25" t="inlineStr"/>
      <c r="C25" t="inlineStr"/>
      <c r="D25" t="inlineStr">
        <is>
          <t xml:space="preserve"> ©Copyright 2020 The material contained in this guideline is subject to copyright protection unless otherwise indicated. The copyright protected </t>
        </is>
      </c>
      <c r="E25" t="inlineStr">
        <is>
          <t>2026-10-04</t>
        </is>
      </c>
    </row>
    <row r="26">
      <c r="A26" t="inlineStr">
        <is>
          <t>https://sales.crownandchamparesorts.com/wp-content/uploads/2020/07/MaldivesCivilAviationAuthorityGuideline.pdf</t>
        </is>
      </c>
      <c r="B26" t="inlineStr"/>
      <c r="C26" t="inlineStr"/>
      <c r="D26" t="inlineStr">
        <is>
          <t xml:space="preserve"> Maldives Civil Aviation Authority Republic of Maldives COVID-19 CAA Guidance Material Air Travel through the COVID-19 Public Health Crisis Issue 1.0, 14 June 2020 </t>
        </is>
      </c>
      <c r="E26" t="inlineStr">
        <is>
          <t>2026-10-04</t>
        </is>
      </c>
    </row>
    <row r="27">
      <c r="A27" t="inlineStr">
        <is>
          <t>https://sales.crownandchamparesorts.com/wp-content/uploads/2018/03/Colour-code.pdf</t>
        </is>
      </c>
      <c r="B27" t="inlineStr">
        <is>
          <t>Presentation1</t>
        </is>
      </c>
      <c r="C27" t="inlineStr"/>
      <c r="D27" t="inlineStr">
        <is>
          <t xml:space="preserve"> </t>
        </is>
      </c>
      <c r="E27" t="inlineStr">
        <is>
          <t>2026-10-04</t>
        </is>
      </c>
    </row>
    <row r="28">
      <c r="A28" t="inlineStr">
        <is>
          <t>https://www.neoscapesmaldives.com/wp-content/uploads/Map-Kihaa-Maldives.pdf</t>
        </is>
      </c>
      <c r="B28" t="inlineStr"/>
      <c r="C28" t="inlineStr"/>
      <c r="D28" t="inlineStr">
        <is>
          <t xml:space="preserve"> BACK TO CONTENTS </t>
        </is>
      </c>
      <c r="E28" t="inlineStr">
        <is>
          <t>2026-10-04</t>
        </is>
      </c>
    </row>
    <row r="29">
      <c r="A29" t="inlineStr">
        <is>
          <t>https://www.neoscapesmaldives.com/wp-content/uploads/Factsheet-Kihaa-Maldives-rdc.pdf</t>
        </is>
      </c>
      <c r="B29" t="inlineStr"/>
      <c r="C29" t="inlineStr"/>
      <c r="D29" t="inlineStr">
        <is>
          <t>FA C T S H E E T Jew e Oce s Hanifaru Bay Kihaa Maldives Your private coral island located in Baa Atoll, home of Hanifaru Bay - the famed marine protected biosphere reserve by UNESCO, featuring impecc</t>
        </is>
      </c>
      <c r="E29" t="inlineStr">
        <is>
          <t>2026-10-04</t>
        </is>
      </c>
    </row>
    <row r="30">
      <c r="A30" t="inlineStr">
        <is>
          <t>https://www.neoscapesmaldives.com/wp-content/uploads/OBLU-Xperience-Ailafushi-Island-Map-DEC-2022.pdf</t>
        </is>
      </c>
      <c r="B30" t="inlineStr">
        <is>
          <t>OBLU Xperience Ailafushi - Island Map - DEC 2022</t>
        </is>
      </c>
      <c r="C30" t="inlineStr"/>
      <c r="D30" t="inlineStr">
        <is>
          <t xml:space="preserve"> Ailafushi A Arrival Pavillion Ocean View Room B [ Ocean View Family 2 Bedroom D D C Beach Villa D Water Villa E Element X Restaurant (All-Day Dining Restaurant) F X360 Bar G Dive Jetty H La Promenade</t>
        </is>
      </c>
      <c r="E30" t="inlineStr">
        <is>
          <t>2026-10-04</t>
        </is>
      </c>
    </row>
    <row r="31">
      <c r="A31" t="inlineStr">
        <is>
          <t>https://www.neoscapesmaldives.com/wp-content/uploads/OBLU-Xperience-Ailafushi-E-Brochure-May-2023.pdf</t>
        </is>
      </c>
      <c r="B31" t="inlineStr"/>
      <c r="C31" t="inlineStr"/>
      <c r="D31" t="inlineStr">
        <is>
          <t>Chilled Free-Spirited Vibes BIG- HEARTED Island Soul COLOURS OF OBLU is a dynamic collection of Indian Ocean Hotels and Resorts by Atmosphere Core. We present a curated selection of experiences that b</t>
        </is>
      </c>
      <c r="E31" t="inlineStr">
        <is>
          <t>2026-10-04</t>
        </is>
      </c>
    </row>
    <row r="32">
      <c r="A32" t="inlineStr">
        <is>
          <t>https://www.neoscapesmaldives.com/wp-content/uploads/RAH-GILI-MALDIVES-Resort-Presentation_2026.pdf</t>
        </is>
      </c>
      <c r="B32" t="inlineStr"/>
      <c r="C32" t="inlineStr"/>
      <c r="D32" t="inlineStr">
        <is>
          <t>1 | RAH GILI MALDIVES A secret place where time stands still. 2 | RAH GILI MALDIVES RAH GILI MALDIVES Perched on the edge of the atoll, RAH GILI MALDIVES sits beside an exclusive dolphin sanctuary. On</t>
        </is>
      </c>
      <c r="E32" t="inlineStr">
        <is>
          <t>2026-10-04</t>
        </is>
      </c>
    </row>
    <row r="33">
      <c r="A33" t="inlineStr">
        <is>
          <t>https://www.neoscapesmaldives.com/wp-content/uploads/RAH-GILI-MALDIVES-Resort-Map.pdf</t>
        </is>
      </c>
      <c r="B33" t="inlineStr"/>
      <c r="C33" t="inlineStr"/>
      <c r="D33" t="inlineStr">
        <is>
          <t xml:space="preserve">RAH GILI MALDIVES North </t>
        </is>
      </c>
      <c r="E33" t="inlineStr">
        <is>
          <t>2026-10-04</t>
        </is>
      </c>
    </row>
    <row r="34">
      <c r="A34" t="inlineStr">
        <is>
          <t>https://www.tui.com/fileadmin/pdf/TUI_Top_Quality_2018_Gewinner.pdf</t>
        </is>
      </c>
      <c r="B34" t="inlineStr">
        <is>
          <t>PowerPoint-Präsentation</t>
        </is>
      </c>
      <c r="C34" t="inlineStr"/>
      <c r="D34" t="inlineStr">
        <is>
          <t xml:space="preserve"> TUI TOP QUALITY 2018: DIE GEWINNER Afrika Deutschland  Neptune Pwani Beach Resort Spa – ZNZ30005  BEST WESTERN Berghotel Rehlegg - BYD39065  Dorint Dresden - DRS10017 Ägypten </t>
        </is>
      </c>
      <c r="E34" t="inlineStr">
        <is>
          <t>2026-10-04</t>
        </is>
      </c>
    </row>
    <row r="35">
      <c r="A35" t="inlineStr">
        <is>
          <t>https://d1vp8nomjxwyf1.cloudfront.net/wp-content/uploads/sites/212/2023/03/17095101/Sandies-Baobab-Beach.pdf</t>
        </is>
      </c>
      <c r="B35" t="inlineStr"/>
      <c r="C35" t="inlineStr"/>
      <c r="D35" t="inlineStr">
        <is>
          <t xml:space="preserve"> SANDIES BAOBAB BEACH Get ready to relax and unwind on the most famous beach in Zanzibar, welcome to... Nungwi. </t>
        </is>
      </c>
      <c r="E35" t="inlineStr">
        <is>
          <t>2026-10-04</t>
        </is>
      </c>
    </row>
    <row r="36">
      <c r="A36" t="inlineStr">
        <is>
          <t>https://d1vp8nomjxwyf1.cloudfront.net/wp-content/uploads/sites/212/2023/03/17095019/Diamonds-Malindi-Conference-Center.pdf</t>
        </is>
      </c>
      <c r="B36" t="inlineStr"/>
      <c r="C36" t="inlineStr"/>
      <c r="D36" t="inlineStr">
        <is>
          <t xml:space="preserve"> Built to be the perfect venue for your conference, meeting, banqueting or incentive requirements, Diamonds Conference Center pays the tribute to be the perfect host in Kenya. PLANHOTEL HOSPITALITY GR</t>
        </is>
      </c>
      <c r="E36" t="inlineStr">
        <is>
          <t>2026-10-04</t>
        </is>
      </c>
    </row>
    <row r="37">
      <c r="A37" t="inlineStr">
        <is>
          <t>https://d1vp8nomjxwyf1.cloudfront.net/wp-content/uploads/sites/212/2017/07/30143804/Diamonds-Resorts_Gastronomie-e-Turisme_Dec-2018.pdf</t>
        </is>
      </c>
      <c r="B37" t="inlineStr"/>
      <c r="C37" t="inlineStr"/>
      <c r="D37" t="inlineStr">
        <is>
          <t xml:space="preserve"> Decembre 2018 Vins Heiko Nieder Cuisinier suisse de l’AnnÉe Menu L’Hôtelier César Ritz (1850-1918) </t>
        </is>
      </c>
      <c r="E37" t="inlineStr">
        <is>
          <t>2026-10-04</t>
        </is>
      </c>
    </row>
    <row r="38">
      <c r="A38" t="inlineStr">
        <is>
          <t>https://d1vp8nomjxwyf1.cloudfront.net/wp-content/uploads/sites/212/2017/07/28075759/MODULO-RID-.pdf</t>
        </is>
      </c>
      <c r="B38" t="inlineStr">
        <is>
          <t>IM00MOCC000012B:IM00MOCC000012B</t>
        </is>
      </c>
      <c r="C38" t="inlineStr"/>
      <c r="D38" t="inlineStr">
        <is>
          <t xml:space="preserve"> R.I.D. - AUTORIZZAZIONE PERMANENTE DI ADDEBITO IN C/C Azienda creditrice Banca del debitore FASTBOOKING </t>
        </is>
      </c>
      <c r="E38" t="inlineStr">
        <is>
          <t>2026-10-04</t>
        </is>
      </c>
    </row>
    <row r="39">
      <c r="A39" t="inlineStr">
        <is>
          <t>https://d1vp8nomjxwyf1.cloudfront.net/wp-content/uploads/sites/212/2017/07/28075756/Mvua-Spa-brochure-star-of-the-east.pdf</t>
        </is>
      </c>
      <c r="B39" t="inlineStr"/>
      <c r="C39" t="inlineStr"/>
      <c r="D39" t="inlineStr">
        <is>
          <t xml:space="preserve"> MVUA IS AN AFRICAN WORD AND TRANSLATED FROM SWAHILI MEANS “RAIN” In Africa, rain gives life and life depends on it….. Rain is the gift that brings simple wealth to the earth and all those on it. Rain</t>
        </is>
      </c>
      <c r="E39" t="inlineStr">
        <is>
          <t>2026-10-04</t>
        </is>
      </c>
    </row>
    <row r="40">
      <c r="A40" t="inlineStr">
        <is>
          <t>https://d1vp8nomjxwyf1.cloudfront.net/wp-content/uploads/sites/113/2017/04/30063302/Travelife-Gold-Certificate-Diamonds-Mapenzi-Beach-Club.pdf</t>
        </is>
      </c>
      <c r="B40" t="inlineStr"/>
      <c r="C40" t="inlineStr"/>
      <c r="D40" t="inlineStr">
        <is>
          <t>Following an independent audit against the Travelife Standard* Diamonds Mapenzi Beach Club PO Box 100, Mahonda, Zanzibar, Tanzania has achieved Travelife Gold Certification They have shown Travelife e</t>
        </is>
      </c>
      <c r="E40" t="inlineStr">
        <is>
          <t>2026-10-04</t>
        </is>
      </c>
    </row>
    <row r="41">
      <c r="A41" t="inlineStr">
        <is>
          <t>https://d1vp8nomjxwyf1.cloudfront.net/wp-content/uploads/sites/212/2017/08/02081755/Sandies-Tropical-Village_2017_Groups-Mannual.pdf</t>
        </is>
      </c>
      <c r="B41" t="inlineStr">
        <is>
          <t>TROP 2016</t>
        </is>
      </c>
      <c r="C41" t="inlineStr"/>
      <c r="D41" t="inlineStr">
        <is>
          <t>meetings and incentives 2017 Managed by PlanHotel Hospitality Group Sandies Tropical Village offers an exclusive launch pad to the wonders of Kenya. Paper-white buildings with palm-thatched roofs watc</t>
        </is>
      </c>
      <c r="E41" t="inlineStr">
        <is>
          <t>2026-10-04</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3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36" customWidth="1" min="2" max="2"/>
    <col width="15" customWidth="1" min="3" max="3"/>
    <col width="60" customWidth="1" min="4" max="4"/>
    <col width="12" customWidth="1" min="5" max="5"/>
  </cols>
  <sheetData>
    <row r="1">
      <c r="A1" s="1" t="inlineStr">
        <is>
          <t>domain</t>
        </is>
      </c>
      <c r="B1" s="1" t="inlineStr">
        <is>
          <t>tried</t>
        </is>
      </c>
      <c r="C1" s="1" t="inlineStr">
        <is>
          <t>detail</t>
        </is>
      </c>
      <c r="D1" s="1" t="inlineStr">
        <is>
          <t>resorts</t>
        </is>
      </c>
      <c r="E1" s="1" t="inlineStr">
        <is>
          <t>date</t>
        </is>
      </c>
    </row>
    <row r="2">
      <c r="A2" t="inlineStr">
        <is>
          <t>www.sixsenses.com</t>
        </is>
      </c>
      <c r="B2" t="inlineStr">
        <is>
          <t>GET home, sitemap, headless render</t>
        </is>
      </c>
      <c r="C2" t="inlineStr">
        <is>
          <t>blocked</t>
        </is>
      </c>
      <c r="D2" t="inlineStr">
        <is>
          <t>Six Senses Laamu</t>
        </is>
      </c>
      <c r="E2" t="inlineStr">
        <is>
          <t>2026-10-04</t>
        </is>
      </c>
    </row>
    <row r="3">
      <c r="A3" t="inlineStr">
        <is>
          <t>www.ozenreservebolifushi.com</t>
        </is>
      </c>
      <c r="B3" t="inlineStr">
        <is>
          <t>GET home, sitemap, headless render</t>
        </is>
      </c>
      <c r="C3" t="inlineStr">
        <is>
          <t>blocked</t>
        </is>
      </c>
      <c r="D3" t="inlineStr">
        <is>
          <t>Bolifushi Island Resort</t>
        </is>
      </c>
      <c r="E3" t="inlineStr">
        <is>
          <t>2026-10-04</t>
        </is>
      </c>
    </row>
    <row r="4">
      <c r="A4" t="inlineStr">
        <is>
          <t>www.dreamlandmaldives.com</t>
        </is>
      </c>
      <c r="B4" t="inlineStr">
        <is>
          <t>GET home, sitemap, headless render</t>
        </is>
      </c>
      <c r="C4" t="inlineStr">
        <is>
          <t>unreachable</t>
        </is>
      </c>
      <c r="D4" t="inlineStr">
        <is>
          <t>Dreamland - The Unique Sea &amp; Lake Resort/Spa</t>
        </is>
      </c>
      <c r="E4" t="inlineStr">
        <is>
          <t>2026-10-04</t>
        </is>
      </c>
    </row>
    <row r="5">
      <c r="A5" t="inlineStr">
        <is>
          <t>www.marriott.com</t>
        </is>
      </c>
      <c r="B5" t="inlineStr">
        <is>
          <t>GET home, sitemap, headless render</t>
        </is>
      </c>
      <c r="C5" t="inlineStr">
        <is>
          <t>blocked</t>
        </is>
      </c>
      <c r="D5" t="inlineStr">
        <is>
          <t>JW Marriott Kaafu Atoll Island Resort, JW Marriott Maldives Resort &amp; Spa</t>
        </is>
      </c>
      <c r="E5" t="inlineStr">
        <is>
          <t>2026-10-04</t>
        </is>
      </c>
    </row>
    <row r="6">
      <c r="A6" t="inlineStr">
        <is>
          <t>www.joali.com</t>
        </is>
      </c>
      <c r="B6" t="inlineStr">
        <is>
          <t>GET home, sitemap, headless render</t>
        </is>
      </c>
      <c r="C6" t="inlineStr">
        <is>
          <t>unreachable</t>
        </is>
      </c>
      <c r="D6" t="inlineStr">
        <is>
          <t>Joali Muravandhoo</t>
        </is>
      </c>
      <c r="E6" t="inlineStr">
        <is>
          <t>2026-10-04</t>
        </is>
      </c>
    </row>
    <row r="7">
      <c r="A7" t="inlineStr">
        <is>
          <t>www.joalibeing.com</t>
        </is>
      </c>
      <c r="B7" t="inlineStr">
        <is>
          <t>GET home, sitemap, headless render</t>
        </is>
      </c>
      <c r="C7" t="inlineStr">
        <is>
          <t>unreachable</t>
        </is>
      </c>
      <c r="D7" t="inlineStr">
        <is>
          <t>Joali Being Bodufushi</t>
        </is>
      </c>
      <c r="E7" t="inlineStr">
        <is>
          <t>2026-10-04</t>
        </is>
      </c>
    </row>
    <row r="8">
      <c r="A8" t="inlineStr">
        <is>
          <t>www.filitheyo.com</t>
        </is>
      </c>
      <c r="B8" t="inlineStr">
        <is>
          <t>GET home, sitemap, headless render</t>
        </is>
      </c>
      <c r="C8" t="inlineStr">
        <is>
          <t>unverified</t>
        </is>
      </c>
      <c r="D8" t="inlineStr">
        <is>
          <t>Filitheyo Island Resort</t>
        </is>
      </c>
      <c r="E8" t="inlineStr">
        <is>
          <t>2026-10-04</t>
        </is>
      </c>
    </row>
    <row r="9">
      <c r="A9" t="inlineStr">
        <is>
          <t>www.baglionihotels.com</t>
        </is>
      </c>
      <c r="B9" t="inlineStr">
        <is>
          <t>GET home, sitemap, headless render</t>
        </is>
      </c>
      <c r="C9" t="inlineStr">
        <is>
          <t>blocked</t>
        </is>
      </c>
      <c r="D9" t="inlineStr">
        <is>
          <t>Baglioni Resort Maldives</t>
        </is>
      </c>
      <c r="E9" t="inlineStr">
        <is>
          <t>2026-10-04</t>
        </is>
      </c>
    </row>
    <row r="10">
      <c r="A10" t="inlineStr">
        <is>
          <t>www.rihiveli-maldives.com</t>
        </is>
      </c>
      <c r="B10" t="inlineStr">
        <is>
          <t>GET home, sitemap, headless render</t>
        </is>
      </c>
      <c r="C10" t="inlineStr">
        <is>
          <t>unverified</t>
        </is>
      </c>
      <c r="D10" t="inlineStr">
        <is>
          <t>Rihiveli Maldives Resort</t>
        </is>
      </c>
      <c r="E10" t="inlineStr">
        <is>
          <t>2026-10-04</t>
        </is>
      </c>
    </row>
    <row r="11">
      <c r="A11" t="inlineStr">
        <is>
          <t>www.hilton.com</t>
        </is>
      </c>
      <c r="B11" t="inlineStr">
        <is>
          <t>GET home, sitemap, headless render</t>
        </is>
      </c>
      <c r="C11" t="inlineStr">
        <is>
          <t>unverified</t>
        </is>
      </c>
      <c r="D11" t="inlineStr">
        <is>
          <t>Hilton Maldives Amingiri Resort &amp; Spa</t>
        </is>
      </c>
      <c r="E11" t="inlineStr">
        <is>
          <t>2026-10-04</t>
        </is>
      </c>
    </row>
    <row r="12">
      <c r="A12" t="inlineStr">
        <is>
          <t>www.hyatt.com</t>
        </is>
      </c>
      <c r="B12" t="inlineStr">
        <is>
          <t>GET home, sitemap, headless render</t>
        </is>
      </c>
      <c r="C12" t="inlineStr">
        <is>
          <t>unverified</t>
        </is>
      </c>
      <c r="D12" t="inlineStr">
        <is>
          <t>Alila Kothaifaru Maldives</t>
        </is>
      </c>
      <c r="E12" t="inlineStr">
        <is>
          <t>2026-10-04</t>
        </is>
      </c>
    </row>
    <row r="13">
      <c r="A13" t="inlineStr">
        <is>
          <t>www.alilahotels.com</t>
        </is>
      </c>
      <c r="B13" t="inlineStr">
        <is>
          <t>GET home, sitemap, headless render</t>
        </is>
      </c>
      <c r="C13" t="inlineStr">
        <is>
          <t>blocked</t>
        </is>
      </c>
      <c r="D13" t="inlineStr">
        <is>
          <t>Alila Kothaifaru Maldives</t>
        </is>
      </c>
      <c r="E13" t="inlineStr">
        <is>
          <t>2026-10-04</t>
        </is>
      </c>
    </row>
    <row r="14">
      <c r="A14" t="inlineStr">
        <is>
          <t>www.nooemaldives.com</t>
        </is>
      </c>
      <c r="B14" t="inlineStr">
        <is>
          <t>GET home, sitemap, headless render</t>
        </is>
      </c>
      <c r="C14" t="inlineStr">
        <is>
          <t>unreachable</t>
        </is>
      </c>
      <c r="D14" t="inlineStr">
        <is>
          <t>Nooe Maldives Kunavashi</t>
        </is>
      </c>
      <c r="E14" t="inlineStr">
        <is>
          <t>2026-10-04</t>
        </is>
      </c>
    </row>
    <row r="15">
      <c r="A15" t="inlineStr">
        <is>
          <t>www.halcyonmaldives.com</t>
        </is>
      </c>
      <c r="B15" t="inlineStr">
        <is>
          <t>GET home, sitemap, headless render</t>
        </is>
      </c>
      <c r="C15" t="inlineStr">
        <is>
          <t>blocked</t>
        </is>
      </c>
      <c r="D15" t="inlineStr">
        <is>
          <t>Raffles Maldives Meradhoo Resort</t>
        </is>
      </c>
      <c r="E15" t="inlineStr">
        <is>
          <t>2026-10-04</t>
        </is>
      </c>
    </row>
    <row r="16">
      <c r="A16" t="inlineStr">
        <is>
          <t>www.melia.com</t>
        </is>
      </c>
      <c r="B16" t="inlineStr">
        <is>
          <t>GET home, sitemap, headless render</t>
        </is>
      </c>
      <c r="C16" t="inlineStr">
        <is>
          <t>blocked</t>
        </is>
      </c>
      <c r="D16" t="inlineStr">
        <is>
          <t>Barceló Whale Lagoon Maldives</t>
        </is>
      </c>
      <c r="E16" t="inlineStr">
        <is>
          <t>2026-10-04</t>
        </is>
      </c>
    </row>
    <row r="17">
      <c r="A17" t="inlineStr">
        <is>
          <t>www.raffles.com</t>
        </is>
      </c>
      <c r="B17" t="inlineStr">
        <is>
          <t>GET home, sitemap, headless render</t>
        </is>
      </c>
      <c r="C17" t="inlineStr">
        <is>
          <t>blocked</t>
        </is>
      </c>
      <c r="D17" t="inlineStr">
        <is>
          <t>Raffles Maldives Meradhoo Resort</t>
        </is>
      </c>
      <c r="E17" t="inlineStr">
        <is>
          <t>2026-10-04</t>
        </is>
      </c>
    </row>
    <row r="18">
      <c r="A18" t="inlineStr">
        <is>
          <t>www.barcelo.com</t>
        </is>
      </c>
      <c r="B18" t="inlineStr">
        <is>
          <t>GET home, sitemap, headless render</t>
        </is>
      </c>
      <c r="C18" t="inlineStr">
        <is>
          <t>unverified</t>
        </is>
      </c>
      <c r="D18" t="inlineStr">
        <is>
          <t>Barceló Whale Lagoon Maldives</t>
        </is>
      </c>
      <c r="E18" t="inlineStr">
        <is>
          <t>2026-10-04</t>
        </is>
      </c>
    </row>
    <row r="19">
      <c r="A19" t="inlineStr">
        <is>
          <t>www.sixsenses.com</t>
        </is>
      </c>
      <c r="B19" t="inlineStr">
        <is>
          <t>GET home + render</t>
        </is>
      </c>
      <c r="C19" t="inlineStr">
        <is>
          <t>403</t>
        </is>
      </c>
      <c r="D19" t="inlineStr"/>
      <c r="E19" t="inlineStr">
        <is>
          <t>2026-10-04</t>
        </is>
      </c>
    </row>
    <row r="20">
      <c r="A20" t="inlineStr">
        <is>
          <t>www.ozenreservebolifushi.com</t>
        </is>
      </c>
      <c r="B20" t="inlineStr">
        <is>
          <t>GET home + render</t>
        </is>
      </c>
      <c r="C20" t="inlineStr">
        <is>
          <t>403</t>
        </is>
      </c>
      <c r="D20" t="inlineStr"/>
      <c r="E20" t="inlineStr">
        <is>
          <t>2026-10-04</t>
        </is>
      </c>
    </row>
    <row r="21">
      <c r="A21" t="inlineStr">
        <is>
          <t>www.alilahotels.com</t>
        </is>
      </c>
      <c r="B21" t="inlineStr">
        <is>
          <t>GET home + render</t>
        </is>
      </c>
      <c r="C21" t="inlineStr">
        <is>
          <t>403</t>
        </is>
      </c>
      <c r="D21" t="inlineStr"/>
      <c r="E21" t="inlineStr">
        <is>
          <t>2026-10-04</t>
        </is>
      </c>
    </row>
    <row r="22">
      <c r="A22" t="inlineStr">
        <is>
          <t>www.hyatt.com</t>
        </is>
      </c>
      <c r="B22" t="inlineStr">
        <is>
          <t>GET home + render</t>
        </is>
      </c>
      <c r="C22" t="inlineStr">
        <is>
          <t>403</t>
        </is>
      </c>
      <c r="D22" t="inlineStr"/>
      <c r="E22" t="inlineStr">
        <is>
          <t>2026-10-04</t>
        </is>
      </c>
    </row>
    <row r="23">
      <c r="A23" t="inlineStr">
        <is>
          <t>www.marriott.com</t>
        </is>
      </c>
      <c r="B23" t="inlineStr">
        <is>
          <t>GET home + render</t>
        </is>
      </c>
      <c r="C23" t="inlineStr">
        <is>
          <t>403</t>
        </is>
      </c>
      <c r="D23" t="inlineStr"/>
      <c r="E23" t="inlineStr">
        <is>
          <t>2026-10-04</t>
        </is>
      </c>
    </row>
    <row r="24">
      <c r="A24" t="inlineStr">
        <is>
          <t>www.marriott.com</t>
        </is>
      </c>
      <c r="B24" t="inlineStr">
        <is>
          <t>GET home + render</t>
        </is>
      </c>
      <c r="C24" t="inlineStr">
        <is>
          <t>403</t>
        </is>
      </c>
      <c r="D24" t="inlineStr"/>
      <c r="E24" t="inlineStr">
        <is>
          <t>2026-10-04</t>
        </is>
      </c>
    </row>
    <row r="25">
      <c r="A25" t="inlineStr">
        <is>
          <t>www.sixsenses.com</t>
        </is>
      </c>
      <c r="B25" t="inlineStr">
        <is>
          <t>pdf download</t>
        </is>
      </c>
      <c r="C25" t="inlineStr">
        <is>
          <t>403 challenge</t>
        </is>
      </c>
      <c r="D25" t="inlineStr"/>
      <c r="E25" t="inlineStr">
        <is>
          <t>2026-10-04</t>
        </is>
      </c>
    </row>
    <row r="26">
      <c r="A26" t="inlineStr">
        <is>
          <t>www.ozenreservebolifushi.com</t>
        </is>
      </c>
      <c r="B26" t="inlineStr">
        <is>
          <t>pdf download</t>
        </is>
      </c>
      <c r="C26" t="inlineStr">
        <is>
          <t>403 challenge</t>
        </is>
      </c>
      <c r="D26" t="inlineStr"/>
      <c r="E26" t="inlineStr">
        <is>
          <t>2026-10-04</t>
        </is>
      </c>
    </row>
    <row r="27">
      <c r="A27" t="inlineStr">
        <is>
          <t>forsale.godaddy.com</t>
        </is>
      </c>
      <c r="B27" t="inlineStr">
        <is>
          <t>pdf download</t>
        </is>
      </c>
      <c r="C27" t="inlineStr">
        <is>
          <t>403 challenge</t>
        </is>
      </c>
      <c r="D27" t="inlineStr"/>
      <c r="E27" t="inlineStr">
        <is>
          <t>2026-10-04</t>
        </is>
      </c>
    </row>
    <row r="28">
      <c r="A28" t="inlineStr">
        <is>
          <t>www.baglionihotels.com</t>
        </is>
      </c>
      <c r="B28" t="inlineStr">
        <is>
          <t>pdf download</t>
        </is>
      </c>
      <c r="C28" t="inlineStr">
        <is>
          <t>403 challenge</t>
        </is>
      </c>
      <c r="D28" t="inlineStr"/>
      <c r="E28" t="inlineStr">
        <is>
          <t>2026-10-04</t>
        </is>
      </c>
    </row>
    <row r="29">
      <c r="A29" t="inlineStr">
        <is>
          <t>www.marriott.com</t>
        </is>
      </c>
      <c r="B29" t="inlineStr">
        <is>
          <t>pdf download</t>
        </is>
      </c>
      <c r="C29" t="inlineStr">
        <is>
          <t>403 challenge</t>
        </is>
      </c>
      <c r="D29" t="inlineStr"/>
      <c r="E29" t="inlineStr">
        <is>
          <t>2026-10-04</t>
        </is>
      </c>
    </row>
    <row r="30">
      <c r="A30" t="inlineStr">
        <is>
          <t>expireddomains.com</t>
        </is>
      </c>
      <c r="B30" t="inlineStr">
        <is>
          <t>pdf download</t>
        </is>
      </c>
      <c r="C30" t="inlineStr">
        <is>
          <t>403 challenge</t>
        </is>
      </c>
      <c r="D30" t="inlineStr"/>
      <c r="E30" t="inlineStr">
        <is>
          <t>2026-10-04</t>
        </is>
      </c>
    </row>
    <row r="31">
      <c r="A31" t="inlineStr">
        <is>
          <t>www.baglionihotels.com</t>
        </is>
      </c>
      <c r="B31" t="inlineStr">
        <is>
          <t>GET home + render</t>
        </is>
      </c>
      <c r="C31" t="inlineStr">
        <is>
          <t>403</t>
        </is>
      </c>
      <c r="D31" t="inlineStr"/>
      <c r="E31" t="inlineStr">
        <is>
          <t>2026-10-04</t>
        </is>
      </c>
    </row>
    <row r="32">
      <c r="A32" t="inlineStr">
        <is>
          <t>www.baglionihotels.com</t>
        </is>
      </c>
      <c r="B32" t="inlineStr">
        <is>
          <t>GET home</t>
        </is>
      </c>
      <c r="C32" t="inlineStr">
        <is>
          <t>403 challenge</t>
        </is>
      </c>
      <c r="D32" t="inlineStr"/>
      <c r="E32" t="inlineStr">
        <is>
          <t>2026-10-04</t>
        </is>
      </c>
    </row>
    <row r="33">
      <c r="A33" t="inlineStr">
        <is>
          <t>www.alilahotels.com</t>
        </is>
      </c>
      <c r="B33" t="inlineStr">
        <is>
          <t>GET home + render</t>
        </is>
      </c>
      <c r="C33" t="inlineStr">
        <is>
          <t>403</t>
        </is>
      </c>
      <c r="D33" t="inlineStr"/>
      <c r="E33" t="inlineStr">
        <is>
          <t>2026-10-04</t>
        </is>
      </c>
    </row>
    <row r="34">
      <c r="A34" t="inlineStr">
        <is>
          <t>www.baglionihotels.com</t>
        </is>
      </c>
      <c r="B34" t="inlineStr">
        <is>
          <t>pdf download</t>
        </is>
      </c>
      <c r="C34" t="inlineStr">
        <is>
          <t>403 challenge</t>
        </is>
      </c>
      <c r="D34" t="inlineStr"/>
      <c r="E34" t="inlineStr">
        <is>
          <t>2026-10-04</t>
        </is>
      </c>
    </row>
    <row r="35">
      <c r="A35" t="inlineStr">
        <is>
          <t>www.halcyonmaldives.com</t>
        </is>
      </c>
      <c r="B35" t="inlineStr">
        <is>
          <t>GET home + render</t>
        </is>
      </c>
      <c r="C35" t="inlineStr">
        <is>
          <t>403</t>
        </is>
      </c>
      <c r="D35" t="inlineStr"/>
      <c r="E35" t="inlineStr">
        <is>
          <t>2026-10-04</t>
        </is>
      </c>
    </row>
    <row r="36">
      <c r="A36" t="inlineStr">
        <is>
          <t>www.melia.com</t>
        </is>
      </c>
      <c r="B36" t="inlineStr">
        <is>
          <t>GET home + render</t>
        </is>
      </c>
      <c r="C36" t="inlineStr">
        <is>
          <t>403</t>
        </is>
      </c>
      <c r="D36" t="inlineStr"/>
      <c r="E36" t="inlineStr">
        <is>
          <t>2026-10-04</t>
        </is>
      </c>
    </row>
    <row r="37">
      <c r="A37" t="inlineStr">
        <is>
          <t>www.raffles.com</t>
        </is>
      </c>
      <c r="B37" t="inlineStr">
        <is>
          <t>GET home + render</t>
        </is>
      </c>
      <c r="C37" t="inlineStr">
        <is>
          <t>403</t>
        </is>
      </c>
      <c r="D37" t="inlineStr"/>
      <c r="E37" t="inlineStr">
        <is>
          <t>2026-10-04</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8" customWidth="1" min="2" max="2"/>
    <col width="80" customWidth="1" min="3" max="3"/>
    <col width="12" customWidth="1" min="4" max="4"/>
  </cols>
  <sheetData>
    <row r="1">
      <c r="A1" s="1" t="inlineStr">
        <is>
          <t>date</t>
        </is>
      </c>
      <c r="B1" s="1" t="inlineStr">
        <is>
          <t>phase</t>
        </is>
      </c>
      <c r="C1" s="1" t="inlineStr">
        <is>
          <t>note</t>
        </is>
      </c>
      <c r="D1" s="1" t="inlineStr">
        <is>
          <t>docs total</t>
        </is>
      </c>
    </row>
    <row r="2">
      <c r="A2" t="inlineStr">
        <is>
          <t>2026-10-04 22:30</t>
        </is>
      </c>
      <c r="B2" t="inlineStr">
        <is>
          <t>A</t>
        </is>
      </c>
      <c r="C2" t="inlineStr">
        <is>
          <t>Crown &amp; Champa + Neoscapes</t>
        </is>
      </c>
      <c r="D2" t="inlineStr">
        <is>
          <t>297</t>
        </is>
      </c>
    </row>
    <row r="3">
      <c r="A3" t="inlineStr">
        <is>
          <t>2026-10-04 22:33</t>
        </is>
      </c>
      <c r="B3" t="inlineStr">
        <is>
          <t>A</t>
        </is>
      </c>
      <c r="C3" t="inlineStr">
        <is>
          <t>Crown &amp; Champa + Neoscapes</t>
        </is>
      </c>
      <c r="D3" t="inlineStr">
        <is>
          <t>301</t>
        </is>
      </c>
    </row>
    <row r="4">
      <c r="A4" t="inlineStr">
        <is>
          <t>2026-10-04 22:47</t>
        </is>
      </c>
      <c r="B4" t="inlineStr">
        <is>
          <t>B</t>
        </is>
      </c>
      <c r="C4" t="inlineStr">
        <is>
          <t>official sites 1-20: {'stored': 225, 'duplicate': 69, 'excluded': 5, 'failed': 10, 'unmatched': 1}</t>
        </is>
      </c>
      <c r="D4" t="inlineStr">
        <is>
          <t>526</t>
        </is>
      </c>
    </row>
    <row r="5">
      <c r="A5" t="inlineStr">
        <is>
          <t>2026-10-04 22:56</t>
        </is>
      </c>
      <c r="B5" t="inlineStr">
        <is>
          <t>B</t>
        </is>
      </c>
      <c r="C5" t="inlineStr">
        <is>
          <t>official sites 1-20: {'stored': 77, 'unmatched': 7, 'duplicate': 13}</t>
        </is>
      </c>
      <c r="D5" t="inlineStr">
        <is>
          <t>603</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2026-10-04T22:57:43Z</dcterms:created>
  <dcterms:modified xmlns:dcterms="http://purl.org/dc/terms/" xmlns:xsi="http://www.w3.org/2001/XMLSchema-instance" xsi:type="dcterms:W3CDTF">2026-10-04T22:57:44Z</dcterms:modified>
</cp:coreProperties>
</file>